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ud365.sharepoint.com/sites/GrensMaas-BEPThesis/Gedeelde documenten/BEP Thesis/"/>
    </mc:Choice>
  </mc:AlternateContent>
  <xr:revisionPtr revIDLastSave="0" documentId="8_{7B44F51A-0B7C-4A4B-85EC-88A2C3A84CDC}" xr6:coauthVersionLast="47" xr6:coauthVersionMax="47" xr10:uidLastSave="{00000000-0000-0000-0000-000000000000}"/>
  <bookViews>
    <workbookView xWindow="-110" yWindow="-110" windowWidth="19420" windowHeight="10300" firstSheet="5" activeTab="5" xr2:uid="{00000000-000D-0000-FFFF-FFFF00000000}"/>
  </bookViews>
  <sheets>
    <sheet name="Overview" sheetId="1" r:id="rId1"/>
    <sheet name="newseffects" sheetId="2" r:id="rId2"/>
    <sheet name="welfaretype db" sheetId="11" r:id="rId3"/>
    <sheet name="Welfare" sheetId="4" state="hidden" r:id="rId4"/>
    <sheet name="community" sheetId="3" r:id="rId5"/>
    <sheet name="measurestype db" sheetId="8" r:id="rId6"/>
    <sheet name="Gameboard" sheetId="7" r:id="rId7"/>
    <sheet name="Measures" sheetId="5" state="hidden" r:id="rId8"/>
    <sheet name="House Overview" sheetId="6" state="hidden" r:id="rId9"/>
    <sheet name="initialhousemeasure db" sheetId="9" r:id="rId10"/>
    <sheet name="house db" sheetId="10" r:id="rId11"/>
  </sheets>
  <definedNames>
    <definedName name="_xlnm._FilterDatabase" localSheetId="8" hidden="1">'House Overview'!$A$2:$G$37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H11" i="5"/>
  <c r="H10" i="5"/>
  <c r="H6" i="5"/>
  <c r="H5" i="5"/>
  <c r="O18" i="4"/>
  <c r="N18" i="4"/>
  <c r="L18" i="4"/>
  <c r="J18" i="4"/>
  <c r="H18" i="4"/>
  <c r="K18" i="4" s="1"/>
  <c r="M18" i="4" s="1"/>
  <c r="C18" i="4"/>
  <c r="B18" i="4"/>
  <c r="O17" i="4"/>
  <c r="N17" i="4"/>
  <c r="L17" i="4"/>
  <c r="K17" i="4"/>
  <c r="J17" i="4"/>
  <c r="M17" i="4" s="1"/>
  <c r="H17" i="4"/>
  <c r="C17" i="4"/>
  <c r="B17" i="4"/>
  <c r="O16" i="4"/>
  <c r="N16" i="4"/>
  <c r="L16" i="4"/>
  <c r="K16" i="4"/>
  <c r="H16" i="4"/>
  <c r="C16" i="4"/>
  <c r="B16" i="4"/>
  <c r="J16" i="4" s="1"/>
  <c r="M16" i="4" s="1"/>
  <c r="O15" i="4"/>
  <c r="N15" i="4"/>
  <c r="L15" i="4"/>
  <c r="H15" i="4"/>
  <c r="K15" i="4" s="1"/>
  <c r="C15" i="4"/>
  <c r="B15" i="4"/>
  <c r="J15" i="4" s="1"/>
  <c r="O14" i="4"/>
  <c r="N14" i="4"/>
  <c r="L14" i="4"/>
  <c r="H14" i="4"/>
  <c r="K14" i="4" s="1"/>
  <c r="C14" i="4"/>
  <c r="B14" i="4"/>
  <c r="J14" i="4" s="1"/>
  <c r="M14" i="4" s="1"/>
  <c r="O13" i="4"/>
  <c r="N13" i="4"/>
  <c r="L13" i="4"/>
  <c r="H13" i="4"/>
  <c r="C13" i="4"/>
  <c r="K13" i="4" s="1"/>
  <c r="B13" i="4"/>
  <c r="J13" i="4" s="1"/>
  <c r="L9" i="4"/>
  <c r="J9" i="4"/>
  <c r="H9" i="4"/>
  <c r="K9" i="4" s="1"/>
  <c r="M9" i="4" s="1"/>
  <c r="L8" i="4"/>
  <c r="K8" i="4"/>
  <c r="J8" i="4"/>
  <c r="M8" i="4" s="1"/>
  <c r="H8" i="4"/>
  <c r="L7" i="4"/>
  <c r="J7" i="4"/>
  <c r="H7" i="4"/>
  <c r="K7" i="4" s="1"/>
  <c r="L6" i="4"/>
  <c r="J6" i="4"/>
  <c r="H6" i="4"/>
  <c r="K6" i="4" s="1"/>
  <c r="M6" i="4" s="1"/>
  <c r="L5" i="4"/>
  <c r="J5" i="4"/>
  <c r="M5" i="4" s="1"/>
  <c r="H5" i="4"/>
  <c r="K5" i="4" s="1"/>
  <c r="L4" i="4"/>
  <c r="K4" i="4"/>
  <c r="J4" i="4"/>
  <c r="M4" i="4" s="1"/>
  <c r="H4" i="4"/>
  <c r="M7" i="4" l="1"/>
  <c r="M13" i="4"/>
  <c r="M15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<sst xmlns="http://schemas.openxmlformats.org/spreadsheetml/2006/main" count="542" uniqueCount="258">
  <si>
    <t>Database table</t>
  </si>
  <si>
    <t>session_20_251007_VerzekeraarsMasterClass</t>
  </si>
  <si>
    <t>session_19_250923_EPA_IntroDays_Overasselt</t>
  </si>
  <si>
    <t>session_16_240924_EPA_IntroDays_Ommen</t>
  </si>
  <si>
    <t>Players</t>
  </si>
  <si>
    <t>30 (Table 4-8)</t>
  </si>
  <si>
    <t>30 (Table 1-4)</t>
  </si>
  <si>
    <t>Rounds</t>
  </si>
  <si>
    <t>Welfare (same)</t>
  </si>
  <si>
    <t>65, 85,95, 115, 135, 195 = (+15 income and + 10 living costs)</t>
  </si>
  <si>
    <r>
      <t>50, 65,</t>
    </r>
    <r>
      <rPr>
        <sz val="11"/>
        <color rgb="FFFF0000"/>
        <rFont val="Aptos Narrow"/>
        <family val="2"/>
      </rPr>
      <t xml:space="preserve"> 80, 100</t>
    </r>
    <r>
      <rPr>
        <sz val="11"/>
        <color theme="1"/>
        <rFont val="Aptos Narrow"/>
        <family val="2"/>
      </rPr>
      <t>, 120, 180</t>
    </r>
  </si>
  <si>
    <t>commuinity protection</t>
  </si>
  <si>
    <t>River protection: Natucity (9), Dikecity (9), Unvesvillage (6)
Rain protection: Natucity (6), Dikecity (4), Unvesvillage (6)</t>
  </si>
  <si>
    <t>River protection: Natucity (10), Dikecity (10), Unvesvillage (7)
Rain protection: Natucity (8), Dikecity (6), Unvesvillage (8)</t>
  </si>
  <si>
    <t>newseffects</t>
  </si>
  <si>
    <r>
      <t xml:space="preserve">1 &amp; 4: Search for an affordable house
2: Revisit flood damages
</t>
    </r>
    <r>
      <rPr>
        <sz val="11"/>
        <color theme="6"/>
        <rFont val="Aptos Narrow"/>
        <family val="2"/>
      </rPr>
      <t>3: Lower flood protection (-2 rain and -1 river)</t>
    </r>
    <r>
      <rPr>
        <sz val="11"/>
        <color theme="1"/>
        <rFont val="Aptos Narrow"/>
        <family val="2"/>
      </rPr>
      <t xml:space="preserve">
</t>
    </r>
    <r>
      <rPr>
        <sz val="11"/>
        <color theme="5"/>
        <rFont val="Aptos Narrow"/>
        <family val="2"/>
      </rPr>
      <t xml:space="preserve">4: Tax, flood and satisfaction increase in natucity. </t>
    </r>
  </si>
  <si>
    <r>
      <t xml:space="preserve">1 &amp; 4: Search for an affordable house
2: Revisit flood damages
</t>
    </r>
    <r>
      <rPr>
        <sz val="11"/>
        <color theme="6"/>
        <rFont val="Aptos Narrow"/>
        <family val="2"/>
      </rPr>
      <t>3: Lower flood protection (-2 river and -1 rain)</t>
    </r>
    <r>
      <rPr>
        <sz val="11"/>
        <color theme="1"/>
        <rFont val="Aptos Narrow"/>
        <family val="2"/>
      </rPr>
      <t xml:space="preserve">
</t>
    </r>
    <r>
      <rPr>
        <sz val="11"/>
        <color theme="5"/>
        <rFont val="Aptos Narrow"/>
        <family val="2"/>
      </rPr>
      <t xml:space="preserve">4: Tax, flood and satisfaction increase in natucity. </t>
    </r>
  </si>
  <si>
    <r>
      <t xml:space="preserve">1: Introduction
</t>
    </r>
    <r>
      <rPr>
        <sz val="11"/>
        <color theme="6"/>
        <rFont val="Aptos Narrow"/>
        <family val="2"/>
      </rPr>
      <t xml:space="preserve">2: House value discounts (not fully functional in the game so removed afterwards) &amp; lower flood prtection </t>
    </r>
    <r>
      <rPr>
        <sz val="11"/>
        <color theme="1"/>
        <rFont val="Aptos Narrow"/>
        <family val="2"/>
      </rPr>
      <t xml:space="preserve">
</t>
    </r>
    <r>
      <rPr>
        <sz val="11"/>
        <color theme="5"/>
        <rFont val="Aptos Narrow"/>
        <family val="2"/>
      </rPr>
      <t>3: Taxes increase in Natucity but + 2 Natucity satisfaction</t>
    </r>
  </si>
  <si>
    <t>moving</t>
  </si>
  <si>
    <t>Allowed only in round 4</t>
  </si>
  <si>
    <t>Allowed every round</t>
  </si>
  <si>
    <t>houses</t>
  </si>
  <si>
    <t>U09, U05, D09, D02, N05 available in R1
U02, D06, D03, N06 available in R4</t>
  </si>
  <si>
    <t>Houses in R4 not available</t>
  </si>
  <si>
    <t>measures</t>
  </si>
  <si>
    <t>In addition to the previous settings
- No pump
- Reduce price of measures to half</t>
  </si>
  <si>
    <t>No rise ground and self-rising bulkead. These measures were replaced in the measures that had them</t>
  </si>
  <si>
    <t>damage calculation</t>
  </si>
  <si>
    <t>clear for players</t>
  </si>
  <si>
    <t>unclear for players</t>
  </si>
  <si>
    <t>session</t>
  </si>
  <si>
    <t>240924_EPA_IntroDays_Ommen</t>
  </si>
  <si>
    <t xml:space="preserve">250923_EPA_IntroDays_Overasselt </t>
  </si>
  <si>
    <t>251007_VerzekeraarsMasterClass</t>
  </si>
  <si>
    <t>Round</t>
  </si>
  <si>
    <t xml:space="preserve">
2: House discounts and More rain</t>
  </si>
  <si>
    <t>3: Taxes increase</t>
  </si>
  <si>
    <t xml:space="preserve">
3: Climate change</t>
  </si>
  <si>
    <t xml:space="preserve"> 4: Taxes Naturcity +5k</t>
  </si>
  <si>
    <t>name</t>
  </si>
  <si>
    <t>House discounts 10-5-2 +rain river-1 rain-2</t>
  </si>
  <si>
    <t>Taxes Naturcity +5k + bonus</t>
  </si>
  <si>
    <t>More rain</t>
  </si>
  <si>
    <t>Taxes + bonus protection and satisfaction</t>
  </si>
  <si>
    <t>house_discount_round1</t>
  </si>
  <si>
    <t>house_discount_round2</t>
  </si>
  <si>
    <t>house_discount_round3</t>
  </si>
  <si>
    <t>house_discount_effect_pluvial</t>
  </si>
  <si>
    <t>house_discount_effect_fluvial</t>
  </si>
  <si>
    <t>house_discount_community</t>
  </si>
  <si>
    <t>pluvial_protection_change</t>
  </si>
  <si>
    <t>fluvial_protection_change</t>
  </si>
  <si>
    <t>tax_change</t>
  </si>
  <si>
    <t>satisfaction_living_bonus</t>
  </si>
  <si>
    <t>satisfaction_move_change</t>
  </si>
  <si>
    <t>newsitem_id</t>
  </si>
  <si>
    <t>community_id</t>
  </si>
  <si>
    <t>community_name</t>
  </si>
  <si>
    <t>Naturcity</t>
  </si>
  <si>
    <t xml:space="preserve">Note: For the Table 1 to Table 4, the rain and river protection change was the other way around. By mistake, rain -1 and river -2. For Table 5 to 8 the settings were corrected </t>
  </si>
  <si>
    <t>id</t>
  </si>
  <si>
    <t>initial_satisfaction</t>
  </si>
  <si>
    <t>initial_money</t>
  </si>
  <si>
    <t>maximum_mortgage</t>
  </si>
  <si>
    <t>living_costs</t>
  </si>
  <si>
    <t>round_income</t>
  </si>
  <si>
    <t>satisfaction_cost_per_point</t>
  </si>
  <si>
    <t>preferred_house_rating</t>
  </si>
  <si>
    <t>scenario_id</t>
  </si>
  <si>
    <t>Welfare 050</t>
  </si>
  <si>
    <t>Welfare 065</t>
  </si>
  <si>
    <t>Welfare 080</t>
  </si>
  <si>
    <t>Welfare 100</t>
  </si>
  <si>
    <t>Welfare 120</t>
  </si>
  <si>
    <t>Welfare 180</t>
  </si>
  <si>
    <t>250923_EPA_IntroDays_Overasselt  | 251007_VerzekeraarsMasterClass</t>
  </si>
  <si>
    <t>Welfare 060=(50 +10 Income) +10 Living costs</t>
  </si>
  <si>
    <t>Welfare 075=(65 +10 Income) +10 Living costs+5sat</t>
  </si>
  <si>
    <t>Welfare 090=(80 +10 Income) +10 Living costs+5sat</t>
  </si>
  <si>
    <t>Welfare 110=(100 +10 Income) +10 Living costs+5sat</t>
  </si>
  <si>
    <t>Welfare 130=(120 +10 Income) +10 Living costs+5sat</t>
  </si>
  <si>
    <t>Welfare 190=(180 +10 Income) +10 Living costs+5sat</t>
  </si>
  <si>
    <t>Homeowner welfare type</t>
  </si>
  <si>
    <t>Income</t>
  </si>
  <si>
    <t>Living costs</t>
  </si>
  <si>
    <t>Maximum mortgage</t>
  </si>
  <si>
    <t>Starting savings</t>
  </si>
  <si>
    <t>Increase satisfaction</t>
  </si>
  <si>
    <t>Preferred house rating</t>
  </si>
  <si>
    <t>House mortgage</t>
  </si>
  <si>
    <t>Taxes</t>
  </si>
  <si>
    <t>Income
savings</t>
  </si>
  <si>
    <t>Expenses</t>
  </si>
  <si>
    <t>Insurance</t>
  </si>
  <si>
    <t>Measures</t>
  </si>
  <si>
    <t>Very low</t>
  </si>
  <si>
    <t>Low</t>
  </si>
  <si>
    <t>Low average</t>
  </si>
  <si>
    <t>High average</t>
  </si>
  <si>
    <t>High</t>
  </si>
  <si>
    <t>Very high</t>
  </si>
  <si>
    <t>Increase</t>
  </si>
  <si>
    <t>Improvements</t>
  </si>
  <si>
    <t>Structural</t>
  </si>
  <si>
    <t>Minor</t>
  </si>
  <si>
    <t>Dyketown</t>
  </si>
  <si>
    <t>Unbesvillage</t>
  </si>
  <si>
    <t>capacity</t>
  </si>
  <si>
    <t>fluvial_protection</t>
  </si>
  <si>
    <t>pluvial_protection</t>
  </si>
  <si>
    <t>gameversion_id</t>
  </si>
  <si>
    <t>session_20_251007_VerzekeraarsMasterClass
session_19_250923_EPA_IntroDays_Overasselt</t>
  </si>
  <si>
    <t>short_alias</t>
  </si>
  <si>
    <t>absolute cost</t>
  </si>
  <si>
    <t>Calculated cost</t>
  </si>
  <si>
    <t>satisfaction_delta_once</t>
  </si>
  <si>
    <t>pluvial_protection_delta</t>
  </si>
  <si>
    <t>fluvial_protection_delta</t>
  </si>
  <si>
    <t>valid_one_round</t>
  </si>
  <si>
    <t>valid_until_used</t>
  </si>
  <si>
    <t>Absolute cost</t>
  </si>
  <si>
    <t>Green garden</t>
  </si>
  <si>
    <t>---</t>
  </si>
  <si>
    <t>Self-activating wall</t>
  </si>
  <si>
    <t>Water pump installation</t>
  </si>
  <si>
    <t>Rainbarrel for recycling</t>
  </si>
  <si>
    <t>Underground rainbarrel</t>
  </si>
  <si>
    <t>Waterproof walls, floors</t>
  </si>
  <si>
    <t>Sandbags</t>
  </si>
  <si>
    <t>Modest house renovations</t>
  </si>
  <si>
    <t>%House cost</t>
  </si>
  <si>
    <t>Structural house changes</t>
  </si>
  <si>
    <t xml:space="preserve"> %House cost</t>
  </si>
  <si>
    <t>Personal improvements</t>
  </si>
  <si>
    <t>%Round income</t>
  </si>
  <si>
    <t>Flood insurance</t>
  </si>
  <si>
    <t>Address</t>
  </si>
  <si>
    <t>Board X</t>
  </si>
  <si>
    <t>Board Y</t>
  </si>
  <si>
    <t>U10</t>
  </si>
  <si>
    <t>U04</t>
  </si>
  <si>
    <t>U01</t>
  </si>
  <si>
    <t>D10</t>
  </si>
  <si>
    <t>D04</t>
  </si>
  <si>
    <t>D01</t>
  </si>
  <si>
    <t>D05</t>
  </si>
  <si>
    <t>N07</t>
  </si>
  <si>
    <t>N04</t>
  </si>
  <si>
    <t>N01</t>
  </si>
  <si>
    <t>U09</t>
  </si>
  <si>
    <t>U05</t>
  </si>
  <si>
    <t>D09</t>
  </si>
  <si>
    <t>D02</t>
  </si>
  <si>
    <t>N05</t>
  </si>
  <si>
    <t>U06</t>
  </si>
  <si>
    <t>U02</t>
  </si>
  <si>
    <t>D06</t>
  </si>
  <si>
    <t>D03</t>
  </si>
  <si>
    <t>N06</t>
  </si>
  <si>
    <t>U08</t>
  </si>
  <si>
    <t>U03</t>
  </si>
  <si>
    <t>D08</t>
  </si>
  <si>
    <t>N03</t>
  </si>
  <si>
    <t>D07</t>
  </si>
  <si>
    <t>N02</t>
  </si>
  <si>
    <t>U07</t>
  </si>
  <si>
    <t>2024-09</t>
  </si>
  <si>
    <t>2025-09</t>
  </si>
  <si>
    <t>House adaptation measure</t>
  </si>
  <si>
    <t>#</t>
  </si>
  <si>
    <t>Protection</t>
  </si>
  <si>
    <t>Satisfaction increase</t>
  </si>
  <si>
    <t>Price</t>
  </si>
  <si>
    <t>River</t>
  </si>
  <si>
    <t>Rain</t>
  </si>
  <si>
    <t>Green Garden</t>
  </si>
  <si>
    <t>Automatic steel walls/
Self automatic flood wall</t>
  </si>
  <si>
    <t>Self-rising bulkhead</t>
  </si>
  <si>
    <t>Ground-level rising</t>
  </si>
  <si>
    <t>Water-resistant walls &amp; Floors</t>
  </si>
  <si>
    <t>Underground rain barrel</t>
  </si>
  <si>
    <t>Satisfaction points</t>
  </si>
  <si>
    <t>----</t>
  </si>
  <si>
    <t>Structural house ronovations</t>
  </si>
  <si>
    <t>House</t>
  </si>
  <si>
    <t>House price (k)</t>
  </si>
  <si>
    <t>Rating</t>
  </si>
  <si>
    <t>Availability</t>
  </si>
  <si>
    <t>R1</t>
  </si>
  <si>
    <t>R2</t>
  </si>
  <si>
    <t>R3</t>
  </si>
  <si>
    <t xml:space="preserve">Sandbags </t>
  </si>
  <si>
    <t>Self-activating flood wall</t>
  </si>
  <si>
    <t>R4</t>
  </si>
  <si>
    <t>Install a water pump</t>
  </si>
  <si>
    <t>Water-resistant walls &amp; floors</t>
  </si>
  <si>
    <t>N02*</t>
  </si>
  <si>
    <t xml:space="preserve">Install a water pump </t>
  </si>
  <si>
    <t>Remove water pump</t>
  </si>
  <si>
    <t>U07*</t>
  </si>
  <si>
    <t xml:space="preserve">Water resistant walls &amp; floors </t>
  </si>
  <si>
    <t>round_number</t>
  </si>
  <si>
    <t>house_code</t>
  </si>
  <si>
    <t>initial_pluvial_protection</t>
  </si>
  <si>
    <t>initial_fluvial_protection</t>
  </si>
  <si>
    <t>N02 steel walls</t>
  </si>
  <si>
    <t>N02 water pump</t>
  </si>
  <si>
    <t>N03 Rain Barrel</t>
  </si>
  <si>
    <t>N03 Flood wall</t>
  </si>
  <si>
    <t>N06 sandbags</t>
  </si>
  <si>
    <t>D06 water pump</t>
  </si>
  <si>
    <t>D06 water resist</t>
  </si>
  <si>
    <t>D06 flood wall</t>
  </si>
  <si>
    <t>D07 flood wall</t>
  </si>
  <si>
    <t>D07 water resist</t>
  </si>
  <si>
    <t>D08 Green Garden</t>
  </si>
  <si>
    <t>D08 Water proof walls and floors</t>
  </si>
  <si>
    <t>D08 Waterproof walls</t>
  </si>
  <si>
    <t>U02 flood wall</t>
  </si>
  <si>
    <t>U03 green garden</t>
  </si>
  <si>
    <t>U03 flood wall</t>
  </si>
  <si>
    <t>U06 sandbags</t>
  </si>
  <si>
    <t>U07 water pump</t>
  </si>
  <si>
    <t>U07 flood wall</t>
  </si>
  <si>
    <t>U07 walls floors</t>
  </si>
  <si>
    <t>U08 Water proof walls and floors</t>
  </si>
  <si>
    <t>price</t>
  </si>
  <si>
    <t>code</t>
  </si>
  <si>
    <t>address</t>
  </si>
  <si>
    <t>rating</t>
  </si>
  <si>
    <t>available_round</t>
  </si>
  <si>
    <t>Stickroad 17</t>
  </si>
  <si>
    <t>Twiglane 7</t>
  </si>
  <si>
    <t xml:space="preserve">Stickroad 21_x000D_
_x000D_
</t>
  </si>
  <si>
    <t xml:space="preserve">Twiglane 8_x000D_
</t>
  </si>
  <si>
    <t>Twiglane 5</t>
  </si>
  <si>
    <t xml:space="preserve">Leafstreet 28_x000D_
_x000D_
</t>
  </si>
  <si>
    <t xml:space="preserve">Leafstreet 26_x000D_
</t>
  </si>
  <si>
    <t xml:space="preserve">Stonelane 13_x000D_
</t>
  </si>
  <si>
    <t>Stonelane 11</t>
  </si>
  <si>
    <t xml:space="preserve">Stonelane 15_x000D_
_x000D_
</t>
  </si>
  <si>
    <t xml:space="preserve">Steelstreet 22_x000D_
</t>
  </si>
  <si>
    <t xml:space="preserve">Steelstreet 20_x000D_
</t>
  </si>
  <si>
    <t xml:space="preserve">Steelstreet 25_x000D_
_x000D_
</t>
  </si>
  <si>
    <t xml:space="preserve">Steelstreet 23_x000D_
_x000D_
</t>
  </si>
  <si>
    <t xml:space="preserve">Brickroad 8_x000D_
_x000D_
</t>
  </si>
  <si>
    <t>Brickroad 4</t>
  </si>
  <si>
    <t xml:space="preserve">Brickroad 6_x000D_
</t>
  </si>
  <si>
    <t xml:space="preserve">Woolstreet 33_x000D_
</t>
  </si>
  <si>
    <t xml:space="preserve">Woolstreet 37_x000D_
_x000D_
</t>
  </si>
  <si>
    <t xml:space="preserve">Woolstreet 35_x000D_
_x000D_
</t>
  </si>
  <si>
    <t xml:space="preserve">Grassroad 54_x000D_
</t>
  </si>
  <si>
    <t>Grassroad 52</t>
  </si>
  <si>
    <t xml:space="preserve">Grassroad 51_x000D_
_x000D_
</t>
  </si>
  <si>
    <t>Grassroad 53</t>
  </si>
  <si>
    <t xml:space="preserve">Twiglane 46_x000D_
_x000D_
</t>
  </si>
  <si>
    <t>Twiglane 44</t>
  </si>
  <si>
    <t xml:space="preserve">Twiglane 48_x000D_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</si>
</sst>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11"/>
      <color rgb="FFFF0000"/>
      <name val="Aptos Narrow"/>
      <family val="2"/>
    </font>
    <font>
      <sz val="11"/>
      <color theme="5"/>
      <name val="Aptos Narrow"/>
      <family val="2"/>
    </font>
    <font>
      <sz val="11"/>
      <color theme="6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4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9" fontId="0" fillId="0" borderId="0" xfId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164" fontId="0" fillId="2" borderId="0" xfId="1" applyNumberFormat="1" applyFont="1" applyFill="1" applyAlignment="1">
      <alignment horizontal="center"/>
    </xf>
    <xf numFmtId="9" fontId="0" fillId="2" borderId="1" xfId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0" fillId="0" borderId="1" xfId="0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/>
    </xf>
    <xf numFmtId="0" fontId="5" fillId="3" borderId="1" xfId="0" applyFont="1" applyFill="1" applyBorder="1"/>
    <xf numFmtId="0" fontId="5" fillId="0" borderId="1" xfId="0" applyFont="1" applyBorder="1"/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0" fillId="0" borderId="1" xfId="0" quotePrefix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6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4" fillId="0" borderId="1" xfId="0" applyFont="1" applyBorder="1" applyAlignment="1">
      <alignment horizontal="left" wrapText="1"/>
    </xf>
    <xf numFmtId="0" fontId="14" fillId="6" borderId="1" xfId="0" applyFont="1" applyFill="1" applyBorder="1" applyAlignment="1">
      <alignment horizontal="left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13" fillId="0" borderId="1" xfId="0" applyFont="1" applyBorder="1"/>
    <xf numFmtId="0" fontId="0" fillId="0" borderId="1" xfId="0" quotePrefix="1" applyBorder="1"/>
    <xf numFmtId="0" fontId="0" fillId="2" borderId="1" xfId="0" quotePrefix="1" applyFill="1" applyBorder="1"/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6" borderId="14" xfId="0" applyFill="1" applyBorder="1" applyAlignment="1">
      <alignment wrapText="1"/>
    </xf>
    <xf numFmtId="1" fontId="0" fillId="6" borderId="15" xfId="0" applyNumberFormat="1" applyFill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1" fontId="0" fillId="0" borderId="14" xfId="0" applyNumberFormat="1" applyBorder="1" applyAlignment="1">
      <alignment wrapText="1"/>
    </xf>
    <xf numFmtId="1" fontId="0" fillId="0" borderId="15" xfId="0" applyNumberFormat="1" applyBorder="1" applyAlignment="1">
      <alignment wrapText="1"/>
    </xf>
    <xf numFmtId="1" fontId="0" fillId="6" borderId="14" xfId="0" applyNumberFormat="1" applyFill="1" applyBorder="1" applyAlignment="1">
      <alignment wrapText="1"/>
    </xf>
    <xf numFmtId="2" fontId="0" fillId="0" borderId="14" xfId="0" applyNumberFormat="1" applyBorder="1" applyAlignment="1">
      <alignment wrapText="1"/>
    </xf>
    <xf numFmtId="2" fontId="0" fillId="0" borderId="16" xfId="0" applyNumberForma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4" xfId="0" applyBorder="1"/>
    <xf numFmtId="0" fontId="0" fillId="0" borderId="17" xfId="0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0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6" borderId="25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9" fillId="0" borderId="1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5" fillId="0" borderId="7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8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right" vertical="center"/>
    </xf>
    <xf numFmtId="0" fontId="8" fillId="3" borderId="8" xfId="0" applyFont="1" applyFill="1" applyBorder="1" applyAlignment="1">
      <alignment horizontal="right" vertical="center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Game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Houses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Gameboard!$B$2:$B$28</c:f>
              <c:numCache>
                <c:formatCode>General</c:formatCode>
                <c:ptCount val="27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3.5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5</c:v>
                </c:pt>
                <c:pt idx="15">
                  <c:v>5</c:v>
                </c:pt>
                <c:pt idx="16">
                  <c:v>2</c:v>
                </c:pt>
                <c:pt idx="17">
                  <c:v>5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</c:numCache>
            </c:numRef>
          </c:xVal>
          <c:yVal>
            <c:numRef>
              <c:f>Gameboard!$C$2:$C$28</c:f>
              <c:numCache>
                <c:formatCode>General</c:formatCode>
                <c:ptCount val="27"/>
                <c:pt idx="0">
                  <c:v>0.8</c:v>
                </c:pt>
                <c:pt idx="1">
                  <c:v>0</c:v>
                </c:pt>
                <c:pt idx="2">
                  <c:v>0</c:v>
                </c:pt>
                <c:pt idx="3">
                  <c:v>1.8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2.2000000000000002</c:v>
                </c:pt>
                <c:pt idx="8">
                  <c:v>2.8</c:v>
                </c:pt>
                <c:pt idx="9">
                  <c:v>2.8</c:v>
                </c:pt>
                <c:pt idx="10">
                  <c:v>0.8</c:v>
                </c:pt>
                <c:pt idx="11">
                  <c:v>0</c:v>
                </c:pt>
                <c:pt idx="12">
                  <c:v>1.8</c:v>
                </c:pt>
                <c:pt idx="13">
                  <c:v>1.2</c:v>
                </c:pt>
                <c:pt idx="14">
                  <c:v>2.2000000000000002</c:v>
                </c:pt>
                <c:pt idx="15">
                  <c:v>0.8</c:v>
                </c:pt>
                <c:pt idx="16">
                  <c:v>0</c:v>
                </c:pt>
                <c:pt idx="17">
                  <c:v>1.8</c:v>
                </c:pt>
                <c:pt idx="18">
                  <c:v>1.2</c:v>
                </c:pt>
                <c:pt idx="19">
                  <c:v>2.2000000000000002</c:v>
                </c:pt>
                <c:pt idx="20">
                  <c:v>0.8</c:v>
                </c:pt>
                <c:pt idx="21">
                  <c:v>0</c:v>
                </c:pt>
                <c:pt idx="22">
                  <c:v>1.8</c:v>
                </c:pt>
                <c:pt idx="23">
                  <c:v>2.2000000000000002</c:v>
                </c:pt>
                <c:pt idx="24">
                  <c:v>1.8</c:v>
                </c:pt>
                <c:pt idx="25">
                  <c:v>2.8</c:v>
                </c:pt>
                <c:pt idx="26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AA-4F3B-B5C3-95D94ECCE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478335"/>
        <c:axId val="1159478815"/>
      </c:scatterChart>
      <c:valAx>
        <c:axId val="115947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59478815"/>
        <c:crosses val="autoZero"/>
        <c:crossBetween val="midCat"/>
      </c:valAx>
      <c:valAx>
        <c:axId val="115947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5947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120650</xdr:rowOff>
    </xdr:from>
    <xdr:to>
      <xdr:col>6</xdr:col>
      <xdr:colOff>771412</xdr:colOff>
      <xdr:row>48</xdr:row>
      <xdr:rowOff>68707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F8195D-D840-4270-B6EC-529ABBDCA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62350"/>
          <a:ext cx="6765812" cy="51899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536574</xdr:colOff>
      <xdr:row>1</xdr:row>
      <xdr:rowOff>120650</xdr:rowOff>
    </xdr:from>
    <xdr:to>
      <xdr:col>12</xdr:col>
      <xdr:colOff>533399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F9793-7054-2E94-2924-C0E7B47E4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228600</xdr:colOff>
      <xdr:row>1</xdr:row>
      <xdr:rowOff>47625</xdr:rowOff>
    </xdr:from>
    <xdr:to>
      <xdr:col>24</xdr:col>
      <xdr:colOff>285637</xdr:colOff>
      <xdr:row>29</xdr:row>
      <xdr:rowOff>170307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E549BC-5199-46F3-AC35-1693AD991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228600"/>
          <a:ext cx="6762637" cy="518998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0"/>
  <sheetViews>
    <sheetView zoomScale="130" zoomScaleNormal="130" workbookViewId="0">
      <selection activeCell="B13" sqref="B13"/>
    </sheetView>
  </sheetViews>
  <sheetFormatPr defaultColWidth="10.85546875" defaultRowHeight="14.45"/>
  <cols>
    <col min="1" max="1" width="13.5703125" style="4" customWidth="1"/>
    <col min="2" max="3" width="40.42578125" customWidth="1"/>
    <col min="4" max="4" width="39.85546875" customWidth="1"/>
    <col min="5" max="5" width="55" customWidth="1"/>
  </cols>
  <sheetData>
    <row r="1" spans="1:6">
      <c r="A1" s="3" t="s">
        <v>0</v>
      </c>
      <c r="B1" s="3" t="s">
        <v>1</v>
      </c>
      <c r="C1" s="82" t="s">
        <v>2</v>
      </c>
      <c r="D1" s="83"/>
      <c r="E1" s="44" t="s">
        <v>3</v>
      </c>
    </row>
    <row r="2" spans="1:6">
      <c r="A2" s="3" t="s">
        <v>4</v>
      </c>
      <c r="B2" s="50">
        <v>24</v>
      </c>
      <c r="C2" s="50" t="s">
        <v>5</v>
      </c>
      <c r="D2" s="50" t="s">
        <v>6</v>
      </c>
      <c r="E2" s="51">
        <v>70</v>
      </c>
    </row>
    <row r="3" spans="1:6">
      <c r="A3" s="3" t="s">
        <v>7</v>
      </c>
      <c r="B3" s="1">
        <v>4</v>
      </c>
      <c r="C3" s="84">
        <v>4</v>
      </c>
      <c r="D3" s="85"/>
      <c r="E3" s="45">
        <v>3</v>
      </c>
    </row>
    <row r="4" spans="1:6">
      <c r="A4" s="3" t="s">
        <v>8</v>
      </c>
      <c r="B4" s="86" t="s">
        <v>9</v>
      </c>
      <c r="C4" s="93"/>
      <c r="D4" s="87"/>
      <c r="E4" s="45" t="s">
        <v>10</v>
      </c>
      <c r="F4" s="2"/>
    </row>
    <row r="5" spans="1:6" ht="29.1" customHeight="1">
      <c r="A5" s="3" t="s">
        <v>11</v>
      </c>
      <c r="B5" s="86" t="s">
        <v>12</v>
      </c>
      <c r="C5" s="93"/>
      <c r="D5" s="87"/>
      <c r="E5" s="45" t="s">
        <v>13</v>
      </c>
      <c r="F5" s="2"/>
    </row>
    <row r="6" spans="1:6" ht="72.599999999999994" customHeight="1">
      <c r="A6" s="3" t="s">
        <v>14</v>
      </c>
      <c r="B6" s="86" t="s">
        <v>15</v>
      </c>
      <c r="C6" s="87"/>
      <c r="D6" s="49" t="s">
        <v>16</v>
      </c>
      <c r="E6" s="45" t="s">
        <v>17</v>
      </c>
    </row>
    <row r="7" spans="1:6">
      <c r="A7" s="3" t="s">
        <v>18</v>
      </c>
      <c r="B7" s="91" t="s">
        <v>19</v>
      </c>
      <c r="C7" s="91"/>
      <c r="D7" s="91"/>
      <c r="E7" s="45" t="s">
        <v>20</v>
      </c>
    </row>
    <row r="8" spans="1:6" ht="33" customHeight="1">
      <c r="A8" s="3" t="s">
        <v>21</v>
      </c>
      <c r="B8" s="86" t="s">
        <v>22</v>
      </c>
      <c r="C8" s="93"/>
      <c r="D8" s="94"/>
      <c r="E8" s="45" t="s">
        <v>23</v>
      </c>
    </row>
    <row r="9" spans="1:6" ht="51.6" customHeight="1">
      <c r="A9" s="3" t="s">
        <v>24</v>
      </c>
      <c r="B9" s="91" t="s">
        <v>25</v>
      </c>
      <c r="C9" s="91"/>
      <c r="D9" s="92"/>
      <c r="E9" s="45" t="s">
        <v>26</v>
      </c>
    </row>
    <row r="10" spans="1:6" ht="29.1">
      <c r="A10" s="46" t="s">
        <v>27</v>
      </c>
      <c r="B10" s="30" t="s">
        <v>28</v>
      </c>
      <c r="C10" s="88" t="s">
        <v>29</v>
      </c>
      <c r="D10" s="89"/>
      <c r="E10" s="90"/>
    </row>
  </sheetData>
  <mergeCells count="9">
    <mergeCell ref="C1:D1"/>
    <mergeCell ref="C3:D3"/>
    <mergeCell ref="B6:C6"/>
    <mergeCell ref="C10:E10"/>
    <mergeCell ref="B7:D7"/>
    <mergeCell ref="B9:D9"/>
    <mergeCell ref="B4:D4"/>
    <mergeCell ref="B8:D8"/>
    <mergeCell ref="B5:D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8"/>
  <sheetViews>
    <sheetView workbookViewId="0">
      <selection activeCell="D21" sqref="D21"/>
    </sheetView>
  </sheetViews>
  <sheetFormatPr defaultColWidth="10.85546875" defaultRowHeight="14.45"/>
  <cols>
    <col min="1" max="1" width="26.7109375" bestFit="1" customWidth="1"/>
    <col min="2" max="2" width="22.140625" style="4" customWidth="1"/>
    <col min="3" max="3" width="24.85546875" style="4" customWidth="1"/>
    <col min="4" max="4" width="17.5703125" style="4" customWidth="1"/>
    <col min="5" max="5" width="18.28515625" style="4" customWidth="1"/>
    <col min="6" max="6" width="15.85546875" style="4" bestFit="1" customWidth="1"/>
    <col min="7" max="7" width="19" style="4" customWidth="1"/>
  </cols>
  <sheetData>
    <row r="1" spans="1:7">
      <c r="A1" s="72" t="s">
        <v>30</v>
      </c>
      <c r="B1" s="95" t="s">
        <v>31</v>
      </c>
      <c r="C1" s="96"/>
      <c r="D1" s="95" t="s">
        <v>32</v>
      </c>
      <c r="E1" s="96"/>
      <c r="F1" s="95" t="s">
        <v>33</v>
      </c>
      <c r="G1" s="96"/>
    </row>
    <row r="2" spans="1:7" s="4" customFormat="1" ht="43.5">
      <c r="A2" s="73" t="s">
        <v>34</v>
      </c>
      <c r="B2" s="61" t="s">
        <v>35</v>
      </c>
      <c r="C2" s="62" t="s">
        <v>36</v>
      </c>
      <c r="D2" s="61" t="s">
        <v>37</v>
      </c>
      <c r="E2" s="62" t="s">
        <v>38</v>
      </c>
      <c r="F2" s="61" t="s">
        <v>37</v>
      </c>
      <c r="G2" s="62" t="s">
        <v>38</v>
      </c>
    </row>
    <row r="3" spans="1:7" ht="43.5">
      <c r="A3" s="74" t="s">
        <v>39</v>
      </c>
      <c r="B3" s="61" t="s">
        <v>40</v>
      </c>
      <c r="C3" s="62" t="s">
        <v>41</v>
      </c>
      <c r="D3" s="61" t="s">
        <v>42</v>
      </c>
      <c r="E3" s="62" t="s">
        <v>43</v>
      </c>
      <c r="F3" s="61" t="s">
        <v>42</v>
      </c>
      <c r="G3" s="62" t="s">
        <v>43</v>
      </c>
    </row>
    <row r="4" spans="1:7">
      <c r="A4" s="74" t="s">
        <v>44</v>
      </c>
      <c r="B4" s="67">
        <v>10000</v>
      </c>
      <c r="C4" s="68">
        <v>0</v>
      </c>
      <c r="D4" s="61">
        <v>0</v>
      </c>
      <c r="E4" s="62">
        <v>0</v>
      </c>
      <c r="F4" s="61">
        <v>0</v>
      </c>
      <c r="G4" s="62">
        <v>0</v>
      </c>
    </row>
    <row r="5" spans="1:7">
      <c r="A5" s="74" t="s">
        <v>45</v>
      </c>
      <c r="B5" s="67">
        <v>5000</v>
      </c>
      <c r="C5" s="68">
        <v>0</v>
      </c>
      <c r="D5" s="61">
        <v>0</v>
      </c>
      <c r="E5" s="62">
        <v>0</v>
      </c>
      <c r="F5" s="61">
        <v>0</v>
      </c>
      <c r="G5" s="62">
        <v>0</v>
      </c>
    </row>
    <row r="6" spans="1:7">
      <c r="A6" s="74" t="s">
        <v>46</v>
      </c>
      <c r="B6" s="67">
        <v>2000</v>
      </c>
      <c r="C6" s="68">
        <v>0</v>
      </c>
      <c r="D6" s="61">
        <v>0</v>
      </c>
      <c r="E6" s="62">
        <v>0</v>
      </c>
      <c r="F6" s="61">
        <v>0</v>
      </c>
      <c r="G6" s="62">
        <v>0</v>
      </c>
    </row>
    <row r="7" spans="1:7">
      <c r="A7" s="74" t="s">
        <v>47</v>
      </c>
      <c r="B7" s="67">
        <v>1</v>
      </c>
      <c r="C7" s="68">
        <v>0</v>
      </c>
      <c r="D7" s="61">
        <v>0</v>
      </c>
      <c r="E7" s="62">
        <v>0</v>
      </c>
      <c r="F7" s="61">
        <v>0</v>
      </c>
      <c r="G7" s="62">
        <v>0</v>
      </c>
    </row>
    <row r="8" spans="1:7">
      <c r="A8" s="74" t="s">
        <v>48</v>
      </c>
      <c r="B8" s="67">
        <v>1</v>
      </c>
      <c r="C8" s="68">
        <v>0</v>
      </c>
      <c r="D8" s="61">
        <v>0</v>
      </c>
      <c r="E8" s="62">
        <v>0</v>
      </c>
      <c r="F8" s="61">
        <v>0</v>
      </c>
      <c r="G8" s="62">
        <v>0</v>
      </c>
    </row>
    <row r="9" spans="1:7">
      <c r="A9" s="74" t="s">
        <v>49</v>
      </c>
      <c r="B9" s="67">
        <v>1</v>
      </c>
      <c r="C9" s="68">
        <v>0</v>
      </c>
      <c r="D9" s="61">
        <v>0</v>
      </c>
      <c r="E9" s="62">
        <v>0</v>
      </c>
      <c r="F9" s="61">
        <v>0</v>
      </c>
      <c r="G9" s="62">
        <v>0</v>
      </c>
    </row>
    <row r="10" spans="1:7">
      <c r="A10" s="74" t="s">
        <v>50</v>
      </c>
      <c r="B10" s="69">
        <v>-2</v>
      </c>
      <c r="C10" s="68">
        <v>0</v>
      </c>
      <c r="D10" s="63">
        <v>-2</v>
      </c>
      <c r="E10" s="62">
        <v>0</v>
      </c>
      <c r="F10" s="69">
        <v>-2</v>
      </c>
      <c r="G10" s="62">
        <v>0</v>
      </c>
    </row>
    <row r="11" spans="1:7">
      <c r="A11" s="74" t="s">
        <v>51</v>
      </c>
      <c r="B11" s="69">
        <v>-1</v>
      </c>
      <c r="C11" s="68">
        <v>0</v>
      </c>
      <c r="D11" s="63">
        <v>-1</v>
      </c>
      <c r="E11" s="62">
        <v>0</v>
      </c>
      <c r="F11" s="69">
        <v>-1</v>
      </c>
      <c r="G11" s="62">
        <v>0</v>
      </c>
    </row>
    <row r="12" spans="1:7">
      <c r="A12" s="74" t="s">
        <v>52</v>
      </c>
      <c r="B12" s="67">
        <v>0</v>
      </c>
      <c r="C12" s="64">
        <v>5000</v>
      </c>
      <c r="D12" s="61">
        <v>0</v>
      </c>
      <c r="E12" s="64">
        <v>5000</v>
      </c>
      <c r="F12" s="61">
        <v>0</v>
      </c>
      <c r="G12" s="64">
        <v>5000</v>
      </c>
    </row>
    <row r="13" spans="1:7">
      <c r="A13" s="74" t="s">
        <v>53</v>
      </c>
      <c r="B13" s="67">
        <v>0</v>
      </c>
      <c r="C13" s="64">
        <v>2</v>
      </c>
      <c r="D13" s="61">
        <v>0</v>
      </c>
      <c r="E13" s="64">
        <v>2</v>
      </c>
      <c r="F13" s="61">
        <v>0</v>
      </c>
      <c r="G13" s="64">
        <v>2</v>
      </c>
    </row>
    <row r="14" spans="1:7">
      <c r="A14" s="74" t="s">
        <v>54</v>
      </c>
      <c r="B14" s="67">
        <v>0</v>
      </c>
      <c r="C14" s="64">
        <v>2</v>
      </c>
      <c r="D14" s="61">
        <v>0</v>
      </c>
      <c r="E14" s="64">
        <v>2</v>
      </c>
      <c r="F14" s="61">
        <v>0</v>
      </c>
      <c r="G14" s="64">
        <v>2</v>
      </c>
    </row>
    <row r="15" spans="1:7">
      <c r="A15" s="74" t="s">
        <v>55</v>
      </c>
      <c r="B15" s="67">
        <v>126</v>
      </c>
      <c r="C15" s="68">
        <v>127</v>
      </c>
      <c r="D15" s="61">
        <v>132</v>
      </c>
      <c r="E15" s="62">
        <v>133</v>
      </c>
      <c r="F15" s="61">
        <v>132</v>
      </c>
      <c r="G15" s="62">
        <v>133</v>
      </c>
    </row>
    <row r="16" spans="1:7">
      <c r="A16" s="74" t="s">
        <v>56</v>
      </c>
      <c r="B16" s="70"/>
      <c r="C16" s="68">
        <v>29</v>
      </c>
      <c r="D16" s="61"/>
      <c r="E16" s="62">
        <v>32</v>
      </c>
      <c r="F16" s="61"/>
      <c r="G16" s="62">
        <v>32</v>
      </c>
    </row>
    <row r="17" spans="1:7" ht="15" thickBot="1">
      <c r="A17" s="75" t="s">
        <v>57</v>
      </c>
      <c r="B17" s="71"/>
      <c r="C17" s="66" t="s">
        <v>58</v>
      </c>
      <c r="D17" s="65"/>
      <c r="E17" s="66" t="s">
        <v>58</v>
      </c>
      <c r="F17" s="65"/>
      <c r="G17" s="66" t="s">
        <v>58</v>
      </c>
    </row>
    <row r="18" spans="1:7" ht="78.599999999999994" customHeight="1">
      <c r="D18" s="97" t="s">
        <v>59</v>
      </c>
      <c r="E18" s="97"/>
    </row>
  </sheetData>
  <mergeCells count="4">
    <mergeCell ref="B1:C1"/>
    <mergeCell ref="D1:E1"/>
    <mergeCell ref="F1:G1"/>
    <mergeCell ref="D18:E18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43C6-5C64-4EF9-BD21-2213E3B36CB2}">
  <dimension ref="A1:J16"/>
  <sheetViews>
    <sheetView workbookViewId="0">
      <selection activeCell="F30" sqref="F30"/>
    </sheetView>
  </sheetViews>
  <sheetFormatPr defaultRowHeight="14.45"/>
  <cols>
    <col min="2" max="2" width="44.85546875" bestFit="1" customWidth="1"/>
    <col min="3" max="3" width="16.85546875" bestFit="1" customWidth="1"/>
    <col min="4" max="4" width="12.28515625" bestFit="1" customWidth="1"/>
    <col min="5" max="5" width="18.42578125" bestFit="1" customWidth="1"/>
    <col min="6" max="6" width="10.7109375" bestFit="1" customWidth="1"/>
    <col min="7" max="7" width="13.140625" customWidth="1"/>
    <col min="8" max="8" width="12.140625" customWidth="1"/>
  </cols>
  <sheetData>
    <row r="1" spans="1:10" s="7" customFormat="1">
      <c r="A1" s="98" t="s">
        <v>31</v>
      </c>
      <c r="B1" s="99"/>
      <c r="C1" s="99"/>
      <c r="D1" s="99"/>
      <c r="E1" s="99"/>
      <c r="F1" s="99"/>
      <c r="G1" s="99"/>
      <c r="H1" s="99"/>
      <c r="I1" s="99"/>
      <c r="J1" s="99"/>
    </row>
    <row r="2" spans="1:10">
      <c r="A2" s="30" t="s">
        <v>60</v>
      </c>
      <c r="B2" s="30" t="s">
        <v>39</v>
      </c>
      <c r="C2" s="30" t="s">
        <v>61</v>
      </c>
      <c r="D2" s="30" t="s">
        <v>62</v>
      </c>
      <c r="E2" s="30" t="s">
        <v>63</v>
      </c>
      <c r="F2" s="30" t="s">
        <v>64</v>
      </c>
      <c r="G2" s="30" t="s">
        <v>65</v>
      </c>
      <c r="H2" s="30" t="s">
        <v>66</v>
      </c>
      <c r="I2" s="30" t="s">
        <v>67</v>
      </c>
      <c r="J2" s="30" t="s">
        <v>68</v>
      </c>
    </row>
    <row r="3" spans="1:10">
      <c r="A3" s="30">
        <v>117</v>
      </c>
      <c r="B3" s="30" t="s">
        <v>69</v>
      </c>
      <c r="C3" s="30">
        <v>5</v>
      </c>
      <c r="D3" s="30">
        <v>0</v>
      </c>
      <c r="E3" s="30">
        <v>80000</v>
      </c>
      <c r="F3" s="30">
        <v>20000</v>
      </c>
      <c r="G3" s="30">
        <v>50000</v>
      </c>
      <c r="H3" s="30">
        <v>4000</v>
      </c>
      <c r="I3" s="30">
        <v>3</v>
      </c>
      <c r="J3" s="30">
        <v>21</v>
      </c>
    </row>
    <row r="4" spans="1:10">
      <c r="A4" s="30">
        <v>118</v>
      </c>
      <c r="B4" s="30" t="s">
        <v>70</v>
      </c>
      <c r="C4" s="30">
        <v>5</v>
      </c>
      <c r="D4" s="30">
        <v>5000</v>
      </c>
      <c r="E4" s="30">
        <v>110000</v>
      </c>
      <c r="F4" s="30">
        <v>30000</v>
      </c>
      <c r="G4" s="30">
        <v>65000</v>
      </c>
      <c r="H4" s="30">
        <v>6000</v>
      </c>
      <c r="I4" s="30">
        <v>4</v>
      </c>
      <c r="J4" s="30">
        <v>21</v>
      </c>
    </row>
    <row r="5" spans="1:10">
      <c r="A5" s="30">
        <v>119</v>
      </c>
      <c r="B5" s="30" t="s">
        <v>71</v>
      </c>
      <c r="C5" s="30">
        <v>5</v>
      </c>
      <c r="D5" s="30">
        <v>15000</v>
      </c>
      <c r="E5" s="30">
        <v>130000</v>
      </c>
      <c r="F5" s="30">
        <v>40000</v>
      </c>
      <c r="G5" s="30">
        <v>80000</v>
      </c>
      <c r="H5" s="30">
        <v>8000</v>
      </c>
      <c r="I5" s="30">
        <v>5</v>
      </c>
      <c r="J5" s="30">
        <v>21</v>
      </c>
    </row>
    <row r="6" spans="1:10">
      <c r="A6" s="30">
        <v>120</v>
      </c>
      <c r="B6" s="30" t="s">
        <v>72</v>
      </c>
      <c r="C6" s="30">
        <v>5</v>
      </c>
      <c r="D6" s="30">
        <v>30000</v>
      </c>
      <c r="E6" s="30">
        <v>170000</v>
      </c>
      <c r="F6" s="30">
        <v>50000</v>
      </c>
      <c r="G6" s="30">
        <v>100000</v>
      </c>
      <c r="H6" s="30">
        <v>10000</v>
      </c>
      <c r="I6" s="30">
        <v>6</v>
      </c>
      <c r="J6" s="30">
        <v>21</v>
      </c>
    </row>
    <row r="7" spans="1:10">
      <c r="A7" s="30">
        <v>121</v>
      </c>
      <c r="B7" s="30" t="s">
        <v>73</v>
      </c>
      <c r="C7" s="30">
        <v>5</v>
      </c>
      <c r="D7" s="30">
        <v>50000</v>
      </c>
      <c r="E7" s="30">
        <v>200000</v>
      </c>
      <c r="F7" s="30">
        <v>65000</v>
      </c>
      <c r="G7" s="30">
        <v>120000</v>
      </c>
      <c r="H7" s="30">
        <v>13000</v>
      </c>
      <c r="I7" s="30">
        <v>7</v>
      </c>
      <c r="J7" s="30">
        <v>21</v>
      </c>
    </row>
    <row r="8" spans="1:10">
      <c r="A8" s="30">
        <v>122</v>
      </c>
      <c r="B8" s="30" t="s">
        <v>74</v>
      </c>
      <c r="C8" s="30">
        <v>5</v>
      </c>
      <c r="D8" s="30">
        <v>80000</v>
      </c>
      <c r="E8" s="30">
        <v>300000</v>
      </c>
      <c r="F8" s="30">
        <v>105000</v>
      </c>
      <c r="G8" s="30">
        <v>180000</v>
      </c>
      <c r="H8" s="30">
        <v>21000</v>
      </c>
      <c r="I8" s="30">
        <v>8</v>
      </c>
      <c r="J8" s="30">
        <v>21</v>
      </c>
    </row>
    <row r="9" spans="1:10" s="7" customFormat="1">
      <c r="A9" s="98" t="s">
        <v>75</v>
      </c>
      <c r="B9" s="99"/>
      <c r="C9" s="99"/>
      <c r="D9" s="99"/>
      <c r="E9" s="99"/>
      <c r="F9" s="99"/>
      <c r="G9" s="99"/>
      <c r="H9" s="99"/>
      <c r="I9" s="99"/>
      <c r="J9" s="99"/>
    </row>
    <row r="10" spans="1:10">
      <c r="A10" s="30" t="s">
        <v>60</v>
      </c>
      <c r="B10" s="30" t="s">
        <v>39</v>
      </c>
      <c r="C10" s="30" t="s">
        <v>61</v>
      </c>
      <c r="D10" s="30" t="s">
        <v>62</v>
      </c>
      <c r="E10" s="30" t="s">
        <v>63</v>
      </c>
      <c r="F10" s="30" t="s">
        <v>64</v>
      </c>
      <c r="G10" s="30" t="s">
        <v>65</v>
      </c>
      <c r="H10" s="30" t="s">
        <v>66</v>
      </c>
      <c r="I10" s="30" t="s">
        <v>67</v>
      </c>
      <c r="J10" s="30" t="s">
        <v>68</v>
      </c>
    </row>
    <row r="11" spans="1:10">
      <c r="A11" s="30">
        <v>123</v>
      </c>
      <c r="B11" s="30" t="s">
        <v>76</v>
      </c>
      <c r="C11" s="30">
        <v>5</v>
      </c>
      <c r="D11" s="30">
        <v>0</v>
      </c>
      <c r="E11" s="30">
        <v>80000</v>
      </c>
      <c r="F11" s="30">
        <v>30000</v>
      </c>
      <c r="G11" s="30">
        <v>60000</v>
      </c>
      <c r="H11" s="30">
        <v>4000</v>
      </c>
      <c r="I11" s="30">
        <v>3</v>
      </c>
      <c r="J11" s="30">
        <v>22</v>
      </c>
    </row>
    <row r="12" spans="1:10">
      <c r="A12" s="30">
        <v>124</v>
      </c>
      <c r="B12" s="30" t="s">
        <v>77</v>
      </c>
      <c r="C12" s="30">
        <v>5</v>
      </c>
      <c r="D12" s="30">
        <v>5000</v>
      </c>
      <c r="E12" s="30">
        <v>110000</v>
      </c>
      <c r="F12" s="30">
        <v>40000</v>
      </c>
      <c r="G12" s="30">
        <v>75000</v>
      </c>
      <c r="H12" s="30">
        <v>6000</v>
      </c>
      <c r="I12" s="30">
        <v>4</v>
      </c>
      <c r="J12" s="30">
        <v>22</v>
      </c>
    </row>
    <row r="13" spans="1:10">
      <c r="A13" s="30">
        <v>125</v>
      </c>
      <c r="B13" s="30" t="s">
        <v>78</v>
      </c>
      <c r="C13" s="30">
        <v>5</v>
      </c>
      <c r="D13" s="30">
        <v>15000</v>
      </c>
      <c r="E13" s="30">
        <v>130000</v>
      </c>
      <c r="F13" s="30">
        <v>50000</v>
      </c>
      <c r="G13" s="30">
        <v>90000</v>
      </c>
      <c r="H13" s="30">
        <v>8000</v>
      </c>
      <c r="I13" s="30">
        <v>5</v>
      </c>
      <c r="J13" s="30">
        <v>22</v>
      </c>
    </row>
    <row r="14" spans="1:10">
      <c r="A14" s="30">
        <v>126</v>
      </c>
      <c r="B14" s="30" t="s">
        <v>79</v>
      </c>
      <c r="C14" s="30">
        <v>5</v>
      </c>
      <c r="D14" s="30">
        <v>30000</v>
      </c>
      <c r="E14" s="30">
        <v>170000</v>
      </c>
      <c r="F14" s="30">
        <v>60000</v>
      </c>
      <c r="G14" s="30">
        <v>110000</v>
      </c>
      <c r="H14" s="30">
        <v>10000</v>
      </c>
      <c r="I14" s="30">
        <v>6</v>
      </c>
      <c r="J14" s="30">
        <v>22</v>
      </c>
    </row>
    <row r="15" spans="1:10">
      <c r="A15" s="30">
        <v>127</v>
      </c>
      <c r="B15" s="30" t="s">
        <v>80</v>
      </c>
      <c r="C15" s="30">
        <v>5</v>
      </c>
      <c r="D15" s="30">
        <v>50000</v>
      </c>
      <c r="E15" s="30">
        <v>200000</v>
      </c>
      <c r="F15" s="30">
        <v>75000</v>
      </c>
      <c r="G15" s="30">
        <v>130000</v>
      </c>
      <c r="H15" s="30">
        <v>13000</v>
      </c>
      <c r="I15" s="30">
        <v>7</v>
      </c>
      <c r="J15" s="30">
        <v>22</v>
      </c>
    </row>
    <row r="16" spans="1:10">
      <c r="A16" s="30">
        <v>128</v>
      </c>
      <c r="B16" s="30" t="s">
        <v>81</v>
      </c>
      <c r="C16" s="30">
        <v>5</v>
      </c>
      <c r="D16" s="30">
        <v>80000</v>
      </c>
      <c r="E16" s="30">
        <v>300000</v>
      </c>
      <c r="F16" s="30">
        <v>115000</v>
      </c>
      <c r="G16" s="30">
        <v>190000</v>
      </c>
      <c r="H16" s="30">
        <v>21000</v>
      </c>
      <c r="I16" s="30">
        <v>8</v>
      </c>
      <c r="J16" s="30">
        <v>22</v>
      </c>
    </row>
  </sheetData>
  <mergeCells count="2">
    <mergeCell ref="A1:J1"/>
    <mergeCell ref="A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646D-7C7C-4AAB-A792-B2FF06D01AEF}">
  <sheetPr codeName="Sheet5">
    <tabColor rgb="FFFFFF00"/>
  </sheetPr>
  <dimension ref="A1:O18"/>
  <sheetViews>
    <sheetView workbookViewId="0">
      <selection activeCell="B2" sqref="B2:M9"/>
    </sheetView>
  </sheetViews>
  <sheetFormatPr defaultRowHeight="14.45"/>
  <cols>
    <col min="1" max="1" width="28.5703125" customWidth="1"/>
    <col min="2" max="2" width="10.85546875" customWidth="1"/>
    <col min="3" max="3" width="11.42578125" customWidth="1"/>
    <col min="4" max="4" width="13.85546875" customWidth="1"/>
    <col min="6" max="6" width="12.5703125" customWidth="1"/>
    <col min="7" max="7" width="13.85546875" customWidth="1"/>
    <col min="8" max="8" width="8.7109375" style="4"/>
    <col min="10" max="10" width="8.7109375" style="4"/>
    <col min="12" max="12" width="10.5703125" customWidth="1"/>
    <col min="13" max="13" width="12.28515625" customWidth="1"/>
    <col min="14" max="14" width="9.85546875" customWidth="1"/>
  </cols>
  <sheetData>
    <row r="1" spans="1:15">
      <c r="L1" s="5">
        <v>0.1</v>
      </c>
    </row>
    <row r="2" spans="1:15" s="7" customFormat="1">
      <c r="A2" s="101" t="s">
        <v>82</v>
      </c>
      <c r="B2" s="101" t="s">
        <v>83</v>
      </c>
      <c r="C2" s="100" t="s">
        <v>84</v>
      </c>
      <c r="D2" s="100" t="s">
        <v>85</v>
      </c>
      <c r="E2" s="100" t="s">
        <v>86</v>
      </c>
      <c r="F2" s="100" t="s">
        <v>87</v>
      </c>
      <c r="G2" s="100" t="s">
        <v>88</v>
      </c>
      <c r="H2" s="102" t="s">
        <v>89</v>
      </c>
      <c r="I2" s="102" t="s">
        <v>90</v>
      </c>
      <c r="J2" s="103" t="s">
        <v>91</v>
      </c>
      <c r="K2" s="104" t="s">
        <v>92</v>
      </c>
      <c r="L2" s="102" t="s">
        <v>93</v>
      </c>
      <c r="M2" s="102" t="s">
        <v>94</v>
      </c>
    </row>
    <row r="3" spans="1:15" s="7" customFormat="1">
      <c r="A3" s="101"/>
      <c r="B3" s="101"/>
      <c r="C3" s="100"/>
      <c r="D3" s="100"/>
      <c r="E3" s="100"/>
      <c r="F3" s="100"/>
      <c r="G3" s="100"/>
      <c r="H3" s="102"/>
      <c r="I3" s="102"/>
      <c r="J3" s="103"/>
      <c r="K3" s="104"/>
      <c r="L3" s="102"/>
      <c r="M3" s="102"/>
    </row>
    <row r="4" spans="1:15">
      <c r="A4" s="8" t="s">
        <v>95</v>
      </c>
      <c r="B4" s="9">
        <v>50</v>
      </c>
      <c r="C4" s="9">
        <v>20</v>
      </c>
      <c r="D4" s="9">
        <v>80</v>
      </c>
      <c r="E4" s="9">
        <v>0</v>
      </c>
      <c r="F4" s="9">
        <v>0</v>
      </c>
      <c r="G4" s="9">
        <v>3</v>
      </c>
      <c r="H4" s="10">
        <f>+D4*0.1</f>
        <v>8</v>
      </c>
      <c r="I4" s="10">
        <v>20</v>
      </c>
      <c r="J4" s="11">
        <f t="shared" ref="J4:J9" si="0">+B4+F4</f>
        <v>50</v>
      </c>
      <c r="K4" s="12">
        <f t="shared" ref="K4:K9" si="1">+H4+I4+C4</f>
        <v>48</v>
      </c>
      <c r="L4" s="10">
        <f>+$D4*$L$1</f>
        <v>8</v>
      </c>
      <c r="M4" s="12">
        <f>+J4-K4-L4</f>
        <v>-6</v>
      </c>
    </row>
    <row r="5" spans="1:15">
      <c r="A5" s="8" t="s">
        <v>96</v>
      </c>
      <c r="B5" s="9">
        <v>65</v>
      </c>
      <c r="C5" s="9">
        <v>30</v>
      </c>
      <c r="D5" s="9">
        <v>110</v>
      </c>
      <c r="E5" s="9">
        <v>5</v>
      </c>
      <c r="F5" s="9">
        <v>6</v>
      </c>
      <c r="G5" s="9">
        <v>4</v>
      </c>
      <c r="H5" s="10">
        <f t="shared" ref="H5:H9" si="2">+D5*0.1</f>
        <v>11</v>
      </c>
      <c r="I5" s="10">
        <v>20</v>
      </c>
      <c r="J5" s="11">
        <f t="shared" si="0"/>
        <v>71</v>
      </c>
      <c r="K5" s="12">
        <f t="shared" si="1"/>
        <v>61</v>
      </c>
      <c r="L5" s="10">
        <f t="shared" ref="L5:L9" si="3">+$D5*$L$1</f>
        <v>11</v>
      </c>
      <c r="M5" s="12">
        <f t="shared" ref="M5:M9" si="4">+J5-K5-L5</f>
        <v>-1</v>
      </c>
    </row>
    <row r="6" spans="1:15">
      <c r="A6" s="8" t="s">
        <v>97</v>
      </c>
      <c r="B6" s="9">
        <v>80</v>
      </c>
      <c r="C6" s="9">
        <v>40</v>
      </c>
      <c r="D6" s="9">
        <v>130</v>
      </c>
      <c r="E6" s="9">
        <v>15</v>
      </c>
      <c r="F6" s="9">
        <v>8</v>
      </c>
      <c r="G6" s="9">
        <v>5</v>
      </c>
      <c r="H6" s="10">
        <f t="shared" si="2"/>
        <v>13</v>
      </c>
      <c r="I6" s="10">
        <v>20</v>
      </c>
      <c r="J6" s="11">
        <f t="shared" si="0"/>
        <v>88</v>
      </c>
      <c r="K6" s="12">
        <f t="shared" si="1"/>
        <v>73</v>
      </c>
      <c r="L6" s="10">
        <f t="shared" si="3"/>
        <v>13</v>
      </c>
      <c r="M6" s="12">
        <f t="shared" si="4"/>
        <v>2</v>
      </c>
    </row>
    <row r="7" spans="1:15">
      <c r="A7" s="8" t="s">
        <v>98</v>
      </c>
      <c r="B7" s="9">
        <v>100</v>
      </c>
      <c r="C7" s="9">
        <v>50</v>
      </c>
      <c r="D7" s="9">
        <v>170</v>
      </c>
      <c r="E7" s="9">
        <v>30</v>
      </c>
      <c r="F7" s="9">
        <v>10</v>
      </c>
      <c r="G7" s="9">
        <v>6</v>
      </c>
      <c r="H7" s="10">
        <f t="shared" si="2"/>
        <v>17</v>
      </c>
      <c r="I7" s="10">
        <v>20</v>
      </c>
      <c r="J7" s="11">
        <f t="shared" si="0"/>
        <v>110</v>
      </c>
      <c r="K7" s="12">
        <f t="shared" si="1"/>
        <v>87</v>
      </c>
      <c r="L7" s="10">
        <f t="shared" si="3"/>
        <v>17</v>
      </c>
      <c r="M7" s="12">
        <f t="shared" si="4"/>
        <v>6</v>
      </c>
    </row>
    <row r="8" spans="1:15">
      <c r="A8" s="8" t="s">
        <v>99</v>
      </c>
      <c r="B8" s="9">
        <v>120</v>
      </c>
      <c r="C8" s="9">
        <v>65</v>
      </c>
      <c r="D8" s="9">
        <v>200</v>
      </c>
      <c r="E8" s="9">
        <v>50</v>
      </c>
      <c r="F8" s="9">
        <v>13</v>
      </c>
      <c r="G8" s="9">
        <v>7</v>
      </c>
      <c r="H8" s="10">
        <f t="shared" si="2"/>
        <v>20</v>
      </c>
      <c r="I8" s="10">
        <v>20</v>
      </c>
      <c r="J8" s="11">
        <f t="shared" si="0"/>
        <v>133</v>
      </c>
      <c r="K8" s="12">
        <f t="shared" si="1"/>
        <v>105</v>
      </c>
      <c r="L8" s="10">
        <f t="shared" si="3"/>
        <v>20</v>
      </c>
      <c r="M8" s="12">
        <f t="shared" si="4"/>
        <v>8</v>
      </c>
    </row>
    <row r="9" spans="1:15">
      <c r="A9" s="8" t="s">
        <v>100</v>
      </c>
      <c r="B9" s="9">
        <v>180</v>
      </c>
      <c r="C9" s="9">
        <v>105</v>
      </c>
      <c r="D9" s="9">
        <v>300</v>
      </c>
      <c r="E9" s="9">
        <v>80</v>
      </c>
      <c r="F9" s="9">
        <v>21</v>
      </c>
      <c r="G9" s="9">
        <v>8</v>
      </c>
      <c r="H9" s="10">
        <f t="shared" si="2"/>
        <v>30</v>
      </c>
      <c r="I9" s="10">
        <v>20</v>
      </c>
      <c r="J9" s="11">
        <f t="shared" si="0"/>
        <v>201</v>
      </c>
      <c r="K9" s="12">
        <f t="shared" si="1"/>
        <v>155</v>
      </c>
      <c r="L9" s="10">
        <f t="shared" si="3"/>
        <v>30</v>
      </c>
      <c r="M9" s="12">
        <f t="shared" si="4"/>
        <v>16</v>
      </c>
    </row>
    <row r="10" spans="1:15" s="16" customFormat="1">
      <c r="A10" s="13" t="s">
        <v>101</v>
      </c>
      <c r="B10" s="14">
        <v>10</v>
      </c>
      <c r="C10" s="15">
        <v>10</v>
      </c>
      <c r="H10" s="17"/>
      <c r="J10" s="17"/>
      <c r="L10" s="18">
        <v>2.5000000000000001E-2</v>
      </c>
      <c r="N10" s="19">
        <v>0.05</v>
      </c>
      <c r="O10" s="19">
        <v>2.5000000000000001E-2</v>
      </c>
    </row>
    <row r="11" spans="1:15" s="7" customFormat="1">
      <c r="A11" s="101" t="s">
        <v>82</v>
      </c>
      <c r="B11" s="100" t="s">
        <v>83</v>
      </c>
      <c r="C11" s="100" t="s">
        <v>84</v>
      </c>
      <c r="D11" s="100" t="s">
        <v>85</v>
      </c>
      <c r="E11" s="100" t="s">
        <v>86</v>
      </c>
      <c r="F11" s="100" t="s">
        <v>87</v>
      </c>
      <c r="G11" s="100" t="s">
        <v>88</v>
      </c>
      <c r="H11" s="102" t="s">
        <v>89</v>
      </c>
      <c r="I11" s="102" t="s">
        <v>90</v>
      </c>
      <c r="J11" s="102" t="s">
        <v>91</v>
      </c>
      <c r="K11" s="104" t="s">
        <v>92</v>
      </c>
      <c r="L11" s="102" t="s">
        <v>93</v>
      </c>
      <c r="M11" s="82" t="s">
        <v>94</v>
      </c>
      <c r="N11" s="104" t="s">
        <v>102</v>
      </c>
      <c r="O11" s="104"/>
    </row>
    <row r="12" spans="1:15" s="7" customFormat="1">
      <c r="A12" s="101"/>
      <c r="B12" s="100"/>
      <c r="C12" s="100"/>
      <c r="D12" s="100"/>
      <c r="E12" s="100"/>
      <c r="F12" s="100"/>
      <c r="G12" s="100"/>
      <c r="H12" s="102"/>
      <c r="I12" s="102"/>
      <c r="J12" s="102"/>
      <c r="K12" s="104"/>
      <c r="L12" s="102"/>
      <c r="M12" s="82"/>
      <c r="N12" s="6" t="s">
        <v>103</v>
      </c>
      <c r="O12" s="6" t="s">
        <v>104</v>
      </c>
    </row>
    <row r="13" spans="1:15">
      <c r="A13" s="8" t="s">
        <v>95</v>
      </c>
      <c r="B13" s="9">
        <f>B4+$B$10</f>
        <v>60</v>
      </c>
      <c r="C13" s="9">
        <f>C4+$C$10</f>
        <v>30</v>
      </c>
      <c r="D13" s="9">
        <v>80</v>
      </c>
      <c r="E13" s="9">
        <v>0</v>
      </c>
      <c r="F13" s="9">
        <v>0</v>
      </c>
      <c r="G13" s="9">
        <v>3</v>
      </c>
      <c r="H13" s="10">
        <f>+D13*0.1</f>
        <v>8</v>
      </c>
      <c r="I13" s="10">
        <v>20</v>
      </c>
      <c r="J13" s="11">
        <f t="shared" ref="J13:J18" si="5">+B13+F13</f>
        <v>60</v>
      </c>
      <c r="K13" s="12">
        <f t="shared" ref="K13:K18" si="6">+H13+I13+C13</f>
        <v>58</v>
      </c>
      <c r="L13" s="10">
        <f>+$D13*$L$10</f>
        <v>2</v>
      </c>
      <c r="M13" s="20">
        <f>+J13-K13</f>
        <v>2</v>
      </c>
      <c r="N13" s="10">
        <f>+$D13*$N$10</f>
        <v>4</v>
      </c>
      <c r="O13" s="10">
        <f>+$D13*$O$10</f>
        <v>2</v>
      </c>
    </row>
    <row r="14" spans="1:15">
      <c r="A14" s="8" t="s">
        <v>96</v>
      </c>
      <c r="B14" s="9">
        <f t="shared" ref="B14:B18" si="7">B5+$B$10</f>
        <v>75</v>
      </c>
      <c r="C14" s="9">
        <f t="shared" ref="C14:C18" si="8">C5+$C$10</f>
        <v>40</v>
      </c>
      <c r="D14" s="9">
        <v>110</v>
      </c>
      <c r="E14" s="9">
        <v>5</v>
      </c>
      <c r="F14" s="9">
        <v>6</v>
      </c>
      <c r="G14" s="9">
        <v>4</v>
      </c>
      <c r="H14" s="10">
        <f t="shared" ref="H14:H18" si="9">+D14*0.1</f>
        <v>11</v>
      </c>
      <c r="I14" s="10">
        <v>20</v>
      </c>
      <c r="J14" s="11">
        <f t="shared" si="5"/>
        <v>81</v>
      </c>
      <c r="K14" s="12">
        <f t="shared" si="6"/>
        <v>71</v>
      </c>
      <c r="L14" s="10">
        <f t="shared" ref="L14:L18" si="10">+$D14*$L$10</f>
        <v>2.75</v>
      </c>
      <c r="M14" s="20">
        <f t="shared" ref="M14:M18" si="11">+J14-K14</f>
        <v>10</v>
      </c>
      <c r="N14" s="10">
        <f t="shared" ref="N14:N18" si="12">+$D14*$N$10</f>
        <v>5.5</v>
      </c>
      <c r="O14" s="10">
        <f t="shared" ref="O14:O18" si="13">+$D14*$O$10</f>
        <v>2.75</v>
      </c>
    </row>
    <row r="15" spans="1:15">
      <c r="A15" s="8" t="s">
        <v>97</v>
      </c>
      <c r="B15" s="9">
        <f t="shared" si="7"/>
        <v>90</v>
      </c>
      <c r="C15" s="9">
        <f t="shared" si="8"/>
        <v>50</v>
      </c>
      <c r="D15" s="9">
        <v>130</v>
      </c>
      <c r="E15" s="9">
        <v>15</v>
      </c>
      <c r="F15" s="9">
        <v>8</v>
      </c>
      <c r="G15" s="9">
        <v>5</v>
      </c>
      <c r="H15" s="10">
        <f t="shared" si="9"/>
        <v>13</v>
      </c>
      <c r="I15" s="10">
        <v>20</v>
      </c>
      <c r="J15" s="11">
        <f t="shared" si="5"/>
        <v>98</v>
      </c>
      <c r="K15" s="12">
        <f t="shared" si="6"/>
        <v>83</v>
      </c>
      <c r="L15" s="10">
        <f t="shared" si="10"/>
        <v>3.25</v>
      </c>
      <c r="M15" s="20">
        <f t="shared" si="11"/>
        <v>15</v>
      </c>
      <c r="N15" s="10">
        <f t="shared" si="12"/>
        <v>6.5</v>
      </c>
      <c r="O15" s="10">
        <f t="shared" si="13"/>
        <v>3.25</v>
      </c>
    </row>
    <row r="16" spans="1:15">
      <c r="A16" s="8" t="s">
        <v>98</v>
      </c>
      <c r="B16" s="9">
        <f t="shared" si="7"/>
        <v>110</v>
      </c>
      <c r="C16" s="9">
        <f t="shared" si="8"/>
        <v>60</v>
      </c>
      <c r="D16" s="9">
        <v>170</v>
      </c>
      <c r="E16" s="9">
        <v>30</v>
      </c>
      <c r="F16" s="9">
        <v>10</v>
      </c>
      <c r="G16" s="9">
        <v>6</v>
      </c>
      <c r="H16" s="10">
        <f t="shared" si="9"/>
        <v>17</v>
      </c>
      <c r="I16" s="10">
        <v>20</v>
      </c>
      <c r="J16" s="11">
        <f t="shared" si="5"/>
        <v>120</v>
      </c>
      <c r="K16" s="12">
        <f t="shared" si="6"/>
        <v>97</v>
      </c>
      <c r="L16" s="10">
        <f t="shared" si="10"/>
        <v>4.25</v>
      </c>
      <c r="M16" s="20">
        <f t="shared" si="11"/>
        <v>23</v>
      </c>
      <c r="N16" s="10">
        <f t="shared" si="12"/>
        <v>8.5</v>
      </c>
      <c r="O16" s="10">
        <f t="shared" si="13"/>
        <v>4.25</v>
      </c>
    </row>
    <row r="17" spans="1:15">
      <c r="A17" s="8" t="s">
        <v>99</v>
      </c>
      <c r="B17" s="9">
        <f t="shared" si="7"/>
        <v>130</v>
      </c>
      <c r="C17" s="9">
        <f t="shared" si="8"/>
        <v>75</v>
      </c>
      <c r="D17" s="9">
        <v>200</v>
      </c>
      <c r="E17" s="9">
        <v>50</v>
      </c>
      <c r="F17" s="9">
        <v>13</v>
      </c>
      <c r="G17" s="9">
        <v>7</v>
      </c>
      <c r="H17" s="10">
        <f t="shared" si="9"/>
        <v>20</v>
      </c>
      <c r="I17" s="10">
        <v>20</v>
      </c>
      <c r="J17" s="11">
        <f t="shared" si="5"/>
        <v>143</v>
      </c>
      <c r="K17" s="12">
        <f t="shared" si="6"/>
        <v>115</v>
      </c>
      <c r="L17" s="10">
        <f t="shared" si="10"/>
        <v>5</v>
      </c>
      <c r="M17" s="20">
        <f t="shared" si="11"/>
        <v>28</v>
      </c>
      <c r="N17" s="10">
        <f t="shared" si="12"/>
        <v>10</v>
      </c>
      <c r="O17" s="10">
        <f t="shared" si="13"/>
        <v>5</v>
      </c>
    </row>
    <row r="18" spans="1:15">
      <c r="A18" s="8" t="s">
        <v>100</v>
      </c>
      <c r="B18" s="9">
        <f t="shared" si="7"/>
        <v>190</v>
      </c>
      <c r="C18" s="9">
        <f t="shared" si="8"/>
        <v>115</v>
      </c>
      <c r="D18" s="9">
        <v>300</v>
      </c>
      <c r="E18" s="9">
        <v>80</v>
      </c>
      <c r="F18" s="9">
        <v>21</v>
      </c>
      <c r="G18" s="9">
        <v>8</v>
      </c>
      <c r="H18" s="10">
        <f t="shared" si="9"/>
        <v>30</v>
      </c>
      <c r="I18" s="10">
        <v>20</v>
      </c>
      <c r="J18" s="11">
        <f t="shared" si="5"/>
        <v>211</v>
      </c>
      <c r="K18" s="12">
        <f t="shared" si="6"/>
        <v>165</v>
      </c>
      <c r="L18" s="10">
        <f t="shared" si="10"/>
        <v>7.5</v>
      </c>
      <c r="M18" s="20">
        <f t="shared" si="11"/>
        <v>46</v>
      </c>
      <c r="N18" s="10">
        <f t="shared" si="12"/>
        <v>15</v>
      </c>
      <c r="O18" s="10">
        <f t="shared" si="13"/>
        <v>7.5</v>
      </c>
    </row>
  </sheetData>
  <mergeCells count="27">
    <mergeCell ref="J11:J12"/>
    <mergeCell ref="K11:K12"/>
    <mergeCell ref="L11:L12"/>
    <mergeCell ref="M11:M12"/>
    <mergeCell ref="N11:O11"/>
    <mergeCell ref="M2:M3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G2:G3"/>
    <mergeCell ref="H2:H3"/>
    <mergeCell ref="I2:I3"/>
    <mergeCell ref="J2:J3"/>
    <mergeCell ref="K2:K3"/>
    <mergeCell ref="L2:L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B663-879F-4CCD-B5FE-5D9FC258E810}">
  <sheetPr codeName="Sheet3"/>
  <dimension ref="A1:G6"/>
  <sheetViews>
    <sheetView workbookViewId="0">
      <selection activeCell="D34" sqref="D34"/>
    </sheetView>
  </sheetViews>
  <sheetFormatPr defaultColWidth="10.85546875" defaultRowHeight="14.45"/>
  <cols>
    <col min="1" max="1" width="26.7109375" bestFit="1" customWidth="1"/>
    <col min="2" max="4" width="26.7109375" customWidth="1"/>
    <col min="5" max="5" width="30.28515625" bestFit="1" customWidth="1"/>
    <col min="6" max="6" width="44.28515625" bestFit="1" customWidth="1"/>
    <col min="7" max="7" width="47" bestFit="1" customWidth="1"/>
    <col min="8" max="8" width="50.28515625" bestFit="1" customWidth="1"/>
  </cols>
  <sheetData>
    <row r="1" spans="1:7">
      <c r="A1" s="76" t="s">
        <v>30</v>
      </c>
      <c r="B1" s="105" t="s">
        <v>31</v>
      </c>
      <c r="C1" s="106"/>
      <c r="D1" s="107"/>
      <c r="E1" s="105" t="s">
        <v>75</v>
      </c>
      <c r="F1" s="106"/>
      <c r="G1" s="107"/>
    </row>
    <row r="2" spans="1:7">
      <c r="A2" s="74" t="s">
        <v>39</v>
      </c>
      <c r="B2" s="77" t="s">
        <v>58</v>
      </c>
      <c r="C2" s="30" t="s">
        <v>105</v>
      </c>
      <c r="D2" s="78" t="s">
        <v>106</v>
      </c>
      <c r="E2" s="77" t="s">
        <v>58</v>
      </c>
      <c r="F2" s="30" t="s">
        <v>105</v>
      </c>
      <c r="G2" s="78" t="s">
        <v>106</v>
      </c>
    </row>
    <row r="3" spans="1:7">
      <c r="A3" s="74" t="s">
        <v>107</v>
      </c>
      <c r="B3" s="77">
        <v>7</v>
      </c>
      <c r="C3" s="30">
        <v>10</v>
      </c>
      <c r="D3" s="78">
        <v>10</v>
      </c>
      <c r="E3" s="77">
        <v>7</v>
      </c>
      <c r="F3" s="30">
        <v>10</v>
      </c>
      <c r="G3" s="78">
        <v>10</v>
      </c>
    </row>
    <row r="4" spans="1:7">
      <c r="A4" s="74" t="s">
        <v>108</v>
      </c>
      <c r="B4" s="77">
        <v>10</v>
      </c>
      <c r="C4" s="30">
        <v>10</v>
      </c>
      <c r="D4" s="78">
        <v>7</v>
      </c>
      <c r="E4" s="77">
        <v>9</v>
      </c>
      <c r="F4" s="30">
        <v>9</v>
      </c>
      <c r="G4" s="78">
        <v>6</v>
      </c>
    </row>
    <row r="5" spans="1:7" ht="15" thickBot="1">
      <c r="A5" s="75" t="s">
        <v>109</v>
      </c>
      <c r="B5" s="79">
        <v>8</v>
      </c>
      <c r="C5" s="80">
        <v>6</v>
      </c>
      <c r="D5" s="81">
        <v>8</v>
      </c>
      <c r="E5" s="79">
        <v>6</v>
      </c>
      <c r="F5" s="80">
        <v>4</v>
      </c>
      <c r="G5" s="81">
        <v>6</v>
      </c>
    </row>
    <row r="6" spans="1:7" hidden="1">
      <c r="A6" t="s">
        <v>110</v>
      </c>
      <c r="B6">
        <v>13</v>
      </c>
      <c r="C6">
        <v>13</v>
      </c>
      <c r="D6">
        <v>13</v>
      </c>
      <c r="E6">
        <v>13</v>
      </c>
      <c r="F6">
        <v>13</v>
      </c>
      <c r="G6">
        <v>13</v>
      </c>
    </row>
  </sheetData>
  <mergeCells count="2">
    <mergeCell ref="B1:D1"/>
    <mergeCell ref="E1:G1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EDB9-8B08-4543-8B03-08FDD0643397}">
  <dimension ref="A1:K12"/>
  <sheetViews>
    <sheetView tabSelected="1" workbookViewId="0">
      <selection activeCell="D6" sqref="D6"/>
    </sheetView>
  </sheetViews>
  <sheetFormatPr defaultRowHeight="14.45"/>
  <cols>
    <col min="1" max="1" width="23.42578125" bestFit="1" customWidth="1"/>
    <col min="2" max="2" width="12.5703125" bestFit="1" customWidth="1"/>
    <col min="3" max="3" width="14.7109375" bestFit="1" customWidth="1"/>
    <col min="4" max="4" width="21.5703125" bestFit="1" customWidth="1"/>
    <col min="5" max="5" width="22.140625" bestFit="1" customWidth="1"/>
    <col min="6" max="6" width="21.5703125" bestFit="1" customWidth="1"/>
    <col min="7" max="7" width="15.140625" bestFit="1" customWidth="1"/>
    <col min="8" max="8" width="15" bestFit="1" customWidth="1"/>
    <col min="9" max="9" width="23.42578125" bestFit="1" customWidth="1"/>
    <col min="10" max="10" width="12.85546875" bestFit="1" customWidth="1"/>
    <col min="11" max="11" width="14.7109375" bestFit="1" customWidth="1"/>
  </cols>
  <sheetData>
    <row r="1" spans="1:11" ht="14.45" customHeight="1">
      <c r="A1" s="30"/>
      <c r="B1" s="108" t="s">
        <v>3</v>
      </c>
      <c r="C1" s="108"/>
      <c r="D1" s="108"/>
      <c r="E1" s="108"/>
      <c r="F1" s="108"/>
      <c r="G1" s="108"/>
      <c r="H1" s="108"/>
      <c r="I1" s="109" t="s">
        <v>111</v>
      </c>
      <c r="J1" s="109"/>
      <c r="K1" s="109"/>
    </row>
    <row r="2" spans="1:11" s="7" customFormat="1">
      <c r="A2" s="53" t="s">
        <v>112</v>
      </c>
      <c r="B2" s="53" t="s">
        <v>113</v>
      </c>
      <c r="C2" s="53" t="s">
        <v>114</v>
      </c>
      <c r="D2" s="6" t="s">
        <v>115</v>
      </c>
      <c r="E2" s="6" t="s">
        <v>116</v>
      </c>
      <c r="F2" s="6" t="s">
        <v>117</v>
      </c>
      <c r="G2" s="6" t="s">
        <v>118</v>
      </c>
      <c r="H2" s="6" t="s">
        <v>119</v>
      </c>
      <c r="I2" s="53" t="s">
        <v>112</v>
      </c>
      <c r="J2" s="53" t="s">
        <v>120</v>
      </c>
      <c r="K2" s="53" t="s">
        <v>114</v>
      </c>
    </row>
    <row r="3" spans="1:11">
      <c r="A3" s="30" t="s">
        <v>121</v>
      </c>
      <c r="B3" s="57">
        <v>12000</v>
      </c>
      <c r="C3" s="60" t="s">
        <v>122</v>
      </c>
      <c r="D3" s="30">
        <v>1</v>
      </c>
      <c r="E3" s="30">
        <v>1</v>
      </c>
      <c r="F3" s="30">
        <v>0</v>
      </c>
      <c r="G3" s="30">
        <v>0</v>
      </c>
      <c r="H3" s="30">
        <v>0</v>
      </c>
      <c r="I3" s="30" t="s">
        <v>121</v>
      </c>
      <c r="J3" s="57">
        <v>6000</v>
      </c>
      <c r="K3" s="60" t="s">
        <v>122</v>
      </c>
    </row>
    <row r="4" spans="1:11">
      <c r="A4" s="30" t="s">
        <v>123</v>
      </c>
      <c r="B4" s="57">
        <v>12000</v>
      </c>
      <c r="C4" s="60" t="s">
        <v>122</v>
      </c>
      <c r="D4" s="30">
        <v>0</v>
      </c>
      <c r="E4" s="30">
        <v>1</v>
      </c>
      <c r="F4" s="30">
        <v>1</v>
      </c>
      <c r="G4" s="30">
        <v>0</v>
      </c>
      <c r="H4" s="30">
        <v>0</v>
      </c>
      <c r="I4" s="30" t="s">
        <v>123</v>
      </c>
      <c r="J4" s="57">
        <v>10000</v>
      </c>
      <c r="K4" s="60" t="s">
        <v>122</v>
      </c>
    </row>
    <row r="5" spans="1:11">
      <c r="A5" s="30" t="s">
        <v>124</v>
      </c>
      <c r="B5" s="57">
        <v>6000</v>
      </c>
      <c r="C5" s="60" t="s">
        <v>122</v>
      </c>
      <c r="D5" s="30">
        <v>0</v>
      </c>
      <c r="E5" s="30">
        <v>1</v>
      </c>
      <c r="F5" s="30">
        <v>0</v>
      </c>
      <c r="G5" s="30">
        <v>0</v>
      </c>
      <c r="H5" s="30">
        <v>0</v>
      </c>
      <c r="I5" s="59" t="s">
        <v>122</v>
      </c>
      <c r="J5" s="60" t="s">
        <v>122</v>
      </c>
      <c r="K5" s="60" t="s">
        <v>122</v>
      </c>
    </row>
    <row r="6" spans="1:11">
      <c r="A6" s="30" t="s">
        <v>125</v>
      </c>
      <c r="B6" s="57">
        <v>20000</v>
      </c>
      <c r="C6" s="60" t="s">
        <v>122</v>
      </c>
      <c r="D6" s="30">
        <v>1</v>
      </c>
      <c r="E6" s="30">
        <v>1</v>
      </c>
      <c r="F6" s="30">
        <v>0</v>
      </c>
      <c r="G6" s="30">
        <v>0</v>
      </c>
      <c r="H6" s="30">
        <v>0</v>
      </c>
      <c r="I6" s="30" t="s">
        <v>126</v>
      </c>
      <c r="J6" s="57">
        <v>8000</v>
      </c>
      <c r="K6" s="60" t="s">
        <v>122</v>
      </c>
    </row>
    <row r="7" spans="1:11">
      <c r="A7" s="30" t="s">
        <v>127</v>
      </c>
      <c r="B7" s="57">
        <v>20000</v>
      </c>
      <c r="C7" s="60" t="s">
        <v>122</v>
      </c>
      <c r="D7" s="30">
        <v>1</v>
      </c>
      <c r="E7" s="30">
        <v>1</v>
      </c>
      <c r="F7" s="30">
        <v>1</v>
      </c>
      <c r="G7" s="30">
        <v>0</v>
      </c>
      <c r="H7" s="30">
        <v>0</v>
      </c>
      <c r="I7" s="30" t="s">
        <v>127</v>
      </c>
      <c r="J7" s="57">
        <v>8000</v>
      </c>
      <c r="K7" s="60" t="s">
        <v>122</v>
      </c>
    </row>
    <row r="8" spans="1:11">
      <c r="A8" s="30" t="s">
        <v>128</v>
      </c>
      <c r="B8" s="57">
        <v>3000</v>
      </c>
      <c r="C8" s="60" t="s">
        <v>122</v>
      </c>
      <c r="D8" s="30">
        <v>0</v>
      </c>
      <c r="E8" s="30">
        <v>0</v>
      </c>
      <c r="F8" s="30">
        <v>1</v>
      </c>
      <c r="G8" s="30">
        <v>0</v>
      </c>
      <c r="H8" s="30">
        <v>1</v>
      </c>
      <c r="I8" s="30" t="s">
        <v>128</v>
      </c>
      <c r="J8" s="57">
        <v>1000</v>
      </c>
      <c r="K8" s="60" t="s">
        <v>122</v>
      </c>
    </row>
    <row r="9" spans="1:11">
      <c r="A9" s="30" t="s">
        <v>129</v>
      </c>
      <c r="B9" s="57">
        <v>5</v>
      </c>
      <c r="C9" s="57" t="s">
        <v>130</v>
      </c>
      <c r="D9" s="30">
        <v>1</v>
      </c>
      <c r="E9" s="30">
        <v>0</v>
      </c>
      <c r="F9" s="30">
        <v>0</v>
      </c>
      <c r="G9" s="30">
        <v>1</v>
      </c>
      <c r="H9" s="30">
        <v>0</v>
      </c>
      <c r="I9" s="30" t="s">
        <v>129</v>
      </c>
      <c r="J9" s="57">
        <v>2.5</v>
      </c>
      <c r="K9" s="57" t="s">
        <v>130</v>
      </c>
    </row>
    <row r="10" spans="1:11">
      <c r="A10" s="30" t="s">
        <v>131</v>
      </c>
      <c r="B10" s="57">
        <v>10</v>
      </c>
      <c r="C10" s="57" t="s">
        <v>132</v>
      </c>
      <c r="D10" s="30">
        <v>2</v>
      </c>
      <c r="E10" s="30">
        <v>0</v>
      </c>
      <c r="F10" s="30">
        <v>0</v>
      </c>
      <c r="G10" s="30">
        <v>1</v>
      </c>
      <c r="H10" s="30">
        <v>0</v>
      </c>
      <c r="I10" s="30" t="s">
        <v>131</v>
      </c>
      <c r="J10" s="57">
        <v>5</v>
      </c>
      <c r="K10" s="57" t="s">
        <v>132</v>
      </c>
    </row>
    <row r="11" spans="1:11">
      <c r="A11" s="30" t="s">
        <v>133</v>
      </c>
      <c r="B11" s="57">
        <v>10</v>
      </c>
      <c r="C11" s="57" t="s">
        <v>134</v>
      </c>
      <c r="D11" s="30">
        <v>1</v>
      </c>
      <c r="E11" s="30">
        <v>0</v>
      </c>
      <c r="F11" s="30">
        <v>0</v>
      </c>
      <c r="G11" s="30">
        <v>1</v>
      </c>
      <c r="H11" s="30">
        <v>0</v>
      </c>
      <c r="I11" s="30" t="s">
        <v>133</v>
      </c>
      <c r="J11" s="57">
        <v>5</v>
      </c>
      <c r="K11" s="57" t="s">
        <v>134</v>
      </c>
    </row>
    <row r="12" spans="1:11">
      <c r="A12" s="30" t="s">
        <v>135</v>
      </c>
      <c r="B12" s="57">
        <v>10</v>
      </c>
      <c r="C12" s="57" t="s">
        <v>130</v>
      </c>
      <c r="D12" s="30">
        <v>0</v>
      </c>
      <c r="E12" s="30">
        <v>1</v>
      </c>
      <c r="F12" s="30">
        <v>1</v>
      </c>
      <c r="G12" s="30">
        <v>1</v>
      </c>
      <c r="H12" s="30">
        <v>0</v>
      </c>
      <c r="I12" s="30" t="s">
        <v>135</v>
      </c>
      <c r="J12" s="57">
        <v>2</v>
      </c>
      <c r="K12" s="57" t="s">
        <v>130</v>
      </c>
    </row>
  </sheetData>
  <mergeCells count="2">
    <mergeCell ref="B1:H1"/>
    <mergeCell ref="I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E3BE-65E4-42DF-9904-935E304C7136}">
  <dimension ref="A1:C28"/>
  <sheetViews>
    <sheetView workbookViewId="0">
      <selection activeCell="L26" sqref="L26"/>
    </sheetView>
  </sheetViews>
  <sheetFormatPr defaultRowHeight="14.45"/>
  <sheetData>
    <row r="1" spans="1:3">
      <c r="A1" s="31" t="s">
        <v>136</v>
      </c>
      <c r="B1" s="31" t="s">
        <v>137</v>
      </c>
      <c r="C1" s="31" t="s">
        <v>138</v>
      </c>
    </row>
    <row r="2" spans="1:3">
      <c r="A2" s="33" t="s">
        <v>139</v>
      </c>
      <c r="B2" s="33">
        <v>1</v>
      </c>
      <c r="C2" s="33">
        <v>0.8</v>
      </c>
    </row>
    <row r="3" spans="1:3">
      <c r="A3" s="33" t="s">
        <v>140</v>
      </c>
      <c r="B3" s="33">
        <v>4</v>
      </c>
      <c r="C3" s="33">
        <v>0</v>
      </c>
    </row>
    <row r="4" spans="1:3">
      <c r="A4" s="33" t="s">
        <v>141</v>
      </c>
      <c r="B4" s="33">
        <v>1</v>
      </c>
      <c r="C4" s="33">
        <v>0</v>
      </c>
    </row>
    <row r="5" spans="1:3">
      <c r="A5" s="33" t="s">
        <v>142</v>
      </c>
      <c r="B5" s="33">
        <v>1</v>
      </c>
      <c r="C5" s="33">
        <v>1.8</v>
      </c>
    </row>
    <row r="6" spans="1:3">
      <c r="A6" s="33" t="s">
        <v>143</v>
      </c>
      <c r="B6" s="33">
        <v>4</v>
      </c>
      <c r="C6" s="33">
        <v>1.2</v>
      </c>
    </row>
    <row r="7" spans="1:3">
      <c r="A7" s="33" t="s">
        <v>144</v>
      </c>
      <c r="B7" s="33">
        <v>1</v>
      </c>
      <c r="C7" s="33">
        <v>1.2</v>
      </c>
    </row>
    <row r="8" spans="1:3">
      <c r="A8" s="33" t="s">
        <v>145</v>
      </c>
      <c r="B8" s="33">
        <v>5</v>
      </c>
      <c r="C8" s="33">
        <v>1.2</v>
      </c>
    </row>
    <row r="9" spans="1:3">
      <c r="A9" s="33" t="s">
        <v>146</v>
      </c>
      <c r="B9" s="33">
        <v>3.5</v>
      </c>
      <c r="C9" s="33">
        <v>2.2000000000000002</v>
      </c>
    </row>
    <row r="10" spans="1:3">
      <c r="A10" s="33" t="s">
        <v>147</v>
      </c>
      <c r="B10" s="33">
        <v>5</v>
      </c>
      <c r="C10" s="33">
        <v>2.8</v>
      </c>
    </row>
    <row r="11" spans="1:3">
      <c r="A11" s="33" t="s">
        <v>148</v>
      </c>
      <c r="B11" s="33">
        <v>3</v>
      </c>
      <c r="C11" s="33">
        <v>2.8</v>
      </c>
    </row>
    <row r="12" spans="1:3">
      <c r="A12" s="33" t="s">
        <v>149</v>
      </c>
      <c r="B12" s="33">
        <v>2</v>
      </c>
      <c r="C12" s="33">
        <v>0.8</v>
      </c>
    </row>
    <row r="13" spans="1:3">
      <c r="A13" s="33" t="s">
        <v>150</v>
      </c>
      <c r="B13" s="33">
        <v>5</v>
      </c>
      <c r="C13" s="33">
        <v>0</v>
      </c>
    </row>
    <row r="14" spans="1:3">
      <c r="A14" s="33" t="s">
        <v>151</v>
      </c>
      <c r="B14" s="33">
        <v>2</v>
      </c>
      <c r="C14" s="33">
        <v>1.8</v>
      </c>
    </row>
    <row r="15" spans="1:3">
      <c r="A15" s="33" t="s">
        <v>152</v>
      </c>
      <c r="B15" s="33">
        <v>2</v>
      </c>
      <c r="C15" s="33">
        <v>1.2</v>
      </c>
    </row>
    <row r="16" spans="1:3">
      <c r="A16" s="33" t="s">
        <v>153</v>
      </c>
      <c r="B16" s="33">
        <v>5</v>
      </c>
      <c r="C16" s="33">
        <v>2.2000000000000002</v>
      </c>
    </row>
    <row r="17" spans="1:3">
      <c r="A17" s="33" t="s">
        <v>154</v>
      </c>
      <c r="B17" s="33">
        <v>5</v>
      </c>
      <c r="C17" s="33">
        <v>0.8</v>
      </c>
    </row>
    <row r="18" spans="1:3">
      <c r="A18" s="33" t="s">
        <v>155</v>
      </c>
      <c r="B18" s="33">
        <v>2</v>
      </c>
      <c r="C18" s="33">
        <v>0</v>
      </c>
    </row>
    <row r="19" spans="1:3">
      <c r="A19" s="48" t="s">
        <v>156</v>
      </c>
      <c r="B19" s="48">
        <v>5</v>
      </c>
      <c r="C19" s="48">
        <v>1.8</v>
      </c>
    </row>
    <row r="20" spans="1:3">
      <c r="A20" s="38" t="s">
        <v>157</v>
      </c>
      <c r="B20" s="38">
        <v>3</v>
      </c>
      <c r="C20" s="38">
        <v>1.2</v>
      </c>
    </row>
    <row r="21" spans="1:3">
      <c r="A21" s="38" t="s">
        <v>158</v>
      </c>
      <c r="B21" s="38">
        <v>4</v>
      </c>
      <c r="C21" s="38">
        <v>2.2000000000000002</v>
      </c>
    </row>
    <row r="22" spans="1:3">
      <c r="A22" s="38" t="s">
        <v>159</v>
      </c>
      <c r="B22" s="38">
        <v>3</v>
      </c>
      <c r="C22" s="33">
        <v>0.8</v>
      </c>
    </row>
    <row r="23" spans="1:3">
      <c r="A23" s="38" t="s">
        <v>160</v>
      </c>
      <c r="B23" s="38">
        <v>3</v>
      </c>
      <c r="C23" s="38">
        <v>0</v>
      </c>
    </row>
    <row r="24" spans="1:3">
      <c r="A24" s="38" t="s">
        <v>161</v>
      </c>
      <c r="B24" s="38">
        <v>3</v>
      </c>
      <c r="C24" s="38">
        <v>1.8</v>
      </c>
    </row>
    <row r="25" spans="1:3">
      <c r="A25" s="38" t="s">
        <v>162</v>
      </c>
      <c r="B25" s="38">
        <v>3</v>
      </c>
      <c r="C25" s="38">
        <v>2.2000000000000002</v>
      </c>
    </row>
    <row r="26" spans="1:3">
      <c r="A26" s="48" t="s">
        <v>163</v>
      </c>
      <c r="B26" s="48">
        <v>4</v>
      </c>
      <c r="C26" s="48">
        <v>1.8</v>
      </c>
    </row>
    <row r="27" spans="1:3">
      <c r="A27" s="33" t="s">
        <v>164</v>
      </c>
      <c r="B27" s="33">
        <v>4</v>
      </c>
      <c r="C27" s="33">
        <v>2.8</v>
      </c>
    </row>
    <row r="28" spans="1:3">
      <c r="A28" s="33" t="s">
        <v>165</v>
      </c>
      <c r="B28" s="33">
        <v>4</v>
      </c>
      <c r="C28" s="33">
        <v>0.8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11A2-48FA-4787-B5CA-B5B26610DD3E}">
  <sheetPr codeName="Sheet7"/>
  <dimension ref="A1:H17"/>
  <sheetViews>
    <sheetView workbookViewId="0">
      <selection activeCell="H25" sqref="H25"/>
    </sheetView>
  </sheetViews>
  <sheetFormatPr defaultRowHeight="14.45"/>
  <cols>
    <col min="2" max="2" width="30" customWidth="1"/>
    <col min="3" max="3" width="5.140625" style="21" customWidth="1"/>
    <col min="4" max="5" width="8.7109375" style="21"/>
    <col min="6" max="6" width="11.140625" style="21" customWidth="1"/>
    <col min="7" max="7" width="8.7109375" style="21"/>
    <col min="8" max="8" width="19.85546875" style="21" customWidth="1"/>
  </cols>
  <sheetData>
    <row r="1" spans="1:8">
      <c r="C1" s="111" t="s">
        <v>166</v>
      </c>
      <c r="D1" s="111"/>
      <c r="E1" s="111"/>
      <c r="F1" s="111"/>
      <c r="G1" s="111"/>
      <c r="H1" s="12" t="s">
        <v>167</v>
      </c>
    </row>
    <row r="2" spans="1:8">
      <c r="C2" s="111"/>
      <c r="D2" s="111"/>
      <c r="E2" s="111"/>
      <c r="F2" s="111"/>
      <c r="G2" s="111"/>
      <c r="H2" s="42">
        <v>0.5</v>
      </c>
    </row>
    <row r="3" spans="1:8" ht="33" customHeight="1">
      <c r="B3" s="112" t="s">
        <v>168</v>
      </c>
      <c r="C3" s="110" t="s">
        <v>169</v>
      </c>
      <c r="D3" s="110" t="s">
        <v>170</v>
      </c>
      <c r="E3" s="110"/>
      <c r="F3" s="110" t="s">
        <v>171</v>
      </c>
      <c r="G3" s="110" t="s">
        <v>172</v>
      </c>
      <c r="H3" s="110" t="s">
        <v>172</v>
      </c>
    </row>
    <row r="4" spans="1:8">
      <c r="B4" s="112"/>
      <c r="C4" s="110"/>
      <c r="D4" s="9" t="s">
        <v>173</v>
      </c>
      <c r="E4" s="9" t="s">
        <v>174</v>
      </c>
      <c r="F4" s="110"/>
      <c r="G4" s="110"/>
      <c r="H4" s="110"/>
    </row>
    <row r="5" spans="1:8" ht="50.1" customHeight="1">
      <c r="A5" t="e" vm="1">
        <v>#VALUE!</v>
      </c>
      <c r="B5" s="22" t="s">
        <v>175</v>
      </c>
      <c r="C5" s="26">
        <v>1</v>
      </c>
      <c r="D5" s="23">
        <v>0</v>
      </c>
      <c r="E5" s="24">
        <v>1</v>
      </c>
      <c r="F5" s="23">
        <v>2</v>
      </c>
      <c r="G5" s="26">
        <v>12</v>
      </c>
      <c r="H5" s="27">
        <f>+G5-G5*$H$2</f>
        <v>6</v>
      </c>
    </row>
    <row r="6" spans="1:8" ht="50.1" customHeight="1">
      <c r="A6" t="e" vm="2">
        <v>#VALUE!</v>
      </c>
      <c r="B6" s="22" t="s">
        <v>176</v>
      </c>
      <c r="C6" s="26">
        <v>2</v>
      </c>
      <c r="D6" s="28">
        <v>1</v>
      </c>
      <c r="E6" s="24">
        <v>1</v>
      </c>
      <c r="F6" s="23">
        <v>0</v>
      </c>
      <c r="G6" s="23">
        <v>20</v>
      </c>
      <c r="H6" s="27">
        <f>+G6-G6*$H$2</f>
        <v>10</v>
      </c>
    </row>
    <row r="7" spans="1:8" ht="50.1" customHeight="1">
      <c r="A7" t="e" vm="3">
        <v>#VALUE!</v>
      </c>
      <c r="B7" s="22" t="s">
        <v>124</v>
      </c>
      <c r="C7" s="26">
        <v>3</v>
      </c>
      <c r="D7" s="23">
        <v>0</v>
      </c>
      <c r="E7" s="24">
        <v>1</v>
      </c>
      <c r="F7" s="23">
        <v>0</v>
      </c>
      <c r="G7" s="23">
        <v>6</v>
      </c>
      <c r="H7" s="41" t="s">
        <v>122</v>
      </c>
    </row>
    <row r="8" spans="1:8" ht="50.1" hidden="1" customHeight="1">
      <c r="A8" t="e" vm="4">
        <v>#VALUE!</v>
      </c>
      <c r="B8" s="22" t="s">
        <v>177</v>
      </c>
      <c r="C8" s="26"/>
      <c r="D8" s="12"/>
      <c r="E8" s="12"/>
      <c r="F8" s="12"/>
      <c r="G8" s="12"/>
      <c r="H8" s="12"/>
    </row>
    <row r="9" spans="1:8" ht="50.1" hidden="1" customHeight="1">
      <c r="A9" t="e" vm="5">
        <v>#VALUE!</v>
      </c>
      <c r="B9" s="22" t="s">
        <v>178</v>
      </c>
      <c r="C9" s="26"/>
      <c r="D9" s="12"/>
      <c r="E9" s="12"/>
      <c r="F9" s="12"/>
      <c r="G9" s="12"/>
      <c r="H9" s="12"/>
    </row>
    <row r="10" spans="1:8" ht="50.1" customHeight="1">
      <c r="A10" t="e" vm="6">
        <v>#VALUE!</v>
      </c>
      <c r="B10" s="22" t="s">
        <v>179</v>
      </c>
      <c r="C10" s="26">
        <v>4</v>
      </c>
      <c r="D10" s="23">
        <v>1</v>
      </c>
      <c r="E10" s="24">
        <v>1</v>
      </c>
      <c r="F10" s="23">
        <v>1</v>
      </c>
      <c r="G10" s="25">
        <v>15</v>
      </c>
      <c r="H10" s="27">
        <f>+G10-G10*$H$2</f>
        <v>7.5</v>
      </c>
    </row>
    <row r="11" spans="1:8" ht="50.1" customHeight="1">
      <c r="A11" t="e" vm="7">
        <v>#VALUE!</v>
      </c>
      <c r="B11" s="22" t="s">
        <v>128</v>
      </c>
      <c r="C11" s="26">
        <v>5</v>
      </c>
      <c r="D11" s="28">
        <v>1</v>
      </c>
      <c r="E11" s="29" t="s">
        <v>122</v>
      </c>
      <c r="F11" s="23">
        <v>0</v>
      </c>
      <c r="G11" s="23">
        <v>2</v>
      </c>
      <c r="H11" s="27">
        <f>+G11-G11*$H$2</f>
        <v>1</v>
      </c>
    </row>
    <row r="12" spans="1:8" ht="50.1" customHeight="1">
      <c r="A12" t="e" vm="8">
        <v>#VALUE!</v>
      </c>
      <c r="B12" s="22" t="s">
        <v>180</v>
      </c>
      <c r="C12" s="26">
        <v>6</v>
      </c>
      <c r="D12" s="23">
        <v>0</v>
      </c>
      <c r="E12" s="24">
        <v>1</v>
      </c>
      <c r="F12" s="23">
        <v>1</v>
      </c>
      <c r="G12" s="25">
        <v>15</v>
      </c>
      <c r="H12" s="27">
        <f>+G12-G12*$H$2</f>
        <v>7.5</v>
      </c>
    </row>
    <row r="13" spans="1:8" hidden="1">
      <c r="B13" s="22" t="s">
        <v>181</v>
      </c>
      <c r="C13" s="26"/>
      <c r="D13" s="12"/>
      <c r="E13" s="12"/>
      <c r="F13" s="12"/>
      <c r="G13" s="12"/>
      <c r="H13" s="12"/>
    </row>
    <row r="14" spans="1:8">
      <c r="B14" s="22" t="s">
        <v>93</v>
      </c>
      <c r="C14" s="26">
        <v>7</v>
      </c>
      <c r="D14" s="113" t="s">
        <v>182</v>
      </c>
      <c r="E14" s="111"/>
      <c r="F14" s="41" t="s">
        <v>122</v>
      </c>
      <c r="G14" s="43">
        <v>0.1</v>
      </c>
      <c r="H14" s="43">
        <v>0.02</v>
      </c>
    </row>
    <row r="15" spans="1:8">
      <c r="B15" s="22" t="s">
        <v>133</v>
      </c>
      <c r="C15" s="26">
        <v>8</v>
      </c>
      <c r="D15" s="111"/>
      <c r="E15" s="111"/>
      <c r="F15" s="23">
        <v>1</v>
      </c>
      <c r="G15" s="43">
        <v>0.1</v>
      </c>
      <c r="H15" s="12">
        <v>5</v>
      </c>
    </row>
    <row r="16" spans="1:8">
      <c r="B16" s="22" t="s">
        <v>129</v>
      </c>
      <c r="C16" s="26">
        <v>9</v>
      </c>
      <c r="D16" s="111"/>
      <c r="E16" s="111"/>
      <c r="F16" s="12">
        <v>1</v>
      </c>
      <c r="G16" s="43">
        <v>0.05</v>
      </c>
      <c r="H16" s="12">
        <v>2.5</v>
      </c>
    </row>
    <row r="17" spans="2:8">
      <c r="B17" s="22" t="s">
        <v>183</v>
      </c>
      <c r="C17" s="26">
        <v>10</v>
      </c>
      <c r="D17" s="111"/>
      <c r="E17" s="111"/>
      <c r="F17" s="12">
        <v>2</v>
      </c>
      <c r="G17" s="43">
        <v>0.1</v>
      </c>
      <c r="H17" s="12">
        <v>5</v>
      </c>
    </row>
  </sheetData>
  <mergeCells count="8">
    <mergeCell ref="H3:H4"/>
    <mergeCell ref="C1:G2"/>
    <mergeCell ref="B3:B4"/>
    <mergeCell ref="D14:E17"/>
    <mergeCell ref="C3:C4"/>
    <mergeCell ref="D3:E3"/>
    <mergeCell ref="F3:F4"/>
    <mergeCell ref="G3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9225-710D-4DF9-9D2D-5D3112902286}">
  <sheetPr codeName="Sheet8">
    <tabColor rgb="FFFFFF00"/>
  </sheetPr>
  <dimension ref="A1:G37"/>
  <sheetViews>
    <sheetView workbookViewId="0">
      <selection activeCell="H29" sqref="H29"/>
    </sheetView>
  </sheetViews>
  <sheetFormatPr defaultRowHeight="14.45"/>
  <cols>
    <col min="2" max="2" width="8.7109375" style="47"/>
    <col min="4" max="4" width="9.28515625" customWidth="1"/>
    <col min="5" max="5" width="23.85546875" bestFit="1" customWidth="1"/>
    <col min="6" max="6" width="10.85546875" bestFit="1" customWidth="1"/>
    <col min="7" max="7" width="25" customWidth="1"/>
  </cols>
  <sheetData>
    <row r="1" spans="1:7">
      <c r="A1" s="114" t="s">
        <v>184</v>
      </c>
      <c r="B1" s="114"/>
      <c r="C1" s="114"/>
      <c r="D1" s="115" t="s">
        <v>166</v>
      </c>
      <c r="E1" s="116"/>
      <c r="F1" s="117" t="s">
        <v>167</v>
      </c>
      <c r="G1" s="118"/>
    </row>
    <row r="2" spans="1:7" ht="24">
      <c r="A2" s="31" t="s">
        <v>136</v>
      </c>
      <c r="B2" s="32" t="s">
        <v>185</v>
      </c>
      <c r="C2" s="31" t="s">
        <v>186</v>
      </c>
      <c r="D2" s="31" t="s">
        <v>187</v>
      </c>
      <c r="E2" s="32" t="s">
        <v>94</v>
      </c>
      <c r="F2" s="31" t="s">
        <v>187</v>
      </c>
      <c r="G2" s="32" t="s">
        <v>94</v>
      </c>
    </row>
    <row r="3" spans="1:7">
      <c r="A3" s="33" t="s">
        <v>139</v>
      </c>
      <c r="B3" s="37">
        <v>70</v>
      </c>
      <c r="C3" s="34">
        <v>2</v>
      </c>
      <c r="D3" s="36" t="s">
        <v>188</v>
      </c>
      <c r="E3" s="36"/>
      <c r="F3" s="36"/>
      <c r="G3" s="36"/>
    </row>
    <row r="4" spans="1:7">
      <c r="A4" s="33" t="s">
        <v>140</v>
      </c>
      <c r="B4" s="37">
        <v>125</v>
      </c>
      <c r="C4" s="34">
        <v>4</v>
      </c>
      <c r="D4" s="36" t="s">
        <v>188</v>
      </c>
      <c r="E4" s="36"/>
      <c r="F4" s="36"/>
      <c r="G4" s="36"/>
    </row>
    <row r="5" spans="1:7">
      <c r="A5" s="33" t="s">
        <v>141</v>
      </c>
      <c r="B5" s="37">
        <v>200</v>
      </c>
      <c r="C5" s="34">
        <v>6</v>
      </c>
      <c r="D5" s="36" t="s">
        <v>188</v>
      </c>
      <c r="E5" s="36"/>
      <c r="F5" s="36"/>
      <c r="G5" s="36"/>
    </row>
    <row r="6" spans="1:7">
      <c r="A6" s="33" t="s">
        <v>142</v>
      </c>
      <c r="B6" s="37">
        <v>80</v>
      </c>
      <c r="C6" s="34">
        <v>2</v>
      </c>
      <c r="D6" s="36" t="s">
        <v>188</v>
      </c>
      <c r="E6" s="35"/>
      <c r="F6" s="35"/>
      <c r="G6" s="35"/>
    </row>
    <row r="7" spans="1:7">
      <c r="A7" s="33" t="s">
        <v>143</v>
      </c>
      <c r="B7" s="37">
        <v>160</v>
      </c>
      <c r="C7" s="34">
        <v>5</v>
      </c>
      <c r="D7" s="36" t="s">
        <v>188</v>
      </c>
      <c r="E7" s="35"/>
      <c r="F7" s="35"/>
      <c r="G7" s="35"/>
    </row>
    <row r="8" spans="1:7">
      <c r="A8" s="33" t="s">
        <v>144</v>
      </c>
      <c r="B8" s="37">
        <v>300</v>
      </c>
      <c r="C8" s="34">
        <v>8</v>
      </c>
      <c r="D8" s="36" t="s">
        <v>188</v>
      </c>
      <c r="E8" s="35"/>
      <c r="F8" s="35"/>
      <c r="G8" s="35"/>
    </row>
    <row r="9" spans="1:7">
      <c r="A9" s="33" t="s">
        <v>145</v>
      </c>
      <c r="B9" s="37">
        <v>160</v>
      </c>
      <c r="C9" s="34">
        <v>5</v>
      </c>
      <c r="D9" s="36" t="s">
        <v>188</v>
      </c>
      <c r="E9" s="35"/>
      <c r="F9" s="35"/>
      <c r="G9" s="35"/>
    </row>
    <row r="10" spans="1:7">
      <c r="A10" s="33" t="s">
        <v>146</v>
      </c>
      <c r="B10" s="37">
        <v>100</v>
      </c>
      <c r="C10" s="34">
        <v>3</v>
      </c>
      <c r="D10" s="36" t="s">
        <v>188</v>
      </c>
      <c r="E10" s="35"/>
      <c r="F10" s="35"/>
      <c r="G10" s="35"/>
    </row>
    <row r="11" spans="1:7">
      <c r="A11" s="33" t="s">
        <v>147</v>
      </c>
      <c r="B11" s="37">
        <v>200</v>
      </c>
      <c r="C11" s="34">
        <v>6</v>
      </c>
      <c r="D11" s="36" t="s">
        <v>188</v>
      </c>
      <c r="E11" s="35"/>
      <c r="F11" s="35"/>
      <c r="G11" s="35"/>
    </row>
    <row r="12" spans="1:7">
      <c r="A12" s="33" t="s">
        <v>148</v>
      </c>
      <c r="B12" s="37">
        <v>425</v>
      </c>
      <c r="C12" s="34">
        <v>9</v>
      </c>
      <c r="D12" s="36" t="s">
        <v>188</v>
      </c>
      <c r="E12" s="35"/>
      <c r="F12" s="35"/>
      <c r="G12" s="35"/>
    </row>
    <row r="13" spans="1:7">
      <c r="A13" s="33" t="s">
        <v>149</v>
      </c>
      <c r="B13" s="37">
        <v>70</v>
      </c>
      <c r="C13" s="34">
        <v>2</v>
      </c>
      <c r="D13" s="35" t="s">
        <v>189</v>
      </c>
      <c r="E13" s="35"/>
      <c r="F13" s="35" t="s">
        <v>188</v>
      </c>
      <c r="G13" s="35"/>
    </row>
    <row r="14" spans="1:7">
      <c r="A14" s="33" t="s">
        <v>150</v>
      </c>
      <c r="B14" s="37">
        <v>125</v>
      </c>
      <c r="C14" s="34">
        <v>4</v>
      </c>
      <c r="D14" s="35" t="s">
        <v>189</v>
      </c>
      <c r="E14" s="35"/>
      <c r="F14" s="35" t="s">
        <v>188</v>
      </c>
      <c r="G14" s="35"/>
    </row>
    <row r="15" spans="1:7">
      <c r="A15" s="33" t="s">
        <v>151</v>
      </c>
      <c r="B15" s="37">
        <v>80</v>
      </c>
      <c r="C15" s="34">
        <v>2</v>
      </c>
      <c r="D15" s="35" t="s">
        <v>189</v>
      </c>
      <c r="E15" s="35"/>
      <c r="F15" s="35" t="s">
        <v>188</v>
      </c>
      <c r="G15" s="35"/>
    </row>
    <row r="16" spans="1:7">
      <c r="A16" s="33" t="s">
        <v>152</v>
      </c>
      <c r="B16" s="37">
        <v>300</v>
      </c>
      <c r="C16" s="34">
        <v>8</v>
      </c>
      <c r="D16" s="35" t="s">
        <v>189</v>
      </c>
      <c r="E16" s="35"/>
      <c r="F16" s="35" t="s">
        <v>188</v>
      </c>
      <c r="G16" s="35"/>
    </row>
    <row r="17" spans="1:7">
      <c r="A17" s="33" t="s">
        <v>153</v>
      </c>
      <c r="B17" s="37">
        <v>200</v>
      </c>
      <c r="C17" s="34">
        <v>6</v>
      </c>
      <c r="D17" s="35" t="s">
        <v>189</v>
      </c>
      <c r="E17" s="35"/>
      <c r="F17" s="35" t="s">
        <v>188</v>
      </c>
      <c r="G17" s="35"/>
    </row>
    <row r="18" spans="1:7">
      <c r="A18" s="33" t="s">
        <v>154</v>
      </c>
      <c r="B18" s="37">
        <v>125</v>
      </c>
      <c r="C18" s="34">
        <v>4</v>
      </c>
      <c r="D18" s="35" t="s">
        <v>190</v>
      </c>
      <c r="E18" s="38" t="s">
        <v>191</v>
      </c>
      <c r="F18" s="33" t="s">
        <v>188</v>
      </c>
      <c r="G18" s="33"/>
    </row>
    <row r="19" spans="1:7">
      <c r="A19" s="33" t="s">
        <v>155</v>
      </c>
      <c r="B19" s="37">
        <v>200</v>
      </c>
      <c r="C19" s="34">
        <v>6</v>
      </c>
      <c r="D19" s="35" t="s">
        <v>190</v>
      </c>
      <c r="E19" s="38" t="s">
        <v>192</v>
      </c>
      <c r="F19" s="35" t="s">
        <v>193</v>
      </c>
      <c r="G19" s="33"/>
    </row>
    <row r="20" spans="1:7">
      <c r="A20" s="125" t="s">
        <v>156</v>
      </c>
      <c r="B20" s="126">
        <v>160</v>
      </c>
      <c r="C20" s="128">
        <v>5</v>
      </c>
      <c r="D20" s="123" t="s">
        <v>190</v>
      </c>
      <c r="E20" s="38" t="s">
        <v>194</v>
      </c>
      <c r="F20" s="123" t="s">
        <v>193</v>
      </c>
      <c r="G20" s="38" t="s">
        <v>192</v>
      </c>
    </row>
    <row r="21" spans="1:7">
      <c r="A21" s="125"/>
      <c r="B21" s="127"/>
      <c r="C21" s="128"/>
      <c r="D21" s="124"/>
      <c r="E21" s="38"/>
      <c r="F21" s="124"/>
      <c r="G21" s="38" t="s">
        <v>195</v>
      </c>
    </row>
    <row r="22" spans="1:7">
      <c r="A22" s="38" t="s">
        <v>157</v>
      </c>
      <c r="B22" s="39">
        <v>300</v>
      </c>
      <c r="C22" s="40">
        <v>8</v>
      </c>
      <c r="D22" s="36" t="s">
        <v>190</v>
      </c>
      <c r="E22" s="38"/>
      <c r="F22" s="36" t="s">
        <v>193</v>
      </c>
      <c r="G22" s="36"/>
    </row>
    <row r="23" spans="1:7">
      <c r="A23" s="38" t="s">
        <v>158</v>
      </c>
      <c r="B23" s="39">
        <v>100</v>
      </c>
      <c r="C23" s="40">
        <v>3</v>
      </c>
      <c r="D23" s="36" t="s">
        <v>190</v>
      </c>
      <c r="E23" s="38" t="s">
        <v>191</v>
      </c>
      <c r="F23" s="36" t="s">
        <v>193</v>
      </c>
      <c r="G23" s="38"/>
    </row>
    <row r="24" spans="1:7">
      <c r="A24" s="38" t="s">
        <v>159</v>
      </c>
      <c r="B24" s="39">
        <v>70</v>
      </c>
      <c r="C24" s="40">
        <v>2</v>
      </c>
      <c r="D24" s="36" t="s">
        <v>193</v>
      </c>
      <c r="E24" s="38" t="s">
        <v>195</v>
      </c>
      <c r="F24" s="36"/>
      <c r="G24" s="38"/>
    </row>
    <row r="25" spans="1:7">
      <c r="A25" s="119" t="s">
        <v>160</v>
      </c>
      <c r="B25" s="120">
        <v>200</v>
      </c>
      <c r="C25" s="122">
        <v>6</v>
      </c>
      <c r="D25" s="129" t="s">
        <v>193</v>
      </c>
      <c r="E25" s="38" t="s">
        <v>175</v>
      </c>
      <c r="F25" s="38"/>
      <c r="G25" s="38"/>
    </row>
    <row r="26" spans="1:7">
      <c r="A26" s="119"/>
      <c r="B26" s="121"/>
      <c r="C26" s="122"/>
      <c r="D26" s="130"/>
      <c r="E26" s="38" t="s">
        <v>192</v>
      </c>
      <c r="F26" s="38"/>
      <c r="G26" s="38"/>
    </row>
    <row r="27" spans="1:7">
      <c r="A27" s="119" t="s">
        <v>161</v>
      </c>
      <c r="B27" s="120">
        <v>80</v>
      </c>
      <c r="C27" s="122">
        <v>2</v>
      </c>
      <c r="D27" s="130" t="s">
        <v>193</v>
      </c>
      <c r="E27" s="38" t="s">
        <v>175</v>
      </c>
      <c r="F27" s="38"/>
      <c r="G27" s="38"/>
    </row>
    <row r="28" spans="1:7">
      <c r="A28" s="119"/>
      <c r="B28" s="121"/>
      <c r="C28" s="122"/>
      <c r="D28" s="131"/>
      <c r="E28" s="38" t="s">
        <v>195</v>
      </c>
      <c r="F28" s="38"/>
      <c r="G28" s="38"/>
    </row>
    <row r="29" spans="1:7">
      <c r="A29" s="119" t="s">
        <v>162</v>
      </c>
      <c r="B29" s="120">
        <v>425</v>
      </c>
      <c r="C29" s="122">
        <v>9</v>
      </c>
      <c r="D29" s="129" t="s">
        <v>193</v>
      </c>
      <c r="E29" s="38" t="s">
        <v>180</v>
      </c>
      <c r="F29" s="38"/>
      <c r="G29" s="38"/>
    </row>
    <row r="30" spans="1:7" ht="15" customHeight="1">
      <c r="A30" s="119"/>
      <c r="B30" s="121"/>
      <c r="C30" s="122"/>
      <c r="D30" s="131"/>
      <c r="E30" s="38" t="s">
        <v>192</v>
      </c>
      <c r="F30" s="38"/>
      <c r="G30" s="38"/>
    </row>
    <row r="31" spans="1:7">
      <c r="A31" s="125" t="s">
        <v>163</v>
      </c>
      <c r="B31" s="126">
        <v>160</v>
      </c>
      <c r="C31" s="128">
        <v>5</v>
      </c>
      <c r="D31" s="123" t="s">
        <v>193</v>
      </c>
      <c r="E31" s="38" t="s">
        <v>192</v>
      </c>
      <c r="F31" s="38"/>
      <c r="G31" s="38"/>
    </row>
    <row r="32" spans="1:7">
      <c r="A32" s="125"/>
      <c r="B32" s="127"/>
      <c r="C32" s="128"/>
      <c r="D32" s="124"/>
      <c r="E32" s="38" t="s">
        <v>195</v>
      </c>
      <c r="F32" s="38"/>
      <c r="G32" s="38"/>
    </row>
    <row r="33" spans="1:7">
      <c r="A33" s="135" t="s">
        <v>196</v>
      </c>
      <c r="B33" s="120">
        <v>200</v>
      </c>
      <c r="C33" s="141">
        <v>6</v>
      </c>
      <c r="D33" s="132" t="s">
        <v>193</v>
      </c>
      <c r="E33" s="38" t="s">
        <v>192</v>
      </c>
      <c r="F33" s="33"/>
      <c r="G33" s="33"/>
    </row>
    <row r="34" spans="1:7" ht="15" customHeight="1">
      <c r="A34" s="137"/>
      <c r="B34" s="121"/>
      <c r="C34" s="143"/>
      <c r="D34" s="133"/>
      <c r="E34" s="38" t="s">
        <v>197</v>
      </c>
      <c r="F34" s="33"/>
      <c r="G34" s="33" t="s">
        <v>198</v>
      </c>
    </row>
    <row r="35" spans="1:7">
      <c r="A35" s="135" t="s">
        <v>199</v>
      </c>
      <c r="B35" s="138">
        <v>125</v>
      </c>
      <c r="C35" s="141">
        <v>4</v>
      </c>
      <c r="D35" s="132" t="s">
        <v>193</v>
      </c>
      <c r="E35" s="38" t="s">
        <v>194</v>
      </c>
      <c r="F35" s="33"/>
      <c r="G35" s="33" t="s">
        <v>198</v>
      </c>
    </row>
    <row r="36" spans="1:7">
      <c r="A36" s="136"/>
      <c r="B36" s="139"/>
      <c r="C36" s="142"/>
      <c r="D36" s="134"/>
      <c r="E36" s="38" t="s">
        <v>192</v>
      </c>
      <c r="F36" s="33"/>
      <c r="G36" s="33"/>
    </row>
    <row r="37" spans="1:7">
      <c r="A37" s="137"/>
      <c r="B37" s="140"/>
      <c r="C37" s="143"/>
      <c r="D37" s="133"/>
      <c r="E37" s="38" t="s">
        <v>200</v>
      </c>
      <c r="F37" s="33"/>
      <c r="G37" s="33"/>
    </row>
  </sheetData>
  <autoFilter ref="A2:G37" xr:uid="{5794BF37-903A-4658-A38A-A32201B05EBB}"/>
  <mergeCells count="32">
    <mergeCell ref="D29:D30"/>
    <mergeCell ref="D31:D32"/>
    <mergeCell ref="D33:D34"/>
    <mergeCell ref="D35:D37"/>
    <mergeCell ref="A35:A37"/>
    <mergeCell ref="B35:B37"/>
    <mergeCell ref="C35:C37"/>
    <mergeCell ref="A33:A34"/>
    <mergeCell ref="B33:B34"/>
    <mergeCell ref="C33:C34"/>
    <mergeCell ref="A31:A32"/>
    <mergeCell ref="B31:B32"/>
    <mergeCell ref="C31:C32"/>
    <mergeCell ref="A29:A30"/>
    <mergeCell ref="B29:B30"/>
    <mergeCell ref="C29:C30"/>
    <mergeCell ref="A1:C1"/>
    <mergeCell ref="D1:E1"/>
    <mergeCell ref="F1:G1"/>
    <mergeCell ref="A27:A28"/>
    <mergeCell ref="B27:B28"/>
    <mergeCell ref="C27:C28"/>
    <mergeCell ref="D20:D21"/>
    <mergeCell ref="F20:F21"/>
    <mergeCell ref="A25:A26"/>
    <mergeCell ref="B25:B26"/>
    <mergeCell ref="C25:C26"/>
    <mergeCell ref="A20:A21"/>
    <mergeCell ref="B20:B21"/>
    <mergeCell ref="C20:C21"/>
    <mergeCell ref="D25:D26"/>
    <mergeCell ref="D27:D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0D2D-4F27-4E2B-BFDD-AC2CF20AB62E}">
  <dimension ref="A1:L21"/>
  <sheetViews>
    <sheetView workbookViewId="0">
      <selection activeCell="F34" sqref="F34"/>
    </sheetView>
  </sheetViews>
  <sheetFormatPr defaultRowHeight="14.45"/>
  <cols>
    <col min="1" max="1" width="12.85546875" style="4" customWidth="1"/>
    <col min="2" max="2" width="12.85546875" style="52" customWidth="1"/>
    <col min="3" max="3" width="16.140625" style="4" customWidth="1"/>
    <col min="4" max="4" width="12.85546875" style="4" customWidth="1"/>
    <col min="5" max="5" width="22" style="4" bestFit="1" customWidth="1"/>
    <col min="6" max="7" width="21.5703125" style="4" bestFit="1" customWidth="1"/>
    <col min="8" max="8" width="28.85546875" bestFit="1" customWidth="1"/>
    <col min="9" max="9" width="13.5703125" bestFit="1" customWidth="1"/>
    <col min="10" max="10" width="22.5703125" bestFit="1" customWidth="1"/>
    <col min="11" max="11" width="22.140625" bestFit="1" customWidth="1"/>
    <col min="12" max="12" width="21.5703125" bestFit="1" customWidth="1"/>
  </cols>
  <sheetData>
    <row r="1" spans="1:12" ht="33.950000000000003" customHeight="1">
      <c r="A1" s="104" t="s">
        <v>60</v>
      </c>
      <c r="B1" s="104" t="s">
        <v>39</v>
      </c>
      <c r="C1" s="104" t="s">
        <v>201</v>
      </c>
      <c r="D1" s="104" t="s">
        <v>202</v>
      </c>
      <c r="E1" s="108" t="s">
        <v>3</v>
      </c>
      <c r="F1" s="108"/>
      <c r="G1" s="108"/>
      <c r="H1" s="109" t="s">
        <v>111</v>
      </c>
      <c r="I1" s="109"/>
      <c r="J1" s="109"/>
      <c r="K1" s="109"/>
      <c r="L1" s="109"/>
    </row>
    <row r="2" spans="1:12">
      <c r="A2" s="104"/>
      <c r="B2" s="104"/>
      <c r="C2" s="104"/>
      <c r="D2" s="104"/>
      <c r="E2" s="6" t="s">
        <v>203</v>
      </c>
      <c r="F2" s="6" t="s">
        <v>204</v>
      </c>
      <c r="G2" s="56" t="s">
        <v>112</v>
      </c>
      <c r="H2" s="6" t="s">
        <v>39</v>
      </c>
      <c r="I2" s="6" t="s">
        <v>201</v>
      </c>
      <c r="J2" s="6" t="s">
        <v>203</v>
      </c>
      <c r="K2" s="6" t="s">
        <v>204</v>
      </c>
      <c r="L2" s="56" t="s">
        <v>112</v>
      </c>
    </row>
    <row r="3" spans="1:12">
      <c r="A3" s="30">
        <v>220</v>
      </c>
      <c r="B3" s="30" t="s">
        <v>205</v>
      </c>
      <c r="C3" s="30">
        <v>4</v>
      </c>
      <c r="D3" s="30" t="s">
        <v>164</v>
      </c>
      <c r="E3" s="30">
        <v>1</v>
      </c>
      <c r="F3" s="30">
        <v>1</v>
      </c>
      <c r="G3" s="57" t="s">
        <v>123</v>
      </c>
      <c r="H3" s="30" t="s">
        <v>205</v>
      </c>
      <c r="I3" s="30">
        <v>4</v>
      </c>
      <c r="J3" s="30">
        <v>1</v>
      </c>
      <c r="K3" s="30">
        <v>1</v>
      </c>
      <c r="L3" s="57" t="s">
        <v>123</v>
      </c>
    </row>
    <row r="4" spans="1:12">
      <c r="A4" s="30">
        <v>222</v>
      </c>
      <c r="B4" s="30" t="s">
        <v>206</v>
      </c>
      <c r="C4" s="30">
        <v>4</v>
      </c>
      <c r="D4" s="30" t="s">
        <v>164</v>
      </c>
      <c r="E4" s="30">
        <v>1</v>
      </c>
      <c r="F4" s="30">
        <v>1</v>
      </c>
      <c r="G4" s="57" t="s">
        <v>124</v>
      </c>
      <c r="H4" s="30"/>
      <c r="I4" s="30"/>
      <c r="J4" s="30"/>
      <c r="K4" s="30"/>
      <c r="L4" s="57"/>
    </row>
    <row r="5" spans="1:12">
      <c r="A5" s="30">
        <v>225</v>
      </c>
      <c r="B5" s="30" t="s">
        <v>207</v>
      </c>
      <c r="C5" s="30">
        <v>3</v>
      </c>
      <c r="D5" s="30" t="s">
        <v>162</v>
      </c>
      <c r="E5" s="30">
        <v>1</v>
      </c>
      <c r="F5" s="30">
        <v>1</v>
      </c>
      <c r="G5" s="57" t="s">
        <v>125</v>
      </c>
      <c r="H5" s="30" t="s">
        <v>208</v>
      </c>
      <c r="I5" s="30">
        <v>3</v>
      </c>
      <c r="J5" s="30">
        <v>1</v>
      </c>
      <c r="K5" s="30">
        <v>1</v>
      </c>
      <c r="L5" s="57" t="s">
        <v>123</v>
      </c>
    </row>
    <row r="6" spans="1:12">
      <c r="A6" s="30">
        <v>228</v>
      </c>
      <c r="B6" s="30" t="s">
        <v>208</v>
      </c>
      <c r="C6" s="30">
        <v>3</v>
      </c>
      <c r="D6" s="30" t="s">
        <v>162</v>
      </c>
      <c r="E6" s="30">
        <v>1</v>
      </c>
      <c r="F6" s="30">
        <v>1</v>
      </c>
      <c r="G6" s="57" t="s">
        <v>123</v>
      </c>
      <c r="H6" s="30" t="s">
        <v>207</v>
      </c>
      <c r="I6" s="30">
        <v>3</v>
      </c>
      <c r="J6" s="30">
        <v>1</v>
      </c>
      <c r="K6" s="30">
        <v>1</v>
      </c>
      <c r="L6" s="57" t="s">
        <v>126</v>
      </c>
    </row>
    <row r="7" spans="1:12">
      <c r="A7" s="30">
        <v>234</v>
      </c>
      <c r="B7" s="30" t="s">
        <v>209</v>
      </c>
      <c r="C7" s="30">
        <v>2</v>
      </c>
      <c r="D7" s="30" t="s">
        <v>158</v>
      </c>
      <c r="E7" s="30">
        <v>1</v>
      </c>
      <c r="F7" s="30">
        <v>1</v>
      </c>
      <c r="G7" s="57" t="s">
        <v>128</v>
      </c>
      <c r="H7" s="30" t="s">
        <v>209</v>
      </c>
      <c r="I7" s="30">
        <v>2</v>
      </c>
      <c r="J7" s="30">
        <v>1</v>
      </c>
      <c r="K7" s="30">
        <v>1</v>
      </c>
      <c r="L7" s="57" t="s">
        <v>128</v>
      </c>
    </row>
    <row r="8" spans="1:12">
      <c r="A8" s="30">
        <v>223</v>
      </c>
      <c r="B8" s="30" t="s">
        <v>210</v>
      </c>
      <c r="C8" s="30">
        <v>1</v>
      </c>
      <c r="D8" s="30" t="s">
        <v>156</v>
      </c>
      <c r="E8" s="30">
        <v>1</v>
      </c>
      <c r="F8" s="30">
        <v>0</v>
      </c>
      <c r="G8" s="57" t="s">
        <v>124</v>
      </c>
      <c r="H8" s="30" t="s">
        <v>211</v>
      </c>
      <c r="I8" s="30">
        <v>4</v>
      </c>
      <c r="J8" s="30">
        <v>1</v>
      </c>
      <c r="K8" s="30">
        <v>0</v>
      </c>
      <c r="L8" s="57" t="s">
        <v>127</v>
      </c>
    </row>
    <row r="9" spans="1:12">
      <c r="A9" s="59" t="s">
        <v>122</v>
      </c>
      <c r="B9" s="59" t="s">
        <v>122</v>
      </c>
      <c r="C9" s="59" t="s">
        <v>122</v>
      </c>
      <c r="D9" s="59" t="s">
        <v>122</v>
      </c>
      <c r="E9" s="59" t="s">
        <v>122</v>
      </c>
      <c r="F9" s="59" t="s">
        <v>122</v>
      </c>
      <c r="G9" s="60" t="s">
        <v>122</v>
      </c>
      <c r="H9" s="30" t="s">
        <v>212</v>
      </c>
      <c r="I9" s="30">
        <v>3</v>
      </c>
      <c r="J9" s="30">
        <v>1</v>
      </c>
      <c r="K9" s="30">
        <v>0</v>
      </c>
      <c r="L9" s="60" t="s">
        <v>123</v>
      </c>
    </row>
    <row r="10" spans="1:12">
      <c r="A10" s="30">
        <v>221</v>
      </c>
      <c r="B10" s="30" t="s">
        <v>213</v>
      </c>
      <c r="C10" s="30">
        <v>3</v>
      </c>
      <c r="D10" s="30" t="s">
        <v>163</v>
      </c>
      <c r="E10" s="30">
        <v>1</v>
      </c>
      <c r="F10" s="30">
        <v>2</v>
      </c>
      <c r="G10" s="57" t="s">
        <v>123</v>
      </c>
      <c r="H10" s="30" t="s">
        <v>213</v>
      </c>
      <c r="I10" s="30">
        <v>3</v>
      </c>
      <c r="J10" s="30">
        <v>1</v>
      </c>
      <c r="K10" s="30">
        <v>2</v>
      </c>
      <c r="L10" s="57" t="s">
        <v>123</v>
      </c>
    </row>
    <row r="11" spans="1:12">
      <c r="A11" s="30">
        <v>236</v>
      </c>
      <c r="B11" s="30" t="s">
        <v>214</v>
      </c>
      <c r="C11" s="30">
        <v>4</v>
      </c>
      <c r="D11" s="30" t="s">
        <v>163</v>
      </c>
      <c r="E11" s="30">
        <v>1</v>
      </c>
      <c r="F11" s="30">
        <v>2</v>
      </c>
      <c r="G11" s="57" t="s">
        <v>127</v>
      </c>
      <c r="H11" s="30" t="s">
        <v>214</v>
      </c>
      <c r="I11" s="30">
        <v>4</v>
      </c>
      <c r="J11" s="30">
        <v>1</v>
      </c>
      <c r="K11" s="30">
        <v>2</v>
      </c>
      <c r="L11" s="57" t="s">
        <v>127</v>
      </c>
    </row>
    <row r="12" spans="1:12">
      <c r="A12" s="30">
        <v>218</v>
      </c>
      <c r="B12" s="30" t="s">
        <v>215</v>
      </c>
      <c r="C12" s="30">
        <v>2</v>
      </c>
      <c r="D12" s="30" t="s">
        <v>161</v>
      </c>
      <c r="E12" s="30">
        <v>1</v>
      </c>
      <c r="F12" s="30">
        <v>2</v>
      </c>
      <c r="G12" s="57" t="s">
        <v>121</v>
      </c>
      <c r="H12" s="30" t="s">
        <v>215</v>
      </c>
      <c r="I12" s="30">
        <v>2</v>
      </c>
      <c r="J12" s="30">
        <v>1</v>
      </c>
      <c r="K12" s="30">
        <v>2</v>
      </c>
      <c r="L12" s="57" t="s">
        <v>121</v>
      </c>
    </row>
    <row r="13" spans="1:12">
      <c r="A13" s="30">
        <v>226</v>
      </c>
      <c r="B13" s="30" t="s">
        <v>216</v>
      </c>
      <c r="C13" s="30">
        <v>2</v>
      </c>
      <c r="D13" s="30" t="s">
        <v>161</v>
      </c>
      <c r="E13" s="30">
        <v>1</v>
      </c>
      <c r="F13" s="30">
        <v>2</v>
      </c>
      <c r="G13" s="57" t="s">
        <v>127</v>
      </c>
      <c r="H13" s="30" t="s">
        <v>217</v>
      </c>
      <c r="I13" s="30">
        <v>2</v>
      </c>
      <c r="J13" s="30">
        <v>1</v>
      </c>
      <c r="K13" s="30">
        <v>2</v>
      </c>
      <c r="L13" s="57" t="s">
        <v>127</v>
      </c>
    </row>
    <row r="14" spans="1:12">
      <c r="A14" s="30">
        <v>229</v>
      </c>
      <c r="B14" s="30" t="s">
        <v>218</v>
      </c>
      <c r="C14" s="30">
        <v>2</v>
      </c>
      <c r="D14" s="30" t="s">
        <v>155</v>
      </c>
      <c r="E14" s="30">
        <v>0</v>
      </c>
      <c r="F14" s="30">
        <v>1</v>
      </c>
      <c r="G14" s="57" t="s">
        <v>123</v>
      </c>
      <c r="H14" s="30" t="s">
        <v>218</v>
      </c>
      <c r="I14" s="30">
        <v>2</v>
      </c>
      <c r="J14" s="30">
        <v>0</v>
      </c>
      <c r="K14" s="30">
        <v>1</v>
      </c>
      <c r="L14" s="57" t="s">
        <v>123</v>
      </c>
    </row>
    <row r="15" spans="1:12">
      <c r="A15" s="30">
        <v>219</v>
      </c>
      <c r="B15" s="30" t="s">
        <v>219</v>
      </c>
      <c r="C15" s="30">
        <v>1</v>
      </c>
      <c r="D15" s="30" t="s">
        <v>160</v>
      </c>
      <c r="E15" s="30">
        <v>1</v>
      </c>
      <c r="F15" s="30">
        <v>1</v>
      </c>
      <c r="G15" s="57" t="s">
        <v>121</v>
      </c>
      <c r="H15" s="30" t="s">
        <v>219</v>
      </c>
      <c r="I15" s="30">
        <v>1</v>
      </c>
      <c r="J15" s="30">
        <v>1</v>
      </c>
      <c r="K15" s="30">
        <v>1</v>
      </c>
      <c r="L15" s="57" t="s">
        <v>121</v>
      </c>
    </row>
    <row r="16" spans="1:12">
      <c r="A16" s="30">
        <v>230</v>
      </c>
      <c r="B16" s="30" t="s">
        <v>220</v>
      </c>
      <c r="C16" s="30">
        <v>3</v>
      </c>
      <c r="D16" s="30" t="s">
        <v>160</v>
      </c>
      <c r="E16" s="30">
        <v>1</v>
      </c>
      <c r="F16" s="30">
        <v>1</v>
      </c>
      <c r="G16" s="57" t="s">
        <v>123</v>
      </c>
      <c r="H16" s="30" t="s">
        <v>220</v>
      </c>
      <c r="I16" s="30">
        <v>3</v>
      </c>
      <c r="J16" s="30">
        <v>1</v>
      </c>
      <c r="K16" s="30">
        <v>1</v>
      </c>
      <c r="L16" s="57" t="s">
        <v>123</v>
      </c>
    </row>
    <row r="17" spans="1:12">
      <c r="A17" s="30">
        <v>235</v>
      </c>
      <c r="B17" s="30" t="s">
        <v>221</v>
      </c>
      <c r="C17" s="30">
        <v>2</v>
      </c>
      <c r="D17" s="30" t="s">
        <v>154</v>
      </c>
      <c r="E17" s="30">
        <v>1</v>
      </c>
      <c r="F17" s="30">
        <v>1</v>
      </c>
      <c r="G17" s="57" t="s">
        <v>128</v>
      </c>
      <c r="H17" s="30" t="s">
        <v>221</v>
      </c>
      <c r="I17" s="30">
        <v>2</v>
      </c>
      <c r="J17" s="30">
        <v>1</v>
      </c>
      <c r="K17" s="30">
        <v>1</v>
      </c>
      <c r="L17" s="57" t="s">
        <v>128</v>
      </c>
    </row>
    <row r="18" spans="1:12">
      <c r="A18" s="30">
        <v>224</v>
      </c>
      <c r="B18" s="30" t="s">
        <v>222</v>
      </c>
      <c r="C18" s="30">
        <v>3</v>
      </c>
      <c r="D18" s="30" t="s">
        <v>165</v>
      </c>
      <c r="E18" s="30">
        <v>1</v>
      </c>
      <c r="F18" s="30">
        <v>2</v>
      </c>
      <c r="G18" s="57" t="s">
        <v>124</v>
      </c>
      <c r="H18" s="30" t="s">
        <v>223</v>
      </c>
      <c r="I18" s="30">
        <v>4</v>
      </c>
      <c r="J18" s="30">
        <v>1</v>
      </c>
      <c r="K18" s="30">
        <v>2</v>
      </c>
      <c r="L18" s="57" t="s">
        <v>123</v>
      </c>
    </row>
    <row r="19" spans="1:12">
      <c r="A19" s="30">
        <v>231</v>
      </c>
      <c r="B19" s="30" t="s">
        <v>223</v>
      </c>
      <c r="C19" s="30">
        <v>4</v>
      </c>
      <c r="D19" s="30" t="s">
        <v>165</v>
      </c>
      <c r="E19" s="30">
        <v>1</v>
      </c>
      <c r="F19" s="30">
        <v>2</v>
      </c>
      <c r="G19" s="57" t="s">
        <v>123</v>
      </c>
      <c r="H19" s="30" t="s">
        <v>224</v>
      </c>
      <c r="I19" s="30">
        <v>3</v>
      </c>
      <c r="J19" s="30">
        <v>1</v>
      </c>
      <c r="K19" s="30">
        <v>2</v>
      </c>
      <c r="L19" s="57" t="s">
        <v>127</v>
      </c>
    </row>
    <row r="20" spans="1:12">
      <c r="A20" s="30">
        <v>233</v>
      </c>
      <c r="B20" s="30" t="s">
        <v>224</v>
      </c>
      <c r="C20" s="30">
        <v>3</v>
      </c>
      <c r="D20" s="30" t="s">
        <v>165</v>
      </c>
      <c r="E20" s="30">
        <v>1</v>
      </c>
      <c r="F20" s="30">
        <v>2</v>
      </c>
      <c r="G20" s="57" t="s">
        <v>127</v>
      </c>
      <c r="H20" s="59" t="s">
        <v>122</v>
      </c>
      <c r="I20" s="59" t="s">
        <v>122</v>
      </c>
      <c r="J20" s="59" t="s">
        <v>122</v>
      </c>
      <c r="K20" s="59" t="s">
        <v>122</v>
      </c>
      <c r="L20" s="57" t="s">
        <v>122</v>
      </c>
    </row>
    <row r="21" spans="1:12">
      <c r="A21" s="30">
        <v>227</v>
      </c>
      <c r="B21" s="30" t="s">
        <v>225</v>
      </c>
      <c r="C21" s="30">
        <v>2</v>
      </c>
      <c r="D21" s="30" t="s">
        <v>159</v>
      </c>
      <c r="E21" s="30">
        <v>1</v>
      </c>
      <c r="F21" s="30">
        <v>2</v>
      </c>
      <c r="G21" s="57" t="s">
        <v>127</v>
      </c>
      <c r="H21" s="30" t="s">
        <v>225</v>
      </c>
      <c r="I21" s="30">
        <v>2</v>
      </c>
      <c r="J21" s="58"/>
      <c r="K21" s="58"/>
      <c r="L21" s="57" t="s">
        <v>127</v>
      </c>
    </row>
  </sheetData>
  <mergeCells count="6">
    <mergeCell ref="E1:G1"/>
    <mergeCell ref="H1:L1"/>
    <mergeCell ref="C1:C2"/>
    <mergeCell ref="B1:B2"/>
    <mergeCell ref="A1:A2"/>
    <mergeCell ref="D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BAAD-35DF-4A7C-A927-32E2A19C9F25}">
  <dimension ref="A1:I29"/>
  <sheetViews>
    <sheetView workbookViewId="0">
      <selection activeCell="I1" sqref="I1"/>
    </sheetView>
  </sheetViews>
  <sheetFormatPr defaultRowHeight="14.45"/>
  <cols>
    <col min="4" max="4" width="13.85546875" bestFit="1" customWidth="1"/>
    <col min="6" max="6" width="22" bestFit="1" customWidth="1"/>
    <col min="7" max="7" width="21.5703125" bestFit="1" customWidth="1"/>
    <col min="8" max="8" width="37.7109375" bestFit="1" customWidth="1"/>
    <col min="9" max="9" width="39.85546875" customWidth="1"/>
  </cols>
  <sheetData>
    <row r="1" spans="1:9" ht="29.1">
      <c r="A1" s="104" t="s">
        <v>60</v>
      </c>
      <c r="B1" s="104" t="s">
        <v>226</v>
      </c>
      <c r="C1" s="104" t="s">
        <v>227</v>
      </c>
      <c r="D1" s="104" t="s">
        <v>228</v>
      </c>
      <c r="E1" s="104" t="s">
        <v>229</v>
      </c>
      <c r="F1" s="104" t="s">
        <v>203</v>
      </c>
      <c r="G1" s="104" t="s">
        <v>204</v>
      </c>
      <c r="H1" s="54" t="s">
        <v>3</v>
      </c>
      <c r="I1" s="55" t="s">
        <v>111</v>
      </c>
    </row>
    <row r="2" spans="1:9">
      <c r="A2" s="104"/>
      <c r="B2" s="104"/>
      <c r="C2" s="104"/>
      <c r="D2" s="104"/>
      <c r="E2" s="104"/>
      <c r="F2" s="104"/>
      <c r="G2" s="104"/>
      <c r="H2" s="56" t="s">
        <v>230</v>
      </c>
      <c r="I2" s="56" t="s">
        <v>230</v>
      </c>
    </row>
    <row r="3" spans="1:9">
      <c r="A3" s="30">
        <v>218</v>
      </c>
      <c r="B3" s="30">
        <v>425000</v>
      </c>
      <c r="C3" s="30" t="s">
        <v>148</v>
      </c>
      <c r="D3" s="30" t="s">
        <v>231</v>
      </c>
      <c r="E3" s="30">
        <v>9</v>
      </c>
      <c r="F3" s="30">
        <v>0</v>
      </c>
      <c r="G3" s="30">
        <v>0</v>
      </c>
      <c r="H3" s="57">
        <v>1</v>
      </c>
      <c r="I3" s="57">
        <v>1</v>
      </c>
    </row>
    <row r="4" spans="1:9">
      <c r="A4" s="30">
        <v>219</v>
      </c>
      <c r="B4" s="30">
        <v>200000</v>
      </c>
      <c r="C4" s="30" t="s">
        <v>164</v>
      </c>
      <c r="D4" s="30" t="s">
        <v>232</v>
      </c>
      <c r="E4" s="30">
        <v>6</v>
      </c>
      <c r="F4" s="30">
        <v>1</v>
      </c>
      <c r="G4" s="30">
        <v>1</v>
      </c>
      <c r="H4" s="57">
        <v>4</v>
      </c>
      <c r="I4" s="57">
        <v>4</v>
      </c>
    </row>
    <row r="5" spans="1:9">
      <c r="A5" s="30">
        <v>220</v>
      </c>
      <c r="B5" s="30">
        <v>425000</v>
      </c>
      <c r="C5" s="30" t="s">
        <v>162</v>
      </c>
      <c r="D5" s="30" t="s">
        <v>233</v>
      </c>
      <c r="E5" s="30">
        <v>9</v>
      </c>
      <c r="F5" s="30">
        <v>1</v>
      </c>
      <c r="G5" s="30">
        <v>1</v>
      </c>
      <c r="H5" s="57">
        <v>4</v>
      </c>
      <c r="I5" s="57">
        <v>4</v>
      </c>
    </row>
    <row r="6" spans="1:9">
      <c r="A6" s="30">
        <v>221</v>
      </c>
      <c r="B6" s="30">
        <v>200000</v>
      </c>
      <c r="C6" s="30" t="s">
        <v>147</v>
      </c>
      <c r="D6" s="30" t="s">
        <v>234</v>
      </c>
      <c r="E6" s="30">
        <v>6</v>
      </c>
      <c r="F6" s="30">
        <v>0</v>
      </c>
      <c r="G6" s="30">
        <v>0</v>
      </c>
      <c r="H6" s="57">
        <v>1</v>
      </c>
      <c r="I6" s="57">
        <v>1</v>
      </c>
    </row>
    <row r="7" spans="1:9">
      <c r="A7" s="30">
        <v>222</v>
      </c>
      <c r="B7" s="30">
        <v>200000</v>
      </c>
      <c r="C7" s="30" t="s">
        <v>153</v>
      </c>
      <c r="D7" s="30" t="s">
        <v>235</v>
      </c>
      <c r="E7" s="30">
        <v>6</v>
      </c>
      <c r="F7" s="30">
        <v>0</v>
      </c>
      <c r="G7" s="30">
        <v>0</v>
      </c>
      <c r="H7" s="57">
        <v>2</v>
      </c>
      <c r="I7" s="57">
        <v>1</v>
      </c>
    </row>
    <row r="8" spans="1:9">
      <c r="A8" s="30">
        <v>223</v>
      </c>
      <c r="B8" s="30">
        <v>100000</v>
      </c>
      <c r="C8" s="30" t="s">
        <v>158</v>
      </c>
      <c r="D8" s="30" t="s">
        <v>236</v>
      </c>
      <c r="E8" s="30">
        <v>3</v>
      </c>
      <c r="F8" s="30">
        <v>1</v>
      </c>
      <c r="G8" s="30">
        <v>1</v>
      </c>
      <c r="H8" s="57">
        <v>3</v>
      </c>
      <c r="I8" s="57">
        <v>4</v>
      </c>
    </row>
    <row r="9" spans="1:9">
      <c r="A9" s="30">
        <v>224</v>
      </c>
      <c r="B9" s="30">
        <v>100000</v>
      </c>
      <c r="C9" s="30" t="s">
        <v>146</v>
      </c>
      <c r="D9" s="30" t="s">
        <v>237</v>
      </c>
      <c r="E9" s="30">
        <v>3</v>
      </c>
      <c r="F9" s="30">
        <v>0</v>
      </c>
      <c r="G9" s="30">
        <v>0</v>
      </c>
      <c r="H9" s="57">
        <v>1</v>
      </c>
      <c r="I9" s="57">
        <v>1</v>
      </c>
    </row>
    <row r="10" spans="1:9">
      <c r="A10" s="30">
        <v>225</v>
      </c>
      <c r="B10" s="30">
        <v>300000</v>
      </c>
      <c r="C10" s="30" t="s">
        <v>144</v>
      </c>
      <c r="D10" s="30" t="s">
        <v>238</v>
      </c>
      <c r="E10" s="30">
        <v>8</v>
      </c>
      <c r="F10" s="30">
        <v>0</v>
      </c>
      <c r="G10" s="30">
        <v>0</v>
      </c>
      <c r="H10" s="57">
        <v>1</v>
      </c>
      <c r="I10" s="57">
        <v>1</v>
      </c>
    </row>
    <row r="11" spans="1:9">
      <c r="A11" s="30">
        <v>226</v>
      </c>
      <c r="B11" s="30">
        <v>300000</v>
      </c>
      <c r="C11" s="30" t="s">
        <v>152</v>
      </c>
      <c r="D11" s="30" t="s">
        <v>239</v>
      </c>
      <c r="E11" s="30">
        <v>8</v>
      </c>
      <c r="F11" s="30">
        <v>0</v>
      </c>
      <c r="G11" s="30">
        <v>0</v>
      </c>
      <c r="H11" s="57">
        <v>2</v>
      </c>
      <c r="I11" s="57">
        <v>1</v>
      </c>
    </row>
    <row r="12" spans="1:9">
      <c r="A12" s="30">
        <v>227</v>
      </c>
      <c r="B12" s="30">
        <v>300000</v>
      </c>
      <c r="C12" s="30" t="s">
        <v>157</v>
      </c>
      <c r="D12" s="30" t="s">
        <v>240</v>
      </c>
      <c r="E12" s="30">
        <v>8</v>
      </c>
      <c r="F12" s="30">
        <v>0</v>
      </c>
      <c r="G12" s="30">
        <v>0</v>
      </c>
      <c r="H12" s="57">
        <v>3</v>
      </c>
      <c r="I12" s="57">
        <v>4</v>
      </c>
    </row>
    <row r="13" spans="1:9">
      <c r="A13" s="30">
        <v>228</v>
      </c>
      <c r="B13" s="30">
        <v>160000</v>
      </c>
      <c r="C13" s="30" t="s">
        <v>143</v>
      </c>
      <c r="D13" s="30" t="s">
        <v>241</v>
      </c>
      <c r="E13" s="30">
        <v>5</v>
      </c>
      <c r="F13" s="30">
        <v>0</v>
      </c>
      <c r="G13" s="30">
        <v>0</v>
      </c>
      <c r="H13" s="57">
        <v>1</v>
      </c>
      <c r="I13" s="57">
        <v>1</v>
      </c>
    </row>
    <row r="14" spans="1:9">
      <c r="A14" s="30">
        <v>229</v>
      </c>
      <c r="B14" s="30">
        <v>160000</v>
      </c>
      <c r="C14" s="30" t="s">
        <v>145</v>
      </c>
      <c r="D14" s="30" t="s">
        <v>242</v>
      </c>
      <c r="E14" s="30">
        <v>5</v>
      </c>
      <c r="F14" s="30">
        <v>0</v>
      </c>
      <c r="G14" s="30">
        <v>0</v>
      </c>
      <c r="H14" s="57">
        <v>1</v>
      </c>
      <c r="I14" s="57">
        <v>1</v>
      </c>
    </row>
    <row r="15" spans="1:9">
      <c r="A15" s="30">
        <v>230</v>
      </c>
      <c r="B15" s="30">
        <v>160000</v>
      </c>
      <c r="C15" s="30" t="s">
        <v>156</v>
      </c>
      <c r="D15" s="30" t="s">
        <v>243</v>
      </c>
      <c r="E15" s="30">
        <v>5</v>
      </c>
      <c r="F15" s="30">
        <v>1</v>
      </c>
      <c r="G15" s="30">
        <v>0</v>
      </c>
      <c r="H15" s="57">
        <v>3</v>
      </c>
      <c r="I15" s="57">
        <v>4</v>
      </c>
    </row>
    <row r="16" spans="1:9">
      <c r="A16" s="30">
        <v>231</v>
      </c>
      <c r="B16" s="30">
        <v>160000</v>
      </c>
      <c r="C16" s="30" t="s">
        <v>163</v>
      </c>
      <c r="D16" s="30" t="s">
        <v>244</v>
      </c>
      <c r="E16" s="30">
        <v>5</v>
      </c>
      <c r="F16" s="30">
        <v>1</v>
      </c>
      <c r="G16" s="30">
        <v>2</v>
      </c>
      <c r="H16" s="57">
        <v>4</v>
      </c>
      <c r="I16" s="57">
        <v>4</v>
      </c>
    </row>
    <row r="17" spans="1:9">
      <c r="A17" s="30">
        <v>232</v>
      </c>
      <c r="B17" s="30">
        <v>80000</v>
      </c>
      <c r="C17" s="30" t="s">
        <v>161</v>
      </c>
      <c r="D17" s="30" t="s">
        <v>245</v>
      </c>
      <c r="E17" s="30">
        <v>2</v>
      </c>
      <c r="F17" s="30">
        <v>1</v>
      </c>
      <c r="G17" s="30">
        <v>2</v>
      </c>
      <c r="H17" s="57">
        <v>4</v>
      </c>
      <c r="I17" s="57">
        <v>4</v>
      </c>
    </row>
    <row r="18" spans="1:9">
      <c r="A18" s="30">
        <v>233</v>
      </c>
      <c r="B18" s="30">
        <v>80000</v>
      </c>
      <c r="C18" s="30" t="s">
        <v>151</v>
      </c>
      <c r="D18" s="30" t="s">
        <v>246</v>
      </c>
      <c r="E18" s="30">
        <v>2</v>
      </c>
      <c r="F18" s="30">
        <v>0</v>
      </c>
      <c r="G18" s="30">
        <v>0</v>
      </c>
      <c r="H18" s="57">
        <v>2</v>
      </c>
      <c r="I18" s="57">
        <v>1</v>
      </c>
    </row>
    <row r="19" spans="1:9">
      <c r="A19" s="30">
        <v>234</v>
      </c>
      <c r="B19" s="30">
        <v>80000</v>
      </c>
      <c r="C19" s="30" t="s">
        <v>142</v>
      </c>
      <c r="D19" s="30" t="s">
        <v>247</v>
      </c>
      <c r="E19" s="30">
        <v>2</v>
      </c>
      <c r="F19" s="30">
        <v>0</v>
      </c>
      <c r="G19" s="30">
        <v>0</v>
      </c>
      <c r="H19" s="57">
        <v>1</v>
      </c>
      <c r="I19" s="57">
        <v>1</v>
      </c>
    </row>
    <row r="20" spans="1:9">
      <c r="A20" s="30">
        <v>235</v>
      </c>
      <c r="B20" s="30">
        <v>200000</v>
      </c>
      <c r="C20" s="30" t="s">
        <v>141</v>
      </c>
      <c r="D20" s="30" t="s">
        <v>248</v>
      </c>
      <c r="E20" s="30">
        <v>6</v>
      </c>
      <c r="F20" s="30">
        <v>0</v>
      </c>
      <c r="G20" s="30">
        <v>0</v>
      </c>
      <c r="H20" s="57">
        <v>1</v>
      </c>
      <c r="I20" s="57">
        <v>1</v>
      </c>
    </row>
    <row r="21" spans="1:9">
      <c r="A21" s="30">
        <v>236</v>
      </c>
      <c r="B21" s="30">
        <v>200000</v>
      </c>
      <c r="C21" s="30" t="s">
        <v>155</v>
      </c>
      <c r="D21" s="30" t="s">
        <v>249</v>
      </c>
      <c r="E21" s="30">
        <v>6</v>
      </c>
      <c r="F21" s="30">
        <v>0</v>
      </c>
      <c r="G21" s="30">
        <v>1</v>
      </c>
      <c r="H21" s="57">
        <v>3</v>
      </c>
      <c r="I21" s="57">
        <v>4</v>
      </c>
    </row>
    <row r="22" spans="1:9">
      <c r="A22" s="30">
        <v>237</v>
      </c>
      <c r="B22" s="30">
        <v>200000</v>
      </c>
      <c r="C22" s="30" t="s">
        <v>160</v>
      </c>
      <c r="D22" s="30" t="s">
        <v>250</v>
      </c>
      <c r="E22" s="30">
        <v>6</v>
      </c>
      <c r="F22" s="30">
        <v>1</v>
      </c>
      <c r="G22" s="30">
        <v>1</v>
      </c>
      <c r="H22" s="57">
        <v>4</v>
      </c>
      <c r="I22" s="57">
        <v>4</v>
      </c>
    </row>
    <row r="23" spans="1:9">
      <c r="A23" s="30">
        <v>238</v>
      </c>
      <c r="B23" s="30">
        <v>125000</v>
      </c>
      <c r="C23" s="30" t="s">
        <v>140</v>
      </c>
      <c r="D23" s="30" t="s">
        <v>251</v>
      </c>
      <c r="E23" s="30">
        <v>4</v>
      </c>
      <c r="F23" s="30">
        <v>0</v>
      </c>
      <c r="G23" s="30">
        <v>0</v>
      </c>
      <c r="H23" s="57">
        <v>1</v>
      </c>
      <c r="I23" s="57">
        <v>1</v>
      </c>
    </row>
    <row r="24" spans="1:9">
      <c r="A24" s="30">
        <v>239</v>
      </c>
      <c r="B24" s="30">
        <v>125000</v>
      </c>
      <c r="C24" s="30" t="s">
        <v>150</v>
      </c>
      <c r="D24" s="30" t="s">
        <v>252</v>
      </c>
      <c r="E24" s="30">
        <v>4</v>
      </c>
      <c r="F24" s="30">
        <v>0</v>
      </c>
      <c r="G24" s="30">
        <v>0</v>
      </c>
      <c r="H24" s="57">
        <v>2</v>
      </c>
      <c r="I24" s="57">
        <v>1</v>
      </c>
    </row>
    <row r="25" spans="1:9">
      <c r="A25" s="30">
        <v>240</v>
      </c>
      <c r="B25" s="30">
        <v>125000</v>
      </c>
      <c r="C25" s="30" t="s">
        <v>154</v>
      </c>
      <c r="D25" s="30" t="s">
        <v>253</v>
      </c>
      <c r="E25" s="30">
        <v>4</v>
      </c>
      <c r="F25" s="30">
        <v>1</v>
      </c>
      <c r="G25" s="30">
        <v>1</v>
      </c>
      <c r="H25" s="57">
        <v>3</v>
      </c>
      <c r="I25" s="57">
        <v>4</v>
      </c>
    </row>
    <row r="26" spans="1:9">
      <c r="A26" s="30">
        <v>241</v>
      </c>
      <c r="B26" s="30">
        <v>125000</v>
      </c>
      <c r="C26" s="30" t="s">
        <v>165</v>
      </c>
      <c r="D26" s="30" t="s">
        <v>254</v>
      </c>
      <c r="E26" s="30">
        <v>4</v>
      </c>
      <c r="F26" s="30">
        <v>1</v>
      </c>
      <c r="G26" s="30">
        <v>2</v>
      </c>
      <c r="H26" s="57">
        <v>3</v>
      </c>
      <c r="I26" s="57">
        <v>4</v>
      </c>
    </row>
    <row r="27" spans="1:9">
      <c r="A27" s="30">
        <v>242</v>
      </c>
      <c r="B27" s="30">
        <v>70000</v>
      </c>
      <c r="C27" s="30" t="s">
        <v>159</v>
      </c>
      <c r="D27" s="30" t="s">
        <v>255</v>
      </c>
      <c r="E27" s="30">
        <v>2</v>
      </c>
      <c r="F27" s="30">
        <v>1</v>
      </c>
      <c r="G27" s="30">
        <v>2</v>
      </c>
      <c r="H27" s="57">
        <v>4</v>
      </c>
      <c r="I27" s="57">
        <v>4</v>
      </c>
    </row>
    <row r="28" spans="1:9">
      <c r="A28" s="30">
        <v>243</v>
      </c>
      <c r="B28" s="30">
        <v>70000</v>
      </c>
      <c r="C28" s="30" t="s">
        <v>149</v>
      </c>
      <c r="D28" s="30" t="s">
        <v>256</v>
      </c>
      <c r="E28" s="30">
        <v>2</v>
      </c>
      <c r="F28" s="30">
        <v>0</v>
      </c>
      <c r="G28" s="30">
        <v>0</v>
      </c>
      <c r="H28" s="57">
        <v>2</v>
      </c>
      <c r="I28" s="57">
        <v>1</v>
      </c>
    </row>
    <row r="29" spans="1:9">
      <c r="A29" s="30">
        <v>244</v>
      </c>
      <c r="B29" s="30">
        <v>70000</v>
      </c>
      <c r="C29" s="30" t="s">
        <v>139</v>
      </c>
      <c r="D29" s="30" t="s">
        <v>257</v>
      </c>
      <c r="E29" s="30">
        <v>2</v>
      </c>
      <c r="F29" s="30">
        <v>0</v>
      </c>
      <c r="G29" s="30">
        <v>0</v>
      </c>
      <c r="H29" s="57">
        <v>1</v>
      </c>
      <c r="I29" s="57">
        <v>1</v>
      </c>
    </row>
  </sheetData>
  <mergeCells count="7">
    <mergeCell ref="A1:A2"/>
    <mergeCell ref="G1:G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D387B0719C7D4693366CFB3DC5F0A5" ma:contentTypeVersion="4" ma:contentTypeDescription="Een nieuw document maken." ma:contentTypeScope="" ma:versionID="f159ab279d6e32c9fb4e0a954fceeb63">
  <xsd:schema xmlns:xsd="http://www.w3.org/2001/XMLSchema" xmlns:xs="http://www.w3.org/2001/XMLSchema" xmlns:p="http://schemas.microsoft.com/office/2006/metadata/properties" xmlns:ns2="5a0b1254-ac81-44e5-b073-fefb3f0a0560" targetNamespace="http://schemas.microsoft.com/office/2006/metadata/properties" ma:root="true" ma:fieldsID="b79687fea62c67bea428ff26962c9624" ns2:_="">
    <xsd:import namespace="5a0b1254-ac81-44e5-b073-fefb3f0a05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b1254-ac81-44e5-b073-fefb3f0a0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356544-6C26-4B13-9D44-43CE4A9826E2}"/>
</file>

<file path=customXml/itemProps2.xml><?xml version="1.0" encoding="utf-8"?>
<ds:datastoreItem xmlns:ds="http://schemas.openxmlformats.org/officeDocument/2006/customXml" ds:itemID="{393E55A6-B09D-4422-B02A-15A9FB18DC2A}"/>
</file>

<file path=customXml/itemProps3.xml><?xml version="1.0" encoding="utf-8"?>
<ds:datastoreItem xmlns:ds="http://schemas.openxmlformats.org/officeDocument/2006/customXml" ds:itemID="{0E3BB57F-B67D-4CCA-B21A-514401236D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Juliette Cortes Arevalo</dc:creator>
  <cp:keywords/>
  <dc:description/>
  <cp:lastModifiedBy/>
  <cp:revision/>
  <dcterms:created xsi:type="dcterms:W3CDTF">2025-11-28T02:11:37Z</dcterms:created>
  <dcterms:modified xsi:type="dcterms:W3CDTF">2026-01-06T09:42:49Z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0x01010014D387B0719C7D4693366CFB3DC5F0A5</vt:lpwstr>
  </property>
</Properties>
</file>