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ud365-my.sharepoint.com/personal/idattatreya_tudelft_nl/Documents/BEP_copy/BranchInes/Scripts_vjcortesa/data_output/GS4_25-24_presurveys/"/>
    </mc:Choice>
  </mc:AlternateContent>
  <xr:revisionPtr revIDLastSave="378" documentId="8_{2A57D442-2CDF-480D-BEE8-91F9534C817C}" xr6:coauthVersionLast="47" xr6:coauthVersionMax="47" xr10:uidLastSave="{D0BAFBCE-C4C7-4CBA-9517-BDFB5D793E8C}"/>
  <bookViews>
    <workbookView xWindow="29400" yWindow="500" windowWidth="29040" windowHeight="15720" activeTab="5" xr2:uid="{00000000-000D-0000-FFFF-FFFF00000000}"/>
  </bookViews>
  <sheets>
    <sheet name="251007" sheetId="4" r:id="rId1"/>
    <sheet name="250923" sheetId="3" r:id="rId2"/>
    <sheet name="240924" sheetId="2" r:id="rId3"/>
    <sheet name="Settings" sheetId="5" r:id="rId4"/>
    <sheet name="all" sheetId="7" r:id="rId5"/>
    <sheet name="Overview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6" l="1"/>
  <c r="E7" i="6"/>
  <c r="E3" i="6"/>
  <c r="E4" i="6"/>
  <c r="E5" i="6"/>
  <c r="E6" i="6"/>
  <c r="E2" i="6"/>
  <c r="D8" i="6"/>
  <c r="D7" i="6"/>
  <c r="D3" i="6"/>
  <c r="D4" i="6"/>
  <c r="D5" i="6"/>
  <c r="D6" i="6"/>
  <c r="D2" i="6"/>
  <c r="X162" i="7" a="1"/>
  <c r="X162" i="7" s="1"/>
  <c r="V162" i="7" a="1"/>
  <c r="V162" i="7" s="1"/>
  <c r="T162" i="7" a="1"/>
  <c r="T162" i="7" s="1"/>
  <c r="R162" i="7" a="1"/>
  <c r="R162" i="7" s="1"/>
  <c r="P162" i="7" a="1"/>
  <c r="P162" i="7" s="1"/>
  <c r="N162" i="7" a="1"/>
  <c r="N162" i="7" s="1"/>
  <c r="L162" i="7" a="1"/>
  <c r="L162" i="7" s="1"/>
  <c r="J162" i="7" a="1"/>
  <c r="J162" i="7" s="1"/>
  <c r="H162" i="7" a="1"/>
  <c r="H162" i="7" s="1"/>
  <c r="H161" i="7" a="1"/>
  <c r="H161" i="7" s="1"/>
  <c r="X161" i="7" a="1"/>
  <c r="X161" i="7" s="1"/>
  <c r="V161" i="7" a="1"/>
  <c r="V161" i="7" s="1"/>
  <c r="T161" i="7" a="1"/>
  <c r="T161" i="7" s="1"/>
  <c r="R161" i="7" a="1"/>
  <c r="R161" i="7" s="1"/>
  <c r="P161" i="7" a="1"/>
  <c r="P161" i="7" s="1"/>
  <c r="N161" i="7" a="1"/>
  <c r="N161" i="7" s="1"/>
  <c r="L161" i="7" a="1"/>
  <c r="L161" i="7" s="1"/>
  <c r="J161" i="7" a="1"/>
  <c r="J161" i="7" s="1"/>
  <c r="X159" i="7"/>
  <c r="V159" i="7"/>
  <c r="T159" i="7"/>
  <c r="R159" i="7"/>
  <c r="P159" i="7"/>
  <c r="N159" i="7"/>
  <c r="L159" i="7"/>
  <c r="J159" i="7"/>
  <c r="H159" i="7"/>
  <c r="X158" i="7"/>
  <c r="V158" i="7"/>
  <c r="T158" i="7"/>
  <c r="R158" i="7"/>
  <c r="P158" i="7"/>
  <c r="N158" i="7"/>
  <c r="L158" i="7"/>
  <c r="J158" i="7"/>
  <c r="H158" i="7"/>
  <c r="X157" i="7"/>
  <c r="V157" i="7"/>
  <c r="T157" i="7"/>
  <c r="R157" i="7"/>
  <c r="P157" i="7"/>
  <c r="N157" i="7"/>
  <c r="L157" i="7"/>
  <c r="J157" i="7"/>
  <c r="H157" i="7"/>
  <c r="X156" i="7"/>
  <c r="V156" i="7"/>
  <c r="T156" i="7"/>
  <c r="R156" i="7"/>
  <c r="P156" i="7"/>
  <c r="N156" i="7"/>
  <c r="L156" i="7"/>
  <c r="J156" i="7"/>
  <c r="H156" i="7"/>
  <c r="X155" i="7"/>
  <c r="V155" i="7"/>
  <c r="T155" i="7"/>
  <c r="R155" i="7"/>
  <c r="P155" i="7"/>
  <c r="N155" i="7"/>
  <c r="L155" i="7"/>
  <c r="J155" i="7"/>
  <c r="H155" i="7"/>
  <c r="U25" i="7"/>
  <c r="V25" i="7"/>
  <c r="W25" i="7"/>
  <c r="X25" i="7"/>
  <c r="U26" i="7"/>
  <c r="V26" i="7"/>
  <c r="W26" i="7"/>
  <c r="X26" i="7"/>
  <c r="U27" i="7"/>
  <c r="V27" i="7"/>
  <c r="W27" i="7"/>
  <c r="X27" i="7"/>
  <c r="U28" i="7"/>
  <c r="V28" i="7"/>
  <c r="W28" i="7"/>
  <c r="X28" i="7"/>
  <c r="U29" i="7"/>
  <c r="V29" i="7"/>
  <c r="W29" i="7"/>
  <c r="X29" i="7"/>
  <c r="U30" i="7"/>
  <c r="V30" i="7"/>
  <c r="W30" i="7"/>
  <c r="X30" i="7"/>
  <c r="U31" i="7"/>
  <c r="V31" i="7"/>
  <c r="W31" i="7"/>
  <c r="X31" i="7"/>
  <c r="U32" i="7"/>
  <c r="V32" i="7"/>
  <c r="W32" i="7"/>
  <c r="X32" i="7"/>
  <c r="U33" i="7"/>
  <c r="V33" i="7"/>
  <c r="W33" i="7"/>
  <c r="X33" i="7"/>
  <c r="U34" i="7"/>
  <c r="V34" i="7"/>
  <c r="W34" i="7"/>
  <c r="X34" i="7"/>
  <c r="U35" i="7"/>
  <c r="V35" i="7"/>
  <c r="W35" i="7"/>
  <c r="X35" i="7"/>
  <c r="U36" i="7"/>
  <c r="V36" i="7"/>
  <c r="W36" i="7"/>
  <c r="X36" i="7"/>
  <c r="U37" i="7"/>
  <c r="V37" i="7"/>
  <c r="W37" i="7"/>
  <c r="X37" i="7"/>
  <c r="U38" i="7"/>
  <c r="V38" i="7"/>
  <c r="W38" i="7"/>
  <c r="X38" i="7"/>
  <c r="U39" i="7"/>
  <c r="V39" i="7"/>
  <c r="W39" i="7"/>
  <c r="X39" i="7"/>
  <c r="U40" i="7"/>
  <c r="V40" i="7"/>
  <c r="W40" i="7"/>
  <c r="X40" i="7"/>
  <c r="U41" i="7"/>
  <c r="V41" i="7"/>
  <c r="W41" i="7"/>
  <c r="X41" i="7"/>
  <c r="U42" i="7"/>
  <c r="V42" i="7"/>
  <c r="W42" i="7"/>
  <c r="X42" i="7"/>
  <c r="U43" i="7"/>
  <c r="V43" i="7"/>
  <c r="W43" i="7"/>
  <c r="X43" i="7"/>
  <c r="U44" i="7"/>
  <c r="V44" i="7"/>
  <c r="W44" i="7"/>
  <c r="X44" i="7"/>
  <c r="U45" i="7"/>
  <c r="V45" i="7"/>
  <c r="W45" i="7"/>
  <c r="X45" i="7"/>
  <c r="U46" i="7"/>
  <c r="V46" i="7"/>
  <c r="W46" i="7"/>
  <c r="X46" i="7"/>
  <c r="U47" i="7"/>
  <c r="V47" i="7"/>
  <c r="W47" i="7"/>
  <c r="X47" i="7"/>
  <c r="U48" i="7"/>
  <c r="V48" i="7"/>
  <c r="W48" i="7"/>
  <c r="X48" i="7"/>
  <c r="U49" i="7"/>
  <c r="V49" i="7"/>
  <c r="W49" i="7"/>
  <c r="X49" i="7"/>
  <c r="U50" i="7"/>
  <c r="V50" i="7"/>
  <c r="W50" i="7"/>
  <c r="X50" i="7"/>
  <c r="U51" i="7"/>
  <c r="V51" i="7"/>
  <c r="W51" i="7"/>
  <c r="X51" i="7"/>
  <c r="U52" i="7"/>
  <c r="V52" i="7"/>
  <c r="W52" i="7"/>
  <c r="X52" i="7"/>
  <c r="U53" i="7"/>
  <c r="V53" i="7"/>
  <c r="W53" i="7"/>
  <c r="X53" i="7"/>
  <c r="U54" i="7"/>
  <c r="V54" i="7"/>
  <c r="W54" i="7"/>
  <c r="X54" i="7"/>
  <c r="U55" i="7"/>
  <c r="V55" i="7"/>
  <c r="W55" i="7"/>
  <c r="X55" i="7"/>
  <c r="U56" i="7"/>
  <c r="V56" i="7"/>
  <c r="W56" i="7"/>
  <c r="X56" i="7"/>
  <c r="U57" i="7"/>
  <c r="V57" i="7"/>
  <c r="W57" i="7"/>
  <c r="X57" i="7"/>
  <c r="U58" i="7"/>
  <c r="V58" i="7"/>
  <c r="W58" i="7"/>
  <c r="X58" i="7"/>
  <c r="U59" i="7"/>
  <c r="V59" i="7"/>
  <c r="W59" i="7"/>
  <c r="X59" i="7"/>
  <c r="U60" i="7"/>
  <c r="V60" i="7"/>
  <c r="W60" i="7"/>
  <c r="X60" i="7"/>
  <c r="U61" i="7"/>
  <c r="V61" i="7"/>
  <c r="W61" i="7"/>
  <c r="X61" i="7"/>
  <c r="U62" i="7"/>
  <c r="V62" i="7"/>
  <c r="W62" i="7"/>
  <c r="X62" i="7"/>
  <c r="U63" i="7"/>
  <c r="V63" i="7"/>
  <c r="W63" i="7"/>
  <c r="X63" i="7"/>
  <c r="U64" i="7"/>
  <c r="V64" i="7"/>
  <c r="W64" i="7"/>
  <c r="X64" i="7"/>
  <c r="U65" i="7"/>
  <c r="V65" i="7"/>
  <c r="W65" i="7"/>
  <c r="X65" i="7"/>
  <c r="U66" i="7"/>
  <c r="V66" i="7"/>
  <c r="W66" i="7"/>
  <c r="X66" i="7"/>
  <c r="U67" i="7"/>
  <c r="V67" i="7"/>
  <c r="W67" i="7"/>
  <c r="X67" i="7"/>
  <c r="U68" i="7"/>
  <c r="V68" i="7"/>
  <c r="W68" i="7"/>
  <c r="X68" i="7"/>
  <c r="U69" i="7"/>
  <c r="V69" i="7"/>
  <c r="W69" i="7"/>
  <c r="X69" i="7"/>
  <c r="U70" i="7"/>
  <c r="V70" i="7"/>
  <c r="W70" i="7"/>
  <c r="X70" i="7"/>
  <c r="U71" i="7"/>
  <c r="V71" i="7"/>
  <c r="W71" i="7"/>
  <c r="X71" i="7"/>
  <c r="U72" i="7"/>
  <c r="V72" i="7"/>
  <c r="W72" i="7"/>
  <c r="X72" i="7"/>
  <c r="U73" i="7"/>
  <c r="V73" i="7"/>
  <c r="W73" i="7"/>
  <c r="X73" i="7"/>
  <c r="U74" i="7"/>
  <c r="V74" i="7"/>
  <c r="W74" i="7"/>
  <c r="X74" i="7"/>
  <c r="U75" i="7"/>
  <c r="V75" i="7"/>
  <c r="W75" i="7"/>
  <c r="X75" i="7"/>
  <c r="U76" i="7"/>
  <c r="V76" i="7"/>
  <c r="W76" i="7"/>
  <c r="X76" i="7"/>
  <c r="S26" i="7"/>
  <c r="T26" i="7"/>
  <c r="S27" i="7"/>
  <c r="T27" i="7"/>
  <c r="S28" i="7"/>
  <c r="T28" i="7"/>
  <c r="S29" i="7"/>
  <c r="T29" i="7"/>
  <c r="S30" i="7"/>
  <c r="T30" i="7"/>
  <c r="S31" i="7"/>
  <c r="T31" i="7"/>
  <c r="S32" i="7"/>
  <c r="T32" i="7"/>
  <c r="S33" i="7"/>
  <c r="T33" i="7"/>
  <c r="S34" i="7"/>
  <c r="T34" i="7"/>
  <c r="S35" i="7"/>
  <c r="T35" i="7"/>
  <c r="S36" i="7"/>
  <c r="T36" i="7"/>
  <c r="S37" i="7"/>
  <c r="T37" i="7"/>
  <c r="S38" i="7"/>
  <c r="T38" i="7"/>
  <c r="S39" i="7"/>
  <c r="T39" i="7"/>
  <c r="S40" i="7"/>
  <c r="T40" i="7"/>
  <c r="S41" i="7"/>
  <c r="T41" i="7"/>
  <c r="S42" i="7"/>
  <c r="T42" i="7"/>
  <c r="S43" i="7"/>
  <c r="T43" i="7"/>
  <c r="S44" i="7"/>
  <c r="T44" i="7"/>
  <c r="S45" i="7"/>
  <c r="T45" i="7"/>
  <c r="S46" i="7"/>
  <c r="T46" i="7"/>
  <c r="S47" i="7"/>
  <c r="T47" i="7"/>
  <c r="S48" i="7"/>
  <c r="T48" i="7"/>
  <c r="S49" i="7"/>
  <c r="T49" i="7"/>
  <c r="S50" i="7"/>
  <c r="T50" i="7"/>
  <c r="S51" i="7"/>
  <c r="T51" i="7"/>
  <c r="S52" i="7"/>
  <c r="T52" i="7"/>
  <c r="S53" i="7"/>
  <c r="T53" i="7"/>
  <c r="S54" i="7"/>
  <c r="T54" i="7"/>
  <c r="S55" i="7"/>
  <c r="T55" i="7"/>
  <c r="S56" i="7"/>
  <c r="T56" i="7"/>
  <c r="S57" i="7"/>
  <c r="T57" i="7"/>
  <c r="S58" i="7"/>
  <c r="T58" i="7"/>
  <c r="S59" i="7"/>
  <c r="T59" i="7"/>
  <c r="S60" i="7"/>
  <c r="T60" i="7"/>
  <c r="S61" i="7"/>
  <c r="T61" i="7"/>
  <c r="S62" i="7"/>
  <c r="T62" i="7"/>
  <c r="S63" i="7"/>
  <c r="T63" i="7"/>
  <c r="S64" i="7"/>
  <c r="T64" i="7"/>
  <c r="S65" i="7"/>
  <c r="T65" i="7"/>
  <c r="S66" i="7"/>
  <c r="T66" i="7"/>
  <c r="S67" i="7"/>
  <c r="T67" i="7"/>
  <c r="S68" i="7"/>
  <c r="T68" i="7"/>
  <c r="S69" i="7"/>
  <c r="T69" i="7"/>
  <c r="S70" i="7"/>
  <c r="T70" i="7"/>
  <c r="S71" i="7"/>
  <c r="T71" i="7"/>
  <c r="S72" i="7"/>
  <c r="T72" i="7"/>
  <c r="S73" i="7"/>
  <c r="T73" i="7"/>
  <c r="S74" i="7"/>
  <c r="T74" i="7"/>
  <c r="S75" i="7"/>
  <c r="T75" i="7"/>
  <c r="S76" i="7"/>
  <c r="T76" i="7"/>
  <c r="T25" i="7"/>
  <c r="S25" i="7"/>
  <c r="U2" i="7"/>
  <c r="V2" i="7"/>
  <c r="W2" i="7"/>
  <c r="X2" i="7"/>
  <c r="U3" i="7"/>
  <c r="V3" i="7"/>
  <c r="W3" i="7"/>
  <c r="X3" i="7"/>
  <c r="U4" i="7"/>
  <c r="V4" i="7"/>
  <c r="W4" i="7"/>
  <c r="X4" i="7"/>
  <c r="U5" i="7"/>
  <c r="V5" i="7"/>
  <c r="W5" i="7"/>
  <c r="X5" i="7"/>
  <c r="U6" i="7"/>
  <c r="V6" i="7"/>
  <c r="W6" i="7"/>
  <c r="X6" i="7"/>
  <c r="U7" i="7"/>
  <c r="V7" i="7"/>
  <c r="W7" i="7"/>
  <c r="X7" i="7"/>
  <c r="U8" i="7"/>
  <c r="V8" i="7"/>
  <c r="W8" i="7"/>
  <c r="X8" i="7"/>
  <c r="U9" i="7"/>
  <c r="V9" i="7"/>
  <c r="W9" i="7"/>
  <c r="X9" i="7"/>
  <c r="U10" i="7"/>
  <c r="V10" i="7"/>
  <c r="W10" i="7"/>
  <c r="X10" i="7"/>
  <c r="U11" i="7"/>
  <c r="V11" i="7"/>
  <c r="W11" i="7"/>
  <c r="X11" i="7"/>
  <c r="U12" i="7"/>
  <c r="V12" i="7"/>
  <c r="W12" i="7"/>
  <c r="X12" i="7"/>
  <c r="U13" i="7"/>
  <c r="V13" i="7"/>
  <c r="W13" i="7"/>
  <c r="X13" i="7"/>
  <c r="U14" i="7"/>
  <c r="V14" i="7"/>
  <c r="W14" i="7"/>
  <c r="X14" i="7"/>
  <c r="U15" i="7"/>
  <c r="V15" i="7"/>
  <c r="W15" i="7"/>
  <c r="X15" i="7"/>
  <c r="U16" i="7"/>
  <c r="V16" i="7"/>
  <c r="W16" i="7"/>
  <c r="X16" i="7"/>
  <c r="U17" i="7"/>
  <c r="V17" i="7"/>
  <c r="W17" i="7"/>
  <c r="X17" i="7"/>
  <c r="U18" i="7"/>
  <c r="V18" i="7"/>
  <c r="W18" i="7"/>
  <c r="X18" i="7"/>
  <c r="U19" i="7"/>
  <c r="V19" i="7"/>
  <c r="W19" i="7"/>
  <c r="X19" i="7"/>
  <c r="U20" i="7"/>
  <c r="V20" i="7"/>
  <c r="W20" i="7"/>
  <c r="X20" i="7"/>
  <c r="U21" i="7"/>
  <c r="V21" i="7"/>
  <c r="W21" i="7"/>
  <c r="X21" i="7"/>
  <c r="U22" i="7"/>
  <c r="V22" i="7"/>
  <c r="W22" i="7"/>
  <c r="X22" i="7"/>
  <c r="U23" i="7"/>
  <c r="V23" i="7"/>
  <c r="W23" i="7"/>
  <c r="X23" i="7"/>
  <c r="U24" i="7"/>
  <c r="V24" i="7"/>
  <c r="W24" i="7"/>
  <c r="X24" i="7"/>
  <c r="S3" i="7"/>
  <c r="T3" i="7"/>
  <c r="S4" i="7"/>
  <c r="T4" i="7"/>
  <c r="S5" i="7"/>
  <c r="T5" i="7"/>
  <c r="S6" i="7"/>
  <c r="T6" i="7"/>
  <c r="S7" i="7"/>
  <c r="T7" i="7"/>
  <c r="S8" i="7"/>
  <c r="T8" i="7"/>
  <c r="S9" i="7"/>
  <c r="T9" i="7"/>
  <c r="S10" i="7"/>
  <c r="T10" i="7"/>
  <c r="S11" i="7"/>
  <c r="T11" i="7"/>
  <c r="S12" i="7"/>
  <c r="T12" i="7"/>
  <c r="S13" i="7"/>
  <c r="T13" i="7"/>
  <c r="S14" i="7"/>
  <c r="T14" i="7"/>
  <c r="S15" i="7"/>
  <c r="T15" i="7"/>
  <c r="S16" i="7"/>
  <c r="T16" i="7"/>
  <c r="S17" i="7"/>
  <c r="T17" i="7"/>
  <c r="S18" i="7"/>
  <c r="T18" i="7"/>
  <c r="S19" i="7"/>
  <c r="T19" i="7"/>
  <c r="S20" i="7"/>
  <c r="T20" i="7"/>
  <c r="S21" i="7"/>
  <c r="T21" i="7"/>
  <c r="S22" i="7"/>
  <c r="T22" i="7"/>
  <c r="S23" i="7"/>
  <c r="T23" i="7"/>
  <c r="S24" i="7"/>
  <c r="T24" i="7"/>
  <c r="T2" i="7"/>
  <c r="S2" i="7"/>
  <c r="B126" i="7"/>
  <c r="C126" i="7"/>
  <c r="D126" i="7"/>
  <c r="E126" i="7"/>
  <c r="F126" i="7"/>
  <c r="G126" i="7"/>
  <c r="H126" i="7"/>
  <c r="I126" i="7"/>
  <c r="J126" i="7"/>
  <c r="K126" i="7"/>
  <c r="L126" i="7"/>
  <c r="M126" i="7"/>
  <c r="N126" i="7"/>
  <c r="O126" i="7"/>
  <c r="P126" i="7"/>
  <c r="Q126" i="7"/>
  <c r="R126" i="7"/>
  <c r="S126" i="7"/>
  <c r="T126" i="7"/>
  <c r="U126" i="7"/>
  <c r="V126" i="7"/>
  <c r="W126" i="7"/>
  <c r="X126" i="7"/>
  <c r="B127" i="7"/>
  <c r="C127" i="7"/>
  <c r="D127" i="7"/>
  <c r="E127" i="7"/>
  <c r="F127" i="7"/>
  <c r="G127" i="7"/>
  <c r="H127" i="7"/>
  <c r="I127" i="7"/>
  <c r="J127" i="7"/>
  <c r="K127" i="7"/>
  <c r="L127" i="7"/>
  <c r="M127" i="7"/>
  <c r="N127" i="7"/>
  <c r="O127" i="7"/>
  <c r="P127" i="7"/>
  <c r="Q127" i="7"/>
  <c r="R127" i="7"/>
  <c r="S127" i="7"/>
  <c r="T127" i="7"/>
  <c r="U127" i="7"/>
  <c r="V127" i="7"/>
  <c r="W127" i="7"/>
  <c r="X127" i="7"/>
  <c r="B128" i="7"/>
  <c r="C128" i="7"/>
  <c r="D128" i="7"/>
  <c r="E128" i="7"/>
  <c r="F128" i="7"/>
  <c r="G128" i="7"/>
  <c r="H128" i="7"/>
  <c r="I128" i="7"/>
  <c r="J128" i="7"/>
  <c r="K128" i="7"/>
  <c r="L128" i="7"/>
  <c r="M128" i="7"/>
  <c r="N128" i="7"/>
  <c r="O128" i="7"/>
  <c r="P128" i="7"/>
  <c r="Q128" i="7"/>
  <c r="R128" i="7"/>
  <c r="S128" i="7"/>
  <c r="T128" i="7"/>
  <c r="U128" i="7"/>
  <c r="V128" i="7"/>
  <c r="W128" i="7"/>
  <c r="X128" i="7"/>
  <c r="B129" i="7"/>
  <c r="C129" i="7"/>
  <c r="D129" i="7"/>
  <c r="E129" i="7"/>
  <c r="F129" i="7"/>
  <c r="G129" i="7"/>
  <c r="H129" i="7"/>
  <c r="I129" i="7"/>
  <c r="J129" i="7"/>
  <c r="K129" i="7"/>
  <c r="L129" i="7"/>
  <c r="M129" i="7"/>
  <c r="N129" i="7"/>
  <c r="O129" i="7"/>
  <c r="P129" i="7"/>
  <c r="Q129" i="7"/>
  <c r="R129" i="7"/>
  <c r="S129" i="7"/>
  <c r="T129" i="7"/>
  <c r="U129" i="7"/>
  <c r="V129" i="7"/>
  <c r="W129" i="7"/>
  <c r="X129" i="7"/>
  <c r="B130" i="7"/>
  <c r="C130" i="7"/>
  <c r="D130" i="7"/>
  <c r="E130" i="7"/>
  <c r="F130" i="7"/>
  <c r="G130" i="7"/>
  <c r="H130" i="7"/>
  <c r="I130" i="7"/>
  <c r="J130" i="7"/>
  <c r="K130" i="7"/>
  <c r="L130" i="7"/>
  <c r="M130" i="7"/>
  <c r="N130" i="7"/>
  <c r="O130" i="7"/>
  <c r="P130" i="7"/>
  <c r="Q130" i="7"/>
  <c r="R130" i="7"/>
  <c r="S130" i="7"/>
  <c r="T130" i="7"/>
  <c r="U130" i="7"/>
  <c r="V130" i="7"/>
  <c r="W130" i="7"/>
  <c r="X130" i="7"/>
  <c r="B131" i="7"/>
  <c r="C131" i="7"/>
  <c r="D131" i="7"/>
  <c r="E131" i="7"/>
  <c r="F131" i="7"/>
  <c r="G131" i="7"/>
  <c r="H131" i="7"/>
  <c r="I131" i="7"/>
  <c r="J131" i="7"/>
  <c r="K131" i="7"/>
  <c r="L131" i="7"/>
  <c r="M131" i="7"/>
  <c r="N131" i="7"/>
  <c r="O131" i="7"/>
  <c r="P131" i="7"/>
  <c r="Q131" i="7"/>
  <c r="R131" i="7"/>
  <c r="S131" i="7"/>
  <c r="T131" i="7"/>
  <c r="U131" i="7"/>
  <c r="V131" i="7"/>
  <c r="W131" i="7"/>
  <c r="X131" i="7"/>
  <c r="B132" i="7"/>
  <c r="C132" i="7"/>
  <c r="D132" i="7"/>
  <c r="E132" i="7"/>
  <c r="F132" i="7"/>
  <c r="G132" i="7"/>
  <c r="H132" i="7"/>
  <c r="I132" i="7"/>
  <c r="J132" i="7"/>
  <c r="K132" i="7"/>
  <c r="L132" i="7"/>
  <c r="M132" i="7"/>
  <c r="N132" i="7"/>
  <c r="O132" i="7"/>
  <c r="P132" i="7"/>
  <c r="Q132" i="7"/>
  <c r="R132" i="7"/>
  <c r="S132" i="7"/>
  <c r="T132" i="7"/>
  <c r="U132" i="7"/>
  <c r="V132" i="7"/>
  <c r="W132" i="7"/>
  <c r="X132" i="7"/>
  <c r="B133" i="7"/>
  <c r="C133" i="7"/>
  <c r="D133" i="7"/>
  <c r="E133" i="7"/>
  <c r="F133" i="7"/>
  <c r="G133" i="7"/>
  <c r="H133" i="7"/>
  <c r="I133" i="7"/>
  <c r="J133" i="7"/>
  <c r="K133" i="7"/>
  <c r="L133" i="7"/>
  <c r="M133" i="7"/>
  <c r="N133" i="7"/>
  <c r="O133" i="7"/>
  <c r="P133" i="7"/>
  <c r="Q133" i="7"/>
  <c r="R133" i="7"/>
  <c r="S133" i="7"/>
  <c r="T133" i="7"/>
  <c r="U133" i="7"/>
  <c r="V133" i="7"/>
  <c r="W133" i="7"/>
  <c r="X133" i="7"/>
  <c r="B134" i="7"/>
  <c r="C134" i="7"/>
  <c r="D134" i="7"/>
  <c r="E134" i="7"/>
  <c r="F134" i="7"/>
  <c r="G134" i="7"/>
  <c r="H134" i="7"/>
  <c r="I134" i="7"/>
  <c r="J134" i="7"/>
  <c r="K134" i="7"/>
  <c r="L134" i="7"/>
  <c r="M134" i="7"/>
  <c r="N134" i="7"/>
  <c r="O134" i="7"/>
  <c r="P134" i="7"/>
  <c r="Q134" i="7"/>
  <c r="R134" i="7"/>
  <c r="S134" i="7"/>
  <c r="T134" i="7"/>
  <c r="U134" i="7"/>
  <c r="V134" i="7"/>
  <c r="W134" i="7"/>
  <c r="X134" i="7"/>
  <c r="B135" i="7"/>
  <c r="C135" i="7"/>
  <c r="D135" i="7"/>
  <c r="E135" i="7"/>
  <c r="F135" i="7"/>
  <c r="G135" i="7"/>
  <c r="H135" i="7"/>
  <c r="I135" i="7"/>
  <c r="J135" i="7"/>
  <c r="K135" i="7"/>
  <c r="L135" i="7"/>
  <c r="M135" i="7"/>
  <c r="N135" i="7"/>
  <c r="O135" i="7"/>
  <c r="P135" i="7"/>
  <c r="Q135" i="7"/>
  <c r="R135" i="7"/>
  <c r="S135" i="7"/>
  <c r="T135" i="7"/>
  <c r="U135" i="7"/>
  <c r="V135" i="7"/>
  <c r="W135" i="7"/>
  <c r="X135" i="7"/>
  <c r="B136" i="7"/>
  <c r="C136" i="7"/>
  <c r="D136" i="7"/>
  <c r="E136" i="7"/>
  <c r="F136" i="7"/>
  <c r="G136" i="7"/>
  <c r="H136" i="7"/>
  <c r="I136" i="7"/>
  <c r="J136" i="7"/>
  <c r="K136" i="7"/>
  <c r="L136" i="7"/>
  <c r="M136" i="7"/>
  <c r="N136" i="7"/>
  <c r="O136" i="7"/>
  <c r="P136" i="7"/>
  <c r="Q136" i="7"/>
  <c r="R136" i="7"/>
  <c r="S136" i="7"/>
  <c r="T136" i="7"/>
  <c r="U136" i="7"/>
  <c r="V136" i="7"/>
  <c r="W136" i="7"/>
  <c r="X136" i="7"/>
  <c r="B137" i="7"/>
  <c r="C137" i="7"/>
  <c r="D137" i="7"/>
  <c r="E137" i="7"/>
  <c r="F137" i="7"/>
  <c r="G137" i="7"/>
  <c r="H137" i="7"/>
  <c r="I137" i="7"/>
  <c r="J137" i="7"/>
  <c r="K137" i="7"/>
  <c r="L137" i="7"/>
  <c r="M137" i="7"/>
  <c r="N137" i="7"/>
  <c r="O137" i="7"/>
  <c r="P137" i="7"/>
  <c r="Q137" i="7"/>
  <c r="R137" i="7"/>
  <c r="S137" i="7"/>
  <c r="T137" i="7"/>
  <c r="U137" i="7"/>
  <c r="V137" i="7"/>
  <c r="W137" i="7"/>
  <c r="X137" i="7"/>
  <c r="B138" i="7"/>
  <c r="C138" i="7"/>
  <c r="D138" i="7"/>
  <c r="E138" i="7"/>
  <c r="F138" i="7"/>
  <c r="G138" i="7"/>
  <c r="H138" i="7"/>
  <c r="I138" i="7"/>
  <c r="J138" i="7"/>
  <c r="K138" i="7"/>
  <c r="L138" i="7"/>
  <c r="M138" i="7"/>
  <c r="N138" i="7"/>
  <c r="O138" i="7"/>
  <c r="P138" i="7"/>
  <c r="Q138" i="7"/>
  <c r="R138" i="7"/>
  <c r="S138" i="7"/>
  <c r="T138" i="7"/>
  <c r="U138" i="7"/>
  <c r="V138" i="7"/>
  <c r="W138" i="7"/>
  <c r="X138" i="7"/>
  <c r="B139" i="7"/>
  <c r="C139" i="7"/>
  <c r="D139" i="7"/>
  <c r="E139" i="7"/>
  <c r="F139" i="7"/>
  <c r="G139" i="7"/>
  <c r="H139" i="7"/>
  <c r="I139" i="7"/>
  <c r="J139" i="7"/>
  <c r="K139" i="7"/>
  <c r="L139" i="7"/>
  <c r="M139" i="7"/>
  <c r="N139" i="7"/>
  <c r="O139" i="7"/>
  <c r="P139" i="7"/>
  <c r="Q139" i="7"/>
  <c r="R139" i="7"/>
  <c r="S139" i="7"/>
  <c r="T139" i="7"/>
  <c r="U139" i="7"/>
  <c r="V139" i="7"/>
  <c r="W139" i="7"/>
  <c r="X139" i="7"/>
  <c r="B140" i="7"/>
  <c r="C140" i="7"/>
  <c r="D140" i="7"/>
  <c r="E140" i="7"/>
  <c r="F140" i="7"/>
  <c r="G140" i="7"/>
  <c r="H140" i="7"/>
  <c r="I140" i="7"/>
  <c r="J140" i="7"/>
  <c r="K140" i="7"/>
  <c r="L140" i="7"/>
  <c r="M140" i="7"/>
  <c r="N140" i="7"/>
  <c r="O140" i="7"/>
  <c r="P140" i="7"/>
  <c r="Q140" i="7"/>
  <c r="R140" i="7"/>
  <c r="S140" i="7"/>
  <c r="T140" i="7"/>
  <c r="U140" i="7"/>
  <c r="V140" i="7"/>
  <c r="W140" i="7"/>
  <c r="X140" i="7"/>
  <c r="B141" i="7"/>
  <c r="C141" i="7"/>
  <c r="D141" i="7"/>
  <c r="E141" i="7"/>
  <c r="F141" i="7"/>
  <c r="G141" i="7"/>
  <c r="H141" i="7"/>
  <c r="I141" i="7"/>
  <c r="J141" i="7"/>
  <c r="K141" i="7"/>
  <c r="L141" i="7"/>
  <c r="M141" i="7"/>
  <c r="N141" i="7"/>
  <c r="O141" i="7"/>
  <c r="P141" i="7"/>
  <c r="Q141" i="7"/>
  <c r="R141" i="7"/>
  <c r="S141" i="7"/>
  <c r="T141" i="7"/>
  <c r="U141" i="7"/>
  <c r="V141" i="7"/>
  <c r="W141" i="7"/>
  <c r="X141" i="7"/>
  <c r="B142" i="7"/>
  <c r="C142" i="7"/>
  <c r="D142" i="7"/>
  <c r="E142" i="7"/>
  <c r="F142" i="7"/>
  <c r="G142" i="7"/>
  <c r="H142" i="7"/>
  <c r="I142" i="7"/>
  <c r="J142" i="7"/>
  <c r="K142" i="7"/>
  <c r="L142" i="7"/>
  <c r="M142" i="7"/>
  <c r="N142" i="7"/>
  <c r="O142" i="7"/>
  <c r="P142" i="7"/>
  <c r="Q142" i="7"/>
  <c r="R142" i="7"/>
  <c r="S142" i="7"/>
  <c r="T142" i="7"/>
  <c r="U142" i="7"/>
  <c r="V142" i="7"/>
  <c r="W142" i="7"/>
  <c r="X142" i="7"/>
  <c r="B143" i="7"/>
  <c r="C143" i="7"/>
  <c r="D143" i="7"/>
  <c r="E143" i="7"/>
  <c r="F143" i="7"/>
  <c r="G143" i="7"/>
  <c r="H143" i="7"/>
  <c r="I143" i="7"/>
  <c r="J143" i="7"/>
  <c r="K143" i="7"/>
  <c r="L143" i="7"/>
  <c r="M143" i="7"/>
  <c r="N143" i="7"/>
  <c r="O143" i="7"/>
  <c r="P143" i="7"/>
  <c r="Q143" i="7"/>
  <c r="R143" i="7"/>
  <c r="S143" i="7"/>
  <c r="T143" i="7"/>
  <c r="U143" i="7"/>
  <c r="V143" i="7"/>
  <c r="W143" i="7"/>
  <c r="X143" i="7"/>
  <c r="B144" i="7"/>
  <c r="C144" i="7"/>
  <c r="D144" i="7"/>
  <c r="E144" i="7"/>
  <c r="F144" i="7"/>
  <c r="G144" i="7"/>
  <c r="H144" i="7"/>
  <c r="I144" i="7"/>
  <c r="J144" i="7"/>
  <c r="K144" i="7"/>
  <c r="L144" i="7"/>
  <c r="M144" i="7"/>
  <c r="N144" i="7"/>
  <c r="O144" i="7"/>
  <c r="P144" i="7"/>
  <c r="Q144" i="7"/>
  <c r="R144" i="7"/>
  <c r="S144" i="7"/>
  <c r="T144" i="7"/>
  <c r="U144" i="7"/>
  <c r="V144" i="7"/>
  <c r="W144" i="7"/>
  <c r="X144" i="7"/>
  <c r="B145" i="7"/>
  <c r="C145" i="7"/>
  <c r="D145" i="7"/>
  <c r="E145" i="7"/>
  <c r="F145" i="7"/>
  <c r="G145" i="7"/>
  <c r="H145" i="7"/>
  <c r="I145" i="7"/>
  <c r="J145" i="7"/>
  <c r="K145" i="7"/>
  <c r="L145" i="7"/>
  <c r="M145" i="7"/>
  <c r="N145" i="7"/>
  <c r="O145" i="7"/>
  <c r="P145" i="7"/>
  <c r="Q145" i="7"/>
  <c r="R145" i="7"/>
  <c r="S145" i="7"/>
  <c r="T145" i="7"/>
  <c r="U145" i="7"/>
  <c r="V145" i="7"/>
  <c r="W145" i="7"/>
  <c r="X145" i="7"/>
  <c r="B146" i="7"/>
  <c r="C146" i="7"/>
  <c r="D146" i="7"/>
  <c r="E146" i="7"/>
  <c r="F146" i="7"/>
  <c r="G146" i="7"/>
  <c r="H146" i="7"/>
  <c r="I146" i="7"/>
  <c r="J146" i="7"/>
  <c r="K146" i="7"/>
  <c r="L146" i="7"/>
  <c r="M146" i="7"/>
  <c r="N146" i="7"/>
  <c r="O146" i="7"/>
  <c r="P146" i="7"/>
  <c r="Q146" i="7"/>
  <c r="R146" i="7"/>
  <c r="S146" i="7"/>
  <c r="T146" i="7"/>
  <c r="U146" i="7"/>
  <c r="V146" i="7"/>
  <c r="W146" i="7"/>
  <c r="X146" i="7"/>
  <c r="B147" i="7"/>
  <c r="C147" i="7"/>
  <c r="D147" i="7"/>
  <c r="E147" i="7"/>
  <c r="F147" i="7"/>
  <c r="G147" i="7"/>
  <c r="H147" i="7"/>
  <c r="I147" i="7"/>
  <c r="J147" i="7"/>
  <c r="K147" i="7"/>
  <c r="L147" i="7"/>
  <c r="M147" i="7"/>
  <c r="N147" i="7"/>
  <c r="O147" i="7"/>
  <c r="P147" i="7"/>
  <c r="Q147" i="7"/>
  <c r="R147" i="7"/>
  <c r="S147" i="7"/>
  <c r="T147" i="7"/>
  <c r="U147" i="7"/>
  <c r="V147" i="7"/>
  <c r="W147" i="7"/>
  <c r="X147" i="7"/>
  <c r="B148" i="7"/>
  <c r="C148" i="7"/>
  <c r="D148" i="7"/>
  <c r="E148" i="7"/>
  <c r="F148" i="7"/>
  <c r="G148" i="7"/>
  <c r="H148" i="7"/>
  <c r="I148" i="7"/>
  <c r="J148" i="7"/>
  <c r="K148" i="7"/>
  <c r="L148" i="7"/>
  <c r="M148" i="7"/>
  <c r="N148" i="7"/>
  <c r="O148" i="7"/>
  <c r="P148" i="7"/>
  <c r="Q148" i="7"/>
  <c r="R148" i="7"/>
  <c r="S148" i="7"/>
  <c r="T148" i="7"/>
  <c r="U148" i="7"/>
  <c r="V148" i="7"/>
  <c r="W148" i="7"/>
  <c r="X148" i="7"/>
  <c r="B149" i="7"/>
  <c r="C149" i="7"/>
  <c r="D149" i="7"/>
  <c r="E149" i="7"/>
  <c r="F149" i="7"/>
  <c r="G149" i="7"/>
  <c r="H149" i="7"/>
  <c r="I149" i="7"/>
  <c r="J149" i="7"/>
  <c r="K149" i="7"/>
  <c r="L149" i="7"/>
  <c r="M149" i="7"/>
  <c r="N149" i="7"/>
  <c r="O149" i="7"/>
  <c r="P149" i="7"/>
  <c r="Q149" i="7"/>
  <c r="R149" i="7"/>
  <c r="S149" i="7"/>
  <c r="T149" i="7"/>
  <c r="U149" i="7"/>
  <c r="V149" i="7"/>
  <c r="W149" i="7"/>
  <c r="X149" i="7"/>
  <c r="B150" i="7"/>
  <c r="C150" i="7"/>
  <c r="D150" i="7"/>
  <c r="E150" i="7"/>
  <c r="F150" i="7"/>
  <c r="G150" i="7"/>
  <c r="H150" i="7"/>
  <c r="I150" i="7"/>
  <c r="J150" i="7"/>
  <c r="K150" i="7"/>
  <c r="L150" i="7"/>
  <c r="M150" i="7"/>
  <c r="N150" i="7"/>
  <c r="O150" i="7"/>
  <c r="P150" i="7"/>
  <c r="Q150" i="7"/>
  <c r="R150" i="7"/>
  <c r="S150" i="7"/>
  <c r="T150" i="7"/>
  <c r="U150" i="7"/>
  <c r="V150" i="7"/>
  <c r="W150" i="7"/>
  <c r="X150" i="7"/>
  <c r="B151" i="7"/>
  <c r="C151" i="7"/>
  <c r="D151" i="7"/>
  <c r="E151" i="7"/>
  <c r="F151" i="7"/>
  <c r="G151" i="7"/>
  <c r="H151" i="7"/>
  <c r="I151" i="7"/>
  <c r="J151" i="7"/>
  <c r="K151" i="7"/>
  <c r="L151" i="7"/>
  <c r="M151" i="7"/>
  <c r="N151" i="7"/>
  <c r="O151" i="7"/>
  <c r="P151" i="7"/>
  <c r="Q151" i="7"/>
  <c r="R151" i="7"/>
  <c r="S151" i="7"/>
  <c r="T151" i="7"/>
  <c r="U151" i="7"/>
  <c r="V151" i="7"/>
  <c r="W151" i="7"/>
  <c r="X151" i="7"/>
  <c r="B152" i="7"/>
  <c r="C152" i="7"/>
  <c r="D152" i="7"/>
  <c r="E152" i="7"/>
  <c r="F152" i="7"/>
  <c r="G152" i="7"/>
  <c r="H152" i="7"/>
  <c r="I152" i="7"/>
  <c r="J152" i="7"/>
  <c r="K152" i="7"/>
  <c r="L152" i="7"/>
  <c r="M152" i="7"/>
  <c r="N152" i="7"/>
  <c r="O152" i="7"/>
  <c r="P152" i="7"/>
  <c r="Q152" i="7"/>
  <c r="R152" i="7"/>
  <c r="S152" i="7"/>
  <c r="T152" i="7"/>
  <c r="U152" i="7"/>
  <c r="V152" i="7"/>
  <c r="W152" i="7"/>
  <c r="X152" i="7"/>
  <c r="B153" i="7"/>
  <c r="C153" i="7"/>
  <c r="D153" i="7"/>
  <c r="E153" i="7"/>
  <c r="F153" i="7"/>
  <c r="G153" i="7"/>
  <c r="H153" i="7"/>
  <c r="I153" i="7"/>
  <c r="J153" i="7"/>
  <c r="K153" i="7"/>
  <c r="L153" i="7"/>
  <c r="M153" i="7"/>
  <c r="N153" i="7"/>
  <c r="O153" i="7"/>
  <c r="P153" i="7"/>
  <c r="Q153" i="7"/>
  <c r="R153" i="7"/>
  <c r="S153" i="7"/>
  <c r="T153" i="7"/>
  <c r="U153" i="7"/>
  <c r="V153" i="7"/>
  <c r="W153" i="7"/>
  <c r="X153" i="7"/>
  <c r="B154" i="7"/>
  <c r="C154" i="7"/>
  <c r="D154" i="7"/>
  <c r="E154" i="7"/>
  <c r="F154" i="7"/>
  <c r="G154" i="7"/>
  <c r="H154" i="7"/>
  <c r="I154" i="7"/>
  <c r="J154" i="7"/>
  <c r="K154" i="7"/>
  <c r="L154" i="7"/>
  <c r="M154" i="7"/>
  <c r="N154" i="7"/>
  <c r="O154" i="7"/>
  <c r="P154" i="7"/>
  <c r="Q154" i="7"/>
  <c r="R154" i="7"/>
  <c r="S154" i="7"/>
  <c r="T154" i="7"/>
  <c r="U154" i="7"/>
  <c r="V154" i="7"/>
  <c r="W154" i="7"/>
  <c r="X154" i="7"/>
  <c r="B78" i="7"/>
  <c r="C78" i="7"/>
  <c r="D78" i="7"/>
  <c r="E78" i="7"/>
  <c r="F78" i="7"/>
  <c r="G78" i="7"/>
  <c r="H78" i="7"/>
  <c r="I78" i="7"/>
  <c r="J78" i="7"/>
  <c r="K78" i="7"/>
  <c r="L78" i="7"/>
  <c r="M78" i="7"/>
  <c r="N78" i="7"/>
  <c r="O78" i="7"/>
  <c r="P78" i="7"/>
  <c r="Q78" i="7"/>
  <c r="R78" i="7"/>
  <c r="S78" i="7"/>
  <c r="T78" i="7"/>
  <c r="U78" i="7"/>
  <c r="V78" i="7"/>
  <c r="W78" i="7"/>
  <c r="X78" i="7"/>
  <c r="B79" i="7"/>
  <c r="C79" i="7"/>
  <c r="D79" i="7"/>
  <c r="E79" i="7"/>
  <c r="F79" i="7"/>
  <c r="G79" i="7"/>
  <c r="H79" i="7"/>
  <c r="I79" i="7"/>
  <c r="J79" i="7"/>
  <c r="K79" i="7"/>
  <c r="L79" i="7"/>
  <c r="M79" i="7"/>
  <c r="N79" i="7"/>
  <c r="O79" i="7"/>
  <c r="P79" i="7"/>
  <c r="Q79" i="7"/>
  <c r="R79" i="7"/>
  <c r="S79" i="7"/>
  <c r="T79" i="7"/>
  <c r="U79" i="7"/>
  <c r="V79" i="7"/>
  <c r="W79" i="7"/>
  <c r="X79" i="7"/>
  <c r="B80" i="7"/>
  <c r="C80" i="7"/>
  <c r="D80" i="7"/>
  <c r="E80" i="7"/>
  <c r="F80" i="7"/>
  <c r="G80" i="7"/>
  <c r="H80" i="7"/>
  <c r="I80" i="7"/>
  <c r="J80" i="7"/>
  <c r="K80" i="7"/>
  <c r="L80" i="7"/>
  <c r="M80" i="7"/>
  <c r="N80" i="7"/>
  <c r="O80" i="7"/>
  <c r="P80" i="7"/>
  <c r="Q80" i="7"/>
  <c r="R80" i="7"/>
  <c r="S80" i="7"/>
  <c r="T80" i="7"/>
  <c r="U80" i="7"/>
  <c r="V80" i="7"/>
  <c r="W80" i="7"/>
  <c r="X80" i="7"/>
  <c r="B81" i="7"/>
  <c r="C81" i="7"/>
  <c r="D81" i="7"/>
  <c r="E81" i="7"/>
  <c r="F81" i="7"/>
  <c r="G81" i="7"/>
  <c r="H81" i="7"/>
  <c r="I81" i="7"/>
  <c r="J81" i="7"/>
  <c r="K81" i="7"/>
  <c r="L81" i="7"/>
  <c r="M81" i="7"/>
  <c r="N81" i="7"/>
  <c r="O81" i="7"/>
  <c r="P81" i="7"/>
  <c r="Q81" i="7"/>
  <c r="R81" i="7"/>
  <c r="S81" i="7"/>
  <c r="T81" i="7"/>
  <c r="U81" i="7"/>
  <c r="V81" i="7"/>
  <c r="W81" i="7"/>
  <c r="X81" i="7"/>
  <c r="B82" i="7"/>
  <c r="C82" i="7"/>
  <c r="D82" i="7"/>
  <c r="E82" i="7"/>
  <c r="F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T82" i="7"/>
  <c r="U82" i="7"/>
  <c r="V82" i="7"/>
  <c r="W82" i="7"/>
  <c r="X82" i="7"/>
  <c r="B83" i="7"/>
  <c r="C83" i="7"/>
  <c r="D83" i="7"/>
  <c r="E83" i="7"/>
  <c r="F83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T83" i="7"/>
  <c r="U83" i="7"/>
  <c r="V83" i="7"/>
  <c r="W83" i="7"/>
  <c r="X83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O84" i="7"/>
  <c r="P84" i="7"/>
  <c r="Q84" i="7"/>
  <c r="R84" i="7"/>
  <c r="S84" i="7"/>
  <c r="T84" i="7"/>
  <c r="U84" i="7"/>
  <c r="V84" i="7"/>
  <c r="W84" i="7"/>
  <c r="X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O85" i="7"/>
  <c r="P85" i="7"/>
  <c r="Q85" i="7"/>
  <c r="R85" i="7"/>
  <c r="S85" i="7"/>
  <c r="T85" i="7"/>
  <c r="U85" i="7"/>
  <c r="V85" i="7"/>
  <c r="W85" i="7"/>
  <c r="X85" i="7"/>
  <c r="B86" i="7"/>
  <c r="C86" i="7"/>
  <c r="D86" i="7"/>
  <c r="E86" i="7"/>
  <c r="F86" i="7"/>
  <c r="G86" i="7"/>
  <c r="H86" i="7"/>
  <c r="I86" i="7"/>
  <c r="J86" i="7"/>
  <c r="K86" i="7"/>
  <c r="L86" i="7"/>
  <c r="M86" i="7"/>
  <c r="N86" i="7"/>
  <c r="O86" i="7"/>
  <c r="P86" i="7"/>
  <c r="Q86" i="7"/>
  <c r="R86" i="7"/>
  <c r="S86" i="7"/>
  <c r="T86" i="7"/>
  <c r="U86" i="7"/>
  <c r="V86" i="7"/>
  <c r="W86" i="7"/>
  <c r="X86" i="7"/>
  <c r="B87" i="7"/>
  <c r="C87" i="7"/>
  <c r="D87" i="7"/>
  <c r="E87" i="7"/>
  <c r="F87" i="7"/>
  <c r="G87" i="7"/>
  <c r="H87" i="7"/>
  <c r="I87" i="7"/>
  <c r="J87" i="7"/>
  <c r="K87" i="7"/>
  <c r="L87" i="7"/>
  <c r="M87" i="7"/>
  <c r="N87" i="7"/>
  <c r="O87" i="7"/>
  <c r="P87" i="7"/>
  <c r="Q87" i="7"/>
  <c r="R87" i="7"/>
  <c r="S87" i="7"/>
  <c r="T87" i="7"/>
  <c r="U87" i="7"/>
  <c r="V87" i="7"/>
  <c r="W87" i="7"/>
  <c r="X87" i="7"/>
  <c r="B88" i="7"/>
  <c r="C88" i="7"/>
  <c r="D88" i="7"/>
  <c r="E88" i="7"/>
  <c r="F88" i="7"/>
  <c r="G88" i="7"/>
  <c r="H88" i="7"/>
  <c r="I88" i="7"/>
  <c r="J88" i="7"/>
  <c r="K88" i="7"/>
  <c r="L88" i="7"/>
  <c r="M88" i="7"/>
  <c r="N88" i="7"/>
  <c r="O88" i="7"/>
  <c r="P88" i="7"/>
  <c r="Q88" i="7"/>
  <c r="R88" i="7"/>
  <c r="S88" i="7"/>
  <c r="T88" i="7"/>
  <c r="U88" i="7"/>
  <c r="V88" i="7"/>
  <c r="W88" i="7"/>
  <c r="X88" i="7"/>
  <c r="B89" i="7"/>
  <c r="C89" i="7"/>
  <c r="D89" i="7"/>
  <c r="E89" i="7"/>
  <c r="F89" i="7"/>
  <c r="G89" i="7"/>
  <c r="H89" i="7"/>
  <c r="I89" i="7"/>
  <c r="J89" i="7"/>
  <c r="K89" i="7"/>
  <c r="L89" i="7"/>
  <c r="M89" i="7"/>
  <c r="N89" i="7"/>
  <c r="O89" i="7"/>
  <c r="P89" i="7"/>
  <c r="Q89" i="7"/>
  <c r="R89" i="7"/>
  <c r="S89" i="7"/>
  <c r="T89" i="7"/>
  <c r="U89" i="7"/>
  <c r="V89" i="7"/>
  <c r="W89" i="7"/>
  <c r="X89" i="7"/>
  <c r="B90" i="7"/>
  <c r="C90" i="7"/>
  <c r="D90" i="7"/>
  <c r="E90" i="7"/>
  <c r="F90" i="7"/>
  <c r="G90" i="7"/>
  <c r="H90" i="7"/>
  <c r="I90" i="7"/>
  <c r="J90" i="7"/>
  <c r="K90" i="7"/>
  <c r="L90" i="7"/>
  <c r="M90" i="7"/>
  <c r="N90" i="7"/>
  <c r="O90" i="7"/>
  <c r="P90" i="7"/>
  <c r="Q90" i="7"/>
  <c r="R90" i="7"/>
  <c r="S90" i="7"/>
  <c r="T90" i="7"/>
  <c r="U90" i="7"/>
  <c r="V90" i="7"/>
  <c r="W90" i="7"/>
  <c r="X90" i="7"/>
  <c r="B91" i="7"/>
  <c r="C91" i="7"/>
  <c r="D91" i="7"/>
  <c r="E91" i="7"/>
  <c r="F91" i="7"/>
  <c r="G91" i="7"/>
  <c r="H91" i="7"/>
  <c r="I91" i="7"/>
  <c r="J91" i="7"/>
  <c r="K91" i="7"/>
  <c r="L91" i="7"/>
  <c r="M91" i="7"/>
  <c r="N91" i="7"/>
  <c r="O91" i="7"/>
  <c r="P91" i="7"/>
  <c r="Q91" i="7"/>
  <c r="R91" i="7"/>
  <c r="S91" i="7"/>
  <c r="T91" i="7"/>
  <c r="U91" i="7"/>
  <c r="V91" i="7"/>
  <c r="W91" i="7"/>
  <c r="X91" i="7"/>
  <c r="B92" i="7"/>
  <c r="C92" i="7"/>
  <c r="D92" i="7"/>
  <c r="E92" i="7"/>
  <c r="F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T92" i="7"/>
  <c r="U92" i="7"/>
  <c r="V92" i="7"/>
  <c r="W92" i="7"/>
  <c r="X92" i="7"/>
  <c r="B93" i="7"/>
  <c r="C93" i="7"/>
  <c r="D93" i="7"/>
  <c r="E93" i="7"/>
  <c r="F93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T93" i="7"/>
  <c r="U93" i="7"/>
  <c r="V93" i="7"/>
  <c r="W93" i="7"/>
  <c r="X93" i="7"/>
  <c r="B94" i="7"/>
  <c r="C94" i="7"/>
  <c r="D94" i="7"/>
  <c r="E94" i="7"/>
  <c r="F94" i="7"/>
  <c r="G94" i="7"/>
  <c r="H94" i="7"/>
  <c r="I94" i="7"/>
  <c r="J94" i="7"/>
  <c r="K94" i="7"/>
  <c r="L94" i="7"/>
  <c r="M94" i="7"/>
  <c r="N94" i="7"/>
  <c r="O94" i="7"/>
  <c r="P94" i="7"/>
  <c r="Q94" i="7"/>
  <c r="R94" i="7"/>
  <c r="S94" i="7"/>
  <c r="T94" i="7"/>
  <c r="U94" i="7"/>
  <c r="V94" i="7"/>
  <c r="W94" i="7"/>
  <c r="X94" i="7"/>
  <c r="B95" i="7"/>
  <c r="C95" i="7"/>
  <c r="D95" i="7"/>
  <c r="E95" i="7"/>
  <c r="F95" i="7"/>
  <c r="G95" i="7"/>
  <c r="H95" i="7"/>
  <c r="I95" i="7"/>
  <c r="J95" i="7"/>
  <c r="K95" i="7"/>
  <c r="L95" i="7"/>
  <c r="M95" i="7"/>
  <c r="N95" i="7"/>
  <c r="O95" i="7"/>
  <c r="P95" i="7"/>
  <c r="Q95" i="7"/>
  <c r="R95" i="7"/>
  <c r="S95" i="7"/>
  <c r="T95" i="7"/>
  <c r="U95" i="7"/>
  <c r="V95" i="7"/>
  <c r="W95" i="7"/>
  <c r="X95" i="7"/>
  <c r="B96" i="7"/>
  <c r="C96" i="7"/>
  <c r="D96" i="7"/>
  <c r="E96" i="7"/>
  <c r="F96" i="7"/>
  <c r="G96" i="7"/>
  <c r="H96" i="7"/>
  <c r="I96" i="7"/>
  <c r="J96" i="7"/>
  <c r="K96" i="7"/>
  <c r="L96" i="7"/>
  <c r="M96" i="7"/>
  <c r="N96" i="7"/>
  <c r="O96" i="7"/>
  <c r="P96" i="7"/>
  <c r="Q96" i="7"/>
  <c r="R96" i="7"/>
  <c r="S96" i="7"/>
  <c r="T96" i="7"/>
  <c r="U96" i="7"/>
  <c r="V96" i="7"/>
  <c r="W96" i="7"/>
  <c r="X96" i="7"/>
  <c r="B97" i="7"/>
  <c r="C97" i="7"/>
  <c r="D97" i="7"/>
  <c r="E97" i="7"/>
  <c r="F97" i="7"/>
  <c r="G97" i="7"/>
  <c r="H97" i="7"/>
  <c r="I97" i="7"/>
  <c r="J97" i="7"/>
  <c r="K97" i="7"/>
  <c r="L97" i="7"/>
  <c r="M97" i="7"/>
  <c r="N97" i="7"/>
  <c r="O97" i="7"/>
  <c r="P97" i="7"/>
  <c r="Q97" i="7"/>
  <c r="R97" i="7"/>
  <c r="S97" i="7"/>
  <c r="T97" i="7"/>
  <c r="U97" i="7"/>
  <c r="V97" i="7"/>
  <c r="W97" i="7"/>
  <c r="X97" i="7"/>
  <c r="B98" i="7"/>
  <c r="C98" i="7"/>
  <c r="D98" i="7"/>
  <c r="E98" i="7"/>
  <c r="F98" i="7"/>
  <c r="G98" i="7"/>
  <c r="H98" i="7"/>
  <c r="I98" i="7"/>
  <c r="J98" i="7"/>
  <c r="K98" i="7"/>
  <c r="L98" i="7"/>
  <c r="M98" i="7"/>
  <c r="N98" i="7"/>
  <c r="O98" i="7"/>
  <c r="P98" i="7"/>
  <c r="Q98" i="7"/>
  <c r="R98" i="7"/>
  <c r="S98" i="7"/>
  <c r="T98" i="7"/>
  <c r="U98" i="7"/>
  <c r="V98" i="7"/>
  <c r="W98" i="7"/>
  <c r="X98" i="7"/>
  <c r="B99" i="7"/>
  <c r="C99" i="7"/>
  <c r="D99" i="7"/>
  <c r="E99" i="7"/>
  <c r="F99" i="7"/>
  <c r="G99" i="7"/>
  <c r="H99" i="7"/>
  <c r="I99" i="7"/>
  <c r="J99" i="7"/>
  <c r="K99" i="7"/>
  <c r="L99" i="7"/>
  <c r="M99" i="7"/>
  <c r="N99" i="7"/>
  <c r="O99" i="7"/>
  <c r="P99" i="7"/>
  <c r="Q99" i="7"/>
  <c r="R99" i="7"/>
  <c r="S99" i="7"/>
  <c r="T99" i="7"/>
  <c r="U99" i="7"/>
  <c r="V99" i="7"/>
  <c r="W99" i="7"/>
  <c r="X99" i="7"/>
  <c r="B100" i="7"/>
  <c r="C100" i="7"/>
  <c r="D100" i="7"/>
  <c r="E100" i="7"/>
  <c r="F100" i="7"/>
  <c r="G100" i="7"/>
  <c r="H100" i="7"/>
  <c r="I100" i="7"/>
  <c r="J100" i="7"/>
  <c r="K100" i="7"/>
  <c r="L100" i="7"/>
  <c r="M100" i="7"/>
  <c r="N100" i="7"/>
  <c r="O100" i="7"/>
  <c r="P100" i="7"/>
  <c r="Q100" i="7"/>
  <c r="R100" i="7"/>
  <c r="S100" i="7"/>
  <c r="T100" i="7"/>
  <c r="U100" i="7"/>
  <c r="V100" i="7"/>
  <c r="W100" i="7"/>
  <c r="X100" i="7"/>
  <c r="B101" i="7"/>
  <c r="C101" i="7"/>
  <c r="D101" i="7"/>
  <c r="E101" i="7"/>
  <c r="F101" i="7"/>
  <c r="G101" i="7"/>
  <c r="H101" i="7"/>
  <c r="I101" i="7"/>
  <c r="J101" i="7"/>
  <c r="K101" i="7"/>
  <c r="L101" i="7"/>
  <c r="M101" i="7"/>
  <c r="N101" i="7"/>
  <c r="O101" i="7"/>
  <c r="P101" i="7"/>
  <c r="Q101" i="7"/>
  <c r="R101" i="7"/>
  <c r="S101" i="7"/>
  <c r="T101" i="7"/>
  <c r="U101" i="7"/>
  <c r="V101" i="7"/>
  <c r="W101" i="7"/>
  <c r="X101" i="7"/>
  <c r="B102" i="7"/>
  <c r="C102" i="7"/>
  <c r="D102" i="7"/>
  <c r="E102" i="7"/>
  <c r="F102" i="7"/>
  <c r="G102" i="7"/>
  <c r="H102" i="7"/>
  <c r="I102" i="7"/>
  <c r="J102" i="7"/>
  <c r="K102" i="7"/>
  <c r="L102" i="7"/>
  <c r="M102" i="7"/>
  <c r="N102" i="7"/>
  <c r="O102" i="7"/>
  <c r="P102" i="7"/>
  <c r="Q102" i="7"/>
  <c r="R102" i="7"/>
  <c r="S102" i="7"/>
  <c r="T102" i="7"/>
  <c r="U102" i="7"/>
  <c r="V102" i="7"/>
  <c r="W102" i="7"/>
  <c r="X102" i="7"/>
  <c r="B103" i="7"/>
  <c r="C103" i="7"/>
  <c r="D103" i="7"/>
  <c r="E103" i="7"/>
  <c r="F103" i="7"/>
  <c r="G103" i="7"/>
  <c r="H103" i="7"/>
  <c r="I103" i="7"/>
  <c r="J103" i="7"/>
  <c r="K103" i="7"/>
  <c r="L103" i="7"/>
  <c r="M103" i="7"/>
  <c r="N103" i="7"/>
  <c r="O103" i="7"/>
  <c r="P103" i="7"/>
  <c r="Q103" i="7"/>
  <c r="R103" i="7"/>
  <c r="S103" i="7"/>
  <c r="T103" i="7"/>
  <c r="U103" i="7"/>
  <c r="V103" i="7"/>
  <c r="W103" i="7"/>
  <c r="X103" i="7"/>
  <c r="B104" i="7"/>
  <c r="C104" i="7"/>
  <c r="D104" i="7"/>
  <c r="E104" i="7"/>
  <c r="F104" i="7"/>
  <c r="G104" i="7"/>
  <c r="H104" i="7"/>
  <c r="I104" i="7"/>
  <c r="J104" i="7"/>
  <c r="K104" i="7"/>
  <c r="L104" i="7"/>
  <c r="M104" i="7"/>
  <c r="N104" i="7"/>
  <c r="O104" i="7"/>
  <c r="P104" i="7"/>
  <c r="Q104" i="7"/>
  <c r="R104" i="7"/>
  <c r="S104" i="7"/>
  <c r="T104" i="7"/>
  <c r="U104" i="7"/>
  <c r="V104" i="7"/>
  <c r="W104" i="7"/>
  <c r="X104" i="7"/>
  <c r="B105" i="7"/>
  <c r="C105" i="7"/>
  <c r="D105" i="7"/>
  <c r="E105" i="7"/>
  <c r="F105" i="7"/>
  <c r="G105" i="7"/>
  <c r="H105" i="7"/>
  <c r="I105" i="7"/>
  <c r="J105" i="7"/>
  <c r="K105" i="7"/>
  <c r="L105" i="7"/>
  <c r="M105" i="7"/>
  <c r="N105" i="7"/>
  <c r="O105" i="7"/>
  <c r="P105" i="7"/>
  <c r="Q105" i="7"/>
  <c r="R105" i="7"/>
  <c r="S105" i="7"/>
  <c r="T105" i="7"/>
  <c r="U105" i="7"/>
  <c r="V105" i="7"/>
  <c r="W105" i="7"/>
  <c r="X105" i="7"/>
  <c r="B106" i="7"/>
  <c r="C106" i="7"/>
  <c r="D106" i="7"/>
  <c r="E106" i="7"/>
  <c r="F106" i="7"/>
  <c r="G106" i="7"/>
  <c r="H106" i="7"/>
  <c r="I106" i="7"/>
  <c r="J106" i="7"/>
  <c r="K106" i="7"/>
  <c r="L106" i="7"/>
  <c r="M106" i="7"/>
  <c r="N106" i="7"/>
  <c r="O106" i="7"/>
  <c r="P106" i="7"/>
  <c r="Q106" i="7"/>
  <c r="R106" i="7"/>
  <c r="S106" i="7"/>
  <c r="T106" i="7"/>
  <c r="U106" i="7"/>
  <c r="V106" i="7"/>
  <c r="W106" i="7"/>
  <c r="X106" i="7"/>
  <c r="B107" i="7"/>
  <c r="C107" i="7"/>
  <c r="D107" i="7"/>
  <c r="E107" i="7"/>
  <c r="F107" i="7"/>
  <c r="G107" i="7"/>
  <c r="H107" i="7"/>
  <c r="I107" i="7"/>
  <c r="J107" i="7"/>
  <c r="K107" i="7"/>
  <c r="L107" i="7"/>
  <c r="M107" i="7"/>
  <c r="N107" i="7"/>
  <c r="O107" i="7"/>
  <c r="P107" i="7"/>
  <c r="Q107" i="7"/>
  <c r="R107" i="7"/>
  <c r="S107" i="7"/>
  <c r="T107" i="7"/>
  <c r="U107" i="7"/>
  <c r="V107" i="7"/>
  <c r="W107" i="7"/>
  <c r="X107" i="7"/>
  <c r="B108" i="7"/>
  <c r="C108" i="7"/>
  <c r="D108" i="7"/>
  <c r="E108" i="7"/>
  <c r="F108" i="7"/>
  <c r="G108" i="7"/>
  <c r="H108" i="7"/>
  <c r="I108" i="7"/>
  <c r="J108" i="7"/>
  <c r="K108" i="7"/>
  <c r="L108" i="7"/>
  <c r="M108" i="7"/>
  <c r="N108" i="7"/>
  <c r="O108" i="7"/>
  <c r="P108" i="7"/>
  <c r="Q108" i="7"/>
  <c r="R108" i="7"/>
  <c r="S108" i="7"/>
  <c r="T108" i="7"/>
  <c r="U108" i="7"/>
  <c r="V108" i="7"/>
  <c r="W108" i="7"/>
  <c r="X108" i="7"/>
  <c r="B109" i="7"/>
  <c r="C109" i="7"/>
  <c r="D109" i="7"/>
  <c r="E109" i="7"/>
  <c r="F109" i="7"/>
  <c r="G109" i="7"/>
  <c r="H109" i="7"/>
  <c r="I109" i="7"/>
  <c r="J109" i="7"/>
  <c r="K109" i="7"/>
  <c r="L109" i="7"/>
  <c r="M109" i="7"/>
  <c r="N109" i="7"/>
  <c r="O109" i="7"/>
  <c r="P109" i="7"/>
  <c r="Q109" i="7"/>
  <c r="R109" i="7"/>
  <c r="S109" i="7"/>
  <c r="T109" i="7"/>
  <c r="U109" i="7"/>
  <c r="V109" i="7"/>
  <c r="W109" i="7"/>
  <c r="X109" i="7"/>
  <c r="B110" i="7"/>
  <c r="C110" i="7"/>
  <c r="D110" i="7"/>
  <c r="E110" i="7"/>
  <c r="F110" i="7"/>
  <c r="G110" i="7"/>
  <c r="H110" i="7"/>
  <c r="I110" i="7"/>
  <c r="J110" i="7"/>
  <c r="K110" i="7"/>
  <c r="L110" i="7"/>
  <c r="M110" i="7"/>
  <c r="N110" i="7"/>
  <c r="O110" i="7"/>
  <c r="P110" i="7"/>
  <c r="Q110" i="7"/>
  <c r="R110" i="7"/>
  <c r="S110" i="7"/>
  <c r="T110" i="7"/>
  <c r="U110" i="7"/>
  <c r="V110" i="7"/>
  <c r="W110" i="7"/>
  <c r="X110" i="7"/>
  <c r="B111" i="7"/>
  <c r="C111" i="7"/>
  <c r="D111" i="7"/>
  <c r="E111" i="7"/>
  <c r="F111" i="7"/>
  <c r="G111" i="7"/>
  <c r="H111" i="7"/>
  <c r="I111" i="7"/>
  <c r="J111" i="7"/>
  <c r="K111" i="7"/>
  <c r="L111" i="7"/>
  <c r="M111" i="7"/>
  <c r="N111" i="7"/>
  <c r="O111" i="7"/>
  <c r="P111" i="7"/>
  <c r="Q111" i="7"/>
  <c r="R111" i="7"/>
  <c r="S111" i="7"/>
  <c r="T111" i="7"/>
  <c r="U111" i="7"/>
  <c r="V111" i="7"/>
  <c r="W111" i="7"/>
  <c r="X111" i="7"/>
  <c r="B112" i="7"/>
  <c r="C112" i="7"/>
  <c r="D112" i="7"/>
  <c r="E112" i="7"/>
  <c r="F112" i="7"/>
  <c r="G112" i="7"/>
  <c r="H112" i="7"/>
  <c r="I112" i="7"/>
  <c r="J112" i="7"/>
  <c r="K112" i="7"/>
  <c r="L112" i="7"/>
  <c r="M112" i="7"/>
  <c r="N112" i="7"/>
  <c r="O112" i="7"/>
  <c r="P112" i="7"/>
  <c r="Q112" i="7"/>
  <c r="R112" i="7"/>
  <c r="S112" i="7"/>
  <c r="T112" i="7"/>
  <c r="U112" i="7"/>
  <c r="V112" i="7"/>
  <c r="W112" i="7"/>
  <c r="X112" i="7"/>
  <c r="B113" i="7"/>
  <c r="C113" i="7"/>
  <c r="D113" i="7"/>
  <c r="E113" i="7"/>
  <c r="F113" i="7"/>
  <c r="G113" i="7"/>
  <c r="H113" i="7"/>
  <c r="I113" i="7"/>
  <c r="J113" i="7"/>
  <c r="K113" i="7"/>
  <c r="L113" i="7"/>
  <c r="M113" i="7"/>
  <c r="N113" i="7"/>
  <c r="O113" i="7"/>
  <c r="P113" i="7"/>
  <c r="Q113" i="7"/>
  <c r="R113" i="7"/>
  <c r="S113" i="7"/>
  <c r="T113" i="7"/>
  <c r="U113" i="7"/>
  <c r="V113" i="7"/>
  <c r="W113" i="7"/>
  <c r="X113" i="7"/>
  <c r="B114" i="7"/>
  <c r="C114" i="7"/>
  <c r="D114" i="7"/>
  <c r="E114" i="7"/>
  <c r="F114" i="7"/>
  <c r="G114" i="7"/>
  <c r="H114" i="7"/>
  <c r="I114" i="7"/>
  <c r="J114" i="7"/>
  <c r="K114" i="7"/>
  <c r="L114" i="7"/>
  <c r="M114" i="7"/>
  <c r="N114" i="7"/>
  <c r="O114" i="7"/>
  <c r="P114" i="7"/>
  <c r="Q114" i="7"/>
  <c r="R114" i="7"/>
  <c r="S114" i="7"/>
  <c r="T114" i="7"/>
  <c r="U114" i="7"/>
  <c r="V114" i="7"/>
  <c r="W114" i="7"/>
  <c r="X114" i="7"/>
  <c r="B115" i="7"/>
  <c r="C115" i="7"/>
  <c r="D115" i="7"/>
  <c r="E115" i="7"/>
  <c r="F115" i="7"/>
  <c r="G115" i="7"/>
  <c r="H115" i="7"/>
  <c r="I115" i="7"/>
  <c r="J115" i="7"/>
  <c r="K115" i="7"/>
  <c r="L115" i="7"/>
  <c r="M115" i="7"/>
  <c r="N115" i="7"/>
  <c r="O115" i="7"/>
  <c r="P115" i="7"/>
  <c r="Q115" i="7"/>
  <c r="R115" i="7"/>
  <c r="S115" i="7"/>
  <c r="T115" i="7"/>
  <c r="U115" i="7"/>
  <c r="V115" i="7"/>
  <c r="W115" i="7"/>
  <c r="X115" i="7"/>
  <c r="B116" i="7"/>
  <c r="C116" i="7"/>
  <c r="D116" i="7"/>
  <c r="E116" i="7"/>
  <c r="F116" i="7"/>
  <c r="G116" i="7"/>
  <c r="H116" i="7"/>
  <c r="I116" i="7"/>
  <c r="J116" i="7"/>
  <c r="K116" i="7"/>
  <c r="L116" i="7"/>
  <c r="M116" i="7"/>
  <c r="N116" i="7"/>
  <c r="O116" i="7"/>
  <c r="P116" i="7"/>
  <c r="Q116" i="7"/>
  <c r="R116" i="7"/>
  <c r="S116" i="7"/>
  <c r="T116" i="7"/>
  <c r="U116" i="7"/>
  <c r="V116" i="7"/>
  <c r="W116" i="7"/>
  <c r="X116" i="7"/>
  <c r="B117" i="7"/>
  <c r="C117" i="7"/>
  <c r="D117" i="7"/>
  <c r="E117" i="7"/>
  <c r="F117" i="7"/>
  <c r="G117" i="7"/>
  <c r="H117" i="7"/>
  <c r="I117" i="7"/>
  <c r="J117" i="7"/>
  <c r="K117" i="7"/>
  <c r="L117" i="7"/>
  <c r="M117" i="7"/>
  <c r="N117" i="7"/>
  <c r="O117" i="7"/>
  <c r="P117" i="7"/>
  <c r="Q117" i="7"/>
  <c r="R117" i="7"/>
  <c r="S117" i="7"/>
  <c r="T117" i="7"/>
  <c r="U117" i="7"/>
  <c r="V117" i="7"/>
  <c r="W117" i="7"/>
  <c r="X117" i="7"/>
  <c r="B118" i="7"/>
  <c r="C118" i="7"/>
  <c r="D118" i="7"/>
  <c r="E118" i="7"/>
  <c r="F118" i="7"/>
  <c r="G118" i="7"/>
  <c r="H118" i="7"/>
  <c r="I118" i="7"/>
  <c r="J118" i="7"/>
  <c r="K118" i="7"/>
  <c r="L118" i="7"/>
  <c r="M118" i="7"/>
  <c r="N118" i="7"/>
  <c r="O118" i="7"/>
  <c r="P118" i="7"/>
  <c r="Q118" i="7"/>
  <c r="R118" i="7"/>
  <c r="S118" i="7"/>
  <c r="T118" i="7"/>
  <c r="U118" i="7"/>
  <c r="V118" i="7"/>
  <c r="W118" i="7"/>
  <c r="X118" i="7"/>
  <c r="B119" i="7"/>
  <c r="C119" i="7"/>
  <c r="D119" i="7"/>
  <c r="E119" i="7"/>
  <c r="F119" i="7"/>
  <c r="G119" i="7"/>
  <c r="H119" i="7"/>
  <c r="I119" i="7"/>
  <c r="J119" i="7"/>
  <c r="K119" i="7"/>
  <c r="L119" i="7"/>
  <c r="M119" i="7"/>
  <c r="N119" i="7"/>
  <c r="O119" i="7"/>
  <c r="P119" i="7"/>
  <c r="Q119" i="7"/>
  <c r="R119" i="7"/>
  <c r="S119" i="7"/>
  <c r="T119" i="7"/>
  <c r="U119" i="7"/>
  <c r="V119" i="7"/>
  <c r="W119" i="7"/>
  <c r="X119" i="7"/>
  <c r="B120" i="7"/>
  <c r="C120" i="7"/>
  <c r="D120" i="7"/>
  <c r="E120" i="7"/>
  <c r="F120" i="7"/>
  <c r="G120" i="7"/>
  <c r="H120" i="7"/>
  <c r="I120" i="7"/>
  <c r="J120" i="7"/>
  <c r="K120" i="7"/>
  <c r="L120" i="7"/>
  <c r="M120" i="7"/>
  <c r="N120" i="7"/>
  <c r="O120" i="7"/>
  <c r="P120" i="7"/>
  <c r="Q120" i="7"/>
  <c r="R120" i="7"/>
  <c r="S120" i="7"/>
  <c r="T120" i="7"/>
  <c r="U120" i="7"/>
  <c r="V120" i="7"/>
  <c r="W120" i="7"/>
  <c r="X120" i="7"/>
  <c r="B121" i="7"/>
  <c r="C121" i="7"/>
  <c r="D121" i="7"/>
  <c r="E121" i="7"/>
  <c r="F121" i="7"/>
  <c r="G121" i="7"/>
  <c r="H121" i="7"/>
  <c r="I121" i="7"/>
  <c r="J121" i="7"/>
  <c r="K121" i="7"/>
  <c r="L121" i="7"/>
  <c r="M121" i="7"/>
  <c r="N121" i="7"/>
  <c r="O121" i="7"/>
  <c r="P121" i="7"/>
  <c r="Q121" i="7"/>
  <c r="R121" i="7"/>
  <c r="S121" i="7"/>
  <c r="T121" i="7"/>
  <c r="U121" i="7"/>
  <c r="V121" i="7"/>
  <c r="W121" i="7"/>
  <c r="X121" i="7"/>
  <c r="B122" i="7"/>
  <c r="C122" i="7"/>
  <c r="D122" i="7"/>
  <c r="E122" i="7"/>
  <c r="F122" i="7"/>
  <c r="G122" i="7"/>
  <c r="H122" i="7"/>
  <c r="I122" i="7"/>
  <c r="J122" i="7"/>
  <c r="K122" i="7"/>
  <c r="L122" i="7"/>
  <c r="M122" i="7"/>
  <c r="N122" i="7"/>
  <c r="O122" i="7"/>
  <c r="P122" i="7"/>
  <c r="Q122" i="7"/>
  <c r="R122" i="7"/>
  <c r="S122" i="7"/>
  <c r="T122" i="7"/>
  <c r="U122" i="7"/>
  <c r="V122" i="7"/>
  <c r="W122" i="7"/>
  <c r="X122" i="7"/>
  <c r="B123" i="7"/>
  <c r="C123" i="7"/>
  <c r="D123" i="7"/>
  <c r="E123" i="7"/>
  <c r="F123" i="7"/>
  <c r="G123" i="7"/>
  <c r="H123" i="7"/>
  <c r="I123" i="7"/>
  <c r="J123" i="7"/>
  <c r="K123" i="7"/>
  <c r="L123" i="7"/>
  <c r="M123" i="7"/>
  <c r="N123" i="7"/>
  <c r="O123" i="7"/>
  <c r="P123" i="7"/>
  <c r="Q123" i="7"/>
  <c r="R123" i="7"/>
  <c r="S123" i="7"/>
  <c r="T123" i="7"/>
  <c r="U123" i="7"/>
  <c r="V123" i="7"/>
  <c r="W123" i="7"/>
  <c r="X123" i="7"/>
  <c r="B124" i="7"/>
  <c r="C124" i="7"/>
  <c r="D124" i="7"/>
  <c r="E124" i="7"/>
  <c r="F124" i="7"/>
  <c r="G124" i="7"/>
  <c r="H124" i="7"/>
  <c r="I124" i="7"/>
  <c r="J124" i="7"/>
  <c r="K124" i="7"/>
  <c r="L124" i="7"/>
  <c r="M124" i="7"/>
  <c r="N124" i="7"/>
  <c r="O124" i="7"/>
  <c r="P124" i="7"/>
  <c r="Q124" i="7"/>
  <c r="R124" i="7"/>
  <c r="S124" i="7"/>
  <c r="T124" i="7"/>
  <c r="U124" i="7"/>
  <c r="V124" i="7"/>
  <c r="W124" i="7"/>
  <c r="X124" i="7"/>
  <c r="B125" i="7"/>
  <c r="C125" i="7"/>
  <c r="D125" i="7"/>
  <c r="E125" i="7"/>
  <c r="F125" i="7"/>
  <c r="G125" i="7"/>
  <c r="H125" i="7"/>
  <c r="I125" i="7"/>
  <c r="J125" i="7"/>
  <c r="K125" i="7"/>
  <c r="L125" i="7"/>
  <c r="M125" i="7"/>
  <c r="N125" i="7"/>
  <c r="O125" i="7"/>
  <c r="P125" i="7"/>
  <c r="Q125" i="7"/>
  <c r="R125" i="7"/>
  <c r="S125" i="7"/>
  <c r="T125" i="7"/>
  <c r="U125" i="7"/>
  <c r="V125" i="7"/>
  <c r="W125" i="7"/>
  <c r="X125" i="7"/>
  <c r="C77" i="7"/>
  <c r="D77" i="7"/>
  <c r="E77" i="7"/>
  <c r="F77" i="7"/>
  <c r="G77" i="7"/>
  <c r="H77" i="7"/>
  <c r="I77" i="7"/>
  <c r="J77" i="7"/>
  <c r="K77" i="7"/>
  <c r="L77" i="7"/>
  <c r="M77" i="7"/>
  <c r="N77" i="7"/>
  <c r="O77" i="7"/>
  <c r="P77" i="7"/>
  <c r="Q77" i="7"/>
  <c r="R77" i="7"/>
  <c r="S77" i="7"/>
  <c r="T77" i="7"/>
  <c r="U77" i="7"/>
  <c r="V77" i="7"/>
  <c r="W77" i="7"/>
  <c r="X77" i="7"/>
  <c r="B77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B31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B32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B33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B34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B35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B36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B37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B44" i="7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B45" i="7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B46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B47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B48" i="7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B52" i="7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B53" i="7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B54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B57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B60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E62" i="7"/>
  <c r="F62" i="7"/>
  <c r="G62" i="7"/>
  <c r="H62" i="7"/>
  <c r="I62" i="7"/>
  <c r="J62" i="7"/>
  <c r="K62" i="7"/>
  <c r="L62" i="7"/>
  <c r="M62" i="7"/>
  <c r="N62" i="7"/>
  <c r="O62" i="7"/>
  <c r="P62" i="7"/>
  <c r="Q62" i="7"/>
  <c r="R62" i="7"/>
  <c r="B63" i="7"/>
  <c r="C63" i="7"/>
  <c r="D63" i="7"/>
  <c r="E63" i="7"/>
  <c r="F63" i="7"/>
  <c r="G63" i="7"/>
  <c r="H63" i="7"/>
  <c r="I63" i="7"/>
  <c r="J63" i="7"/>
  <c r="K63" i="7"/>
  <c r="L63" i="7"/>
  <c r="M63" i="7"/>
  <c r="N63" i="7"/>
  <c r="O63" i="7"/>
  <c r="P63" i="7"/>
  <c r="Q63" i="7"/>
  <c r="R63" i="7"/>
  <c r="B64" i="7"/>
  <c r="C64" i="7"/>
  <c r="D64" i="7"/>
  <c r="E64" i="7"/>
  <c r="F64" i="7"/>
  <c r="G64" i="7"/>
  <c r="H64" i="7"/>
  <c r="I64" i="7"/>
  <c r="J64" i="7"/>
  <c r="K64" i="7"/>
  <c r="L64" i="7"/>
  <c r="M64" i="7"/>
  <c r="N64" i="7"/>
  <c r="O64" i="7"/>
  <c r="P64" i="7"/>
  <c r="Q64" i="7"/>
  <c r="R64" i="7"/>
  <c r="B65" i="7"/>
  <c r="C65" i="7"/>
  <c r="D65" i="7"/>
  <c r="E65" i="7"/>
  <c r="F65" i="7"/>
  <c r="G65" i="7"/>
  <c r="H65" i="7"/>
  <c r="I65" i="7"/>
  <c r="J65" i="7"/>
  <c r="K65" i="7"/>
  <c r="L65" i="7"/>
  <c r="M65" i="7"/>
  <c r="N65" i="7"/>
  <c r="O65" i="7"/>
  <c r="P65" i="7"/>
  <c r="Q65" i="7"/>
  <c r="R65" i="7"/>
  <c r="B66" i="7"/>
  <c r="C66" i="7"/>
  <c r="D66" i="7"/>
  <c r="E66" i="7"/>
  <c r="F66" i="7"/>
  <c r="G66" i="7"/>
  <c r="H66" i="7"/>
  <c r="I66" i="7"/>
  <c r="J66" i="7"/>
  <c r="K66" i="7"/>
  <c r="L66" i="7"/>
  <c r="M66" i="7"/>
  <c r="N66" i="7"/>
  <c r="O66" i="7"/>
  <c r="P66" i="7"/>
  <c r="Q66" i="7"/>
  <c r="R66" i="7"/>
  <c r="B67" i="7"/>
  <c r="C67" i="7"/>
  <c r="D67" i="7"/>
  <c r="E67" i="7"/>
  <c r="F67" i="7"/>
  <c r="G67" i="7"/>
  <c r="H67" i="7"/>
  <c r="I67" i="7"/>
  <c r="J67" i="7"/>
  <c r="K67" i="7"/>
  <c r="L67" i="7"/>
  <c r="M67" i="7"/>
  <c r="N67" i="7"/>
  <c r="O67" i="7"/>
  <c r="P67" i="7"/>
  <c r="Q67" i="7"/>
  <c r="R67" i="7"/>
  <c r="B68" i="7"/>
  <c r="C68" i="7"/>
  <c r="D68" i="7"/>
  <c r="E68" i="7"/>
  <c r="F68" i="7"/>
  <c r="G68" i="7"/>
  <c r="H68" i="7"/>
  <c r="I68" i="7"/>
  <c r="J68" i="7"/>
  <c r="K68" i="7"/>
  <c r="L68" i="7"/>
  <c r="M68" i="7"/>
  <c r="N68" i="7"/>
  <c r="O68" i="7"/>
  <c r="P68" i="7"/>
  <c r="Q68" i="7"/>
  <c r="R68" i="7"/>
  <c r="B69" i="7"/>
  <c r="C69" i="7"/>
  <c r="D69" i="7"/>
  <c r="E69" i="7"/>
  <c r="F69" i="7"/>
  <c r="G69" i="7"/>
  <c r="H69" i="7"/>
  <c r="I69" i="7"/>
  <c r="J69" i="7"/>
  <c r="K69" i="7"/>
  <c r="L69" i="7"/>
  <c r="M69" i="7"/>
  <c r="N69" i="7"/>
  <c r="O69" i="7"/>
  <c r="P69" i="7"/>
  <c r="Q69" i="7"/>
  <c r="R69" i="7"/>
  <c r="B70" i="7"/>
  <c r="C70" i="7"/>
  <c r="D70" i="7"/>
  <c r="E70" i="7"/>
  <c r="F70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E71" i="7"/>
  <c r="F71" i="7"/>
  <c r="G71" i="7"/>
  <c r="H71" i="7"/>
  <c r="I71" i="7"/>
  <c r="J71" i="7"/>
  <c r="K71" i="7"/>
  <c r="L71" i="7"/>
  <c r="M71" i="7"/>
  <c r="N71" i="7"/>
  <c r="O71" i="7"/>
  <c r="P71" i="7"/>
  <c r="Q71" i="7"/>
  <c r="R71" i="7"/>
  <c r="B72" i="7"/>
  <c r="C72" i="7"/>
  <c r="D72" i="7"/>
  <c r="E72" i="7"/>
  <c r="F72" i="7"/>
  <c r="G72" i="7"/>
  <c r="H72" i="7"/>
  <c r="I72" i="7"/>
  <c r="J72" i="7"/>
  <c r="K72" i="7"/>
  <c r="L72" i="7"/>
  <c r="M72" i="7"/>
  <c r="N72" i="7"/>
  <c r="O72" i="7"/>
  <c r="P72" i="7"/>
  <c r="Q72" i="7"/>
  <c r="R72" i="7"/>
  <c r="B73" i="7"/>
  <c r="C73" i="7"/>
  <c r="D73" i="7"/>
  <c r="E73" i="7"/>
  <c r="F73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E74" i="7"/>
  <c r="F74" i="7"/>
  <c r="G74" i="7"/>
  <c r="H74" i="7"/>
  <c r="I74" i="7"/>
  <c r="J74" i="7"/>
  <c r="K74" i="7"/>
  <c r="L74" i="7"/>
  <c r="M74" i="7"/>
  <c r="N74" i="7"/>
  <c r="O74" i="7"/>
  <c r="P74" i="7"/>
  <c r="Q74" i="7"/>
  <c r="R74" i="7"/>
  <c r="B75" i="7"/>
  <c r="C75" i="7"/>
  <c r="D75" i="7"/>
  <c r="E75" i="7"/>
  <c r="F75" i="7"/>
  <c r="G75" i="7"/>
  <c r="H75" i="7"/>
  <c r="I75" i="7"/>
  <c r="J75" i="7"/>
  <c r="K75" i="7"/>
  <c r="L75" i="7"/>
  <c r="M75" i="7"/>
  <c r="N75" i="7"/>
  <c r="O75" i="7"/>
  <c r="P75" i="7"/>
  <c r="Q75" i="7"/>
  <c r="R75" i="7"/>
  <c r="B76" i="7"/>
  <c r="C76" i="7"/>
  <c r="D76" i="7"/>
  <c r="E76" i="7"/>
  <c r="F76" i="7"/>
  <c r="G76" i="7"/>
  <c r="H76" i="7"/>
  <c r="I76" i="7"/>
  <c r="J76" i="7"/>
  <c r="K76" i="7"/>
  <c r="L76" i="7"/>
  <c r="M76" i="7"/>
  <c r="N76" i="7"/>
  <c r="O76" i="7"/>
  <c r="P76" i="7"/>
  <c r="Q76" i="7"/>
  <c r="R76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B25" i="7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B2" i="7"/>
  <c r="Q160" i="7"/>
  <c r="O160" i="7"/>
  <c r="M160" i="7"/>
  <c r="K160" i="7"/>
  <c r="I160" i="7"/>
  <c r="W159" i="7"/>
  <c r="U159" i="7"/>
  <c r="S159" i="7"/>
  <c r="Q159" i="7"/>
  <c r="O159" i="7"/>
  <c r="M159" i="7"/>
  <c r="K159" i="7"/>
  <c r="I159" i="7"/>
  <c r="G159" i="7"/>
  <c r="W158" i="7"/>
  <c r="U158" i="7"/>
  <c r="S158" i="7"/>
  <c r="Q158" i="7"/>
  <c r="O158" i="7"/>
  <c r="M158" i="7"/>
  <c r="K158" i="7"/>
  <c r="I158" i="7"/>
  <c r="G158" i="7"/>
  <c r="W157" i="7"/>
  <c r="U157" i="7"/>
  <c r="S157" i="7"/>
  <c r="Q157" i="7"/>
  <c r="O157" i="7"/>
  <c r="M157" i="7"/>
  <c r="K157" i="7"/>
  <c r="I157" i="7"/>
  <c r="G157" i="7"/>
  <c r="W156" i="7"/>
  <c r="U156" i="7"/>
  <c r="S156" i="7"/>
  <c r="Q156" i="7"/>
  <c r="O156" i="7"/>
  <c r="M156" i="7"/>
  <c r="K156" i="7"/>
  <c r="I156" i="7"/>
  <c r="G156" i="7"/>
  <c r="W155" i="7"/>
  <c r="U155" i="7"/>
  <c r="S155" i="7"/>
  <c r="Q155" i="7"/>
  <c r="O155" i="7"/>
  <c r="M155" i="7"/>
  <c r="K155" i="7"/>
  <c r="I155" i="7"/>
  <c r="G155" i="7"/>
  <c r="C8" i="6"/>
  <c r="C7" i="6"/>
  <c r="C3" i="6"/>
  <c r="C4" i="6"/>
  <c r="C5" i="6"/>
  <c r="C6" i="6"/>
  <c r="C2" i="6"/>
  <c r="Q86" i="2"/>
  <c r="O86" i="2"/>
  <c r="M86" i="2"/>
  <c r="K86" i="2"/>
  <c r="I86" i="2"/>
  <c r="W85" i="2"/>
  <c r="U85" i="2"/>
  <c r="S85" i="2"/>
  <c r="Q85" i="2"/>
  <c r="O85" i="2"/>
  <c r="M85" i="2"/>
  <c r="K85" i="2"/>
  <c r="I85" i="2"/>
  <c r="G85" i="2"/>
  <c r="W84" i="2"/>
  <c r="U84" i="2"/>
  <c r="S84" i="2"/>
  <c r="Q84" i="2"/>
  <c r="O84" i="2"/>
  <c r="M84" i="2"/>
  <c r="K84" i="2"/>
  <c r="I84" i="2"/>
  <c r="G84" i="2"/>
  <c r="W83" i="2"/>
  <c r="U83" i="2"/>
  <c r="S83" i="2"/>
  <c r="Q83" i="2"/>
  <c r="O83" i="2"/>
  <c r="M83" i="2"/>
  <c r="K83" i="2"/>
  <c r="I83" i="2"/>
  <c r="G83" i="2"/>
  <c r="W82" i="2"/>
  <c r="U82" i="2"/>
  <c r="S82" i="2"/>
  <c r="Q82" i="2"/>
  <c r="O82" i="2"/>
  <c r="M82" i="2"/>
  <c r="K82" i="2"/>
  <c r="I82" i="2"/>
  <c r="G82" i="2"/>
  <c r="W81" i="2"/>
  <c r="U81" i="2"/>
  <c r="S81" i="2"/>
  <c r="Q81" i="2"/>
  <c r="O81" i="2"/>
  <c r="M81" i="2"/>
  <c r="K81" i="2"/>
  <c r="I81" i="2"/>
  <c r="W87" i="2" a="1"/>
  <c r="W87" i="2" s="1"/>
  <c r="W88" i="2" a="1"/>
  <c r="W88" i="2" s="1"/>
  <c r="V85" i="2"/>
  <c r="V84" i="2"/>
  <c r="V83" i="2"/>
  <c r="V82" i="2"/>
  <c r="V81" i="2"/>
  <c r="T85" i="2"/>
  <c r="T84" i="2"/>
  <c r="T83" i="2"/>
  <c r="T82" i="2"/>
  <c r="T81" i="2"/>
  <c r="R85" i="2"/>
  <c r="R84" i="2"/>
  <c r="R83" i="2"/>
  <c r="R82" i="2"/>
  <c r="R81" i="2"/>
  <c r="P81" i="2"/>
  <c r="P82" i="2"/>
  <c r="P83" i="2"/>
  <c r="P84" i="2"/>
  <c r="P85" i="2"/>
  <c r="P86" i="2"/>
  <c r="G81" i="2"/>
  <c r="U88" i="2" a="1"/>
  <c r="U88" i="2" s="1"/>
  <c r="S88" i="2" a="1"/>
  <c r="S88" i="2" s="1"/>
  <c r="Q88" i="2" a="1"/>
  <c r="Q88" i="2" s="1"/>
  <c r="O88" i="2" a="1"/>
  <c r="O88" i="2" s="1"/>
  <c r="M88" i="2" a="1"/>
  <c r="M88" i="2" s="1"/>
  <c r="K88" i="2" a="1"/>
  <c r="K88" i="2" s="1"/>
  <c r="I88" i="2" a="1"/>
  <c r="I88" i="2" s="1"/>
  <c r="G88" i="2" a="1"/>
  <c r="G88" i="2" s="1"/>
  <c r="U87" i="2" a="1"/>
  <c r="U87" i="2" s="1"/>
  <c r="S87" i="2" a="1"/>
  <c r="S87" i="2" s="1"/>
  <c r="Q87" i="2" a="1"/>
  <c r="Q87" i="2" s="1"/>
  <c r="O87" i="2" a="1"/>
  <c r="O87" i="2" s="1"/>
  <c r="M87" i="2" a="1"/>
  <c r="M87" i="2" s="1"/>
  <c r="K87" i="2" a="1"/>
  <c r="K87" i="2" s="1"/>
  <c r="I87" i="2" a="1"/>
  <c r="I87" i="2" s="1"/>
  <c r="G87" i="2" a="1"/>
  <c r="G87" i="2" s="1"/>
  <c r="N86" i="2"/>
  <c r="L86" i="2"/>
  <c r="J86" i="2"/>
  <c r="H86" i="2"/>
  <c r="N85" i="2"/>
  <c r="L85" i="2"/>
  <c r="J85" i="2"/>
  <c r="H85" i="2"/>
  <c r="F85" i="2"/>
  <c r="N84" i="2"/>
  <c r="L84" i="2"/>
  <c r="J84" i="2"/>
  <c r="H84" i="2"/>
  <c r="F84" i="2"/>
  <c r="N83" i="2"/>
  <c r="L83" i="2"/>
  <c r="J83" i="2"/>
  <c r="H83" i="2"/>
  <c r="F83" i="2"/>
  <c r="N82" i="2"/>
  <c r="L82" i="2"/>
  <c r="J82" i="2"/>
  <c r="H82" i="2"/>
  <c r="F82" i="2"/>
  <c r="N81" i="2"/>
  <c r="L81" i="2"/>
  <c r="J81" i="2"/>
  <c r="H81" i="2"/>
  <c r="F81" i="2"/>
  <c r="U60" i="3"/>
  <c r="S60" i="3"/>
  <c r="Q60" i="3"/>
  <c r="O60" i="3"/>
  <c r="M60" i="3"/>
  <c r="K60" i="3"/>
  <c r="I60" i="3"/>
  <c r="AA59" i="3"/>
  <c r="Y59" i="3"/>
  <c r="W59" i="3"/>
  <c r="U59" i="3"/>
  <c r="S59" i="3"/>
  <c r="Q59" i="3"/>
  <c r="O59" i="3"/>
  <c r="M59" i="3"/>
  <c r="K59" i="3"/>
  <c r="I59" i="3"/>
  <c r="G59" i="3"/>
  <c r="AA58" i="3"/>
  <c r="Y58" i="3"/>
  <c r="W58" i="3"/>
  <c r="U58" i="3"/>
  <c r="S58" i="3"/>
  <c r="Q58" i="3"/>
  <c r="O58" i="3"/>
  <c r="M58" i="3"/>
  <c r="K58" i="3"/>
  <c r="I58" i="3"/>
  <c r="G58" i="3"/>
  <c r="AA57" i="3"/>
  <c r="Y57" i="3"/>
  <c r="W57" i="3"/>
  <c r="U57" i="3"/>
  <c r="S57" i="3"/>
  <c r="Q57" i="3"/>
  <c r="O57" i="3"/>
  <c r="M57" i="3"/>
  <c r="K57" i="3"/>
  <c r="I57" i="3"/>
  <c r="G57" i="3"/>
  <c r="AA56" i="3"/>
  <c r="Y56" i="3"/>
  <c r="W56" i="3"/>
  <c r="U56" i="3"/>
  <c r="S56" i="3"/>
  <c r="Q56" i="3"/>
  <c r="O56" i="3"/>
  <c r="M56" i="3"/>
  <c r="K56" i="3"/>
  <c r="I56" i="3"/>
  <c r="G56" i="3"/>
  <c r="AA55" i="3"/>
  <c r="Y55" i="3"/>
  <c r="W55" i="3"/>
  <c r="U55" i="3"/>
  <c r="S55" i="3"/>
  <c r="Q55" i="3"/>
  <c r="O55" i="3"/>
  <c r="M55" i="3"/>
  <c r="K55" i="3"/>
  <c r="I55" i="3"/>
  <c r="G55" i="3"/>
  <c r="AA62" i="3"/>
  <c r="AA62" i="3" a="1"/>
  <c r="Y62" i="3" a="1"/>
  <c r="Y62" i="3" s="1"/>
  <c r="W62" i="3"/>
  <c r="W62" i="3" a="1"/>
  <c r="U62" i="3" a="1"/>
  <c r="U62" i="3" s="1"/>
  <c r="S62" i="3"/>
  <c r="S62" i="3" a="1"/>
  <c r="Q62" i="3" a="1"/>
  <c r="Q62" i="3" s="1"/>
  <c r="O62" i="3"/>
  <c r="O62" i="3" a="1"/>
  <c r="M62" i="3" a="1"/>
  <c r="M62" i="3" s="1"/>
  <c r="K62" i="3"/>
  <c r="K62" i="3" a="1"/>
  <c r="I62" i="3" a="1"/>
  <c r="I62" i="3" s="1"/>
  <c r="G62" i="3"/>
  <c r="G62" i="3" a="1"/>
  <c r="AA61" i="3" a="1"/>
  <c r="AA61" i="3" s="1"/>
  <c r="Y61" i="3"/>
  <c r="Y61" i="3" a="1"/>
  <c r="W61" i="3" a="1"/>
  <c r="W61" i="3" s="1"/>
  <c r="U61" i="3"/>
  <c r="U61" i="3" a="1"/>
  <c r="S61" i="3" a="1"/>
  <c r="S61" i="3" s="1"/>
  <c r="Q61" i="3"/>
  <c r="Q61" i="3" a="1"/>
  <c r="O61" i="3" a="1"/>
  <c r="O61" i="3" s="1"/>
  <c r="M61" i="3"/>
  <c r="M61" i="3" a="1"/>
  <c r="K61" i="3" a="1"/>
  <c r="K61" i="3" s="1"/>
  <c r="I61" i="3"/>
  <c r="I61" i="3" a="1"/>
  <c r="G61" i="3" a="1"/>
  <c r="G61" i="3" s="1"/>
  <c r="T60" i="3"/>
  <c r="R60" i="3"/>
  <c r="P60" i="3"/>
  <c r="N60" i="3"/>
  <c r="L60" i="3"/>
  <c r="J60" i="3"/>
  <c r="H60" i="3"/>
  <c r="Z59" i="3"/>
  <c r="X59" i="3"/>
  <c r="V59" i="3"/>
  <c r="T59" i="3"/>
  <c r="R59" i="3"/>
  <c r="P59" i="3"/>
  <c r="N59" i="3"/>
  <c r="L59" i="3"/>
  <c r="J59" i="3"/>
  <c r="H59" i="3"/>
  <c r="F59" i="3"/>
  <c r="Z58" i="3"/>
  <c r="X58" i="3"/>
  <c r="V58" i="3"/>
  <c r="T58" i="3"/>
  <c r="R58" i="3"/>
  <c r="P58" i="3"/>
  <c r="N58" i="3"/>
  <c r="L58" i="3"/>
  <c r="J58" i="3"/>
  <c r="H58" i="3"/>
  <c r="F58" i="3"/>
  <c r="Z57" i="3"/>
  <c r="X57" i="3"/>
  <c r="V57" i="3"/>
  <c r="T57" i="3"/>
  <c r="R57" i="3"/>
  <c r="P57" i="3"/>
  <c r="N57" i="3"/>
  <c r="L57" i="3"/>
  <c r="J57" i="3"/>
  <c r="H57" i="3"/>
  <c r="F57" i="3"/>
  <c r="Z56" i="3"/>
  <c r="X56" i="3"/>
  <c r="V56" i="3"/>
  <c r="T56" i="3"/>
  <c r="R56" i="3"/>
  <c r="P56" i="3"/>
  <c r="N56" i="3"/>
  <c r="L56" i="3"/>
  <c r="J56" i="3"/>
  <c r="H56" i="3"/>
  <c r="F56" i="3"/>
  <c r="Z55" i="3"/>
  <c r="X55" i="3"/>
  <c r="V55" i="3"/>
  <c r="T55" i="3"/>
  <c r="R55" i="3"/>
  <c r="P55" i="3"/>
  <c r="N55" i="3"/>
  <c r="L55" i="3"/>
  <c r="J55" i="3"/>
  <c r="H55" i="3"/>
  <c r="F55" i="3"/>
  <c r="Z30" i="4"/>
  <c r="Z29" i="4"/>
  <c r="Z28" i="4"/>
  <c r="Z27" i="4"/>
  <c r="X30" i="4"/>
  <c r="X29" i="4"/>
  <c r="X28" i="4"/>
  <c r="X27" i="4"/>
  <c r="V30" i="4"/>
  <c r="V29" i="4"/>
  <c r="V28" i="4"/>
  <c r="V27" i="4"/>
  <c r="T31" i="4"/>
  <c r="T30" i="4"/>
  <c r="T29" i="4"/>
  <c r="T28" i="4"/>
  <c r="T27" i="4"/>
  <c r="T26" i="4"/>
  <c r="R31" i="4"/>
  <c r="R30" i="4"/>
  <c r="R29" i="4"/>
  <c r="R28" i="4"/>
  <c r="R27" i="4"/>
  <c r="R26" i="4"/>
  <c r="P31" i="4"/>
  <c r="P30" i="4"/>
  <c r="P29" i="4"/>
  <c r="P28" i="4"/>
  <c r="P27" i="4"/>
  <c r="P26" i="4"/>
  <c r="N31" i="4"/>
  <c r="N30" i="4"/>
  <c r="N29" i="4"/>
  <c r="N28" i="4"/>
  <c r="N27" i="4"/>
  <c r="N26" i="4"/>
  <c r="L31" i="4"/>
  <c r="L30" i="4"/>
  <c r="L29" i="4"/>
  <c r="L28" i="4"/>
  <c r="L27" i="4"/>
  <c r="L26" i="4"/>
  <c r="J31" i="4"/>
  <c r="J30" i="4"/>
  <c r="J29" i="4"/>
  <c r="J28" i="4"/>
  <c r="J27" i="4"/>
  <c r="J26" i="4"/>
  <c r="H31" i="4"/>
  <c r="A15" i="6" s="1"/>
  <c r="H30" i="4"/>
  <c r="H29" i="4"/>
  <c r="H28" i="4"/>
  <c r="H27" i="4"/>
  <c r="A11" i="6" s="1"/>
  <c r="F30" i="4"/>
  <c r="F29" i="4"/>
  <c r="F28" i="4"/>
  <c r="A4" i="6" s="1"/>
  <c r="F27" i="4"/>
  <c r="A3" i="6" s="1"/>
  <c r="Z26" i="4"/>
  <c r="X26" i="4"/>
  <c r="V26" i="4"/>
  <c r="H26" i="4"/>
  <c r="F26" i="4"/>
  <c r="B17" i="6"/>
  <c r="B16" i="6"/>
  <c r="B8" i="6"/>
  <c r="B7" i="6"/>
  <c r="B10" i="6"/>
  <c r="B11" i="6"/>
  <c r="B12" i="6"/>
  <c r="B13" i="6"/>
  <c r="B14" i="6"/>
  <c r="B15" i="6"/>
  <c r="A12" i="6"/>
  <c r="A13" i="6"/>
  <c r="A14" i="6"/>
  <c r="A10" i="6"/>
  <c r="A9" i="6"/>
  <c r="B6" i="6"/>
  <c r="B3" i="6"/>
  <c r="B4" i="6"/>
  <c r="A5" i="6"/>
  <c r="B5" i="6"/>
  <c r="A6" i="6"/>
  <c r="B2" i="6"/>
  <c r="A2" i="6"/>
  <c r="U31" i="4"/>
  <c r="S31" i="4"/>
  <c r="Q31" i="4"/>
  <c r="O31" i="4"/>
  <c r="M31" i="4"/>
  <c r="K31" i="4"/>
  <c r="A18" i="5"/>
  <c r="A17" i="5"/>
  <c r="A16" i="5"/>
  <c r="A15" i="5"/>
  <c r="K14" i="5"/>
  <c r="J14" i="5"/>
  <c r="I14" i="5"/>
  <c r="H14" i="5"/>
  <c r="G14" i="5"/>
  <c r="F14" i="5"/>
  <c r="E14" i="5"/>
  <c r="A14" i="5"/>
  <c r="K13" i="5"/>
  <c r="J13" i="5"/>
  <c r="I13" i="5"/>
  <c r="H13" i="5"/>
  <c r="G13" i="5"/>
  <c r="F13" i="5"/>
  <c r="E13" i="5"/>
  <c r="A13" i="5"/>
  <c r="K12" i="5"/>
  <c r="J12" i="5"/>
  <c r="I12" i="5"/>
  <c r="H12" i="5"/>
  <c r="G12" i="5"/>
  <c r="F12" i="5"/>
  <c r="E12" i="5"/>
  <c r="A12" i="5"/>
  <c r="K11" i="5"/>
  <c r="J11" i="5"/>
  <c r="I11" i="5"/>
  <c r="H11" i="5"/>
  <c r="G11" i="5"/>
  <c r="F11" i="5"/>
  <c r="E11" i="5"/>
  <c r="A11" i="5"/>
  <c r="K10" i="5"/>
  <c r="J10" i="5"/>
  <c r="I10" i="5"/>
  <c r="H10" i="5"/>
  <c r="G10" i="5"/>
  <c r="F10" i="5"/>
  <c r="E10" i="5"/>
  <c r="A10" i="5"/>
  <c r="K9" i="5"/>
  <c r="J9" i="5"/>
  <c r="I9" i="5"/>
  <c r="H9" i="5"/>
  <c r="G9" i="5"/>
  <c r="F9" i="5"/>
  <c r="E9" i="5"/>
  <c r="A9" i="5"/>
  <c r="A8" i="5"/>
  <c r="A7" i="5"/>
  <c r="A6" i="5"/>
  <c r="A5" i="5"/>
  <c r="A4" i="5"/>
  <c r="A3" i="5"/>
  <c r="A2" i="5"/>
  <c r="U26" i="4"/>
  <c r="AA32" i="4" a="1"/>
  <c r="AA32" i="4" s="1"/>
  <c r="AA30" i="4"/>
  <c r="AA29" i="4"/>
  <c r="AA28" i="4"/>
  <c r="AA27" i="4"/>
  <c r="AA26" i="4"/>
  <c r="AA33" i="4" s="1" a="1"/>
  <c r="AA33" i="4" s="1"/>
  <c r="Y32" i="4" a="1"/>
  <c r="Y32" i="4" s="1"/>
  <c r="Y30" i="4"/>
  <c r="Y29" i="4"/>
  <c r="Y33" i="4" s="1" a="1"/>
  <c r="Y33" i="4" s="1"/>
  <c r="Y28" i="4"/>
  <c r="Y27" i="4"/>
  <c r="Y26" i="4"/>
  <c r="W32" i="4" a="1"/>
  <c r="W32" i="4" s="1"/>
  <c r="W30" i="4"/>
  <c r="W29" i="4"/>
  <c r="W28" i="4"/>
  <c r="W27" i="4"/>
  <c r="W26" i="4"/>
  <c r="W33" i="4" s="1" a="1"/>
  <c r="W33" i="4" s="1"/>
  <c r="U32" i="4" a="1"/>
  <c r="U32" i="4" s="1"/>
  <c r="U30" i="4"/>
  <c r="U29" i="4"/>
  <c r="U28" i="4"/>
  <c r="U27" i="4"/>
  <c r="U33" i="4" a="1"/>
  <c r="U33" i="4" s="1"/>
  <c r="S33" i="4" a="1"/>
  <c r="S33" i="4" s="1"/>
  <c r="S32" i="4" a="1"/>
  <c r="S32" i="4" s="1"/>
  <c r="S30" i="4"/>
  <c r="S29" i="4"/>
  <c r="S28" i="4"/>
  <c r="S27" i="4"/>
  <c r="S26" i="4"/>
  <c r="Q32" i="4"/>
  <c r="Q32" i="4" a="1"/>
  <c r="Q30" i="4"/>
  <c r="Q29" i="4"/>
  <c r="Q28" i="4"/>
  <c r="Q33" i="4" s="1" a="1"/>
  <c r="Q33" i="4" s="1"/>
  <c r="Q27" i="4"/>
  <c r="Q26" i="4"/>
  <c r="O32" i="4" a="1"/>
  <c r="O32" i="4" s="1"/>
  <c r="O30" i="4"/>
  <c r="O29" i="4"/>
  <c r="O28" i="4"/>
  <c r="O27" i="4"/>
  <c r="O26" i="4"/>
  <c r="O33" i="4" s="1" a="1"/>
  <c r="O33" i="4" s="1"/>
  <c r="I31" i="4"/>
  <c r="M32" i="4" a="1"/>
  <c r="M32" i="4" s="1"/>
  <c r="M30" i="4"/>
  <c r="M29" i="4"/>
  <c r="M28" i="4"/>
  <c r="M27" i="4"/>
  <c r="M26" i="4"/>
  <c r="M33" i="4" s="1" a="1"/>
  <c r="M33" i="4" s="1"/>
  <c r="K33" i="4" a="1"/>
  <c r="K33" i="4" s="1"/>
  <c r="K32" i="4" a="1"/>
  <c r="K32" i="4" s="1"/>
  <c r="K30" i="4"/>
  <c r="K29" i="4"/>
  <c r="K28" i="4"/>
  <c r="K27" i="4"/>
  <c r="K26" i="4"/>
  <c r="I33" i="4" a="1"/>
  <c r="I33" i="4" s="1"/>
  <c r="I32" i="4" a="1"/>
  <c r="I32" i="4" s="1"/>
  <c r="G33" i="4" a="1"/>
  <c r="G33" i="4" s="1"/>
  <c r="G32" i="4" a="1"/>
  <c r="G32" i="4" s="1"/>
  <c r="I30" i="4"/>
  <c r="I29" i="4"/>
  <c r="I28" i="4"/>
  <c r="I27" i="4"/>
  <c r="I26" i="4"/>
  <c r="G30" i="4"/>
  <c r="G29" i="4"/>
  <c r="G28" i="4"/>
  <c r="G27" i="4"/>
  <c r="G26" i="4"/>
  <c r="N160" i="7" l="1"/>
  <c r="L160" i="7"/>
  <c r="P160" i="7"/>
  <c r="R160" i="7"/>
  <c r="J160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<sst xmlns="http://schemas.openxmlformats.org/spreadsheetml/2006/main" count="3757" uniqueCount="249">
  <si>
    <t>id</t>
  </si>
  <si>
    <t>Q_SurveyFinished</t>
  </si>
  <si>
    <t>Q_RecordedDate</t>
  </si>
  <si>
    <t>Q_Consent</t>
  </si>
  <si>
    <t>Q_PlayerNumber</t>
  </si>
  <si>
    <t>Q_Experience</t>
  </si>
  <si>
    <t>Q_Experiencecode</t>
  </si>
  <si>
    <t>Q_Info_Government</t>
  </si>
  <si>
    <t>Q_Info_Governmentcode</t>
  </si>
  <si>
    <t>Q_Info_WeatherForecast</t>
  </si>
  <si>
    <t>Q_Info_WeatherForecastcode</t>
  </si>
  <si>
    <t>Q_Info_Scientific</t>
  </si>
  <si>
    <t>Q_Info_Scientificcode</t>
  </si>
  <si>
    <t>Q_Info_GeneralMedia</t>
  </si>
  <si>
    <t>Q_Info_GeneralMediacode</t>
  </si>
  <si>
    <t>Q_Info_SocialMedia</t>
  </si>
  <si>
    <t>Q_Info_SocialMediacode</t>
  </si>
  <si>
    <t>Q_Info_Engineering</t>
  </si>
  <si>
    <t>Q_Info_Engineeringcode</t>
  </si>
  <si>
    <t>Q_Info_Insurances</t>
  </si>
  <si>
    <t>Q_Info_Insurancescode</t>
  </si>
  <si>
    <t>Q_FloodFuture</t>
  </si>
  <si>
    <t>Q_FloodFuturecode</t>
  </si>
  <si>
    <t>Q_ClimateChange</t>
  </si>
  <si>
    <t>Q_ClimateChangecode</t>
  </si>
  <si>
    <t>Q_Threat</t>
  </si>
  <si>
    <t>Q_Threatcode</t>
  </si>
  <si>
    <t>True</t>
  </si>
  <si>
    <t>t3p3</t>
  </si>
  <si>
    <t>1</t>
  </si>
  <si>
    <t>3</t>
  </si>
  <si>
    <t>Eén keer per week</t>
  </si>
  <si>
    <t>5</t>
  </si>
  <si>
    <t>Eén keer per maand</t>
  </si>
  <si>
    <t>4</t>
  </si>
  <si>
    <t>6</t>
  </si>
  <si>
    <t>Neutraal</t>
  </si>
  <si>
    <t>Een kleine toename</t>
  </si>
  <si>
    <t>2</t>
  </si>
  <si>
    <t>t4p5</t>
  </si>
  <si>
    <t>Nooit</t>
  </si>
  <si>
    <t>Onwaarschijnlijk</t>
  </si>
  <si>
    <t>t3p4</t>
  </si>
  <si>
    <t>t3p2</t>
  </si>
  <si>
    <t>Zeer onwaarschijnlijk</t>
  </si>
  <si>
    <t>3 en</t>
  </si>
  <si>
    <t>t2p4</t>
  </si>
  <si>
    <t>Waarschijnlijk</t>
  </si>
  <si>
    <t>t2p5</t>
  </si>
  <si>
    <t>t4p6</t>
  </si>
  <si>
    <t>t2p6</t>
  </si>
  <si>
    <t>Ik zou lichte schade kunnen oplopen</t>
  </si>
  <si>
    <t>t4p4</t>
  </si>
  <si>
    <t>t3p5</t>
  </si>
  <si>
    <t>t1p1</t>
  </si>
  <si>
    <t>t1p3</t>
  </si>
  <si>
    <t>t2p1</t>
  </si>
  <si>
    <t>t4p2</t>
  </si>
  <si>
    <t>t3p6</t>
  </si>
  <si>
    <t>table</t>
  </si>
  <si>
    <t>t4p3</t>
  </si>
  <si>
    <t>t1p5</t>
  </si>
  <si>
    <t>t1p4</t>
  </si>
  <si>
    <t>t1p2</t>
  </si>
  <si>
    <t>t1p6</t>
  </si>
  <si>
    <t>t2p2</t>
  </si>
  <si>
    <t>Yes, I agree to voluntarily participate in this game session study (thanks for your collaboration)!</t>
  </si>
  <si>
    <t>No, I do not have a flood experience</t>
  </si>
  <si>
    <t>Never</t>
  </si>
  <si>
    <t>Once in the last year</t>
  </si>
  <si>
    <t>Very unlikely</t>
  </si>
  <si>
    <t>A big increase</t>
  </si>
  <si>
    <t>I won't get flooded</t>
  </si>
  <si>
    <t>t5p3</t>
  </si>
  <si>
    <t>Once a month</t>
  </si>
  <si>
    <t>Once a week</t>
  </si>
  <si>
    <t>Unlikely</t>
  </si>
  <si>
    <t>A moderate increase</t>
  </si>
  <si>
    <t>I might suffer minor damage</t>
  </si>
  <si>
    <t>Once in the last six months</t>
  </si>
  <si>
    <t>Likely</t>
  </si>
  <si>
    <t>An extreme increase</t>
  </si>
  <si>
    <t>I will suffer some damage</t>
  </si>
  <si>
    <t>t2p8</t>
  </si>
  <si>
    <t>Yes, but without disruptions or damages</t>
  </si>
  <si>
    <t>If I get flooded, I won't get damaged</t>
  </si>
  <si>
    <t>t4p8</t>
  </si>
  <si>
    <t>Neutral</t>
  </si>
  <si>
    <t>t4p1</t>
  </si>
  <si>
    <t>t3p8</t>
  </si>
  <si>
    <t>t3p7</t>
  </si>
  <si>
    <t>Yes, with minor disruptions or damages</t>
  </si>
  <si>
    <t>Very likely</t>
  </si>
  <si>
    <t>t5p7</t>
  </si>
  <si>
    <t>A little increase</t>
  </si>
  <si>
    <t>Once a day</t>
  </si>
  <si>
    <t>t5t8</t>
  </si>
  <si>
    <t>t5p2</t>
  </si>
  <si>
    <t>t2p3</t>
  </si>
  <si>
    <t>t4p7</t>
  </si>
  <si>
    <t>t5p5</t>
  </si>
  <si>
    <t>t1p7</t>
  </si>
  <si>
    <t>Yes, with serious disruptions or damages</t>
  </si>
  <si>
    <t>No increase at all</t>
  </si>
  <si>
    <t>t5p4</t>
  </si>
  <si>
    <t>t2p7</t>
  </si>
  <si>
    <t>Yes, with some disruptions or damages</t>
  </si>
  <si>
    <t>t3p1</t>
  </si>
  <si>
    <t>t5p1</t>
  </si>
  <si>
    <t>t9p1</t>
  </si>
  <si>
    <t>t7p8</t>
  </si>
  <si>
    <t>t10p2</t>
  </si>
  <si>
    <t>t7p1</t>
  </si>
  <si>
    <t>t6p7</t>
  </si>
  <si>
    <t>I will get seriously damaged</t>
  </si>
  <si>
    <t>t9p7</t>
  </si>
  <si>
    <t>t10p1</t>
  </si>
  <si>
    <t>t7p4</t>
  </si>
  <si>
    <t>t9p6</t>
  </si>
  <si>
    <t>t7p6</t>
  </si>
  <si>
    <t>t6p6</t>
  </si>
  <si>
    <t>t7p3</t>
  </si>
  <si>
    <t>t8p7</t>
  </si>
  <si>
    <t>t7p7</t>
  </si>
  <si>
    <t>t6p3</t>
  </si>
  <si>
    <t>t7p5</t>
  </si>
  <si>
    <t>t10p7</t>
  </si>
  <si>
    <t>t8p1</t>
  </si>
  <si>
    <t>t8p2</t>
  </si>
  <si>
    <t>t8p3</t>
  </si>
  <si>
    <t>t9p3</t>
  </si>
  <si>
    <t>t8p6</t>
  </si>
  <si>
    <t>t8p4</t>
  </si>
  <si>
    <t>t10p8</t>
  </si>
  <si>
    <t>t7p2</t>
  </si>
  <si>
    <t>t8p5</t>
  </si>
  <si>
    <t>t9p2</t>
  </si>
  <si>
    <t>t9p8</t>
  </si>
  <si>
    <t>t10p4</t>
  </si>
  <si>
    <t>t9p4</t>
  </si>
  <si>
    <t>t10p5</t>
  </si>
  <si>
    <t>t8p8</t>
  </si>
  <si>
    <t>t6p5</t>
  </si>
  <si>
    <t>t6p8</t>
  </si>
  <si>
    <t>t6p2</t>
  </si>
  <si>
    <t>t6p1</t>
  </si>
  <si>
    <t>t10p3</t>
  </si>
  <si>
    <t>t9p5</t>
  </si>
  <si>
    <t>t6p4</t>
  </si>
  <si>
    <t>Yes, I agree to voluntarily participate (thanks for your collaboration)!</t>
  </si>
  <si>
    <t>t2 p5</t>
  </si>
  <si>
    <t>2, t2</t>
  </si>
  <si>
    <t>No, I prefer not to participate (the survey ends, and you kindly wait for others to finish)</t>
  </si>
  <si>
    <t>t5p6</t>
  </si>
  <si>
    <t>DataAnalysisQuestion</t>
  </si>
  <si>
    <t>QuestionAlias</t>
  </si>
  <si>
    <t>QuestionText</t>
  </si>
  <si>
    <t>QuestionColumn</t>
  </si>
  <si>
    <t>AnswerOptions</t>
  </si>
  <si>
    <t>Option1</t>
  </si>
  <si>
    <t>Option2</t>
  </si>
  <si>
    <t>Option3</t>
  </si>
  <si>
    <t>Option4</t>
  </si>
  <si>
    <t>Option5</t>
  </si>
  <si>
    <t>Option6</t>
  </si>
  <si>
    <t>Option7</t>
  </si>
  <si>
    <t>Response options</t>
  </si>
  <si>
    <t>Mean</t>
  </si>
  <si>
    <t>Median</t>
  </si>
  <si>
    <t>7) How likely do you consider any type of flood to happen to you in the next 5 to 10 years?</t>
  </si>
  <si>
    <t>1 = Very unlikely</t>
  </si>
  <si>
    <t>2 = Unlikely</t>
  </si>
  <si>
    <t>3 = Neutral</t>
  </si>
  <si>
    <t>4 = Likely</t>
  </si>
  <si>
    <t>5 = Very likely</t>
  </si>
  <si>
    <t>8) To what extent do you believe climate change will increase your likelihood or chance of being flooded in the next 5 to 10 years?</t>
  </si>
  <si>
    <t>1 = No increase at all</t>
  </si>
  <si>
    <t>2 = A little increase</t>
  </si>
  <si>
    <t>3 = A moderate increase</t>
  </si>
  <si>
    <t>4 = A big increase</t>
  </si>
  <si>
    <t>5 = An extreme increase</t>
  </si>
  <si>
    <t>9) To what extent do you believe you will get damaged in the event of a major flood in the next 5 to 10 years?</t>
  </si>
  <si>
    <t>1 = I won't get flooded</t>
  </si>
  <si>
    <t>2 = If I get flooded, I won't get damaged</t>
  </si>
  <si>
    <t>3 = I might suffer minor damage</t>
  </si>
  <si>
    <t>4 = I will suffer some damage</t>
  </si>
  <si>
    <t>5 = I will get seriously damaged</t>
  </si>
  <si>
    <t xml:space="preserve"> 4) Have you ever personally experienced any type of flood? (e.g. coastal, river or rain flood)</t>
  </si>
  <si>
    <t>1 = No, I do not have a flood experience</t>
  </si>
  <si>
    <t>2 = Yes, but without disruptions or damages</t>
  </si>
  <si>
    <t>3 = Yes, with minor disruptions or damages</t>
  </si>
  <si>
    <t>4 = Yes, with some disruptions or damages</t>
  </si>
  <si>
    <t>5 = Yes, with serious disruptions or damages</t>
  </si>
  <si>
    <t>Government (i.e. official letters, announcements etc.)</t>
  </si>
  <si>
    <t>1 = Never</t>
  </si>
  <si>
    <t>2 = Once in the last year</t>
  </si>
  <si>
    <t>3 = Once in the last six months</t>
  </si>
  <si>
    <t>4 = Once a month</t>
  </si>
  <si>
    <t>5 = Once a week</t>
  </si>
  <si>
    <t>6 = Once a day</t>
  </si>
  <si>
    <t>Weather forecast (i.e., flood warnings)</t>
  </si>
  <si>
    <t>Scientific (i.e. academic reports or publications)</t>
  </si>
  <si>
    <t>General media (i.e. news, TV and radio)</t>
  </si>
  <si>
    <t>Social network or media (i,e, friends, family and colleagues)</t>
  </si>
  <si>
    <t>Engineering companies (i.e. flood-related measure brochures)</t>
  </si>
  <si>
    <t xml:space="preserve">Insurance companies (i.e. flood-related protection) </t>
  </si>
  <si>
    <t xml:space="preserve">Q_PlayerNumber </t>
  </si>
  <si>
    <t>Q_Role_Faculty</t>
  </si>
  <si>
    <t>Q_HouseLocation</t>
  </si>
  <si>
    <t xml:space="preserve">Q_ClimateChange </t>
  </si>
  <si>
    <t>Finished</t>
  </si>
  <si>
    <t>TRUE/FALSE</t>
  </si>
  <si>
    <t>Recorded date</t>
  </si>
  <si>
    <t>Date</t>
  </si>
  <si>
    <t>Do you agree to participate</t>
  </si>
  <si>
    <t>Yes/No</t>
  </si>
  <si>
    <t xml:space="preserve">2 = Yes, I agree to voluntarily participate (thanks for your collaboration)!  </t>
  </si>
  <si>
    <t>1 = No, I prefer not to participate (the survey ends, and you kindly wait for others to finish)</t>
  </si>
  <si>
    <t>Q1: Player number 1) Please fill in the table and player number (t#p#) you have been assigned</t>
  </si>
  <si>
    <t>text</t>
  </si>
  <si>
    <t>3) What is your last or most relevant study program(s) about?</t>
  </si>
  <si>
    <t>6) In which country(ies) and cities have your house been for more than a year within the last five years? If many, specify maximum of three.</t>
  </si>
  <si>
    <t>Average</t>
  </si>
  <si>
    <t>Q_Info_G$overnment</t>
  </si>
  <si>
    <t>Q_Info_G$overnmentcode</t>
  </si>
  <si>
    <t>Q_Info_G$eneralMedia</t>
  </si>
  <si>
    <t>Q_Info_G$eneralMediacode</t>
  </si>
  <si>
    <t>Q_Info_EnG$ineerinG$</t>
  </si>
  <si>
    <t>Q_Info_EnG$ineerinG$code</t>
  </si>
  <si>
    <t>Q_ClimateChanG$e</t>
  </si>
  <si>
    <t>Q_ClimateChanG$ecode</t>
  </si>
  <si>
    <t>Nee, ik heb G$een ervarinG$ met overstrominG$en</t>
  </si>
  <si>
    <t>Eén keer in de afG$elopen zes maanden</t>
  </si>
  <si>
    <t>Eén keer per daG$</t>
  </si>
  <si>
    <t>Ik zal eniG$e schade oplopen</t>
  </si>
  <si>
    <t>Ja, ik G$a akkoord met vrijwilliG$e deelname (bedankt voor uw medewerkinG$)!</t>
  </si>
  <si>
    <t>Eén keer in het afG$elopen jaar</t>
  </si>
  <si>
    <t>G$een, Ik zal niet overstromen</t>
  </si>
  <si>
    <t>Een G$emiddelde toename</t>
  </si>
  <si>
    <t>Ja, met eniG$e verstorinG$en of schade</t>
  </si>
  <si>
    <t>G$een toename</t>
  </si>
  <si>
    <t>Als ik overstroom, zal ik G$een schade hebben</t>
  </si>
  <si>
    <t>Ja, met lichte verstorinG$en of schade</t>
  </si>
  <si>
    <t>Ja, maar zonder verstorinG$en of schade</t>
  </si>
  <si>
    <t>Een G$rote toename</t>
  </si>
  <si>
    <t>Ja, met ernstiG$e verstorinG$en of schade</t>
  </si>
  <si>
    <t>Dataset</t>
  </si>
  <si>
    <t>all</t>
  </si>
  <si>
    <t>Q1 = Q_Experience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</si>
</sst>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\ \U\T\C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0" fillId="0" borderId="0" xfId="0" applyAlignment="1">
      <alignment horizontal="left"/>
    </xf>
    <xf numFmtId="0" fontId="0" fillId="2" borderId="0" xfId="0" applyFill="1" applyAlignment="1">
      <alignment wrapText="1"/>
    </xf>
    <xf numFmtId="0" fontId="0" fillId="0" borderId="0" xfId="0" applyAlignment="1">
      <alignment horizontal="right"/>
    </xf>
    <xf numFmtId="165" fontId="0" fillId="0" borderId="0" xfId="0" applyNumberFormat="1"/>
    <xf numFmtId="1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19</xdr:col>
      <xdr:colOff>216318</xdr:colOff>
      <xdr:row>21</xdr:row>
      <xdr:rowOff>111326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105992-FF50-6209-D788-C52249600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38825" y="0"/>
          <a:ext cx="8141118" cy="391180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ud365-my.sharepoint.com/personal/jcortesarevalo_tudelft_nl/Documents/Documents/TUDelft/18_Game%20Data%20Analysis/R%20data%20analysis%20BEPs/Datasets/vjcortesa_Presurvey_questions%20overview.xlsx" TargetMode="External"/><Relationship Id="rId1" Type="http://schemas.openxmlformats.org/officeDocument/2006/relationships/externalLinkPath" Target="/personal/jcortesarevalo_tudelft_nl/Documents/Documents/TUDelft/18_Game%20Data%20Analysis/R%20data%20analysis%20BEPs/Datasets/vjcortesa_Presurvey_questions%20overvi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view"/>
      <sheetName val="dataset_251007"/>
      <sheetName val="dataset_250923"/>
      <sheetName val="dataset_240924"/>
    </sheetNames>
    <sheetDataSet>
      <sheetData sheetId="0">
        <row r="2">
          <cell r="A2" t="str">
            <v>Presurvey_id-0-1</v>
          </cell>
        </row>
        <row r="3">
          <cell r="A3" t="str">
            <v>Presurvey_id-0-2</v>
          </cell>
        </row>
        <row r="4">
          <cell r="A4" t="str">
            <v>Presurvey_id-0-3</v>
          </cell>
        </row>
        <row r="5">
          <cell r="A5" t="str">
            <v>Presurvey_id-0-4</v>
          </cell>
        </row>
        <row r="10">
          <cell r="A10" t="str">
            <v>RiskPerception_1</v>
          </cell>
        </row>
        <row r="12">
          <cell r="A12" t="str">
            <v>RiskPerception_2_1</v>
          </cell>
        </row>
        <row r="13">
          <cell r="A13" t="str">
            <v>RiskPerception_2_2</v>
          </cell>
        </row>
        <row r="14">
          <cell r="A14" t="str">
            <v>RiskPerception_2_3</v>
          </cell>
        </row>
        <row r="15">
          <cell r="A15" t="str">
            <v>RiskPerception_2_4</v>
          </cell>
        </row>
        <row r="16">
          <cell r="A16" t="str">
            <v>RiskPerception_2_5</v>
          </cell>
        </row>
        <row r="17">
          <cell r="A17" t="str">
            <v>RiskPerception_2_6</v>
          </cell>
        </row>
        <row r="18">
          <cell r="A18" t="str">
            <v>RiskPerception_2_7</v>
          </cell>
        </row>
        <row r="20">
          <cell r="A20" t="str">
            <v>RiskPerception_3</v>
          </cell>
        </row>
        <row r="21">
          <cell r="A21" t="str">
            <v>RiskPerception_4</v>
          </cell>
        </row>
        <row r="22">
          <cell r="A22" t="str">
            <v>RiskPerception_5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A2201-E2FD-43E2-943B-109A10EE95DF}">
  <dimension ref="A1:AA33"/>
  <sheetViews>
    <sheetView workbookViewId="0">
      <selection activeCell="F25" sqref="F25:AA33"/>
    </sheetView>
  </sheetViews>
  <sheetFormatPr baseColWidth="10" defaultColWidth="8.83203125" defaultRowHeight="15" x14ac:dyDescent="0.2"/>
  <cols>
    <col min="3" max="3" width="20.6640625" style="2" customWidth="1"/>
    <col min="6" max="6" width="41.5" bestFit="1" customWidth="1"/>
    <col min="7" max="7" width="9.33203125" bestFit="1" customWidth="1"/>
    <col min="8" max="8" width="44.33203125" bestFit="1" customWidth="1"/>
    <col min="10" max="10" width="37.1640625" bestFit="1" customWidth="1"/>
    <col min="12" max="12" width="37.1640625" bestFit="1" customWidth="1"/>
    <col min="14" max="14" width="37.1640625" bestFit="1" customWidth="1"/>
    <col min="16" max="16" width="37.1640625" bestFit="1" customWidth="1"/>
    <col min="18" max="18" width="37.1640625" bestFit="1" customWidth="1"/>
    <col min="20" max="20" width="37.1640625" bestFit="1" customWidth="1"/>
    <col min="22" max="22" width="37.1640625" bestFit="1" customWidth="1"/>
    <col min="24" max="24" width="37.1640625" bestFit="1" customWidth="1"/>
    <col min="26" max="26" width="39.6640625" bestFit="1" customWidth="1"/>
  </cols>
  <sheetData>
    <row r="1" spans="1:2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223</v>
      </c>
      <c r="I1" s="1" t="s">
        <v>224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225</v>
      </c>
      <c r="O1" s="1" t="s">
        <v>226</v>
      </c>
      <c r="P1" s="1" t="s">
        <v>15</v>
      </c>
      <c r="Q1" s="1" t="s">
        <v>16</v>
      </c>
      <c r="R1" s="1" t="s">
        <v>227</v>
      </c>
      <c r="S1" s="1" t="s">
        <v>228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229</v>
      </c>
      <c r="Y1" s="1" t="s">
        <v>230</v>
      </c>
      <c r="Z1" s="1" t="s">
        <v>25</v>
      </c>
      <c r="AA1" s="1" t="s">
        <v>26</v>
      </c>
    </row>
    <row r="2" spans="1:27" x14ac:dyDescent="0.2">
      <c r="A2">
        <v>1</v>
      </c>
      <c r="B2" t="s">
        <v>27</v>
      </c>
      <c r="C2" s="2">
        <v>45937.248254502309</v>
      </c>
      <c r="E2" t="s">
        <v>28</v>
      </c>
      <c r="F2" t="s">
        <v>231</v>
      </c>
      <c r="G2" t="s">
        <v>29</v>
      </c>
      <c r="H2" t="s">
        <v>232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33</v>
      </c>
      <c r="O2" t="s">
        <v>34</v>
      </c>
      <c r="P2" t="s">
        <v>33</v>
      </c>
      <c r="Q2" t="s">
        <v>34</v>
      </c>
      <c r="R2" t="s">
        <v>33</v>
      </c>
      <c r="S2" t="s">
        <v>34</v>
      </c>
      <c r="T2" t="s">
        <v>233</v>
      </c>
      <c r="U2" t="s">
        <v>35</v>
      </c>
      <c r="V2" t="s">
        <v>36</v>
      </c>
      <c r="W2" t="s">
        <v>30</v>
      </c>
      <c r="X2" t="s">
        <v>37</v>
      </c>
      <c r="Y2" t="s">
        <v>38</v>
      </c>
      <c r="Z2" t="s">
        <v>234</v>
      </c>
      <c r="AA2" t="s">
        <v>34</v>
      </c>
    </row>
    <row r="3" spans="1:27" x14ac:dyDescent="0.2">
      <c r="A3">
        <v>2</v>
      </c>
      <c r="B3" t="s">
        <v>27</v>
      </c>
      <c r="C3" s="2">
        <v>45937.250662881939</v>
      </c>
      <c r="D3" t="s">
        <v>235</v>
      </c>
      <c r="E3" t="s">
        <v>39</v>
      </c>
      <c r="F3" t="s">
        <v>231</v>
      </c>
      <c r="G3" t="s">
        <v>29</v>
      </c>
      <c r="H3" t="s">
        <v>40</v>
      </c>
      <c r="I3" t="s">
        <v>29</v>
      </c>
      <c r="J3" t="s">
        <v>232</v>
      </c>
      <c r="K3" t="s">
        <v>30</v>
      </c>
      <c r="L3" t="s">
        <v>40</v>
      </c>
      <c r="M3" t="s">
        <v>29</v>
      </c>
      <c r="N3" t="s">
        <v>33</v>
      </c>
      <c r="O3" t="s">
        <v>34</v>
      </c>
      <c r="P3" t="s">
        <v>232</v>
      </c>
      <c r="Q3" t="s">
        <v>30</v>
      </c>
      <c r="R3" t="s">
        <v>236</v>
      </c>
      <c r="S3" t="s">
        <v>38</v>
      </c>
      <c r="T3" t="s">
        <v>236</v>
      </c>
      <c r="U3" t="s">
        <v>38</v>
      </c>
      <c r="V3" t="s">
        <v>41</v>
      </c>
      <c r="W3" t="s">
        <v>38</v>
      </c>
      <c r="X3" t="s">
        <v>37</v>
      </c>
      <c r="Y3" t="s">
        <v>38</v>
      </c>
      <c r="Z3" t="s">
        <v>237</v>
      </c>
      <c r="AA3" t="s">
        <v>29</v>
      </c>
    </row>
    <row r="4" spans="1:27" x14ac:dyDescent="0.2">
      <c r="A4">
        <v>3</v>
      </c>
      <c r="B4" t="s">
        <v>27</v>
      </c>
      <c r="C4" s="2">
        <v>45937.250705486113</v>
      </c>
      <c r="D4" t="s">
        <v>235</v>
      </c>
      <c r="E4" t="s">
        <v>42</v>
      </c>
      <c r="F4" t="s">
        <v>231</v>
      </c>
      <c r="G4" t="s">
        <v>29</v>
      </c>
      <c r="H4" t="s">
        <v>31</v>
      </c>
      <c r="I4" t="s">
        <v>32</v>
      </c>
      <c r="J4" t="s">
        <v>31</v>
      </c>
      <c r="K4" t="s">
        <v>32</v>
      </c>
      <c r="L4" t="s">
        <v>33</v>
      </c>
      <c r="M4" t="s">
        <v>34</v>
      </c>
      <c r="N4" t="s">
        <v>233</v>
      </c>
      <c r="O4" t="s">
        <v>35</v>
      </c>
      <c r="P4" t="s">
        <v>233</v>
      </c>
      <c r="Q4" t="s">
        <v>35</v>
      </c>
      <c r="R4" t="s">
        <v>33</v>
      </c>
      <c r="S4" t="s">
        <v>34</v>
      </c>
      <c r="T4" t="s">
        <v>33</v>
      </c>
      <c r="U4" t="s">
        <v>34</v>
      </c>
      <c r="V4" t="s">
        <v>36</v>
      </c>
      <c r="W4" t="s">
        <v>30</v>
      </c>
      <c r="X4" t="s">
        <v>238</v>
      </c>
      <c r="Y4" t="s">
        <v>30</v>
      </c>
      <c r="Z4" t="s">
        <v>234</v>
      </c>
      <c r="AA4" t="s">
        <v>34</v>
      </c>
    </row>
    <row r="5" spans="1:27" x14ac:dyDescent="0.2">
      <c r="A5">
        <v>4</v>
      </c>
      <c r="B5" t="s">
        <v>27</v>
      </c>
      <c r="C5" s="2">
        <v>45937.250719328702</v>
      </c>
      <c r="D5" t="s">
        <v>235</v>
      </c>
      <c r="E5" t="s">
        <v>43</v>
      </c>
      <c r="F5" t="s">
        <v>239</v>
      </c>
      <c r="G5" t="s">
        <v>34</v>
      </c>
      <c r="H5" t="s">
        <v>236</v>
      </c>
      <c r="I5" t="s">
        <v>38</v>
      </c>
      <c r="J5" t="s">
        <v>236</v>
      </c>
      <c r="K5" t="s">
        <v>38</v>
      </c>
      <c r="L5" t="s">
        <v>40</v>
      </c>
      <c r="M5" t="s">
        <v>29</v>
      </c>
      <c r="N5" t="s">
        <v>236</v>
      </c>
      <c r="O5" t="s">
        <v>38</v>
      </c>
      <c r="P5" t="s">
        <v>236</v>
      </c>
      <c r="Q5" t="s">
        <v>38</v>
      </c>
      <c r="R5" t="s">
        <v>40</v>
      </c>
      <c r="S5" t="s">
        <v>29</v>
      </c>
      <c r="T5" t="s">
        <v>40</v>
      </c>
      <c r="U5" t="s">
        <v>29</v>
      </c>
      <c r="V5" t="s">
        <v>44</v>
      </c>
      <c r="W5" t="s">
        <v>29</v>
      </c>
      <c r="X5" t="s">
        <v>240</v>
      </c>
      <c r="Y5" t="s">
        <v>29</v>
      </c>
      <c r="Z5" t="s">
        <v>237</v>
      </c>
      <c r="AA5" t="s">
        <v>29</v>
      </c>
    </row>
    <row r="6" spans="1:27" x14ac:dyDescent="0.2">
      <c r="A6">
        <v>5</v>
      </c>
      <c r="B6" t="s">
        <v>27</v>
      </c>
      <c r="C6" s="2">
        <v>45937.250817812499</v>
      </c>
      <c r="D6" t="s">
        <v>235</v>
      </c>
      <c r="E6" t="s">
        <v>45</v>
      </c>
      <c r="F6" t="s">
        <v>231</v>
      </c>
      <c r="G6" t="s">
        <v>29</v>
      </c>
      <c r="H6" t="s">
        <v>33</v>
      </c>
      <c r="I6" t="s">
        <v>34</v>
      </c>
      <c r="J6" t="s">
        <v>31</v>
      </c>
      <c r="K6" t="s">
        <v>32</v>
      </c>
      <c r="L6" t="s">
        <v>232</v>
      </c>
      <c r="M6" t="s">
        <v>30</v>
      </c>
      <c r="N6" t="s">
        <v>31</v>
      </c>
      <c r="O6" t="s">
        <v>32</v>
      </c>
      <c r="P6" t="s">
        <v>31</v>
      </c>
      <c r="Q6" t="s">
        <v>32</v>
      </c>
      <c r="R6" t="s">
        <v>40</v>
      </c>
      <c r="S6" t="s">
        <v>29</v>
      </c>
      <c r="T6" t="s">
        <v>33</v>
      </c>
      <c r="U6" t="s">
        <v>34</v>
      </c>
      <c r="V6" t="s">
        <v>44</v>
      </c>
      <c r="W6" t="s">
        <v>29</v>
      </c>
      <c r="X6" t="s">
        <v>37</v>
      </c>
      <c r="Y6" t="s">
        <v>38</v>
      </c>
      <c r="Z6" t="s">
        <v>241</v>
      </c>
      <c r="AA6" t="s">
        <v>38</v>
      </c>
    </row>
    <row r="7" spans="1:27" x14ac:dyDescent="0.2">
      <c r="A7">
        <v>6</v>
      </c>
      <c r="B7" t="s">
        <v>27</v>
      </c>
      <c r="C7" s="2">
        <v>45937.250835729174</v>
      </c>
      <c r="D7" t="s">
        <v>235</v>
      </c>
      <c r="E7" t="s">
        <v>46</v>
      </c>
      <c r="F7" t="s">
        <v>242</v>
      </c>
      <c r="G7" t="s">
        <v>30</v>
      </c>
      <c r="H7" t="s">
        <v>40</v>
      </c>
      <c r="I7" t="s">
        <v>29</v>
      </c>
      <c r="J7" t="s">
        <v>33</v>
      </c>
      <c r="K7" t="s">
        <v>34</v>
      </c>
      <c r="L7" t="s">
        <v>40</v>
      </c>
      <c r="M7" t="s">
        <v>29</v>
      </c>
      <c r="N7" t="s">
        <v>33</v>
      </c>
      <c r="O7" t="s">
        <v>34</v>
      </c>
      <c r="P7" t="s">
        <v>40</v>
      </c>
      <c r="Q7" t="s">
        <v>29</v>
      </c>
      <c r="R7" t="s">
        <v>40</v>
      </c>
      <c r="S7" t="s">
        <v>29</v>
      </c>
      <c r="T7" t="s">
        <v>40</v>
      </c>
      <c r="U7" t="s">
        <v>29</v>
      </c>
      <c r="V7" t="s">
        <v>47</v>
      </c>
      <c r="W7" t="s">
        <v>34</v>
      </c>
      <c r="X7" t="s">
        <v>37</v>
      </c>
      <c r="Y7" t="s">
        <v>38</v>
      </c>
      <c r="Z7" t="s">
        <v>234</v>
      </c>
      <c r="AA7" t="s">
        <v>34</v>
      </c>
    </row>
    <row r="8" spans="1:27" x14ac:dyDescent="0.2">
      <c r="A8">
        <v>7</v>
      </c>
      <c r="B8" t="s">
        <v>27</v>
      </c>
      <c r="C8" s="2">
        <v>45937.251459236111</v>
      </c>
      <c r="D8" t="s">
        <v>235</v>
      </c>
      <c r="E8" t="s">
        <v>48</v>
      </c>
      <c r="F8" t="s">
        <v>239</v>
      </c>
      <c r="G8" t="s">
        <v>34</v>
      </c>
      <c r="H8" t="s">
        <v>236</v>
      </c>
      <c r="I8" t="s">
        <v>38</v>
      </c>
      <c r="J8" t="s">
        <v>236</v>
      </c>
      <c r="K8" t="s">
        <v>38</v>
      </c>
      <c r="L8" t="s">
        <v>232</v>
      </c>
      <c r="M8" t="s">
        <v>30</v>
      </c>
      <c r="N8" t="s">
        <v>33</v>
      </c>
      <c r="O8" t="s">
        <v>34</v>
      </c>
      <c r="P8" t="s">
        <v>232</v>
      </c>
      <c r="Q8" t="s">
        <v>30</v>
      </c>
      <c r="R8" t="s">
        <v>232</v>
      </c>
      <c r="S8" t="s">
        <v>30</v>
      </c>
      <c r="T8" t="s">
        <v>31</v>
      </c>
      <c r="U8" t="s">
        <v>32</v>
      </c>
      <c r="V8" t="s">
        <v>44</v>
      </c>
      <c r="W8" t="s">
        <v>29</v>
      </c>
      <c r="X8" t="s">
        <v>240</v>
      </c>
      <c r="Y8" t="s">
        <v>29</v>
      </c>
      <c r="Z8" t="s">
        <v>237</v>
      </c>
      <c r="AA8" t="s">
        <v>29</v>
      </c>
    </row>
    <row r="9" spans="1:27" x14ac:dyDescent="0.2">
      <c r="A9">
        <v>8</v>
      </c>
      <c r="B9" t="s">
        <v>27</v>
      </c>
      <c r="C9" s="2">
        <v>45937.251572372683</v>
      </c>
      <c r="D9" t="s">
        <v>235</v>
      </c>
      <c r="E9" t="s">
        <v>49</v>
      </c>
      <c r="F9" t="s">
        <v>231</v>
      </c>
      <c r="G9" t="s">
        <v>29</v>
      </c>
      <c r="H9" t="s">
        <v>236</v>
      </c>
      <c r="I9" t="s">
        <v>38</v>
      </c>
      <c r="J9" t="s">
        <v>232</v>
      </c>
      <c r="K9" t="s">
        <v>30</v>
      </c>
      <c r="L9" t="s">
        <v>236</v>
      </c>
      <c r="M9" t="s">
        <v>38</v>
      </c>
      <c r="N9" t="s">
        <v>236</v>
      </c>
      <c r="O9" t="s">
        <v>38</v>
      </c>
      <c r="P9" t="s">
        <v>40</v>
      </c>
      <c r="Q9" t="s">
        <v>29</v>
      </c>
      <c r="R9" t="s">
        <v>236</v>
      </c>
      <c r="S9" t="s">
        <v>38</v>
      </c>
      <c r="T9" t="s">
        <v>236</v>
      </c>
      <c r="U9" t="s">
        <v>38</v>
      </c>
      <c r="V9" t="s">
        <v>41</v>
      </c>
      <c r="W9" t="s">
        <v>38</v>
      </c>
      <c r="X9" t="s">
        <v>37</v>
      </c>
      <c r="Y9" t="s">
        <v>38</v>
      </c>
      <c r="Z9" t="s">
        <v>234</v>
      </c>
      <c r="AA9" t="s">
        <v>34</v>
      </c>
    </row>
    <row r="10" spans="1:27" x14ac:dyDescent="0.2">
      <c r="A10">
        <v>9</v>
      </c>
      <c r="B10" t="s">
        <v>27</v>
      </c>
      <c r="C10" s="2">
        <v>45937.2519812963</v>
      </c>
      <c r="D10" t="s">
        <v>235</v>
      </c>
      <c r="E10" t="s">
        <v>50</v>
      </c>
      <c r="F10" t="s">
        <v>243</v>
      </c>
      <c r="G10" t="s">
        <v>38</v>
      </c>
      <c r="H10" t="s">
        <v>40</v>
      </c>
      <c r="I10" t="s">
        <v>29</v>
      </c>
      <c r="J10" t="s">
        <v>236</v>
      </c>
      <c r="K10" t="s">
        <v>38</v>
      </c>
      <c r="L10" t="s">
        <v>232</v>
      </c>
      <c r="M10" t="s">
        <v>30</v>
      </c>
      <c r="N10" t="s">
        <v>232</v>
      </c>
      <c r="O10" t="s">
        <v>30</v>
      </c>
      <c r="P10" t="s">
        <v>236</v>
      </c>
      <c r="Q10" t="s">
        <v>38</v>
      </c>
      <c r="R10" t="s">
        <v>40</v>
      </c>
      <c r="S10" t="s">
        <v>29</v>
      </c>
      <c r="T10" t="s">
        <v>33</v>
      </c>
      <c r="U10" t="s">
        <v>34</v>
      </c>
      <c r="V10" t="s">
        <v>44</v>
      </c>
      <c r="W10" t="s">
        <v>29</v>
      </c>
      <c r="X10" t="s">
        <v>37</v>
      </c>
      <c r="Y10" t="s">
        <v>38</v>
      </c>
      <c r="Z10" t="s">
        <v>51</v>
      </c>
      <c r="AA10" t="s">
        <v>30</v>
      </c>
    </row>
    <row r="11" spans="1:27" x14ac:dyDescent="0.2">
      <c r="A11">
        <v>10</v>
      </c>
      <c r="B11" t="s">
        <v>27</v>
      </c>
      <c r="C11" s="2">
        <v>45937.252174247682</v>
      </c>
      <c r="D11" t="s">
        <v>235</v>
      </c>
      <c r="E11" t="s">
        <v>52</v>
      </c>
      <c r="F11" t="s">
        <v>242</v>
      </c>
      <c r="G11" t="s">
        <v>30</v>
      </c>
      <c r="H11" t="s">
        <v>232</v>
      </c>
      <c r="I11" t="s">
        <v>30</v>
      </c>
      <c r="J11" t="s">
        <v>233</v>
      </c>
      <c r="K11" t="s">
        <v>35</v>
      </c>
      <c r="L11" t="s">
        <v>232</v>
      </c>
      <c r="M11" t="s">
        <v>30</v>
      </c>
      <c r="N11" t="s">
        <v>233</v>
      </c>
      <c r="O11" t="s">
        <v>35</v>
      </c>
      <c r="P11" t="s">
        <v>40</v>
      </c>
      <c r="Q11" t="s">
        <v>29</v>
      </c>
      <c r="R11" t="s">
        <v>236</v>
      </c>
      <c r="S11" t="s">
        <v>38</v>
      </c>
      <c r="T11" t="s">
        <v>33</v>
      </c>
      <c r="U11" t="s">
        <v>34</v>
      </c>
      <c r="V11" t="s">
        <v>47</v>
      </c>
      <c r="W11" t="s">
        <v>34</v>
      </c>
      <c r="X11" t="s">
        <v>244</v>
      </c>
      <c r="Y11" t="s">
        <v>34</v>
      </c>
      <c r="Z11" t="s">
        <v>51</v>
      </c>
      <c r="AA11" t="s">
        <v>30</v>
      </c>
    </row>
    <row r="12" spans="1:27" x14ac:dyDescent="0.2">
      <c r="A12">
        <v>11</v>
      </c>
      <c r="B12" t="s">
        <v>27</v>
      </c>
      <c r="C12" s="2">
        <v>45937.252205034732</v>
      </c>
      <c r="D12" t="s">
        <v>235</v>
      </c>
      <c r="E12" t="s">
        <v>53</v>
      </c>
      <c r="F12" t="s">
        <v>231</v>
      </c>
      <c r="G12" t="s">
        <v>29</v>
      </c>
      <c r="H12" t="s">
        <v>232</v>
      </c>
      <c r="I12" t="s">
        <v>30</v>
      </c>
      <c r="J12" t="s">
        <v>33</v>
      </c>
      <c r="K12" t="s">
        <v>34</v>
      </c>
      <c r="L12" t="s">
        <v>40</v>
      </c>
      <c r="M12" t="s">
        <v>29</v>
      </c>
      <c r="N12" t="s">
        <v>232</v>
      </c>
      <c r="O12" t="s">
        <v>30</v>
      </c>
      <c r="P12" t="s">
        <v>232</v>
      </c>
      <c r="Q12" t="s">
        <v>30</v>
      </c>
      <c r="R12" t="s">
        <v>40</v>
      </c>
      <c r="S12" t="s">
        <v>29</v>
      </c>
      <c r="T12" t="s">
        <v>33</v>
      </c>
      <c r="U12" t="s">
        <v>34</v>
      </c>
      <c r="V12" t="s">
        <v>44</v>
      </c>
      <c r="W12" t="s">
        <v>29</v>
      </c>
      <c r="X12" t="s">
        <v>240</v>
      </c>
      <c r="Y12" t="s">
        <v>29</v>
      </c>
      <c r="Z12" t="s">
        <v>237</v>
      </c>
      <c r="AA12" t="s">
        <v>29</v>
      </c>
    </row>
    <row r="13" spans="1:27" x14ac:dyDescent="0.2">
      <c r="A13">
        <v>12</v>
      </c>
      <c r="B13" t="s">
        <v>27</v>
      </c>
      <c r="C13" s="2">
        <v>45937.252322499997</v>
      </c>
      <c r="D13" t="s">
        <v>235</v>
      </c>
      <c r="E13" t="s">
        <v>54</v>
      </c>
      <c r="F13" t="s">
        <v>231</v>
      </c>
      <c r="G13" t="s">
        <v>29</v>
      </c>
      <c r="H13" t="s">
        <v>40</v>
      </c>
      <c r="I13" t="s">
        <v>29</v>
      </c>
      <c r="J13" t="s">
        <v>40</v>
      </c>
      <c r="K13" t="s">
        <v>29</v>
      </c>
      <c r="L13" t="s">
        <v>40</v>
      </c>
      <c r="M13" t="s">
        <v>29</v>
      </c>
      <c r="N13" t="s">
        <v>232</v>
      </c>
      <c r="O13" t="s">
        <v>30</v>
      </c>
      <c r="P13" t="s">
        <v>40</v>
      </c>
      <c r="Q13" t="s">
        <v>29</v>
      </c>
      <c r="R13" t="s">
        <v>40</v>
      </c>
      <c r="S13" t="s">
        <v>29</v>
      </c>
      <c r="T13" t="s">
        <v>40</v>
      </c>
      <c r="U13" t="s">
        <v>29</v>
      </c>
      <c r="V13" t="s">
        <v>44</v>
      </c>
      <c r="W13" t="s">
        <v>29</v>
      </c>
      <c r="X13" t="s">
        <v>240</v>
      </c>
      <c r="Y13" t="s">
        <v>29</v>
      </c>
      <c r="Z13" t="s">
        <v>237</v>
      </c>
      <c r="AA13" t="s">
        <v>29</v>
      </c>
    </row>
    <row r="14" spans="1:27" x14ac:dyDescent="0.2">
      <c r="A14">
        <v>13</v>
      </c>
      <c r="B14" t="s">
        <v>27</v>
      </c>
      <c r="C14" s="2">
        <v>45937.252370150462</v>
      </c>
      <c r="D14" t="s">
        <v>235</v>
      </c>
      <c r="E14" t="s">
        <v>55</v>
      </c>
      <c r="F14" t="s">
        <v>239</v>
      </c>
      <c r="G14" t="s">
        <v>34</v>
      </c>
      <c r="H14" t="s">
        <v>232</v>
      </c>
      <c r="I14" t="s">
        <v>30</v>
      </c>
      <c r="J14" t="s">
        <v>233</v>
      </c>
      <c r="K14" t="s">
        <v>35</v>
      </c>
      <c r="L14" t="s">
        <v>232</v>
      </c>
      <c r="M14" t="s">
        <v>30</v>
      </c>
      <c r="N14" t="s">
        <v>233</v>
      </c>
      <c r="O14" t="s">
        <v>35</v>
      </c>
      <c r="P14" t="s">
        <v>31</v>
      </c>
      <c r="Q14" t="s">
        <v>32</v>
      </c>
      <c r="R14" t="s">
        <v>236</v>
      </c>
      <c r="S14" t="s">
        <v>38</v>
      </c>
      <c r="T14" t="s">
        <v>33</v>
      </c>
      <c r="U14" t="s">
        <v>34</v>
      </c>
      <c r="V14" t="s">
        <v>44</v>
      </c>
      <c r="W14" t="s">
        <v>29</v>
      </c>
      <c r="X14" t="s">
        <v>37</v>
      </c>
      <c r="Y14" t="s">
        <v>38</v>
      </c>
      <c r="Z14" t="s">
        <v>237</v>
      </c>
      <c r="AA14" t="s">
        <v>29</v>
      </c>
    </row>
    <row r="15" spans="1:27" x14ac:dyDescent="0.2">
      <c r="A15">
        <v>14</v>
      </c>
      <c r="B15" t="s">
        <v>27</v>
      </c>
      <c r="C15" s="2">
        <v>45937.252417337957</v>
      </c>
      <c r="D15" t="s">
        <v>235</v>
      </c>
      <c r="E15" t="s">
        <v>56</v>
      </c>
      <c r="F15" t="s">
        <v>239</v>
      </c>
      <c r="G15" t="s">
        <v>34</v>
      </c>
      <c r="H15" t="s">
        <v>40</v>
      </c>
      <c r="I15" t="s">
        <v>29</v>
      </c>
      <c r="J15" t="s">
        <v>236</v>
      </c>
      <c r="K15" t="s">
        <v>38</v>
      </c>
      <c r="L15" t="s">
        <v>40</v>
      </c>
      <c r="M15" t="s">
        <v>29</v>
      </c>
      <c r="N15" t="s">
        <v>31</v>
      </c>
      <c r="O15" t="s">
        <v>32</v>
      </c>
      <c r="P15" t="s">
        <v>232</v>
      </c>
      <c r="Q15" t="s">
        <v>30</v>
      </c>
      <c r="R15" t="s">
        <v>40</v>
      </c>
      <c r="S15" t="s">
        <v>29</v>
      </c>
      <c r="T15" t="s">
        <v>236</v>
      </c>
      <c r="U15" t="s">
        <v>38</v>
      </c>
      <c r="V15" t="s">
        <v>44</v>
      </c>
      <c r="W15" t="s">
        <v>29</v>
      </c>
      <c r="X15" t="s">
        <v>37</v>
      </c>
      <c r="Y15" t="s">
        <v>38</v>
      </c>
      <c r="Z15" t="s">
        <v>234</v>
      </c>
      <c r="AA15" t="s">
        <v>34</v>
      </c>
    </row>
    <row r="16" spans="1:27" x14ac:dyDescent="0.2">
      <c r="A16">
        <v>15</v>
      </c>
      <c r="B16" t="s">
        <v>27</v>
      </c>
      <c r="C16" s="2">
        <v>45937.252912488417</v>
      </c>
      <c r="D16" t="s">
        <v>235</v>
      </c>
      <c r="E16" t="s">
        <v>57</v>
      </c>
      <c r="F16" t="s">
        <v>231</v>
      </c>
      <c r="G16" t="s">
        <v>29</v>
      </c>
      <c r="H16" t="s">
        <v>232</v>
      </c>
      <c r="I16" t="s">
        <v>30</v>
      </c>
      <c r="J16" t="s">
        <v>236</v>
      </c>
      <c r="K16" t="s">
        <v>38</v>
      </c>
      <c r="L16" t="s">
        <v>236</v>
      </c>
      <c r="M16" t="s">
        <v>38</v>
      </c>
      <c r="N16" t="s">
        <v>236</v>
      </c>
      <c r="O16" t="s">
        <v>38</v>
      </c>
      <c r="P16" t="s">
        <v>236</v>
      </c>
      <c r="Q16" t="s">
        <v>38</v>
      </c>
      <c r="R16" t="s">
        <v>40</v>
      </c>
      <c r="S16" t="s">
        <v>29</v>
      </c>
      <c r="T16" t="s">
        <v>33</v>
      </c>
      <c r="U16" t="s">
        <v>34</v>
      </c>
      <c r="V16" t="s">
        <v>41</v>
      </c>
      <c r="W16" t="s">
        <v>38</v>
      </c>
      <c r="X16" t="s">
        <v>37</v>
      </c>
      <c r="Y16" t="s">
        <v>38</v>
      </c>
      <c r="Z16" t="s">
        <v>241</v>
      </c>
      <c r="AA16" t="s">
        <v>38</v>
      </c>
    </row>
    <row r="17" spans="1:27" x14ac:dyDescent="0.2">
      <c r="A17">
        <v>16</v>
      </c>
      <c r="B17" t="s">
        <v>27</v>
      </c>
      <c r="C17" s="2">
        <v>45937.252994618058</v>
      </c>
      <c r="D17" t="s">
        <v>235</v>
      </c>
      <c r="E17" t="s">
        <v>58</v>
      </c>
      <c r="F17" t="s">
        <v>231</v>
      </c>
      <c r="G17" t="s">
        <v>29</v>
      </c>
      <c r="H17" t="s">
        <v>236</v>
      </c>
      <c r="I17" t="s">
        <v>38</v>
      </c>
      <c r="J17" t="s">
        <v>233</v>
      </c>
      <c r="K17" t="s">
        <v>35</v>
      </c>
      <c r="L17" t="s">
        <v>40</v>
      </c>
      <c r="M17" t="s">
        <v>29</v>
      </c>
      <c r="N17" t="s">
        <v>233</v>
      </c>
      <c r="O17" t="s">
        <v>35</v>
      </c>
      <c r="P17" t="s">
        <v>232</v>
      </c>
      <c r="Q17" t="s">
        <v>30</v>
      </c>
      <c r="R17" t="s">
        <v>40</v>
      </c>
      <c r="S17" t="s">
        <v>29</v>
      </c>
      <c r="T17" t="s">
        <v>40</v>
      </c>
      <c r="U17" t="s">
        <v>29</v>
      </c>
      <c r="V17" t="s">
        <v>44</v>
      </c>
      <c r="W17" t="s">
        <v>29</v>
      </c>
      <c r="X17" t="s">
        <v>244</v>
      </c>
      <c r="Y17" t="s">
        <v>34</v>
      </c>
      <c r="Z17" t="s">
        <v>237</v>
      </c>
      <c r="AA17" t="s">
        <v>29</v>
      </c>
    </row>
    <row r="18" spans="1:27" x14ac:dyDescent="0.2">
      <c r="A18">
        <v>17</v>
      </c>
      <c r="B18" t="s">
        <v>27</v>
      </c>
      <c r="C18" s="2">
        <v>45937.253339201387</v>
      </c>
      <c r="D18" t="s">
        <v>235</v>
      </c>
      <c r="E18" t="s">
        <v>59</v>
      </c>
      <c r="F18" t="s">
        <v>231</v>
      </c>
      <c r="G18" t="s">
        <v>29</v>
      </c>
      <c r="H18" t="s">
        <v>236</v>
      </c>
      <c r="I18" t="s">
        <v>38</v>
      </c>
      <c r="J18" t="s">
        <v>233</v>
      </c>
      <c r="K18" t="s">
        <v>35</v>
      </c>
      <c r="L18" t="s">
        <v>236</v>
      </c>
      <c r="M18" t="s">
        <v>38</v>
      </c>
      <c r="N18" t="s">
        <v>233</v>
      </c>
      <c r="O18" t="s">
        <v>35</v>
      </c>
      <c r="P18" t="s">
        <v>232</v>
      </c>
      <c r="Q18" t="s">
        <v>30</v>
      </c>
      <c r="R18" t="s">
        <v>40</v>
      </c>
      <c r="S18" t="s">
        <v>29</v>
      </c>
      <c r="T18" t="s">
        <v>232</v>
      </c>
      <c r="U18" t="s">
        <v>30</v>
      </c>
      <c r="V18" t="s">
        <v>44</v>
      </c>
      <c r="W18" t="s">
        <v>29</v>
      </c>
      <c r="X18" t="s">
        <v>240</v>
      </c>
      <c r="Y18" t="s">
        <v>29</v>
      </c>
      <c r="Z18" t="s">
        <v>237</v>
      </c>
      <c r="AA18" t="s">
        <v>29</v>
      </c>
    </row>
    <row r="19" spans="1:27" x14ac:dyDescent="0.2">
      <c r="A19">
        <v>18</v>
      </c>
      <c r="B19" t="s">
        <v>27</v>
      </c>
      <c r="C19" s="2">
        <v>45937.253520937513</v>
      </c>
      <c r="D19" t="s">
        <v>235</v>
      </c>
      <c r="E19" t="s">
        <v>60</v>
      </c>
      <c r="F19" t="s">
        <v>245</v>
      </c>
      <c r="G19" t="s">
        <v>32</v>
      </c>
      <c r="H19" t="s">
        <v>236</v>
      </c>
      <c r="I19" t="s">
        <v>38</v>
      </c>
      <c r="J19" t="s">
        <v>233</v>
      </c>
      <c r="K19" t="s">
        <v>35</v>
      </c>
      <c r="L19" t="s">
        <v>236</v>
      </c>
      <c r="M19" t="s">
        <v>38</v>
      </c>
      <c r="N19" t="s">
        <v>232</v>
      </c>
      <c r="O19" t="s">
        <v>30</v>
      </c>
      <c r="P19" t="s">
        <v>232</v>
      </c>
      <c r="Q19" t="s">
        <v>30</v>
      </c>
      <c r="R19" t="s">
        <v>40</v>
      </c>
      <c r="S19" t="s">
        <v>29</v>
      </c>
      <c r="T19" t="s">
        <v>232</v>
      </c>
      <c r="U19" t="s">
        <v>30</v>
      </c>
      <c r="V19" t="s">
        <v>47</v>
      </c>
      <c r="W19" t="s">
        <v>34</v>
      </c>
      <c r="X19" t="s">
        <v>240</v>
      </c>
      <c r="Y19" t="s">
        <v>29</v>
      </c>
      <c r="Z19" t="s">
        <v>237</v>
      </c>
      <c r="AA19" t="s">
        <v>29</v>
      </c>
    </row>
    <row r="20" spans="1:27" x14ac:dyDescent="0.2">
      <c r="A20">
        <v>19</v>
      </c>
      <c r="B20" t="s">
        <v>27</v>
      </c>
      <c r="C20" s="2">
        <v>45937.25383548611</v>
      </c>
      <c r="D20" t="s">
        <v>235</v>
      </c>
      <c r="E20" t="s">
        <v>61</v>
      </c>
      <c r="F20" t="s">
        <v>242</v>
      </c>
      <c r="G20" t="s">
        <v>30</v>
      </c>
      <c r="H20" t="s">
        <v>33</v>
      </c>
      <c r="I20" t="s">
        <v>34</v>
      </c>
      <c r="J20" t="s">
        <v>233</v>
      </c>
      <c r="K20" t="s">
        <v>35</v>
      </c>
      <c r="L20" t="s">
        <v>31</v>
      </c>
      <c r="M20" t="s">
        <v>32</v>
      </c>
      <c r="N20" t="s">
        <v>233</v>
      </c>
      <c r="O20" t="s">
        <v>35</v>
      </c>
      <c r="P20" t="s">
        <v>233</v>
      </c>
      <c r="Q20" t="s">
        <v>35</v>
      </c>
      <c r="R20" t="s">
        <v>232</v>
      </c>
      <c r="S20" t="s">
        <v>30</v>
      </c>
      <c r="T20" t="s">
        <v>33</v>
      </c>
      <c r="U20" t="s">
        <v>34</v>
      </c>
      <c r="V20" t="s">
        <v>36</v>
      </c>
      <c r="W20" t="s">
        <v>30</v>
      </c>
      <c r="X20" t="s">
        <v>244</v>
      </c>
      <c r="Y20" t="s">
        <v>34</v>
      </c>
      <c r="Z20" t="s">
        <v>234</v>
      </c>
      <c r="AA20" t="s">
        <v>34</v>
      </c>
    </row>
    <row r="21" spans="1:27" x14ac:dyDescent="0.2">
      <c r="A21">
        <v>20</v>
      </c>
      <c r="B21" t="s">
        <v>27</v>
      </c>
      <c r="C21" s="2">
        <v>45937.254022986112</v>
      </c>
      <c r="D21" t="s">
        <v>235</v>
      </c>
      <c r="E21" t="s">
        <v>62</v>
      </c>
      <c r="F21" t="s">
        <v>231</v>
      </c>
      <c r="G21" t="s">
        <v>29</v>
      </c>
      <c r="H21" t="s">
        <v>31</v>
      </c>
      <c r="I21" t="s">
        <v>32</v>
      </c>
      <c r="J21" t="s">
        <v>33</v>
      </c>
      <c r="K21" t="s">
        <v>34</v>
      </c>
      <c r="L21" t="s">
        <v>31</v>
      </c>
      <c r="M21" t="s">
        <v>32</v>
      </c>
      <c r="N21" t="s">
        <v>33</v>
      </c>
      <c r="O21" t="s">
        <v>34</v>
      </c>
      <c r="P21" t="s">
        <v>31</v>
      </c>
      <c r="Q21" t="s">
        <v>32</v>
      </c>
      <c r="R21" t="s">
        <v>232</v>
      </c>
      <c r="S21" t="s">
        <v>30</v>
      </c>
      <c r="T21" t="s">
        <v>31</v>
      </c>
      <c r="U21" t="s">
        <v>32</v>
      </c>
      <c r="V21" t="s">
        <v>44</v>
      </c>
      <c r="W21" t="s">
        <v>29</v>
      </c>
      <c r="X21" t="s">
        <v>244</v>
      </c>
      <c r="Y21" t="s">
        <v>34</v>
      </c>
      <c r="Z21" t="s">
        <v>241</v>
      </c>
      <c r="AA21" t="s">
        <v>38</v>
      </c>
    </row>
    <row r="22" spans="1:27" x14ac:dyDescent="0.2">
      <c r="A22">
        <v>21</v>
      </c>
      <c r="B22" t="s">
        <v>27</v>
      </c>
      <c r="C22" s="2">
        <v>45937.254370590279</v>
      </c>
      <c r="D22" t="s">
        <v>235</v>
      </c>
      <c r="E22" t="s">
        <v>63</v>
      </c>
      <c r="F22" t="s">
        <v>231</v>
      </c>
      <c r="G22" t="s">
        <v>29</v>
      </c>
      <c r="H22" t="s">
        <v>232</v>
      </c>
      <c r="I22" t="s">
        <v>30</v>
      </c>
      <c r="J22" t="s">
        <v>232</v>
      </c>
      <c r="K22" t="s">
        <v>30</v>
      </c>
      <c r="L22" t="s">
        <v>232</v>
      </c>
      <c r="M22" t="s">
        <v>30</v>
      </c>
      <c r="N22" t="s">
        <v>33</v>
      </c>
      <c r="O22" t="s">
        <v>34</v>
      </c>
      <c r="P22" t="s">
        <v>40</v>
      </c>
      <c r="Q22" t="s">
        <v>29</v>
      </c>
      <c r="R22" t="s">
        <v>232</v>
      </c>
      <c r="S22" t="s">
        <v>30</v>
      </c>
      <c r="T22" t="s">
        <v>40</v>
      </c>
      <c r="U22" t="s">
        <v>29</v>
      </c>
      <c r="V22" t="s">
        <v>47</v>
      </c>
      <c r="W22" t="s">
        <v>34</v>
      </c>
      <c r="X22" t="s">
        <v>37</v>
      </c>
      <c r="Y22" t="s">
        <v>38</v>
      </c>
      <c r="Z22" t="s">
        <v>234</v>
      </c>
      <c r="AA22" t="s">
        <v>34</v>
      </c>
    </row>
    <row r="23" spans="1:27" x14ac:dyDescent="0.2">
      <c r="A23">
        <v>22</v>
      </c>
      <c r="B23" t="s">
        <v>27</v>
      </c>
      <c r="C23" s="2">
        <v>45937.254578773151</v>
      </c>
      <c r="D23" t="s">
        <v>235</v>
      </c>
      <c r="E23" t="s">
        <v>64</v>
      </c>
      <c r="F23" t="s">
        <v>231</v>
      </c>
      <c r="G23" t="s">
        <v>29</v>
      </c>
      <c r="H23" t="s">
        <v>232</v>
      </c>
      <c r="I23" t="s">
        <v>30</v>
      </c>
      <c r="J23" t="s">
        <v>31</v>
      </c>
      <c r="K23" t="s">
        <v>32</v>
      </c>
      <c r="L23" t="s">
        <v>232</v>
      </c>
      <c r="M23" t="s">
        <v>30</v>
      </c>
      <c r="N23" t="s">
        <v>233</v>
      </c>
      <c r="O23" t="s">
        <v>35</v>
      </c>
      <c r="P23" t="s">
        <v>233</v>
      </c>
      <c r="Q23" t="s">
        <v>35</v>
      </c>
      <c r="R23" t="s">
        <v>40</v>
      </c>
      <c r="S23" t="s">
        <v>29</v>
      </c>
      <c r="T23" t="s">
        <v>31</v>
      </c>
      <c r="U23" t="s">
        <v>32</v>
      </c>
      <c r="V23" t="s">
        <v>44</v>
      </c>
      <c r="W23" t="s">
        <v>29</v>
      </c>
      <c r="X23" t="s">
        <v>240</v>
      </c>
      <c r="Y23" t="s">
        <v>29</v>
      </c>
      <c r="Z23" t="s">
        <v>237</v>
      </c>
      <c r="AA23" t="s">
        <v>29</v>
      </c>
    </row>
    <row r="24" spans="1:27" x14ac:dyDescent="0.2">
      <c r="A24">
        <v>23</v>
      </c>
      <c r="B24" t="s">
        <v>27</v>
      </c>
      <c r="C24" s="2">
        <v>45937.256146608786</v>
      </c>
      <c r="D24" t="s">
        <v>235</v>
      </c>
      <c r="E24" t="s">
        <v>65</v>
      </c>
      <c r="F24" t="s">
        <v>231</v>
      </c>
      <c r="G24" t="s">
        <v>29</v>
      </c>
      <c r="H24" t="s">
        <v>236</v>
      </c>
      <c r="I24" t="s">
        <v>38</v>
      </c>
      <c r="J24" t="s">
        <v>232</v>
      </c>
      <c r="K24" t="s">
        <v>30</v>
      </c>
      <c r="L24" t="s">
        <v>232</v>
      </c>
      <c r="M24" t="s">
        <v>30</v>
      </c>
      <c r="N24" t="s">
        <v>33</v>
      </c>
      <c r="O24" t="s">
        <v>34</v>
      </c>
      <c r="P24" t="s">
        <v>40</v>
      </c>
      <c r="Q24" t="s">
        <v>29</v>
      </c>
      <c r="R24" t="s">
        <v>40</v>
      </c>
      <c r="S24" t="s">
        <v>29</v>
      </c>
      <c r="T24" t="s">
        <v>40</v>
      </c>
      <c r="U24" t="s">
        <v>29</v>
      </c>
      <c r="V24" t="s">
        <v>44</v>
      </c>
      <c r="W24" t="s">
        <v>29</v>
      </c>
      <c r="X24" t="s">
        <v>37</v>
      </c>
      <c r="Y24" t="s">
        <v>38</v>
      </c>
      <c r="Z24" t="s">
        <v>234</v>
      </c>
      <c r="AA24" t="s">
        <v>34</v>
      </c>
    </row>
    <row r="25" spans="1:27" x14ac:dyDescent="0.2">
      <c r="F25" t="s">
        <v>166</v>
      </c>
    </row>
    <row r="26" spans="1:27" x14ac:dyDescent="0.2">
      <c r="F26" t="str">
        <f>+Settings!$F$7</f>
        <v>1 = No, I do not have a flood experience</v>
      </c>
      <c r="G26">
        <f>+COUNTIF(G$2:G$24,1)</f>
        <v>14</v>
      </c>
      <c r="H26" t="str">
        <f>+Settings!$F$8</f>
        <v>1 = Never</v>
      </c>
      <c r="I26">
        <f>+COUNTIF(I$2:I$24,1)</f>
        <v>5</v>
      </c>
      <c r="J26" t="str">
        <f>+Settings!$F$8</f>
        <v>1 = Never</v>
      </c>
      <c r="K26">
        <f>+COUNTIF(K$2:K$24,1)</f>
        <v>1</v>
      </c>
      <c r="L26" t="str">
        <f>+Settings!$F$8</f>
        <v>1 = Never</v>
      </c>
      <c r="M26">
        <f>+COUNTIF(M$2:M$24,1)</f>
        <v>7</v>
      </c>
      <c r="N26" t="str">
        <f>+Settings!$F$8</f>
        <v>1 = Never</v>
      </c>
      <c r="O26">
        <f>+COUNTIF(O$2:O$24,1)</f>
        <v>0</v>
      </c>
      <c r="P26" t="str">
        <f>+Settings!$F$8</f>
        <v>1 = Never</v>
      </c>
      <c r="Q26">
        <f>+COUNTIF(Q$2:Q$24,1)</f>
        <v>6</v>
      </c>
      <c r="R26" t="str">
        <f>+Settings!$F$8</f>
        <v>1 = Never</v>
      </c>
      <c r="S26">
        <f>+COUNTIF(S$2:S$24,1)</f>
        <v>13</v>
      </c>
      <c r="T26" t="str">
        <f>+Settings!$F$8</f>
        <v>1 = Never</v>
      </c>
      <c r="U26">
        <f>+COUNTIF(U$2:U$24,1)</f>
        <v>6</v>
      </c>
      <c r="V26" t="str">
        <f>+Settings!$F$16</f>
        <v>1 = Very unlikely</v>
      </c>
      <c r="W26">
        <f>+COUNTIF(W$2:W$24,1)</f>
        <v>13</v>
      </c>
      <c r="X26" t="str">
        <f>+Settings!$F$17</f>
        <v>1 = No increase at all</v>
      </c>
      <c r="Y26">
        <f>+COUNTIF(Y$2:Y$24,1)</f>
        <v>7</v>
      </c>
      <c r="Z26" t="str">
        <f>+Settings!$F$18</f>
        <v>1 = I won't get flooded</v>
      </c>
      <c r="AA26">
        <f>+COUNTIF(AA$2:AA$24,1)</f>
        <v>10</v>
      </c>
    </row>
    <row r="27" spans="1:27" x14ac:dyDescent="0.2">
      <c r="F27" t="str">
        <f>+Settings!$G$7</f>
        <v>2 = Yes, but without disruptions or damages</v>
      </c>
      <c r="G27">
        <f>+COUNTIF(G$2:G$24,2)</f>
        <v>1</v>
      </c>
      <c r="H27" t="str">
        <f>+Settings!$G$8</f>
        <v>2 = Once in the last year</v>
      </c>
      <c r="I27">
        <f>+COUNTIF(I$2:I$24,2)</f>
        <v>7</v>
      </c>
      <c r="J27" t="str">
        <f>+Settings!$G$8</f>
        <v>2 = Once in the last year</v>
      </c>
      <c r="K27">
        <f>+COUNTIF(K$2:K$24,2)</f>
        <v>5</v>
      </c>
      <c r="L27" t="str">
        <f>+Settings!$G$8</f>
        <v>2 = Once in the last year</v>
      </c>
      <c r="M27">
        <f>+COUNTIF(M$2:M$24,2)</f>
        <v>4</v>
      </c>
      <c r="N27" t="str">
        <f>+Settings!$G$8</f>
        <v>2 = Once in the last year</v>
      </c>
      <c r="O27">
        <f>+COUNTIF(O$2:O$24,2)</f>
        <v>3</v>
      </c>
      <c r="P27" t="str">
        <f>+Settings!$G$8</f>
        <v>2 = Once in the last year</v>
      </c>
      <c r="Q27">
        <f>+COUNTIF(Q$2:Q$24,2)</f>
        <v>3</v>
      </c>
      <c r="R27" t="str">
        <f>+Settings!$G$8</f>
        <v>2 = Once in the last year</v>
      </c>
      <c r="S27">
        <f>+COUNTIF(S$2:S$24,2)</f>
        <v>4</v>
      </c>
      <c r="T27" t="str">
        <f>+Settings!$G$8</f>
        <v>2 = Once in the last year</v>
      </c>
      <c r="U27">
        <f>+COUNTIF(U$2:U$24,2)</f>
        <v>3</v>
      </c>
      <c r="V27" t="str">
        <f>+Settings!$G$16</f>
        <v>2 = Unlikely</v>
      </c>
      <c r="W27">
        <f>+COUNTIF(W$2:W$24,2)</f>
        <v>3</v>
      </c>
      <c r="X27" t="str">
        <f>+Settings!$G$17</f>
        <v>2 = A little increase</v>
      </c>
      <c r="Y27">
        <f>+COUNTIF(Y$2:Y$24,2)</f>
        <v>11</v>
      </c>
      <c r="Z27" t="str">
        <f>+Settings!$G$18</f>
        <v>2 = If I get flooded, I won't get damaged</v>
      </c>
      <c r="AA27">
        <f>+COUNTIF(AA$2:AA$24,2)</f>
        <v>3</v>
      </c>
    </row>
    <row r="28" spans="1:27" x14ac:dyDescent="0.2">
      <c r="F28" t="str">
        <f>+Settings!$H$7</f>
        <v>3 = Yes, with minor disruptions or damages</v>
      </c>
      <c r="G28">
        <f>+COUNTIF(G$2:G$24,3)</f>
        <v>3</v>
      </c>
      <c r="H28" t="str">
        <f>+Settings!$H$8</f>
        <v>3 = Once in the last six months</v>
      </c>
      <c r="I28">
        <f>+COUNTIF(I$2:I$24,3)</f>
        <v>7</v>
      </c>
      <c r="J28" t="str">
        <f>+Settings!$H$8</f>
        <v>3 = Once in the last six months</v>
      </c>
      <c r="K28">
        <f>+COUNTIF(K$2:K$24,3)</f>
        <v>4</v>
      </c>
      <c r="L28" t="str">
        <f>+Settings!$H$8</f>
        <v>3 = Once in the last six months</v>
      </c>
      <c r="M28">
        <f>+COUNTIF(M$2:M$24,3)</f>
        <v>8</v>
      </c>
      <c r="N28" t="str">
        <f>+Settings!$H$8</f>
        <v>3 = Once in the last six months</v>
      </c>
      <c r="O28">
        <f>+COUNTIF(O$2:O$24,3)</f>
        <v>4</v>
      </c>
      <c r="P28" t="str">
        <f>+Settings!$H$8</f>
        <v>3 = Once in the last six months</v>
      </c>
      <c r="Q28">
        <f>+COUNTIF(Q$2:Q$24,3)</f>
        <v>7</v>
      </c>
      <c r="R28" t="str">
        <f>+Settings!$H$8</f>
        <v>3 = Once in the last six months</v>
      </c>
      <c r="S28">
        <f>+COUNTIF(S$2:S$24,3)</f>
        <v>4</v>
      </c>
      <c r="T28" t="str">
        <f>+Settings!$H$8</f>
        <v>3 = Once in the last six months</v>
      </c>
      <c r="U28">
        <f>+COUNTIF(U$2:U$24,3)</f>
        <v>2</v>
      </c>
      <c r="V28" t="str">
        <f>+Settings!$H$16</f>
        <v>3 = Neutral</v>
      </c>
      <c r="W28">
        <f>+COUNTIF(W$2:W$24,3)</f>
        <v>3</v>
      </c>
      <c r="X28" t="str">
        <f>+Settings!$H$17</f>
        <v>3 = A moderate increase</v>
      </c>
      <c r="Y28">
        <f>+COUNTIF(Y$2:Y$24,3)</f>
        <v>1</v>
      </c>
      <c r="Z28" t="str">
        <f>+Settings!$H$18</f>
        <v>3 = I might suffer minor damage</v>
      </c>
      <c r="AA28">
        <f>+COUNTIF(AA$2:AA$24,3)</f>
        <v>2</v>
      </c>
    </row>
    <row r="29" spans="1:27" x14ac:dyDescent="0.2">
      <c r="F29" t="str">
        <f>+Settings!$I$7</f>
        <v>4 = Yes, with some disruptions or damages</v>
      </c>
      <c r="G29">
        <f>+COUNTIF(G$2:G$24,4)</f>
        <v>4</v>
      </c>
      <c r="H29" t="str">
        <f>+Settings!$I$8</f>
        <v>4 = Once a month</v>
      </c>
      <c r="I29">
        <f>+COUNTIF(I$2:I$24,4)</f>
        <v>2</v>
      </c>
      <c r="J29" t="str">
        <f>+Settings!$I$8</f>
        <v>4 = Once a month</v>
      </c>
      <c r="K29">
        <f>+COUNTIF(K$2:K$24,4)</f>
        <v>3</v>
      </c>
      <c r="L29" t="str">
        <f>+Settings!$I$8</f>
        <v>4 = Once a month</v>
      </c>
      <c r="M29">
        <f>+COUNTIF(M$2:M$24,4)</f>
        <v>2</v>
      </c>
      <c r="N29" t="str">
        <f>+Settings!$I$8</f>
        <v>4 = Once a month</v>
      </c>
      <c r="O29">
        <f>+COUNTIF(O$2:O$24,4)</f>
        <v>7</v>
      </c>
      <c r="P29" t="str">
        <f>+Settings!$I$8</f>
        <v>4 = Once a month</v>
      </c>
      <c r="Q29">
        <f>+COUNTIF(Q$2:Q$24,4)</f>
        <v>1</v>
      </c>
      <c r="R29" t="str">
        <f>+Settings!$I$8</f>
        <v>4 = Once a month</v>
      </c>
      <c r="S29">
        <f>+COUNTIF(S$2:S$24,4)</f>
        <v>2</v>
      </c>
      <c r="T29" t="str">
        <f>+Settings!$I$8</f>
        <v>4 = Once a month</v>
      </c>
      <c r="U29">
        <f>+COUNTIF(U$2:U$24,4)</f>
        <v>8</v>
      </c>
      <c r="V29" t="str">
        <f>+Settings!$I$16</f>
        <v>4 = Likely</v>
      </c>
      <c r="W29">
        <f>+COUNTIF(W$2:W$24,4)</f>
        <v>4</v>
      </c>
      <c r="X29" t="str">
        <f>+Settings!$I$17</f>
        <v>4 = A big increase</v>
      </c>
      <c r="Y29">
        <f>+COUNTIF(Y$2:Y$24,4)</f>
        <v>4</v>
      </c>
      <c r="Z29" t="str">
        <f>+Settings!$I$18</f>
        <v>4 = I will suffer some damage</v>
      </c>
      <c r="AA29">
        <f>+COUNTIF(AA$2:AA$24,4)</f>
        <v>8</v>
      </c>
    </row>
    <row r="30" spans="1:27" x14ac:dyDescent="0.2">
      <c r="F30" t="str">
        <f>+Settings!$J$7</f>
        <v>5 = Yes, with serious disruptions or damages</v>
      </c>
      <c r="G30">
        <f>+COUNTIF(G$2:G$24,5)</f>
        <v>1</v>
      </c>
      <c r="H30" t="str">
        <f>+Settings!$J$8</f>
        <v>5 = Once a week</v>
      </c>
      <c r="I30">
        <f>+COUNTIF(I$2:I$24,5)</f>
        <v>2</v>
      </c>
      <c r="J30" t="str">
        <f>+Settings!$J$8</f>
        <v>5 = Once a week</v>
      </c>
      <c r="K30">
        <f>+COUNTIF(K$2:K$24,5)</f>
        <v>4</v>
      </c>
      <c r="L30" t="str">
        <f>+Settings!$J$8</f>
        <v>5 = Once a week</v>
      </c>
      <c r="M30">
        <f>+COUNTIF(M$2:M$24,5)</f>
        <v>2</v>
      </c>
      <c r="N30" t="str">
        <f>+Settings!$J$8</f>
        <v>5 = Once a week</v>
      </c>
      <c r="O30">
        <f>+COUNTIF(O$2:O$24,5)</f>
        <v>2</v>
      </c>
      <c r="P30" t="str">
        <f>+Settings!$J$8</f>
        <v>5 = Once a week</v>
      </c>
      <c r="Q30">
        <f>+COUNTIF(Q$2:Q$24,5)</f>
        <v>3</v>
      </c>
      <c r="R30" t="str">
        <f>+Settings!$J$8</f>
        <v>5 = Once a week</v>
      </c>
      <c r="S30">
        <f>+COUNTIF(S$2:S$24,5)</f>
        <v>0</v>
      </c>
      <c r="T30" t="str">
        <f>+Settings!$J$8</f>
        <v>5 = Once a week</v>
      </c>
      <c r="U30">
        <f>+COUNTIF(U$2:U$24,5)</f>
        <v>3</v>
      </c>
      <c r="V30" t="str">
        <f>+Settings!$J$16</f>
        <v>5 = Very likely</v>
      </c>
      <c r="W30">
        <f>+COUNTIF(W$2:W$24,5)</f>
        <v>0</v>
      </c>
      <c r="X30" t="str">
        <f>+Settings!$J$17</f>
        <v>5 = An extreme increase</v>
      </c>
      <c r="Y30">
        <f>+COUNTIF(Y$2:Y$24,5)</f>
        <v>0</v>
      </c>
      <c r="Z30" t="str">
        <f>+Settings!$J$18</f>
        <v>5 = I will get seriously damaged</v>
      </c>
      <c r="AA30">
        <f>+COUNTIF(AA$2:AA$24,5)</f>
        <v>0</v>
      </c>
    </row>
    <row r="31" spans="1:27" x14ac:dyDescent="0.2">
      <c r="H31" t="str">
        <f>+Settings!$K$8</f>
        <v>6 = Once a day</v>
      </c>
      <c r="I31">
        <f>+COUNTIF(I$2:I$24,6)</f>
        <v>0</v>
      </c>
      <c r="J31" t="str">
        <f>+Settings!$K$8</f>
        <v>6 = Once a day</v>
      </c>
      <c r="K31">
        <f>+COUNTIF(K$2:K$24,6)</f>
        <v>6</v>
      </c>
      <c r="L31" t="str">
        <f>+Settings!$K$8</f>
        <v>6 = Once a day</v>
      </c>
      <c r="M31">
        <f>+COUNTIF(M$2:M$24,6)</f>
        <v>0</v>
      </c>
      <c r="N31" t="str">
        <f>+Settings!$K$8</f>
        <v>6 = Once a day</v>
      </c>
      <c r="O31">
        <f>+COUNTIF(O$2:O$24,6)</f>
        <v>7</v>
      </c>
      <c r="P31" t="str">
        <f>+Settings!$K$8</f>
        <v>6 = Once a day</v>
      </c>
      <c r="Q31">
        <f>+COUNTIF(Q$2:Q$24,6)</f>
        <v>3</v>
      </c>
      <c r="R31" t="str">
        <f>+Settings!$K$8</f>
        <v>6 = Once a day</v>
      </c>
      <c r="S31">
        <f>+COUNTIF(S$2:S$24,6)</f>
        <v>0</v>
      </c>
      <c r="T31" t="str">
        <f>+Settings!$K$8</f>
        <v>6 = Once a day</v>
      </c>
      <c r="U31">
        <f>+COUNTIF(U$2:U$24,6)</f>
        <v>1</v>
      </c>
    </row>
    <row r="32" spans="1:27" x14ac:dyDescent="0.2">
      <c r="F32" s="7" t="s">
        <v>167</v>
      </c>
      <c r="G32" s="8" cm="1">
        <f t="array" ref="G32">+AVERAGE(VALUE(G$2:G$24))</f>
        <v>2</v>
      </c>
      <c r="H32" s="7" t="s">
        <v>167</v>
      </c>
      <c r="I32" s="8" cm="1">
        <f t="array" ref="I32">+AVERAGE(VALUE(I$2:I$24))</f>
        <v>2.5217391304347827</v>
      </c>
      <c r="J32" s="7" t="s">
        <v>167</v>
      </c>
      <c r="K32" s="8" cm="1">
        <f t="array" ref="K32">+AVERAGE(VALUE(K$2:K$24))</f>
        <v>3.9565217391304346</v>
      </c>
      <c r="L32" s="7" t="s">
        <v>167</v>
      </c>
      <c r="M32" s="8" cm="1">
        <f t="array" ref="M32">+AVERAGE(VALUE(M$2:M$24))</f>
        <v>2.4782608695652173</v>
      </c>
      <c r="N32" s="7" t="s">
        <v>167</v>
      </c>
      <c r="O32" s="8" cm="1">
        <f t="array" ref="O32">+AVERAGE(VALUE(O$2:O$24))</f>
        <v>4.2608695652173916</v>
      </c>
      <c r="P32" s="7" t="s">
        <v>167</v>
      </c>
      <c r="Q32" s="8" cm="1">
        <f t="array" ref="Q32">+AVERAGE(VALUE(Q$2:Q$24))</f>
        <v>3.0434782608695654</v>
      </c>
      <c r="R32" s="7" t="s">
        <v>167</v>
      </c>
      <c r="S32" s="8" cm="1">
        <f t="array" ref="S32">+AVERAGE(VALUE(S$2:S$24))</f>
        <v>1.7826086956521738</v>
      </c>
      <c r="T32" s="7" t="s">
        <v>167</v>
      </c>
      <c r="U32" s="8" cm="1">
        <f t="array" ref="U32">+AVERAGE(VALUE(U$2:U$24))</f>
        <v>3.0869565217391304</v>
      </c>
      <c r="V32" s="7" t="s">
        <v>167</v>
      </c>
      <c r="W32" s="8" cm="1">
        <f t="array" ref="W32">+AVERAGE(VALUE(W$2:W$24))</f>
        <v>1.9130434782608696</v>
      </c>
      <c r="X32" s="7" t="s">
        <v>167</v>
      </c>
      <c r="Y32" s="8" cm="1">
        <f t="array" ref="Y32">+AVERAGE(VALUE(Y$2:Y$24))</f>
        <v>2.0869565217391304</v>
      </c>
      <c r="Z32" s="7" t="s">
        <v>167</v>
      </c>
      <c r="AA32" s="8" cm="1">
        <f t="array" ref="AA32">+AVERAGE(VALUE(AA$2:AA$24))</f>
        <v>2.347826086956522</v>
      </c>
    </row>
    <row r="33" spans="6:27" x14ac:dyDescent="0.2">
      <c r="F33" s="7" t="s">
        <v>168</v>
      </c>
      <c r="G33" cm="1">
        <f t="array" ref="G33">+MEDIAN(VALUE(G$26:G$30))</f>
        <v>3</v>
      </c>
      <c r="H33" s="7" t="s">
        <v>168</v>
      </c>
      <c r="I33" cm="1">
        <f t="array" ref="I33">+MEDIAN(VALUE(I$26:I$30))</f>
        <v>5</v>
      </c>
      <c r="J33" s="7" t="s">
        <v>168</v>
      </c>
      <c r="K33" cm="1">
        <f t="array" ref="K33">+MEDIAN(VALUE(K$26:K$30))</f>
        <v>4</v>
      </c>
      <c r="L33" s="7" t="s">
        <v>168</v>
      </c>
      <c r="M33" cm="1">
        <f t="array" ref="M33">+MEDIAN(VALUE(M$26:M$30))</f>
        <v>4</v>
      </c>
      <c r="N33" s="7" t="s">
        <v>168</v>
      </c>
      <c r="O33" cm="1">
        <f t="array" ref="O33">+MEDIAN(VALUE(O$26:O$30))</f>
        <v>3</v>
      </c>
      <c r="P33" s="7" t="s">
        <v>168</v>
      </c>
      <c r="Q33" cm="1">
        <f t="array" ref="Q33">+MEDIAN(VALUE(Q$26:Q$30))</f>
        <v>3</v>
      </c>
      <c r="R33" s="7" t="s">
        <v>168</v>
      </c>
      <c r="S33" cm="1">
        <f t="array" ref="S33">+MEDIAN(VALUE(S$26:S$30))</f>
        <v>4</v>
      </c>
      <c r="T33" s="7" t="s">
        <v>168</v>
      </c>
      <c r="U33" cm="1">
        <f t="array" ref="U33">+MEDIAN(VALUE(U$26:U$30))</f>
        <v>3</v>
      </c>
      <c r="V33" s="7" t="s">
        <v>168</v>
      </c>
      <c r="W33" cm="1">
        <f t="array" ref="W33">+MEDIAN(VALUE(W$26:W$30))</f>
        <v>3</v>
      </c>
      <c r="X33" s="7" t="s">
        <v>168</v>
      </c>
      <c r="Y33" cm="1">
        <f t="array" ref="Y33">+MEDIAN(VALUE(Y$26:Y$30))</f>
        <v>4</v>
      </c>
      <c r="Z33" s="7" t="s">
        <v>168</v>
      </c>
      <c r="AA33" cm="1">
        <f t="array" ref="AA33">+MEDIAN(VALUE(AA$26:AA$30))</f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0FEB0-0A46-43B2-ACBB-0A1361BB2262}">
  <dimension ref="A1:AA62"/>
  <sheetViews>
    <sheetView workbookViewId="0">
      <pane xSplit="4" ySplit="1" topLeftCell="E26" activePane="bottomRight" state="frozen"/>
      <selection pane="topRight" activeCell="E1" sqref="E1"/>
      <selection pane="bottomLeft" activeCell="A2" sqref="A2"/>
      <selection pane="bottomRight" activeCell="A61" sqref="A61:XFD61"/>
    </sheetView>
  </sheetViews>
  <sheetFormatPr baseColWidth="10" defaultColWidth="8.83203125" defaultRowHeight="15" x14ac:dyDescent="0.2"/>
  <cols>
    <col min="3" max="3" width="20.6640625" style="2" customWidth="1"/>
  </cols>
  <sheetData>
    <row r="1" spans="1:2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">
      <c r="A2">
        <v>1</v>
      </c>
      <c r="B2" t="s">
        <v>27</v>
      </c>
      <c r="C2" s="2">
        <v>45923.103994722223</v>
      </c>
      <c r="D2" t="s">
        <v>149</v>
      </c>
      <c r="E2" t="s">
        <v>55</v>
      </c>
      <c r="F2" t="s">
        <v>67</v>
      </c>
      <c r="G2" t="s">
        <v>29</v>
      </c>
      <c r="H2" t="s">
        <v>69</v>
      </c>
      <c r="I2" t="s">
        <v>38</v>
      </c>
      <c r="J2" t="s">
        <v>69</v>
      </c>
      <c r="K2" t="s">
        <v>38</v>
      </c>
      <c r="L2" t="s">
        <v>68</v>
      </c>
      <c r="M2" t="s">
        <v>29</v>
      </c>
      <c r="N2" t="s">
        <v>69</v>
      </c>
      <c r="O2" t="s">
        <v>38</v>
      </c>
      <c r="P2" t="s">
        <v>68</v>
      </c>
      <c r="Q2" t="s">
        <v>29</v>
      </c>
      <c r="R2" t="s">
        <v>68</v>
      </c>
      <c r="S2" t="s">
        <v>29</v>
      </c>
      <c r="T2" t="s">
        <v>68</v>
      </c>
      <c r="U2" t="s">
        <v>29</v>
      </c>
      <c r="V2" t="s">
        <v>76</v>
      </c>
      <c r="W2" t="s">
        <v>38</v>
      </c>
      <c r="X2" t="s">
        <v>94</v>
      </c>
      <c r="Y2" t="s">
        <v>38</v>
      </c>
      <c r="Z2" t="s">
        <v>78</v>
      </c>
      <c r="AA2" t="s">
        <v>30</v>
      </c>
    </row>
    <row r="3" spans="1:27" x14ac:dyDescent="0.2">
      <c r="A3">
        <v>2</v>
      </c>
      <c r="B3" t="s">
        <v>27</v>
      </c>
      <c r="C3" s="2">
        <v>45923.104438032409</v>
      </c>
      <c r="D3" t="s">
        <v>149</v>
      </c>
      <c r="E3" t="s">
        <v>54</v>
      </c>
      <c r="F3" t="s">
        <v>91</v>
      </c>
      <c r="G3" t="s">
        <v>30</v>
      </c>
      <c r="H3" t="s">
        <v>68</v>
      </c>
      <c r="I3" t="s">
        <v>29</v>
      </c>
      <c r="J3" t="s">
        <v>69</v>
      </c>
      <c r="K3" t="s">
        <v>38</v>
      </c>
      <c r="L3" t="s">
        <v>69</v>
      </c>
      <c r="M3" t="s">
        <v>38</v>
      </c>
      <c r="N3" t="s">
        <v>79</v>
      </c>
      <c r="O3" t="s">
        <v>30</v>
      </c>
      <c r="P3" t="s">
        <v>79</v>
      </c>
      <c r="Q3" t="s">
        <v>30</v>
      </c>
      <c r="R3" t="s">
        <v>68</v>
      </c>
      <c r="S3" t="s">
        <v>29</v>
      </c>
      <c r="T3" t="s">
        <v>68</v>
      </c>
      <c r="U3" t="s">
        <v>29</v>
      </c>
      <c r="V3" t="s">
        <v>80</v>
      </c>
      <c r="W3" t="s">
        <v>34</v>
      </c>
      <c r="X3" t="s">
        <v>81</v>
      </c>
      <c r="Y3" t="s">
        <v>32</v>
      </c>
      <c r="Z3" t="s">
        <v>82</v>
      </c>
      <c r="AA3" t="s">
        <v>34</v>
      </c>
    </row>
    <row r="4" spans="1:27" x14ac:dyDescent="0.2">
      <c r="A4">
        <v>3</v>
      </c>
      <c r="B4" t="s">
        <v>27</v>
      </c>
      <c r="C4" s="2">
        <v>45923.10448076389</v>
      </c>
      <c r="D4" t="s">
        <v>149</v>
      </c>
      <c r="E4" t="s">
        <v>56</v>
      </c>
      <c r="F4" t="s">
        <v>67</v>
      </c>
      <c r="G4" t="s">
        <v>29</v>
      </c>
      <c r="H4" t="s">
        <v>68</v>
      </c>
      <c r="I4" t="s">
        <v>29</v>
      </c>
      <c r="J4" t="s">
        <v>68</v>
      </c>
      <c r="K4" t="s">
        <v>29</v>
      </c>
      <c r="L4" t="s">
        <v>68</v>
      </c>
      <c r="M4" t="s">
        <v>29</v>
      </c>
      <c r="N4" t="s">
        <v>69</v>
      </c>
      <c r="O4" t="s">
        <v>38</v>
      </c>
      <c r="P4" t="s">
        <v>69</v>
      </c>
      <c r="Q4" t="s">
        <v>38</v>
      </c>
      <c r="R4" t="s">
        <v>69</v>
      </c>
      <c r="S4" t="s">
        <v>38</v>
      </c>
      <c r="T4" t="s">
        <v>79</v>
      </c>
      <c r="U4" t="s">
        <v>30</v>
      </c>
      <c r="V4" t="s">
        <v>70</v>
      </c>
      <c r="W4" t="s">
        <v>29</v>
      </c>
      <c r="X4" t="s">
        <v>71</v>
      </c>
      <c r="Y4" t="s">
        <v>34</v>
      </c>
      <c r="Z4" t="s">
        <v>72</v>
      </c>
      <c r="AA4" t="s">
        <v>29</v>
      </c>
    </row>
    <row r="5" spans="1:27" x14ac:dyDescent="0.2">
      <c r="A5">
        <v>4</v>
      </c>
      <c r="B5" t="s">
        <v>27</v>
      </c>
      <c r="C5" s="2">
        <v>45923.104664675928</v>
      </c>
      <c r="D5" t="s">
        <v>149</v>
      </c>
      <c r="E5" t="s">
        <v>61</v>
      </c>
      <c r="F5" t="s">
        <v>106</v>
      </c>
      <c r="G5" t="s">
        <v>34</v>
      </c>
      <c r="H5" t="s">
        <v>68</v>
      </c>
      <c r="I5" t="s">
        <v>29</v>
      </c>
      <c r="J5" t="s">
        <v>79</v>
      </c>
      <c r="K5" t="s">
        <v>30</v>
      </c>
      <c r="L5" t="s">
        <v>68</v>
      </c>
      <c r="M5" t="s">
        <v>29</v>
      </c>
      <c r="N5" t="s">
        <v>79</v>
      </c>
      <c r="O5" t="s">
        <v>30</v>
      </c>
      <c r="P5" t="s">
        <v>79</v>
      </c>
      <c r="Q5" t="s">
        <v>30</v>
      </c>
      <c r="R5" t="s">
        <v>68</v>
      </c>
      <c r="S5" t="s">
        <v>29</v>
      </c>
      <c r="T5" t="s">
        <v>68</v>
      </c>
      <c r="U5" t="s">
        <v>29</v>
      </c>
      <c r="V5" t="s">
        <v>80</v>
      </c>
      <c r="W5" t="s">
        <v>34</v>
      </c>
      <c r="X5" t="s">
        <v>81</v>
      </c>
      <c r="Y5" t="s">
        <v>32</v>
      </c>
      <c r="Z5" t="s">
        <v>82</v>
      </c>
      <c r="AA5" t="s">
        <v>34</v>
      </c>
    </row>
    <row r="6" spans="1:27" x14ac:dyDescent="0.2">
      <c r="A6">
        <v>5</v>
      </c>
      <c r="B6" t="s">
        <v>27</v>
      </c>
      <c r="C6" s="2">
        <v>45923.10492513889</v>
      </c>
      <c r="D6" t="s">
        <v>149</v>
      </c>
      <c r="E6" t="s">
        <v>150</v>
      </c>
      <c r="F6" t="s">
        <v>67</v>
      </c>
      <c r="G6" t="s">
        <v>29</v>
      </c>
      <c r="H6" t="s">
        <v>69</v>
      </c>
      <c r="I6" t="s">
        <v>38</v>
      </c>
      <c r="J6" t="s">
        <v>69</v>
      </c>
      <c r="K6" t="s">
        <v>38</v>
      </c>
      <c r="L6" t="s">
        <v>68</v>
      </c>
      <c r="M6" t="s">
        <v>29</v>
      </c>
      <c r="N6" t="s">
        <v>79</v>
      </c>
      <c r="O6" t="s">
        <v>30</v>
      </c>
      <c r="P6" t="s">
        <v>79</v>
      </c>
      <c r="Q6" t="s">
        <v>30</v>
      </c>
      <c r="R6" t="s">
        <v>68</v>
      </c>
      <c r="S6" t="s">
        <v>29</v>
      </c>
      <c r="T6" t="s">
        <v>68</v>
      </c>
      <c r="U6" t="s">
        <v>29</v>
      </c>
      <c r="V6" t="s">
        <v>76</v>
      </c>
      <c r="W6" t="s">
        <v>38</v>
      </c>
      <c r="X6" t="s">
        <v>71</v>
      </c>
      <c r="Y6" t="s">
        <v>34</v>
      </c>
      <c r="Z6" t="s">
        <v>85</v>
      </c>
      <c r="AA6" t="s">
        <v>38</v>
      </c>
    </row>
    <row r="7" spans="1:27" x14ac:dyDescent="0.2">
      <c r="A7">
        <v>6</v>
      </c>
      <c r="B7" t="s">
        <v>27</v>
      </c>
      <c r="C7" s="2">
        <v>45923.10493296296</v>
      </c>
      <c r="D7" t="s">
        <v>149</v>
      </c>
      <c r="E7" t="s">
        <v>151</v>
      </c>
      <c r="F7" t="s">
        <v>67</v>
      </c>
      <c r="G7" t="s">
        <v>29</v>
      </c>
      <c r="H7" t="s">
        <v>68</v>
      </c>
      <c r="I7" t="s">
        <v>29</v>
      </c>
      <c r="J7" t="s">
        <v>69</v>
      </c>
      <c r="K7" t="s">
        <v>38</v>
      </c>
      <c r="L7" t="s">
        <v>68</v>
      </c>
      <c r="M7" t="s">
        <v>29</v>
      </c>
      <c r="N7" t="s">
        <v>69</v>
      </c>
      <c r="O7" t="s">
        <v>38</v>
      </c>
      <c r="P7" t="s">
        <v>69</v>
      </c>
      <c r="Q7" t="s">
        <v>38</v>
      </c>
      <c r="R7" t="s">
        <v>68</v>
      </c>
      <c r="S7" t="s">
        <v>29</v>
      </c>
      <c r="T7" t="s">
        <v>68</v>
      </c>
      <c r="U7" t="s">
        <v>29</v>
      </c>
      <c r="V7" t="s">
        <v>70</v>
      </c>
      <c r="W7" t="s">
        <v>29</v>
      </c>
      <c r="X7" t="s">
        <v>94</v>
      </c>
      <c r="Y7" t="s">
        <v>38</v>
      </c>
      <c r="Z7" t="s">
        <v>82</v>
      </c>
      <c r="AA7" t="s">
        <v>34</v>
      </c>
    </row>
    <row r="8" spans="1:27" x14ac:dyDescent="0.2">
      <c r="A8">
        <v>7</v>
      </c>
      <c r="B8" t="s">
        <v>27</v>
      </c>
      <c r="C8" s="2">
        <v>45923.105415486112</v>
      </c>
      <c r="D8" t="s">
        <v>149</v>
      </c>
      <c r="E8" t="s">
        <v>63</v>
      </c>
      <c r="F8" t="s">
        <v>67</v>
      </c>
      <c r="G8" t="s">
        <v>29</v>
      </c>
      <c r="H8" t="s">
        <v>79</v>
      </c>
      <c r="I8" t="s">
        <v>30</v>
      </c>
      <c r="J8" t="s">
        <v>79</v>
      </c>
      <c r="K8" t="s">
        <v>30</v>
      </c>
      <c r="L8" t="s">
        <v>68</v>
      </c>
      <c r="M8" t="s">
        <v>29</v>
      </c>
      <c r="N8" t="s">
        <v>79</v>
      </c>
      <c r="O8" t="s">
        <v>30</v>
      </c>
      <c r="P8" t="s">
        <v>79</v>
      </c>
      <c r="Q8" t="s">
        <v>30</v>
      </c>
      <c r="R8" t="s">
        <v>68</v>
      </c>
      <c r="S8" t="s">
        <v>29</v>
      </c>
      <c r="T8" t="s">
        <v>68</v>
      </c>
      <c r="U8" t="s">
        <v>29</v>
      </c>
      <c r="V8" t="s">
        <v>76</v>
      </c>
      <c r="W8" t="s">
        <v>38</v>
      </c>
      <c r="X8" t="s">
        <v>77</v>
      </c>
      <c r="Y8" t="s">
        <v>30</v>
      </c>
      <c r="Z8" t="s">
        <v>85</v>
      </c>
      <c r="AA8" t="s">
        <v>38</v>
      </c>
    </row>
    <row r="9" spans="1:27" x14ac:dyDescent="0.2">
      <c r="A9">
        <v>8</v>
      </c>
      <c r="B9" t="s">
        <v>27</v>
      </c>
      <c r="C9" s="2">
        <v>45923.105520636571</v>
      </c>
      <c r="D9" t="s">
        <v>149</v>
      </c>
      <c r="E9" t="s">
        <v>101</v>
      </c>
      <c r="F9" t="s">
        <v>102</v>
      </c>
      <c r="G9" t="s">
        <v>32</v>
      </c>
      <c r="H9" t="s">
        <v>74</v>
      </c>
      <c r="I9" t="s">
        <v>34</v>
      </c>
      <c r="J9" t="s">
        <v>79</v>
      </c>
      <c r="K9" t="s">
        <v>30</v>
      </c>
      <c r="L9" t="s">
        <v>74</v>
      </c>
      <c r="M9" t="s">
        <v>34</v>
      </c>
      <c r="N9" t="s">
        <v>74</v>
      </c>
      <c r="O9" t="s">
        <v>34</v>
      </c>
      <c r="P9" t="s">
        <v>79</v>
      </c>
      <c r="Q9" t="s">
        <v>30</v>
      </c>
      <c r="R9" t="s">
        <v>69</v>
      </c>
      <c r="S9" t="s">
        <v>38</v>
      </c>
      <c r="T9" t="s">
        <v>68</v>
      </c>
      <c r="U9" t="s">
        <v>29</v>
      </c>
      <c r="V9" t="s">
        <v>92</v>
      </c>
      <c r="W9" t="s">
        <v>32</v>
      </c>
      <c r="X9" t="s">
        <v>71</v>
      </c>
      <c r="Y9" t="s">
        <v>34</v>
      </c>
      <c r="Z9" t="s">
        <v>78</v>
      </c>
      <c r="AA9" t="s">
        <v>30</v>
      </c>
    </row>
    <row r="10" spans="1:27" x14ac:dyDescent="0.2">
      <c r="A10">
        <v>9</v>
      </c>
      <c r="B10" t="s">
        <v>27</v>
      </c>
      <c r="C10" s="2">
        <v>45923.105570914347</v>
      </c>
      <c r="D10" t="s">
        <v>149</v>
      </c>
      <c r="E10" t="s">
        <v>64</v>
      </c>
      <c r="F10" t="s">
        <v>67</v>
      </c>
      <c r="G10" t="s">
        <v>29</v>
      </c>
      <c r="H10" t="s">
        <v>68</v>
      </c>
      <c r="I10" t="s">
        <v>29</v>
      </c>
      <c r="J10" t="s">
        <v>68</v>
      </c>
      <c r="K10" t="s">
        <v>29</v>
      </c>
      <c r="L10" t="s">
        <v>68</v>
      </c>
      <c r="M10" t="s">
        <v>29</v>
      </c>
      <c r="N10" t="s">
        <v>68</v>
      </c>
      <c r="O10" t="s">
        <v>29</v>
      </c>
      <c r="P10" t="s">
        <v>68</v>
      </c>
      <c r="Q10" t="s">
        <v>29</v>
      </c>
      <c r="R10" t="s">
        <v>68</v>
      </c>
      <c r="S10" t="s">
        <v>29</v>
      </c>
      <c r="T10" t="s">
        <v>68</v>
      </c>
      <c r="U10" t="s">
        <v>29</v>
      </c>
      <c r="V10" t="s">
        <v>76</v>
      </c>
      <c r="W10" t="s">
        <v>38</v>
      </c>
      <c r="X10" t="s">
        <v>81</v>
      </c>
      <c r="Y10" t="s">
        <v>32</v>
      </c>
      <c r="Z10" t="s">
        <v>114</v>
      </c>
      <c r="AA10" t="s">
        <v>32</v>
      </c>
    </row>
    <row r="11" spans="1:27" x14ac:dyDescent="0.2">
      <c r="A11">
        <v>10</v>
      </c>
      <c r="B11" t="s">
        <v>27</v>
      </c>
      <c r="C11" s="2">
        <v>45923.105611064813</v>
      </c>
      <c r="D11" t="s">
        <v>149</v>
      </c>
      <c r="E11" t="s">
        <v>98</v>
      </c>
      <c r="F11" t="s">
        <v>67</v>
      </c>
      <c r="G11" t="s">
        <v>29</v>
      </c>
      <c r="H11" t="s">
        <v>68</v>
      </c>
      <c r="I11" t="s">
        <v>29</v>
      </c>
      <c r="J11" t="s">
        <v>68</v>
      </c>
      <c r="K11" t="s">
        <v>29</v>
      </c>
      <c r="L11" t="s">
        <v>69</v>
      </c>
      <c r="M11" t="s">
        <v>38</v>
      </c>
      <c r="N11" t="s">
        <v>79</v>
      </c>
      <c r="O11" t="s">
        <v>30</v>
      </c>
      <c r="P11" t="s">
        <v>79</v>
      </c>
      <c r="Q11" t="s">
        <v>30</v>
      </c>
      <c r="R11" t="s">
        <v>69</v>
      </c>
      <c r="S11" t="s">
        <v>38</v>
      </c>
      <c r="T11" t="s">
        <v>68</v>
      </c>
      <c r="U11" t="s">
        <v>29</v>
      </c>
      <c r="V11" t="s">
        <v>87</v>
      </c>
      <c r="W11" t="s">
        <v>30</v>
      </c>
      <c r="X11" t="s">
        <v>71</v>
      </c>
      <c r="Y11" t="s">
        <v>34</v>
      </c>
      <c r="Z11" t="s">
        <v>78</v>
      </c>
      <c r="AA11" t="s">
        <v>30</v>
      </c>
    </row>
    <row r="12" spans="1:27" x14ac:dyDescent="0.2">
      <c r="A12">
        <v>11</v>
      </c>
      <c r="B12" t="s">
        <v>27</v>
      </c>
      <c r="C12" s="2">
        <v>45923.105924016199</v>
      </c>
      <c r="D12" t="s">
        <v>149</v>
      </c>
      <c r="E12" t="s">
        <v>49</v>
      </c>
      <c r="F12" t="s">
        <v>67</v>
      </c>
      <c r="G12" t="s">
        <v>29</v>
      </c>
      <c r="H12" t="s">
        <v>68</v>
      </c>
      <c r="I12" t="s">
        <v>29</v>
      </c>
      <c r="J12" t="s">
        <v>79</v>
      </c>
      <c r="K12" t="s">
        <v>30</v>
      </c>
      <c r="L12" t="s">
        <v>68</v>
      </c>
      <c r="M12" t="s">
        <v>29</v>
      </c>
      <c r="N12" t="s">
        <v>79</v>
      </c>
      <c r="O12" t="s">
        <v>30</v>
      </c>
      <c r="P12" t="s">
        <v>79</v>
      </c>
      <c r="Q12" t="s">
        <v>30</v>
      </c>
      <c r="R12" t="s">
        <v>68</v>
      </c>
      <c r="S12" t="s">
        <v>29</v>
      </c>
      <c r="T12" t="s">
        <v>68</v>
      </c>
      <c r="U12" t="s">
        <v>29</v>
      </c>
      <c r="V12" t="s">
        <v>87</v>
      </c>
      <c r="W12" t="s">
        <v>30</v>
      </c>
      <c r="X12" t="s">
        <v>77</v>
      </c>
      <c r="Y12" t="s">
        <v>30</v>
      </c>
      <c r="Z12" t="s">
        <v>78</v>
      </c>
      <c r="AA12" t="s">
        <v>30</v>
      </c>
    </row>
    <row r="13" spans="1:27" x14ac:dyDescent="0.2">
      <c r="A13">
        <v>12</v>
      </c>
      <c r="B13" t="s">
        <v>27</v>
      </c>
      <c r="C13" s="2">
        <v>45923.105978622683</v>
      </c>
      <c r="D13" t="s">
        <v>149</v>
      </c>
      <c r="E13" t="s">
        <v>57</v>
      </c>
      <c r="F13" t="s">
        <v>67</v>
      </c>
      <c r="G13" t="s">
        <v>29</v>
      </c>
      <c r="H13" t="s">
        <v>69</v>
      </c>
      <c r="I13" t="s">
        <v>38</v>
      </c>
      <c r="J13" t="s">
        <v>69</v>
      </c>
      <c r="K13" t="s">
        <v>38</v>
      </c>
      <c r="L13" t="s">
        <v>69</v>
      </c>
      <c r="M13" t="s">
        <v>38</v>
      </c>
      <c r="N13" t="s">
        <v>69</v>
      </c>
      <c r="O13" t="s">
        <v>38</v>
      </c>
      <c r="P13" t="s">
        <v>79</v>
      </c>
      <c r="Q13" t="s">
        <v>30</v>
      </c>
      <c r="R13" t="s">
        <v>69</v>
      </c>
      <c r="S13" t="s">
        <v>38</v>
      </c>
      <c r="T13" t="s">
        <v>69</v>
      </c>
      <c r="U13" t="s">
        <v>38</v>
      </c>
      <c r="V13" t="s">
        <v>87</v>
      </c>
      <c r="W13" t="s">
        <v>30</v>
      </c>
      <c r="X13" t="s">
        <v>71</v>
      </c>
      <c r="Y13" t="s">
        <v>34</v>
      </c>
      <c r="Z13" t="s">
        <v>78</v>
      </c>
      <c r="AA13" t="s">
        <v>30</v>
      </c>
    </row>
    <row r="14" spans="1:27" x14ac:dyDescent="0.2">
      <c r="A14">
        <v>13</v>
      </c>
      <c r="B14" t="s">
        <v>27</v>
      </c>
      <c r="C14" s="2">
        <v>45923.106187569443</v>
      </c>
      <c r="D14" t="s">
        <v>149</v>
      </c>
      <c r="E14" t="s">
        <v>62</v>
      </c>
      <c r="F14" t="s">
        <v>67</v>
      </c>
      <c r="G14" t="s">
        <v>29</v>
      </c>
      <c r="H14" t="s">
        <v>69</v>
      </c>
      <c r="I14" t="s">
        <v>38</v>
      </c>
      <c r="J14" t="s">
        <v>69</v>
      </c>
      <c r="K14" t="s">
        <v>38</v>
      </c>
      <c r="L14" t="s">
        <v>69</v>
      </c>
      <c r="M14" t="s">
        <v>38</v>
      </c>
      <c r="N14" t="s">
        <v>79</v>
      </c>
      <c r="O14" t="s">
        <v>30</v>
      </c>
      <c r="P14" t="s">
        <v>69</v>
      </c>
      <c r="Q14" t="s">
        <v>38</v>
      </c>
      <c r="R14" t="s">
        <v>79</v>
      </c>
      <c r="S14" t="s">
        <v>30</v>
      </c>
      <c r="T14" t="s">
        <v>69</v>
      </c>
      <c r="U14" t="s">
        <v>38</v>
      </c>
      <c r="V14" t="s">
        <v>76</v>
      </c>
      <c r="W14" t="s">
        <v>38</v>
      </c>
      <c r="X14" t="s">
        <v>77</v>
      </c>
      <c r="Y14" t="s">
        <v>30</v>
      </c>
      <c r="Z14" t="s">
        <v>78</v>
      </c>
      <c r="AA14" t="s">
        <v>30</v>
      </c>
    </row>
    <row r="15" spans="1:27" x14ac:dyDescent="0.2">
      <c r="A15">
        <v>14</v>
      </c>
      <c r="B15" t="s">
        <v>27</v>
      </c>
      <c r="C15" s="2">
        <v>45923.106241030087</v>
      </c>
      <c r="D15" t="s">
        <v>149</v>
      </c>
      <c r="E15" t="s">
        <v>42</v>
      </c>
      <c r="F15" t="s">
        <v>67</v>
      </c>
      <c r="G15" t="s">
        <v>29</v>
      </c>
      <c r="H15" t="s">
        <v>69</v>
      </c>
      <c r="I15" t="s">
        <v>38</v>
      </c>
      <c r="J15" t="s">
        <v>69</v>
      </c>
      <c r="K15" t="s">
        <v>38</v>
      </c>
      <c r="L15" t="s">
        <v>68</v>
      </c>
      <c r="M15" t="s">
        <v>29</v>
      </c>
      <c r="N15" t="s">
        <v>69</v>
      </c>
      <c r="O15" t="s">
        <v>38</v>
      </c>
      <c r="P15" t="s">
        <v>68</v>
      </c>
      <c r="Q15" t="s">
        <v>29</v>
      </c>
      <c r="R15" t="s">
        <v>68</v>
      </c>
      <c r="S15" t="s">
        <v>29</v>
      </c>
      <c r="T15" t="s">
        <v>68</v>
      </c>
      <c r="U15" t="s">
        <v>29</v>
      </c>
      <c r="V15" t="s">
        <v>70</v>
      </c>
      <c r="W15" t="s">
        <v>29</v>
      </c>
      <c r="X15" t="s">
        <v>94</v>
      </c>
      <c r="Y15" t="s">
        <v>38</v>
      </c>
      <c r="Z15" t="s">
        <v>72</v>
      </c>
      <c r="AA15" t="s">
        <v>29</v>
      </c>
    </row>
    <row r="16" spans="1:27" x14ac:dyDescent="0.2">
      <c r="A16">
        <v>15</v>
      </c>
      <c r="B16" t="s">
        <v>27</v>
      </c>
      <c r="C16" s="2">
        <v>45923.106269745367</v>
      </c>
      <c r="D16" t="s">
        <v>149</v>
      </c>
      <c r="E16" t="s">
        <v>99</v>
      </c>
      <c r="F16" t="s">
        <v>67</v>
      </c>
      <c r="G16" t="s">
        <v>29</v>
      </c>
      <c r="H16" t="s">
        <v>68</v>
      </c>
      <c r="I16" t="s">
        <v>29</v>
      </c>
      <c r="J16" t="s">
        <v>79</v>
      </c>
      <c r="K16" t="s">
        <v>30</v>
      </c>
      <c r="L16" t="s">
        <v>68</v>
      </c>
      <c r="M16" t="s">
        <v>29</v>
      </c>
      <c r="N16" t="s">
        <v>79</v>
      </c>
      <c r="O16" t="s">
        <v>30</v>
      </c>
      <c r="P16" t="s">
        <v>74</v>
      </c>
      <c r="Q16" t="s">
        <v>34</v>
      </c>
      <c r="R16" t="s">
        <v>68</v>
      </c>
      <c r="S16" t="s">
        <v>29</v>
      </c>
      <c r="T16" t="s">
        <v>68</v>
      </c>
      <c r="U16" t="s">
        <v>29</v>
      </c>
      <c r="V16" t="s">
        <v>87</v>
      </c>
      <c r="W16" t="s">
        <v>30</v>
      </c>
      <c r="X16" t="s">
        <v>77</v>
      </c>
      <c r="Y16" t="s">
        <v>30</v>
      </c>
      <c r="Z16" t="s">
        <v>78</v>
      </c>
      <c r="AA16" t="s">
        <v>30</v>
      </c>
    </row>
    <row r="17" spans="1:27" x14ac:dyDescent="0.2">
      <c r="A17">
        <v>16</v>
      </c>
      <c r="B17" t="s">
        <v>27</v>
      </c>
      <c r="C17" s="2">
        <v>45923.10635234954</v>
      </c>
      <c r="D17" t="s">
        <v>149</v>
      </c>
      <c r="E17" t="s">
        <v>28</v>
      </c>
      <c r="F17" t="s">
        <v>91</v>
      </c>
      <c r="G17" t="s">
        <v>30</v>
      </c>
      <c r="H17" t="s">
        <v>68</v>
      </c>
      <c r="I17" t="s">
        <v>29</v>
      </c>
      <c r="J17" t="s">
        <v>68</v>
      </c>
      <c r="K17" t="s">
        <v>29</v>
      </c>
      <c r="L17" t="s">
        <v>68</v>
      </c>
      <c r="M17" t="s">
        <v>29</v>
      </c>
      <c r="N17" t="s">
        <v>68</v>
      </c>
      <c r="O17" t="s">
        <v>29</v>
      </c>
      <c r="P17" t="s">
        <v>68</v>
      </c>
      <c r="Q17" t="s">
        <v>29</v>
      </c>
      <c r="R17" t="s">
        <v>68</v>
      </c>
      <c r="S17" t="s">
        <v>29</v>
      </c>
      <c r="T17" t="s">
        <v>68</v>
      </c>
      <c r="U17" t="s">
        <v>29</v>
      </c>
      <c r="V17" t="s">
        <v>87</v>
      </c>
      <c r="W17" t="s">
        <v>30</v>
      </c>
      <c r="X17" t="s">
        <v>71</v>
      </c>
      <c r="Y17" t="s">
        <v>34</v>
      </c>
      <c r="Z17" t="s">
        <v>78</v>
      </c>
      <c r="AA17" t="s">
        <v>30</v>
      </c>
    </row>
    <row r="18" spans="1:27" x14ac:dyDescent="0.2">
      <c r="A18">
        <v>17</v>
      </c>
      <c r="B18" t="s">
        <v>27</v>
      </c>
      <c r="C18" s="2">
        <v>45923.106402557867</v>
      </c>
      <c r="D18" t="s">
        <v>149</v>
      </c>
      <c r="E18" t="s">
        <v>88</v>
      </c>
      <c r="F18" t="s">
        <v>67</v>
      </c>
      <c r="G18" t="s">
        <v>29</v>
      </c>
      <c r="H18" t="s">
        <v>68</v>
      </c>
      <c r="I18" t="s">
        <v>29</v>
      </c>
      <c r="J18" t="s">
        <v>68</v>
      </c>
      <c r="K18" t="s">
        <v>29</v>
      </c>
      <c r="L18" t="s">
        <v>69</v>
      </c>
      <c r="M18" t="s">
        <v>38</v>
      </c>
      <c r="N18" t="s">
        <v>74</v>
      </c>
      <c r="O18" t="s">
        <v>34</v>
      </c>
      <c r="P18" t="s">
        <v>68</v>
      </c>
      <c r="Q18" t="s">
        <v>29</v>
      </c>
      <c r="R18" t="s">
        <v>68</v>
      </c>
      <c r="S18" t="s">
        <v>29</v>
      </c>
      <c r="T18" t="s">
        <v>68</v>
      </c>
      <c r="U18" t="s">
        <v>29</v>
      </c>
      <c r="V18" t="s">
        <v>76</v>
      </c>
      <c r="W18" t="s">
        <v>38</v>
      </c>
      <c r="X18" t="s">
        <v>77</v>
      </c>
      <c r="Y18" t="s">
        <v>30</v>
      </c>
      <c r="Z18" t="s">
        <v>85</v>
      </c>
      <c r="AA18" t="s">
        <v>38</v>
      </c>
    </row>
    <row r="19" spans="1:27" x14ac:dyDescent="0.2">
      <c r="A19">
        <v>18</v>
      </c>
      <c r="B19" t="s">
        <v>27</v>
      </c>
      <c r="C19" s="2">
        <v>45923.10685045139</v>
      </c>
      <c r="D19" t="s">
        <v>149</v>
      </c>
      <c r="E19" t="s">
        <v>39</v>
      </c>
      <c r="F19" t="s">
        <v>67</v>
      </c>
      <c r="G19" t="s">
        <v>29</v>
      </c>
      <c r="H19" t="s">
        <v>79</v>
      </c>
      <c r="I19" t="s">
        <v>30</v>
      </c>
      <c r="J19" t="s">
        <v>79</v>
      </c>
      <c r="K19" t="s">
        <v>30</v>
      </c>
      <c r="L19" t="s">
        <v>79</v>
      </c>
      <c r="M19" t="s">
        <v>30</v>
      </c>
      <c r="N19" t="s">
        <v>79</v>
      </c>
      <c r="O19" t="s">
        <v>30</v>
      </c>
      <c r="P19" t="s">
        <v>79</v>
      </c>
      <c r="Q19" t="s">
        <v>30</v>
      </c>
      <c r="R19" t="s">
        <v>79</v>
      </c>
      <c r="S19" t="s">
        <v>30</v>
      </c>
      <c r="T19" t="s">
        <v>68</v>
      </c>
      <c r="U19" t="s">
        <v>29</v>
      </c>
      <c r="V19" t="s">
        <v>80</v>
      </c>
      <c r="W19" t="s">
        <v>34</v>
      </c>
      <c r="X19" t="s">
        <v>71</v>
      </c>
      <c r="Y19" t="s">
        <v>34</v>
      </c>
      <c r="Z19" t="s">
        <v>82</v>
      </c>
      <c r="AA19" t="s">
        <v>34</v>
      </c>
    </row>
    <row r="20" spans="1:27" x14ac:dyDescent="0.2">
      <c r="A20">
        <v>19</v>
      </c>
      <c r="B20" t="s">
        <v>27</v>
      </c>
      <c r="C20" s="2">
        <v>45923.106890208343</v>
      </c>
      <c r="D20" t="s">
        <v>149</v>
      </c>
      <c r="E20" t="s">
        <v>52</v>
      </c>
      <c r="F20" t="s">
        <v>91</v>
      </c>
      <c r="G20" t="s">
        <v>30</v>
      </c>
      <c r="H20" t="s">
        <v>68</v>
      </c>
      <c r="I20" t="s">
        <v>29</v>
      </c>
      <c r="J20" t="s">
        <v>69</v>
      </c>
      <c r="K20" t="s">
        <v>38</v>
      </c>
      <c r="L20" t="s">
        <v>68</v>
      </c>
      <c r="M20" t="s">
        <v>29</v>
      </c>
      <c r="N20" t="s">
        <v>79</v>
      </c>
      <c r="O20" t="s">
        <v>30</v>
      </c>
      <c r="P20" t="s">
        <v>68</v>
      </c>
      <c r="Q20" t="s">
        <v>29</v>
      </c>
      <c r="R20" t="s">
        <v>68</v>
      </c>
      <c r="S20" t="s">
        <v>29</v>
      </c>
      <c r="T20" t="s">
        <v>68</v>
      </c>
      <c r="U20" t="s">
        <v>29</v>
      </c>
      <c r="V20" t="s">
        <v>80</v>
      </c>
      <c r="W20" t="s">
        <v>34</v>
      </c>
      <c r="X20" t="s">
        <v>71</v>
      </c>
      <c r="Y20" t="s">
        <v>34</v>
      </c>
      <c r="Z20" t="s">
        <v>85</v>
      </c>
      <c r="AA20" t="s">
        <v>38</v>
      </c>
    </row>
    <row r="21" spans="1:27" x14ac:dyDescent="0.2">
      <c r="A21">
        <v>20</v>
      </c>
      <c r="B21" t="s">
        <v>27</v>
      </c>
      <c r="C21" s="2">
        <v>45923.108345509259</v>
      </c>
      <c r="D21" t="s">
        <v>149</v>
      </c>
      <c r="E21" t="s">
        <v>53</v>
      </c>
      <c r="F21" t="s">
        <v>91</v>
      </c>
      <c r="G21" t="s">
        <v>30</v>
      </c>
      <c r="H21" t="s">
        <v>69</v>
      </c>
      <c r="I21" t="s">
        <v>38</v>
      </c>
      <c r="J21" t="s">
        <v>69</v>
      </c>
      <c r="K21" t="s">
        <v>38</v>
      </c>
      <c r="L21" t="s">
        <v>68</v>
      </c>
      <c r="M21" t="s">
        <v>29</v>
      </c>
      <c r="N21" t="s">
        <v>74</v>
      </c>
      <c r="O21" t="s">
        <v>34</v>
      </c>
      <c r="P21" t="s">
        <v>79</v>
      </c>
      <c r="Q21" t="s">
        <v>30</v>
      </c>
      <c r="R21" t="s">
        <v>68</v>
      </c>
      <c r="S21" t="s">
        <v>29</v>
      </c>
      <c r="T21" t="s">
        <v>68</v>
      </c>
      <c r="U21" t="s">
        <v>29</v>
      </c>
      <c r="V21" t="s">
        <v>76</v>
      </c>
      <c r="W21" t="s">
        <v>38</v>
      </c>
      <c r="X21" t="s">
        <v>71</v>
      </c>
      <c r="Y21" t="s">
        <v>34</v>
      </c>
      <c r="Z21" t="s">
        <v>82</v>
      </c>
      <c r="AA21" t="s">
        <v>34</v>
      </c>
    </row>
    <row r="22" spans="1:27" x14ac:dyDescent="0.2">
      <c r="A22">
        <v>21</v>
      </c>
      <c r="B22" t="s">
        <v>27</v>
      </c>
      <c r="C22" s="2">
        <v>45923.10839789352</v>
      </c>
      <c r="D22" t="s">
        <v>149</v>
      </c>
      <c r="E22" t="s">
        <v>43</v>
      </c>
      <c r="F22" t="s">
        <v>84</v>
      </c>
      <c r="G22" t="s">
        <v>38</v>
      </c>
      <c r="H22" t="s">
        <v>69</v>
      </c>
      <c r="I22" t="s">
        <v>38</v>
      </c>
      <c r="J22" t="s">
        <v>68</v>
      </c>
      <c r="K22" t="s">
        <v>29</v>
      </c>
      <c r="L22" t="s">
        <v>79</v>
      </c>
      <c r="M22" t="s">
        <v>30</v>
      </c>
      <c r="N22" t="s">
        <v>68</v>
      </c>
      <c r="O22" t="s">
        <v>29</v>
      </c>
      <c r="P22" t="s">
        <v>74</v>
      </c>
      <c r="Q22" t="s">
        <v>34</v>
      </c>
      <c r="R22" t="s">
        <v>68</v>
      </c>
      <c r="S22" t="s">
        <v>29</v>
      </c>
      <c r="T22" t="s">
        <v>79</v>
      </c>
      <c r="U22" t="s">
        <v>30</v>
      </c>
      <c r="V22" t="s">
        <v>80</v>
      </c>
      <c r="W22" t="s">
        <v>34</v>
      </c>
      <c r="X22" t="s">
        <v>71</v>
      </c>
      <c r="Y22" t="s">
        <v>34</v>
      </c>
      <c r="Z22" t="s">
        <v>82</v>
      </c>
      <c r="AA22" t="s">
        <v>34</v>
      </c>
    </row>
    <row r="23" spans="1:27" x14ac:dyDescent="0.2">
      <c r="A23">
        <v>22</v>
      </c>
      <c r="B23" t="s">
        <v>27</v>
      </c>
      <c r="C23" s="2">
        <v>45923.108412847221</v>
      </c>
      <c r="D23" t="s">
        <v>149</v>
      </c>
      <c r="E23" t="s">
        <v>60</v>
      </c>
      <c r="F23" t="s">
        <v>67</v>
      </c>
      <c r="G23" t="s">
        <v>29</v>
      </c>
      <c r="H23" t="s">
        <v>68</v>
      </c>
      <c r="I23" t="s">
        <v>29</v>
      </c>
      <c r="J23" t="s">
        <v>69</v>
      </c>
      <c r="K23" t="s">
        <v>38</v>
      </c>
      <c r="L23" t="s">
        <v>68</v>
      </c>
      <c r="M23" t="s">
        <v>29</v>
      </c>
      <c r="N23" t="s">
        <v>79</v>
      </c>
      <c r="O23" t="s">
        <v>30</v>
      </c>
      <c r="P23" t="s">
        <v>69</v>
      </c>
      <c r="Q23" t="s">
        <v>38</v>
      </c>
      <c r="R23" t="s">
        <v>68</v>
      </c>
      <c r="S23" t="s">
        <v>29</v>
      </c>
      <c r="T23" t="s">
        <v>68</v>
      </c>
      <c r="U23" t="s">
        <v>29</v>
      </c>
      <c r="V23" t="s">
        <v>87</v>
      </c>
      <c r="W23" t="s">
        <v>30</v>
      </c>
      <c r="X23" t="s">
        <v>71</v>
      </c>
      <c r="Y23" t="s">
        <v>34</v>
      </c>
      <c r="Z23" t="s">
        <v>78</v>
      </c>
      <c r="AA23" t="s">
        <v>30</v>
      </c>
    </row>
    <row r="24" spans="1:27" x14ac:dyDescent="0.2">
      <c r="A24">
        <v>23</v>
      </c>
      <c r="B24" t="s">
        <v>27</v>
      </c>
      <c r="C24" s="2">
        <v>45923.108511516199</v>
      </c>
      <c r="D24" t="s">
        <v>149</v>
      </c>
      <c r="E24" t="s">
        <v>46</v>
      </c>
      <c r="F24" t="s">
        <v>67</v>
      </c>
      <c r="G24" t="s">
        <v>29</v>
      </c>
      <c r="H24" t="s">
        <v>68</v>
      </c>
      <c r="I24" t="s">
        <v>29</v>
      </c>
      <c r="J24" t="s">
        <v>69</v>
      </c>
      <c r="K24" t="s">
        <v>38</v>
      </c>
      <c r="L24" t="s">
        <v>68</v>
      </c>
      <c r="M24" t="s">
        <v>29</v>
      </c>
      <c r="N24" t="s">
        <v>69</v>
      </c>
      <c r="O24" t="s">
        <v>38</v>
      </c>
      <c r="P24" t="s">
        <v>69</v>
      </c>
      <c r="Q24" t="s">
        <v>38</v>
      </c>
      <c r="R24" t="s">
        <v>68</v>
      </c>
      <c r="S24" t="s">
        <v>29</v>
      </c>
      <c r="T24" t="s">
        <v>68</v>
      </c>
      <c r="U24" t="s">
        <v>29</v>
      </c>
      <c r="V24" t="s">
        <v>70</v>
      </c>
      <c r="W24" t="s">
        <v>29</v>
      </c>
      <c r="X24" t="s">
        <v>94</v>
      </c>
      <c r="Y24" t="s">
        <v>38</v>
      </c>
      <c r="Z24" t="s">
        <v>82</v>
      </c>
      <c r="AA24" t="s">
        <v>34</v>
      </c>
    </row>
    <row r="25" spans="1:27" x14ac:dyDescent="0.2">
      <c r="A25">
        <v>24</v>
      </c>
      <c r="B25" t="s">
        <v>27</v>
      </c>
      <c r="C25" s="2">
        <v>45923.108616469908</v>
      </c>
      <c r="D25" t="s">
        <v>149</v>
      </c>
      <c r="E25" t="s">
        <v>58</v>
      </c>
      <c r="F25" t="s">
        <v>67</v>
      </c>
      <c r="G25" t="s">
        <v>29</v>
      </c>
      <c r="H25" t="s">
        <v>69</v>
      </c>
      <c r="I25" t="s">
        <v>38</v>
      </c>
      <c r="J25" t="s">
        <v>69</v>
      </c>
      <c r="K25" t="s">
        <v>38</v>
      </c>
      <c r="L25" t="s">
        <v>68</v>
      </c>
      <c r="M25" t="s">
        <v>29</v>
      </c>
      <c r="N25" t="s">
        <v>69</v>
      </c>
      <c r="O25" t="s">
        <v>38</v>
      </c>
      <c r="P25" t="s">
        <v>68</v>
      </c>
      <c r="Q25" t="s">
        <v>29</v>
      </c>
      <c r="R25" t="s">
        <v>68</v>
      </c>
      <c r="S25" t="s">
        <v>29</v>
      </c>
      <c r="T25" t="s">
        <v>68</v>
      </c>
      <c r="U25" t="s">
        <v>29</v>
      </c>
      <c r="V25" t="s">
        <v>76</v>
      </c>
      <c r="W25" t="s">
        <v>38</v>
      </c>
      <c r="X25" t="s">
        <v>71</v>
      </c>
      <c r="Y25" t="s">
        <v>34</v>
      </c>
      <c r="Z25" t="s">
        <v>78</v>
      </c>
      <c r="AA25" t="s">
        <v>30</v>
      </c>
    </row>
    <row r="26" spans="1:27" x14ac:dyDescent="0.2">
      <c r="A26">
        <v>25</v>
      </c>
      <c r="B26" t="s">
        <v>27</v>
      </c>
      <c r="C26" s="2">
        <v>45923.108708761567</v>
      </c>
      <c r="D26" t="s">
        <v>149</v>
      </c>
      <c r="E26" t="s">
        <v>53</v>
      </c>
      <c r="F26" t="s">
        <v>67</v>
      </c>
      <c r="G26" t="s">
        <v>29</v>
      </c>
      <c r="H26" t="s">
        <v>79</v>
      </c>
      <c r="I26" t="s">
        <v>30</v>
      </c>
      <c r="J26" t="s">
        <v>95</v>
      </c>
      <c r="K26" t="s">
        <v>35</v>
      </c>
      <c r="L26" t="s">
        <v>79</v>
      </c>
      <c r="M26" t="s">
        <v>30</v>
      </c>
      <c r="N26" t="s">
        <v>75</v>
      </c>
      <c r="O26" t="s">
        <v>32</v>
      </c>
      <c r="P26" t="s">
        <v>95</v>
      </c>
      <c r="Q26" t="s">
        <v>35</v>
      </c>
      <c r="R26" t="s">
        <v>69</v>
      </c>
      <c r="S26" t="s">
        <v>38</v>
      </c>
      <c r="T26" t="s">
        <v>69</v>
      </c>
      <c r="U26" t="s">
        <v>38</v>
      </c>
      <c r="V26" t="s">
        <v>87</v>
      </c>
      <c r="W26" t="s">
        <v>30</v>
      </c>
      <c r="X26" t="s">
        <v>71</v>
      </c>
      <c r="Y26" t="s">
        <v>34</v>
      </c>
      <c r="Z26" t="s">
        <v>114</v>
      </c>
      <c r="AA26" t="s">
        <v>32</v>
      </c>
    </row>
    <row r="27" spans="1:27" x14ac:dyDescent="0.2">
      <c r="A27">
        <v>26</v>
      </c>
      <c r="B27" t="s">
        <v>27</v>
      </c>
      <c r="C27" s="2">
        <v>45923.109022349541</v>
      </c>
      <c r="D27" t="s">
        <v>149</v>
      </c>
      <c r="E27" t="s">
        <v>65</v>
      </c>
      <c r="F27" t="s">
        <v>67</v>
      </c>
      <c r="G27" t="s">
        <v>29</v>
      </c>
      <c r="H27" t="s">
        <v>68</v>
      </c>
      <c r="I27" t="s">
        <v>29</v>
      </c>
      <c r="J27" t="s">
        <v>75</v>
      </c>
      <c r="K27" t="s">
        <v>32</v>
      </c>
      <c r="L27" t="s">
        <v>68</v>
      </c>
      <c r="M27" t="s">
        <v>29</v>
      </c>
      <c r="N27" t="s">
        <v>74</v>
      </c>
      <c r="O27" t="s">
        <v>34</v>
      </c>
      <c r="P27" t="s">
        <v>95</v>
      </c>
      <c r="Q27" t="s">
        <v>35</v>
      </c>
      <c r="R27" t="s">
        <v>68</v>
      </c>
      <c r="S27" t="s">
        <v>29</v>
      </c>
      <c r="T27" t="s">
        <v>68</v>
      </c>
      <c r="U27" t="s">
        <v>29</v>
      </c>
      <c r="V27" t="s">
        <v>87</v>
      </c>
      <c r="W27" t="s">
        <v>30</v>
      </c>
      <c r="X27" t="s">
        <v>71</v>
      </c>
      <c r="Y27" t="s">
        <v>34</v>
      </c>
      <c r="Z27" t="s">
        <v>78</v>
      </c>
      <c r="AA27" t="s">
        <v>30</v>
      </c>
    </row>
    <row r="28" spans="1:27" x14ac:dyDescent="0.2">
      <c r="A28">
        <v>27</v>
      </c>
      <c r="B28" t="s">
        <v>27</v>
      </c>
      <c r="C28" s="2">
        <v>45923.255792222219</v>
      </c>
      <c r="D28" t="s">
        <v>152</v>
      </c>
    </row>
    <row r="29" spans="1:27" x14ac:dyDescent="0.2">
      <c r="A29">
        <v>28</v>
      </c>
      <c r="B29" t="s">
        <v>27</v>
      </c>
      <c r="C29" s="2">
        <v>45923.256824849537</v>
      </c>
      <c r="D29" t="s">
        <v>149</v>
      </c>
      <c r="E29" t="s">
        <v>127</v>
      </c>
      <c r="F29" t="s">
        <v>106</v>
      </c>
      <c r="G29" t="s">
        <v>34</v>
      </c>
      <c r="H29" t="s">
        <v>68</v>
      </c>
      <c r="I29" t="s">
        <v>29</v>
      </c>
      <c r="J29" t="s">
        <v>95</v>
      </c>
      <c r="K29" t="s">
        <v>35</v>
      </c>
      <c r="L29" t="s">
        <v>74</v>
      </c>
      <c r="M29" t="s">
        <v>34</v>
      </c>
      <c r="N29" t="s">
        <v>68</v>
      </c>
      <c r="O29" t="s">
        <v>29</v>
      </c>
      <c r="P29" t="s">
        <v>75</v>
      </c>
      <c r="Q29" t="s">
        <v>32</v>
      </c>
      <c r="R29" t="s">
        <v>68</v>
      </c>
      <c r="S29" t="s">
        <v>29</v>
      </c>
      <c r="T29" t="s">
        <v>68</v>
      </c>
      <c r="U29" t="s">
        <v>29</v>
      </c>
      <c r="V29" t="s">
        <v>80</v>
      </c>
      <c r="W29" t="s">
        <v>34</v>
      </c>
      <c r="X29" t="s">
        <v>81</v>
      </c>
      <c r="Y29" t="s">
        <v>32</v>
      </c>
      <c r="Z29" t="s">
        <v>78</v>
      </c>
      <c r="AA29" t="s">
        <v>30</v>
      </c>
    </row>
    <row r="30" spans="1:27" x14ac:dyDescent="0.2">
      <c r="A30">
        <v>29</v>
      </c>
      <c r="B30" t="s">
        <v>27</v>
      </c>
      <c r="C30" s="2">
        <v>45923.257790682866</v>
      </c>
      <c r="D30" t="s">
        <v>149</v>
      </c>
      <c r="E30" t="s">
        <v>128</v>
      </c>
      <c r="F30" t="s">
        <v>91</v>
      </c>
      <c r="G30" t="s">
        <v>30</v>
      </c>
      <c r="H30" t="s">
        <v>79</v>
      </c>
      <c r="I30" t="s">
        <v>30</v>
      </c>
      <c r="J30" t="s">
        <v>69</v>
      </c>
      <c r="K30" t="s">
        <v>38</v>
      </c>
      <c r="L30" t="s">
        <v>68</v>
      </c>
      <c r="M30" t="s">
        <v>29</v>
      </c>
      <c r="N30" t="s">
        <v>69</v>
      </c>
      <c r="O30" t="s">
        <v>38</v>
      </c>
      <c r="P30" t="s">
        <v>69</v>
      </c>
      <c r="Q30" t="s">
        <v>38</v>
      </c>
      <c r="R30" t="s">
        <v>68</v>
      </c>
      <c r="S30" t="s">
        <v>29</v>
      </c>
      <c r="T30" t="s">
        <v>68</v>
      </c>
      <c r="U30" t="s">
        <v>29</v>
      </c>
      <c r="V30" t="s">
        <v>80</v>
      </c>
      <c r="W30" t="s">
        <v>34</v>
      </c>
      <c r="X30" t="s">
        <v>81</v>
      </c>
      <c r="Y30" t="s">
        <v>32</v>
      </c>
      <c r="Z30" t="s">
        <v>78</v>
      </c>
      <c r="AA30" t="s">
        <v>30</v>
      </c>
    </row>
    <row r="31" spans="1:27" x14ac:dyDescent="0.2">
      <c r="A31">
        <v>30</v>
      </c>
      <c r="B31" t="s">
        <v>27</v>
      </c>
      <c r="C31" s="2">
        <v>45923.258094803241</v>
      </c>
      <c r="D31" t="s">
        <v>149</v>
      </c>
      <c r="E31" t="s">
        <v>122</v>
      </c>
      <c r="F31" t="s">
        <v>67</v>
      </c>
      <c r="G31" t="s">
        <v>29</v>
      </c>
      <c r="H31" t="s">
        <v>69</v>
      </c>
      <c r="I31" t="s">
        <v>38</v>
      </c>
      <c r="J31" t="s">
        <v>69</v>
      </c>
      <c r="K31" t="s">
        <v>38</v>
      </c>
      <c r="L31" t="s">
        <v>68</v>
      </c>
      <c r="M31" t="s">
        <v>29</v>
      </c>
      <c r="N31" t="s">
        <v>95</v>
      </c>
      <c r="O31" t="s">
        <v>35</v>
      </c>
      <c r="P31" t="s">
        <v>95</v>
      </c>
      <c r="Q31" t="s">
        <v>35</v>
      </c>
      <c r="R31" t="s">
        <v>68</v>
      </c>
      <c r="S31" t="s">
        <v>29</v>
      </c>
      <c r="T31" t="s">
        <v>68</v>
      </c>
      <c r="U31" t="s">
        <v>29</v>
      </c>
      <c r="V31" t="s">
        <v>76</v>
      </c>
      <c r="W31" t="s">
        <v>38</v>
      </c>
      <c r="X31" t="s">
        <v>71</v>
      </c>
      <c r="Y31" t="s">
        <v>34</v>
      </c>
      <c r="Z31" t="s">
        <v>114</v>
      </c>
      <c r="AA31" t="s">
        <v>32</v>
      </c>
    </row>
    <row r="32" spans="1:27" x14ac:dyDescent="0.2">
      <c r="A32">
        <v>31</v>
      </c>
      <c r="B32" t="s">
        <v>27</v>
      </c>
      <c r="C32" s="2">
        <v>45923.25813548611</v>
      </c>
      <c r="D32" t="s">
        <v>149</v>
      </c>
      <c r="E32" t="s">
        <v>125</v>
      </c>
      <c r="F32" t="s">
        <v>67</v>
      </c>
      <c r="G32" t="s">
        <v>29</v>
      </c>
      <c r="H32" t="s">
        <v>68</v>
      </c>
      <c r="I32" t="s">
        <v>29</v>
      </c>
      <c r="J32" t="s">
        <v>74</v>
      </c>
      <c r="K32" t="s">
        <v>34</v>
      </c>
      <c r="L32" t="s">
        <v>68</v>
      </c>
      <c r="M32" t="s">
        <v>29</v>
      </c>
      <c r="N32" t="s">
        <v>69</v>
      </c>
      <c r="O32" t="s">
        <v>38</v>
      </c>
      <c r="P32" t="s">
        <v>68</v>
      </c>
      <c r="Q32" t="s">
        <v>29</v>
      </c>
      <c r="R32" t="s">
        <v>68</v>
      </c>
      <c r="S32" t="s">
        <v>29</v>
      </c>
      <c r="T32" t="s">
        <v>68</v>
      </c>
      <c r="U32" t="s">
        <v>29</v>
      </c>
      <c r="V32" t="s">
        <v>76</v>
      </c>
      <c r="W32" t="s">
        <v>38</v>
      </c>
      <c r="X32" t="s">
        <v>77</v>
      </c>
      <c r="Y32" t="s">
        <v>30</v>
      </c>
      <c r="Z32" t="s">
        <v>78</v>
      </c>
      <c r="AA32" t="s">
        <v>30</v>
      </c>
    </row>
    <row r="33" spans="1:27" x14ac:dyDescent="0.2">
      <c r="A33">
        <v>32</v>
      </c>
      <c r="B33" t="s">
        <v>27</v>
      </c>
      <c r="C33" s="2">
        <v>45923.258229479157</v>
      </c>
      <c r="D33" t="s">
        <v>149</v>
      </c>
      <c r="E33" t="s">
        <v>100</v>
      </c>
      <c r="F33" t="s">
        <v>67</v>
      </c>
      <c r="G33" t="s">
        <v>29</v>
      </c>
      <c r="H33" t="s">
        <v>74</v>
      </c>
      <c r="I33" t="s">
        <v>34</v>
      </c>
      <c r="J33" t="s">
        <v>74</v>
      </c>
      <c r="K33" t="s">
        <v>34</v>
      </c>
      <c r="L33" t="s">
        <v>68</v>
      </c>
      <c r="M33" t="s">
        <v>29</v>
      </c>
      <c r="N33" t="s">
        <v>74</v>
      </c>
      <c r="O33" t="s">
        <v>34</v>
      </c>
      <c r="P33" t="s">
        <v>74</v>
      </c>
      <c r="Q33" t="s">
        <v>34</v>
      </c>
      <c r="R33" t="s">
        <v>68</v>
      </c>
      <c r="S33" t="s">
        <v>29</v>
      </c>
      <c r="T33" t="s">
        <v>68</v>
      </c>
      <c r="U33" t="s">
        <v>29</v>
      </c>
      <c r="V33" t="s">
        <v>80</v>
      </c>
      <c r="W33" t="s">
        <v>34</v>
      </c>
      <c r="X33" t="s">
        <v>71</v>
      </c>
      <c r="Y33" t="s">
        <v>34</v>
      </c>
      <c r="Z33" t="s">
        <v>78</v>
      </c>
      <c r="AA33" t="s">
        <v>30</v>
      </c>
    </row>
    <row r="34" spans="1:27" x14ac:dyDescent="0.2">
      <c r="A34">
        <v>33</v>
      </c>
      <c r="B34" t="s">
        <v>27</v>
      </c>
      <c r="C34" s="2">
        <v>45923.258355960643</v>
      </c>
      <c r="D34" t="s">
        <v>149</v>
      </c>
      <c r="E34" t="s">
        <v>73</v>
      </c>
      <c r="F34" t="s">
        <v>67</v>
      </c>
      <c r="G34" t="s">
        <v>29</v>
      </c>
      <c r="H34" t="s">
        <v>68</v>
      </c>
      <c r="I34" t="s">
        <v>29</v>
      </c>
      <c r="J34" t="s">
        <v>68</v>
      </c>
      <c r="K34" t="s">
        <v>29</v>
      </c>
      <c r="L34" t="s">
        <v>68</v>
      </c>
      <c r="M34" t="s">
        <v>29</v>
      </c>
      <c r="N34" t="s">
        <v>68</v>
      </c>
      <c r="O34" t="s">
        <v>29</v>
      </c>
      <c r="P34" t="s">
        <v>68</v>
      </c>
      <c r="Q34" t="s">
        <v>29</v>
      </c>
      <c r="T34" t="s">
        <v>68</v>
      </c>
      <c r="U34" t="s">
        <v>29</v>
      </c>
      <c r="V34" t="s">
        <v>70</v>
      </c>
      <c r="W34" t="s">
        <v>29</v>
      </c>
      <c r="X34" t="s">
        <v>94</v>
      </c>
      <c r="Y34" t="s">
        <v>38</v>
      </c>
      <c r="Z34" t="s">
        <v>85</v>
      </c>
      <c r="AA34" t="s">
        <v>38</v>
      </c>
    </row>
    <row r="35" spans="1:27" x14ac:dyDescent="0.2">
      <c r="A35">
        <v>34</v>
      </c>
      <c r="B35" t="s">
        <v>27</v>
      </c>
      <c r="C35" s="2">
        <v>45923.258403842592</v>
      </c>
      <c r="D35" t="s">
        <v>149</v>
      </c>
      <c r="E35" t="s">
        <v>131</v>
      </c>
      <c r="F35" t="s">
        <v>84</v>
      </c>
      <c r="G35" t="s">
        <v>38</v>
      </c>
      <c r="H35" t="s">
        <v>68</v>
      </c>
      <c r="I35" t="s">
        <v>29</v>
      </c>
      <c r="J35" t="s">
        <v>69</v>
      </c>
      <c r="K35" t="s">
        <v>38</v>
      </c>
      <c r="L35" t="s">
        <v>68</v>
      </c>
      <c r="M35" t="s">
        <v>29</v>
      </c>
      <c r="N35" t="s">
        <v>68</v>
      </c>
      <c r="O35" t="s">
        <v>29</v>
      </c>
      <c r="P35" t="s">
        <v>68</v>
      </c>
      <c r="Q35" t="s">
        <v>29</v>
      </c>
      <c r="R35" t="s">
        <v>68</v>
      </c>
      <c r="S35" t="s">
        <v>29</v>
      </c>
      <c r="T35" t="s">
        <v>68</v>
      </c>
      <c r="U35" t="s">
        <v>29</v>
      </c>
      <c r="V35" t="s">
        <v>80</v>
      </c>
      <c r="W35" t="s">
        <v>34</v>
      </c>
      <c r="X35" t="s">
        <v>77</v>
      </c>
      <c r="Y35" t="s">
        <v>30</v>
      </c>
      <c r="Z35" t="s">
        <v>78</v>
      </c>
      <c r="AA35" t="s">
        <v>30</v>
      </c>
    </row>
    <row r="36" spans="1:27" x14ac:dyDescent="0.2">
      <c r="A36">
        <v>35</v>
      </c>
      <c r="B36" t="s">
        <v>27</v>
      </c>
      <c r="C36" s="2">
        <v>45923.258851006947</v>
      </c>
      <c r="D36" t="s">
        <v>149</v>
      </c>
      <c r="E36" t="s">
        <v>112</v>
      </c>
      <c r="F36" t="s">
        <v>67</v>
      </c>
      <c r="G36" t="s">
        <v>29</v>
      </c>
      <c r="H36" t="s">
        <v>68</v>
      </c>
      <c r="I36" t="s">
        <v>29</v>
      </c>
      <c r="J36" t="s">
        <v>74</v>
      </c>
      <c r="K36" t="s">
        <v>34</v>
      </c>
      <c r="L36" t="s">
        <v>68</v>
      </c>
      <c r="M36" t="s">
        <v>29</v>
      </c>
      <c r="N36" t="s">
        <v>79</v>
      </c>
      <c r="O36" t="s">
        <v>30</v>
      </c>
      <c r="P36" t="s">
        <v>68</v>
      </c>
      <c r="Q36" t="s">
        <v>29</v>
      </c>
      <c r="R36" t="s">
        <v>68</v>
      </c>
      <c r="S36" t="s">
        <v>29</v>
      </c>
      <c r="T36" t="s">
        <v>68</v>
      </c>
      <c r="U36" t="s">
        <v>29</v>
      </c>
      <c r="V36" t="s">
        <v>80</v>
      </c>
      <c r="W36" t="s">
        <v>34</v>
      </c>
      <c r="X36" t="s">
        <v>71</v>
      </c>
      <c r="Y36" t="s">
        <v>34</v>
      </c>
      <c r="Z36" t="s">
        <v>82</v>
      </c>
      <c r="AA36" t="s">
        <v>34</v>
      </c>
    </row>
    <row r="37" spans="1:27" x14ac:dyDescent="0.2">
      <c r="A37">
        <v>36</v>
      </c>
      <c r="B37" t="s">
        <v>27</v>
      </c>
      <c r="C37" s="2">
        <v>45923.258920486107</v>
      </c>
      <c r="D37" t="s">
        <v>149</v>
      </c>
      <c r="E37" t="s">
        <v>108</v>
      </c>
      <c r="F37" t="s">
        <v>67</v>
      </c>
      <c r="G37" t="s">
        <v>29</v>
      </c>
      <c r="H37" t="s">
        <v>79</v>
      </c>
      <c r="I37" t="s">
        <v>30</v>
      </c>
      <c r="J37" t="s">
        <v>69</v>
      </c>
      <c r="K37" t="s">
        <v>38</v>
      </c>
      <c r="L37" t="s">
        <v>79</v>
      </c>
      <c r="M37" t="s">
        <v>30</v>
      </c>
      <c r="N37" t="s">
        <v>79</v>
      </c>
      <c r="O37" t="s">
        <v>30</v>
      </c>
      <c r="P37" t="s">
        <v>68</v>
      </c>
      <c r="Q37" t="s">
        <v>29</v>
      </c>
      <c r="R37" t="s">
        <v>68</v>
      </c>
      <c r="S37" t="s">
        <v>29</v>
      </c>
      <c r="T37" t="s">
        <v>68</v>
      </c>
      <c r="U37" t="s">
        <v>29</v>
      </c>
      <c r="V37" t="s">
        <v>76</v>
      </c>
      <c r="W37" t="s">
        <v>38</v>
      </c>
      <c r="X37" t="s">
        <v>71</v>
      </c>
      <c r="Y37" t="s">
        <v>34</v>
      </c>
      <c r="Z37" t="s">
        <v>78</v>
      </c>
      <c r="AA37" t="s">
        <v>30</v>
      </c>
    </row>
    <row r="38" spans="1:27" x14ac:dyDescent="0.2">
      <c r="A38">
        <v>37</v>
      </c>
      <c r="B38" t="s">
        <v>27</v>
      </c>
      <c r="C38" s="2">
        <v>45923.259214224541</v>
      </c>
      <c r="D38" t="s">
        <v>149</v>
      </c>
      <c r="E38" t="s">
        <v>144</v>
      </c>
      <c r="F38" t="s">
        <v>67</v>
      </c>
      <c r="G38" t="s">
        <v>29</v>
      </c>
      <c r="H38" t="s">
        <v>68</v>
      </c>
      <c r="I38" t="s">
        <v>29</v>
      </c>
      <c r="J38" t="s">
        <v>95</v>
      </c>
      <c r="K38" t="s">
        <v>35</v>
      </c>
      <c r="L38" t="s">
        <v>74</v>
      </c>
      <c r="M38" t="s">
        <v>34</v>
      </c>
      <c r="N38" t="s">
        <v>75</v>
      </c>
      <c r="O38" t="s">
        <v>32</v>
      </c>
      <c r="P38" t="s">
        <v>95</v>
      </c>
      <c r="Q38" t="s">
        <v>35</v>
      </c>
      <c r="R38" t="s">
        <v>68</v>
      </c>
      <c r="S38" t="s">
        <v>29</v>
      </c>
      <c r="T38" t="s">
        <v>68</v>
      </c>
      <c r="U38" t="s">
        <v>29</v>
      </c>
      <c r="V38" t="s">
        <v>70</v>
      </c>
      <c r="W38" t="s">
        <v>29</v>
      </c>
      <c r="X38" t="s">
        <v>77</v>
      </c>
      <c r="Y38" t="s">
        <v>30</v>
      </c>
      <c r="Z38" t="s">
        <v>72</v>
      </c>
      <c r="AA38" t="s">
        <v>29</v>
      </c>
    </row>
    <row r="39" spans="1:27" x14ac:dyDescent="0.2">
      <c r="A39">
        <v>38</v>
      </c>
      <c r="B39" t="s">
        <v>27</v>
      </c>
      <c r="C39" s="2">
        <v>45923.259545034722</v>
      </c>
      <c r="D39" t="s">
        <v>149</v>
      </c>
      <c r="E39" t="s">
        <v>97</v>
      </c>
      <c r="F39" t="s">
        <v>67</v>
      </c>
      <c r="G39" t="s">
        <v>29</v>
      </c>
      <c r="H39" t="s">
        <v>68</v>
      </c>
      <c r="I39" t="s">
        <v>29</v>
      </c>
      <c r="J39" t="s">
        <v>79</v>
      </c>
      <c r="K39" t="s">
        <v>30</v>
      </c>
      <c r="L39" t="s">
        <v>68</v>
      </c>
      <c r="M39" t="s">
        <v>29</v>
      </c>
      <c r="N39" t="s">
        <v>74</v>
      </c>
      <c r="O39" t="s">
        <v>34</v>
      </c>
      <c r="P39" t="s">
        <v>74</v>
      </c>
      <c r="Q39" t="s">
        <v>34</v>
      </c>
      <c r="R39" t="s">
        <v>68</v>
      </c>
      <c r="S39" t="s">
        <v>29</v>
      </c>
      <c r="T39" t="s">
        <v>68</v>
      </c>
      <c r="U39" t="s">
        <v>29</v>
      </c>
      <c r="V39" t="s">
        <v>76</v>
      </c>
      <c r="W39" t="s">
        <v>38</v>
      </c>
      <c r="X39" t="s">
        <v>71</v>
      </c>
      <c r="Y39" t="s">
        <v>34</v>
      </c>
      <c r="Z39" t="s">
        <v>78</v>
      </c>
      <c r="AA39" t="s">
        <v>30</v>
      </c>
    </row>
    <row r="40" spans="1:27" x14ac:dyDescent="0.2">
      <c r="A40">
        <v>39</v>
      </c>
      <c r="B40" t="s">
        <v>27</v>
      </c>
      <c r="C40" s="2">
        <v>45923.259586562497</v>
      </c>
      <c r="D40" t="s">
        <v>149</v>
      </c>
      <c r="E40" t="s">
        <v>93</v>
      </c>
      <c r="F40" t="s">
        <v>67</v>
      </c>
      <c r="G40" t="s">
        <v>29</v>
      </c>
      <c r="H40" t="s">
        <v>79</v>
      </c>
      <c r="I40" t="s">
        <v>30</v>
      </c>
      <c r="J40" t="s">
        <v>74</v>
      </c>
      <c r="K40" t="s">
        <v>34</v>
      </c>
      <c r="L40" t="s">
        <v>68</v>
      </c>
      <c r="M40" t="s">
        <v>29</v>
      </c>
      <c r="N40" t="s">
        <v>79</v>
      </c>
      <c r="O40" t="s">
        <v>30</v>
      </c>
      <c r="P40" t="s">
        <v>79</v>
      </c>
      <c r="Q40" t="s">
        <v>30</v>
      </c>
      <c r="R40" t="s">
        <v>68</v>
      </c>
      <c r="S40" t="s">
        <v>29</v>
      </c>
      <c r="T40" t="s">
        <v>68</v>
      </c>
      <c r="U40" t="s">
        <v>29</v>
      </c>
      <c r="V40" t="s">
        <v>80</v>
      </c>
      <c r="W40" t="s">
        <v>34</v>
      </c>
      <c r="X40" t="s">
        <v>71</v>
      </c>
      <c r="Y40" t="s">
        <v>34</v>
      </c>
      <c r="Z40" t="s">
        <v>78</v>
      </c>
      <c r="AA40" t="s">
        <v>30</v>
      </c>
    </row>
    <row r="41" spans="1:27" x14ac:dyDescent="0.2">
      <c r="A41">
        <v>40</v>
      </c>
      <c r="B41" t="s">
        <v>27</v>
      </c>
      <c r="C41" s="2">
        <v>45923.25968722222</v>
      </c>
      <c r="D41" t="s">
        <v>149</v>
      </c>
      <c r="E41" t="s">
        <v>121</v>
      </c>
      <c r="F41" t="s">
        <v>84</v>
      </c>
      <c r="G41" t="s">
        <v>38</v>
      </c>
      <c r="H41" t="s">
        <v>68</v>
      </c>
      <c r="I41" t="s">
        <v>29</v>
      </c>
      <c r="J41" t="s">
        <v>68</v>
      </c>
      <c r="K41" t="s">
        <v>29</v>
      </c>
      <c r="L41" t="s">
        <v>69</v>
      </c>
      <c r="M41" t="s">
        <v>38</v>
      </c>
      <c r="N41" t="s">
        <v>69</v>
      </c>
      <c r="O41" t="s">
        <v>38</v>
      </c>
      <c r="P41" t="s">
        <v>69</v>
      </c>
      <c r="Q41" t="s">
        <v>38</v>
      </c>
      <c r="R41" t="s">
        <v>68</v>
      </c>
      <c r="S41" t="s">
        <v>29</v>
      </c>
      <c r="T41" t="s">
        <v>68</v>
      </c>
      <c r="U41" t="s">
        <v>29</v>
      </c>
      <c r="V41" t="s">
        <v>80</v>
      </c>
      <c r="W41" t="s">
        <v>34</v>
      </c>
      <c r="X41" t="s">
        <v>71</v>
      </c>
      <c r="Y41" t="s">
        <v>34</v>
      </c>
      <c r="Z41" t="s">
        <v>114</v>
      </c>
      <c r="AA41" t="s">
        <v>32</v>
      </c>
    </row>
    <row r="42" spans="1:27" x14ac:dyDescent="0.2">
      <c r="A42">
        <v>41</v>
      </c>
      <c r="B42" t="s">
        <v>27</v>
      </c>
      <c r="C42" s="2">
        <v>45923.259723483803</v>
      </c>
      <c r="D42" t="s">
        <v>149</v>
      </c>
      <c r="E42" t="s">
        <v>142</v>
      </c>
      <c r="F42" t="s">
        <v>67</v>
      </c>
      <c r="G42" t="s">
        <v>29</v>
      </c>
      <c r="H42" t="s">
        <v>68</v>
      </c>
      <c r="I42" t="s">
        <v>29</v>
      </c>
      <c r="J42" t="s">
        <v>79</v>
      </c>
      <c r="K42" t="s">
        <v>30</v>
      </c>
      <c r="L42" t="s">
        <v>79</v>
      </c>
      <c r="M42" t="s">
        <v>30</v>
      </c>
      <c r="N42" t="s">
        <v>79</v>
      </c>
      <c r="O42" t="s">
        <v>30</v>
      </c>
      <c r="P42" t="s">
        <v>79</v>
      </c>
      <c r="Q42" t="s">
        <v>30</v>
      </c>
      <c r="R42" t="s">
        <v>68</v>
      </c>
      <c r="S42" t="s">
        <v>29</v>
      </c>
      <c r="T42" t="s">
        <v>68</v>
      </c>
      <c r="U42" t="s">
        <v>29</v>
      </c>
      <c r="V42" t="s">
        <v>76</v>
      </c>
      <c r="W42" t="s">
        <v>38</v>
      </c>
      <c r="X42" t="s">
        <v>94</v>
      </c>
      <c r="Y42" t="s">
        <v>38</v>
      </c>
      <c r="Z42" t="s">
        <v>82</v>
      </c>
      <c r="AA42" t="s">
        <v>34</v>
      </c>
    </row>
    <row r="43" spans="1:27" x14ac:dyDescent="0.2">
      <c r="A43">
        <v>42</v>
      </c>
      <c r="B43" t="s">
        <v>27</v>
      </c>
      <c r="C43" s="2">
        <v>45923.259727534722</v>
      </c>
      <c r="D43" t="s">
        <v>149</v>
      </c>
      <c r="E43" t="s">
        <v>124</v>
      </c>
      <c r="F43" t="s">
        <v>67</v>
      </c>
      <c r="G43" t="s">
        <v>29</v>
      </c>
      <c r="H43" t="s">
        <v>68</v>
      </c>
      <c r="I43" t="s">
        <v>29</v>
      </c>
      <c r="J43" t="s">
        <v>69</v>
      </c>
      <c r="K43" t="s">
        <v>38</v>
      </c>
      <c r="L43" t="s">
        <v>69</v>
      </c>
      <c r="M43" t="s">
        <v>38</v>
      </c>
      <c r="N43" t="s">
        <v>79</v>
      </c>
      <c r="O43" t="s">
        <v>30</v>
      </c>
      <c r="P43" t="s">
        <v>69</v>
      </c>
      <c r="Q43" t="s">
        <v>38</v>
      </c>
      <c r="R43" t="s">
        <v>68</v>
      </c>
      <c r="S43" t="s">
        <v>29</v>
      </c>
      <c r="T43" t="s">
        <v>68</v>
      </c>
      <c r="U43" t="s">
        <v>29</v>
      </c>
      <c r="V43" t="s">
        <v>76</v>
      </c>
      <c r="W43" t="s">
        <v>38</v>
      </c>
      <c r="X43" t="s">
        <v>94</v>
      </c>
      <c r="Y43" t="s">
        <v>38</v>
      </c>
      <c r="Z43" t="s">
        <v>78</v>
      </c>
      <c r="AA43" t="s">
        <v>30</v>
      </c>
    </row>
    <row r="44" spans="1:27" x14ac:dyDescent="0.2">
      <c r="A44">
        <v>43</v>
      </c>
      <c r="B44" t="s">
        <v>27</v>
      </c>
      <c r="C44" s="2">
        <v>45923.25985722222</v>
      </c>
      <c r="D44" t="s">
        <v>149</v>
      </c>
      <c r="E44" t="s">
        <v>119</v>
      </c>
      <c r="F44" t="s">
        <v>67</v>
      </c>
      <c r="G44" t="s">
        <v>29</v>
      </c>
      <c r="H44" t="s">
        <v>68</v>
      </c>
      <c r="I44" t="s">
        <v>29</v>
      </c>
      <c r="J44" t="s">
        <v>79</v>
      </c>
      <c r="K44" t="s">
        <v>30</v>
      </c>
      <c r="L44" t="s">
        <v>68</v>
      </c>
      <c r="M44" t="s">
        <v>29</v>
      </c>
      <c r="N44" t="s">
        <v>79</v>
      </c>
      <c r="O44" t="s">
        <v>30</v>
      </c>
      <c r="P44" t="s">
        <v>79</v>
      </c>
      <c r="Q44" t="s">
        <v>30</v>
      </c>
      <c r="R44" t="s">
        <v>68</v>
      </c>
      <c r="S44" t="s">
        <v>29</v>
      </c>
      <c r="T44" t="s">
        <v>68</v>
      </c>
      <c r="U44" t="s">
        <v>29</v>
      </c>
      <c r="V44" t="s">
        <v>70</v>
      </c>
      <c r="W44" t="s">
        <v>29</v>
      </c>
      <c r="X44" t="s">
        <v>94</v>
      </c>
      <c r="Y44" t="s">
        <v>38</v>
      </c>
      <c r="Z44" t="s">
        <v>72</v>
      </c>
      <c r="AA44" t="s">
        <v>29</v>
      </c>
    </row>
    <row r="45" spans="1:27" x14ac:dyDescent="0.2">
      <c r="A45">
        <v>44</v>
      </c>
      <c r="B45" t="s">
        <v>27</v>
      </c>
      <c r="C45" s="2">
        <v>45923.260061134257</v>
      </c>
      <c r="D45" t="s">
        <v>149</v>
      </c>
      <c r="E45" t="s">
        <v>117</v>
      </c>
      <c r="F45" t="s">
        <v>67</v>
      </c>
      <c r="G45" t="s">
        <v>29</v>
      </c>
      <c r="H45" t="s">
        <v>69</v>
      </c>
      <c r="I45" t="s">
        <v>38</v>
      </c>
      <c r="J45" t="s">
        <v>75</v>
      </c>
      <c r="K45" t="s">
        <v>32</v>
      </c>
      <c r="L45" t="s">
        <v>69</v>
      </c>
      <c r="M45" t="s">
        <v>38</v>
      </c>
      <c r="N45" t="s">
        <v>79</v>
      </c>
      <c r="O45" t="s">
        <v>30</v>
      </c>
      <c r="P45" t="s">
        <v>79</v>
      </c>
      <c r="Q45" t="s">
        <v>30</v>
      </c>
      <c r="R45" t="s">
        <v>68</v>
      </c>
      <c r="S45" t="s">
        <v>29</v>
      </c>
      <c r="T45" t="s">
        <v>68</v>
      </c>
      <c r="U45" t="s">
        <v>29</v>
      </c>
      <c r="V45" t="s">
        <v>80</v>
      </c>
      <c r="W45" t="s">
        <v>34</v>
      </c>
      <c r="X45" t="s">
        <v>71</v>
      </c>
      <c r="Y45" t="s">
        <v>34</v>
      </c>
      <c r="Z45" t="s">
        <v>82</v>
      </c>
      <c r="AA45" t="s">
        <v>34</v>
      </c>
    </row>
    <row r="46" spans="1:27" x14ac:dyDescent="0.2">
      <c r="A46">
        <v>45</v>
      </c>
      <c r="B46" t="s">
        <v>27</v>
      </c>
      <c r="C46" s="2">
        <v>45923.260074502323</v>
      </c>
      <c r="D46" t="s">
        <v>149</v>
      </c>
      <c r="E46" t="s">
        <v>104</v>
      </c>
      <c r="F46" t="s">
        <v>84</v>
      </c>
      <c r="G46" t="s">
        <v>38</v>
      </c>
      <c r="H46" t="s">
        <v>68</v>
      </c>
      <c r="I46" t="s">
        <v>29</v>
      </c>
      <c r="J46" t="s">
        <v>68</v>
      </c>
      <c r="K46" t="s">
        <v>29</v>
      </c>
      <c r="L46" t="s">
        <v>68</v>
      </c>
      <c r="M46" t="s">
        <v>29</v>
      </c>
      <c r="N46" t="s">
        <v>69</v>
      </c>
      <c r="O46" t="s">
        <v>38</v>
      </c>
      <c r="P46" t="s">
        <v>69</v>
      </c>
      <c r="Q46" t="s">
        <v>38</v>
      </c>
      <c r="R46" t="s">
        <v>68</v>
      </c>
      <c r="S46" t="s">
        <v>29</v>
      </c>
      <c r="T46" t="s">
        <v>68</v>
      </c>
      <c r="U46" t="s">
        <v>29</v>
      </c>
      <c r="V46" t="s">
        <v>76</v>
      </c>
      <c r="W46" t="s">
        <v>38</v>
      </c>
      <c r="X46" t="s">
        <v>77</v>
      </c>
      <c r="Y46" t="s">
        <v>30</v>
      </c>
      <c r="Z46" t="s">
        <v>85</v>
      </c>
      <c r="AA46" t="s">
        <v>38</v>
      </c>
    </row>
    <row r="47" spans="1:27" x14ac:dyDescent="0.2">
      <c r="A47">
        <v>46</v>
      </c>
      <c r="B47" t="s">
        <v>27</v>
      </c>
      <c r="C47" s="2">
        <v>45923.260265590266</v>
      </c>
      <c r="D47" t="s">
        <v>149</v>
      </c>
      <c r="E47" t="s">
        <v>120</v>
      </c>
      <c r="F47" t="s">
        <v>67</v>
      </c>
      <c r="G47" t="s">
        <v>29</v>
      </c>
      <c r="H47" t="s">
        <v>74</v>
      </c>
      <c r="I47" t="s">
        <v>34</v>
      </c>
      <c r="J47" t="s">
        <v>74</v>
      </c>
      <c r="K47" t="s">
        <v>34</v>
      </c>
      <c r="L47" t="s">
        <v>68</v>
      </c>
      <c r="M47" t="s">
        <v>29</v>
      </c>
      <c r="N47" t="s">
        <v>74</v>
      </c>
      <c r="O47" t="s">
        <v>34</v>
      </c>
      <c r="P47" t="s">
        <v>69</v>
      </c>
      <c r="Q47" t="s">
        <v>38</v>
      </c>
      <c r="R47" t="s">
        <v>79</v>
      </c>
      <c r="S47" t="s">
        <v>30</v>
      </c>
      <c r="T47" t="s">
        <v>68</v>
      </c>
      <c r="U47" t="s">
        <v>29</v>
      </c>
      <c r="V47" t="s">
        <v>80</v>
      </c>
      <c r="W47" t="s">
        <v>34</v>
      </c>
      <c r="X47" t="s">
        <v>81</v>
      </c>
      <c r="Y47" t="s">
        <v>32</v>
      </c>
      <c r="Z47" t="s">
        <v>82</v>
      </c>
      <c r="AA47" t="s">
        <v>34</v>
      </c>
    </row>
    <row r="48" spans="1:27" x14ac:dyDescent="0.2">
      <c r="A48">
        <v>47</v>
      </c>
      <c r="B48" t="s">
        <v>27</v>
      </c>
      <c r="C48" s="2">
        <v>45923.260346249997</v>
      </c>
      <c r="D48" t="s">
        <v>149</v>
      </c>
      <c r="E48" t="s">
        <v>135</v>
      </c>
      <c r="F48" t="s">
        <v>84</v>
      </c>
      <c r="G48" t="s">
        <v>38</v>
      </c>
      <c r="H48" t="s">
        <v>79</v>
      </c>
      <c r="I48" t="s">
        <v>30</v>
      </c>
      <c r="J48" t="s">
        <v>79</v>
      </c>
      <c r="K48" t="s">
        <v>30</v>
      </c>
      <c r="L48" t="s">
        <v>68</v>
      </c>
      <c r="M48" t="s">
        <v>29</v>
      </c>
      <c r="N48" t="s">
        <v>79</v>
      </c>
      <c r="O48" t="s">
        <v>30</v>
      </c>
      <c r="P48" t="s">
        <v>79</v>
      </c>
      <c r="Q48" t="s">
        <v>30</v>
      </c>
      <c r="R48" t="s">
        <v>79</v>
      </c>
      <c r="S48" t="s">
        <v>30</v>
      </c>
      <c r="T48" t="s">
        <v>68</v>
      </c>
      <c r="U48" t="s">
        <v>29</v>
      </c>
      <c r="V48" t="s">
        <v>70</v>
      </c>
      <c r="W48" t="s">
        <v>29</v>
      </c>
      <c r="X48" t="s">
        <v>94</v>
      </c>
      <c r="Y48" t="s">
        <v>38</v>
      </c>
      <c r="Z48" t="s">
        <v>85</v>
      </c>
      <c r="AA48" t="s">
        <v>38</v>
      </c>
    </row>
    <row r="49" spans="1:27" x14ac:dyDescent="0.2">
      <c r="A49">
        <v>48</v>
      </c>
      <c r="B49" t="s">
        <v>27</v>
      </c>
      <c r="C49" s="2">
        <v>45923.260367916657</v>
      </c>
      <c r="D49" t="s">
        <v>149</v>
      </c>
      <c r="E49" t="s">
        <v>145</v>
      </c>
      <c r="F49" t="s">
        <v>67</v>
      </c>
      <c r="G49" t="s">
        <v>29</v>
      </c>
      <c r="H49" t="s">
        <v>68</v>
      </c>
      <c r="I49" t="s">
        <v>29</v>
      </c>
      <c r="J49" t="s">
        <v>68</v>
      </c>
      <c r="K49" t="s">
        <v>29</v>
      </c>
      <c r="L49" t="s">
        <v>69</v>
      </c>
      <c r="M49" t="s">
        <v>38</v>
      </c>
      <c r="N49" t="s">
        <v>74</v>
      </c>
      <c r="O49" t="s">
        <v>34</v>
      </c>
      <c r="P49" t="s">
        <v>74</v>
      </c>
      <c r="Q49" t="s">
        <v>34</v>
      </c>
      <c r="R49" t="s">
        <v>69</v>
      </c>
      <c r="S49" t="s">
        <v>38</v>
      </c>
      <c r="T49" t="s">
        <v>69</v>
      </c>
      <c r="U49" t="s">
        <v>38</v>
      </c>
      <c r="V49" t="s">
        <v>76</v>
      </c>
      <c r="W49" t="s">
        <v>38</v>
      </c>
      <c r="X49" t="s">
        <v>77</v>
      </c>
      <c r="Y49" t="s">
        <v>30</v>
      </c>
      <c r="Z49" t="s">
        <v>78</v>
      </c>
      <c r="AA49" t="s">
        <v>30</v>
      </c>
    </row>
    <row r="50" spans="1:27" x14ac:dyDescent="0.2">
      <c r="A50">
        <v>49</v>
      </c>
      <c r="B50" t="s">
        <v>27</v>
      </c>
      <c r="C50" s="2">
        <v>45923.260369988428</v>
      </c>
      <c r="D50" t="s">
        <v>149</v>
      </c>
      <c r="E50" t="s">
        <v>148</v>
      </c>
      <c r="F50" t="s">
        <v>67</v>
      </c>
      <c r="G50" t="s">
        <v>29</v>
      </c>
      <c r="H50" t="s">
        <v>69</v>
      </c>
      <c r="I50" t="s">
        <v>38</v>
      </c>
      <c r="J50" t="s">
        <v>68</v>
      </c>
      <c r="K50" t="s">
        <v>29</v>
      </c>
      <c r="L50" t="s">
        <v>74</v>
      </c>
      <c r="M50" t="s">
        <v>34</v>
      </c>
      <c r="N50" t="s">
        <v>74</v>
      </c>
      <c r="O50" t="s">
        <v>34</v>
      </c>
      <c r="P50" t="s">
        <v>79</v>
      </c>
      <c r="Q50" t="s">
        <v>30</v>
      </c>
      <c r="R50" t="s">
        <v>68</v>
      </c>
      <c r="S50" t="s">
        <v>29</v>
      </c>
      <c r="T50" t="s">
        <v>68</v>
      </c>
      <c r="U50" t="s">
        <v>29</v>
      </c>
      <c r="V50" t="s">
        <v>87</v>
      </c>
      <c r="W50" t="s">
        <v>30</v>
      </c>
      <c r="X50" t="s">
        <v>71</v>
      </c>
      <c r="Y50" t="s">
        <v>34</v>
      </c>
      <c r="Z50" t="s">
        <v>85</v>
      </c>
      <c r="AA50" t="s">
        <v>38</v>
      </c>
    </row>
    <row r="51" spans="1:27" x14ac:dyDescent="0.2">
      <c r="A51">
        <v>50</v>
      </c>
      <c r="B51" t="s">
        <v>27</v>
      </c>
      <c r="C51" s="2">
        <v>45923.260596215267</v>
      </c>
      <c r="D51" t="s">
        <v>149</v>
      </c>
      <c r="E51" t="s">
        <v>132</v>
      </c>
      <c r="F51" t="s">
        <v>106</v>
      </c>
      <c r="G51" t="s">
        <v>34</v>
      </c>
      <c r="H51" t="s">
        <v>69</v>
      </c>
      <c r="I51" t="s">
        <v>38</v>
      </c>
      <c r="J51" t="s">
        <v>75</v>
      </c>
      <c r="K51" t="s">
        <v>32</v>
      </c>
      <c r="L51" t="s">
        <v>79</v>
      </c>
      <c r="M51" t="s">
        <v>30</v>
      </c>
      <c r="N51" t="s">
        <v>75</v>
      </c>
      <c r="O51" t="s">
        <v>32</v>
      </c>
      <c r="P51" t="s">
        <v>75</v>
      </c>
      <c r="Q51" t="s">
        <v>32</v>
      </c>
      <c r="R51" t="s">
        <v>79</v>
      </c>
      <c r="S51" t="s">
        <v>30</v>
      </c>
      <c r="T51" t="s">
        <v>68</v>
      </c>
      <c r="U51" t="s">
        <v>29</v>
      </c>
      <c r="V51" t="s">
        <v>76</v>
      </c>
      <c r="W51" t="s">
        <v>38</v>
      </c>
      <c r="X51" t="s">
        <v>77</v>
      </c>
      <c r="Y51" t="s">
        <v>30</v>
      </c>
      <c r="Z51" t="s">
        <v>85</v>
      </c>
      <c r="AA51" t="s">
        <v>38</v>
      </c>
    </row>
    <row r="52" spans="1:27" x14ac:dyDescent="0.2">
      <c r="A52">
        <v>51</v>
      </c>
      <c r="B52" t="s">
        <v>27</v>
      </c>
      <c r="C52" s="2">
        <v>45923.261156701388</v>
      </c>
      <c r="D52" t="s">
        <v>149</v>
      </c>
      <c r="E52" t="s">
        <v>134</v>
      </c>
      <c r="F52" t="s">
        <v>84</v>
      </c>
      <c r="G52" t="s">
        <v>38</v>
      </c>
      <c r="H52" t="s">
        <v>74</v>
      </c>
      <c r="I52" t="s">
        <v>34</v>
      </c>
      <c r="J52" t="s">
        <v>68</v>
      </c>
      <c r="K52" t="s">
        <v>29</v>
      </c>
      <c r="L52" t="s">
        <v>79</v>
      </c>
      <c r="M52" t="s">
        <v>30</v>
      </c>
      <c r="N52" t="s">
        <v>74</v>
      </c>
      <c r="O52" t="s">
        <v>34</v>
      </c>
      <c r="P52" t="s">
        <v>74</v>
      </c>
      <c r="Q52" t="s">
        <v>34</v>
      </c>
      <c r="R52" t="s">
        <v>68</v>
      </c>
      <c r="S52" t="s">
        <v>29</v>
      </c>
      <c r="T52" t="s">
        <v>68</v>
      </c>
      <c r="U52" t="s">
        <v>29</v>
      </c>
      <c r="V52" t="s">
        <v>80</v>
      </c>
      <c r="W52" t="s">
        <v>34</v>
      </c>
      <c r="X52" t="s">
        <v>71</v>
      </c>
      <c r="Y52" t="s">
        <v>34</v>
      </c>
      <c r="Z52" t="s">
        <v>78</v>
      </c>
      <c r="AA52" t="s">
        <v>30</v>
      </c>
    </row>
    <row r="53" spans="1:27" x14ac:dyDescent="0.2">
      <c r="A53">
        <v>52</v>
      </c>
      <c r="B53" t="s">
        <v>27</v>
      </c>
      <c r="C53" s="2">
        <v>45923.262569178252</v>
      </c>
      <c r="D53" t="s">
        <v>149</v>
      </c>
      <c r="E53" t="s">
        <v>153</v>
      </c>
      <c r="F53" t="s">
        <v>106</v>
      </c>
      <c r="G53" t="s">
        <v>34</v>
      </c>
      <c r="H53" t="s">
        <v>68</v>
      </c>
      <c r="I53" t="s">
        <v>29</v>
      </c>
      <c r="J53" t="s">
        <v>79</v>
      </c>
      <c r="K53" t="s">
        <v>30</v>
      </c>
      <c r="L53" t="s">
        <v>68</v>
      </c>
      <c r="M53" t="s">
        <v>29</v>
      </c>
      <c r="N53" t="s">
        <v>79</v>
      </c>
      <c r="O53" t="s">
        <v>30</v>
      </c>
      <c r="P53" t="s">
        <v>79</v>
      </c>
      <c r="Q53" t="s">
        <v>30</v>
      </c>
      <c r="R53" t="s">
        <v>68</v>
      </c>
      <c r="S53" t="s">
        <v>29</v>
      </c>
      <c r="T53" t="s">
        <v>68</v>
      </c>
      <c r="U53" t="s">
        <v>29</v>
      </c>
      <c r="V53" t="s">
        <v>80</v>
      </c>
      <c r="W53" t="s">
        <v>34</v>
      </c>
      <c r="X53" t="s">
        <v>71</v>
      </c>
      <c r="Y53" t="s">
        <v>34</v>
      </c>
      <c r="Z53" t="s">
        <v>82</v>
      </c>
      <c r="AA53" t="s">
        <v>34</v>
      </c>
    </row>
    <row r="54" spans="1:27" x14ac:dyDescent="0.2">
      <c r="F54" t="s">
        <v>166</v>
      </c>
    </row>
    <row r="55" spans="1:27" x14ac:dyDescent="0.2">
      <c r="F55" t="str">
        <f>+Settings!$F$7</f>
        <v>1 = No, I do not have a flood experience</v>
      </c>
      <c r="G55">
        <f>+COUNTIF(G$2:G$53,1)</f>
        <v>35</v>
      </c>
      <c r="H55" t="str">
        <f>+Settings!$F$8</f>
        <v>1 = Never</v>
      </c>
      <c r="I55">
        <f>+COUNTIF(I$2:I$53,1)</f>
        <v>28</v>
      </c>
      <c r="J55" t="str">
        <f>+Settings!$F$8</f>
        <v>1 = Never</v>
      </c>
      <c r="K55">
        <f>+COUNTIF(K$2:K$53,1)</f>
        <v>12</v>
      </c>
      <c r="L55" t="str">
        <f>+Settings!$F$8</f>
        <v>1 = Never</v>
      </c>
      <c r="M55">
        <f>+COUNTIF(M$2:M$53,1)</f>
        <v>31</v>
      </c>
      <c r="N55" t="str">
        <f>+Settings!$F$8</f>
        <v>1 = Never</v>
      </c>
      <c r="O55">
        <f>+COUNTIF(O$2:O$53,1)</f>
        <v>6</v>
      </c>
      <c r="P55" t="str">
        <f>+Settings!$F$8</f>
        <v>1 = Never</v>
      </c>
      <c r="Q55">
        <f>+COUNTIF(Q$2:Q$53,1)</f>
        <v>12</v>
      </c>
      <c r="R55" t="str">
        <f>+Settings!$F$8</f>
        <v>1 = Never</v>
      </c>
      <c r="S55">
        <f>+COUNTIF(S$2:S$53,1)</f>
        <v>39</v>
      </c>
      <c r="T55" t="str">
        <f>+Settings!$F$8</f>
        <v>1 = Never</v>
      </c>
      <c r="U55">
        <f>+COUNTIF(U$2:U$53,1)</f>
        <v>45</v>
      </c>
      <c r="V55" t="str">
        <f>+Settings!$F$16</f>
        <v>1 = Very unlikely</v>
      </c>
      <c r="W55">
        <f>+COUNTIF(W$2:W$53,1)</f>
        <v>8</v>
      </c>
      <c r="X55" t="str">
        <f>+Settings!$F$17</f>
        <v>1 = No increase at all</v>
      </c>
      <c r="Y55">
        <f>+COUNTIF(Y$2:Y$53,1)</f>
        <v>0</v>
      </c>
      <c r="Z55" t="str">
        <f>+Settings!$F$18</f>
        <v>1 = I won't get flooded</v>
      </c>
      <c r="AA55">
        <f>+COUNTIF(AA$2:AA$53,1)</f>
        <v>4</v>
      </c>
    </row>
    <row r="56" spans="1:27" x14ac:dyDescent="0.2">
      <c r="F56" t="str">
        <f>+Settings!$G$7</f>
        <v>2 = Yes, but without disruptions or damages</v>
      </c>
      <c r="G56">
        <f>+COUNTIF(G$2:G$53,2)</f>
        <v>6</v>
      </c>
      <c r="H56" t="str">
        <f>+Settings!$G$8</f>
        <v>2 = Once in the last year</v>
      </c>
      <c r="I56">
        <f>+COUNTIF(I$2:I$53,2)</f>
        <v>12</v>
      </c>
      <c r="J56" t="str">
        <f>+Settings!$G$8</f>
        <v>2 = Once in the last year</v>
      </c>
      <c r="K56">
        <f>+COUNTIF(K$2:K$53,2)</f>
        <v>17</v>
      </c>
      <c r="L56" t="str">
        <f>+Settings!$G$8</f>
        <v>2 = Once in the last year</v>
      </c>
      <c r="M56">
        <f>+COUNTIF(M$2:M$53,2)</f>
        <v>9</v>
      </c>
      <c r="N56" t="str">
        <f>+Settings!$G$8</f>
        <v>2 = Once in the last year</v>
      </c>
      <c r="O56">
        <f>+COUNTIF(O$2:O$53,2)</f>
        <v>11</v>
      </c>
      <c r="P56" t="str">
        <f>+Settings!$G$8</f>
        <v>2 = Once in the last year</v>
      </c>
      <c r="Q56">
        <f>+COUNTIF(Q$2:Q$53,2)</f>
        <v>10</v>
      </c>
      <c r="R56" t="str">
        <f>+Settings!$G$8</f>
        <v>2 = Once in the last year</v>
      </c>
      <c r="S56">
        <f>+COUNTIF(S$2:S$53,2)</f>
        <v>6</v>
      </c>
      <c r="T56" t="str">
        <f>+Settings!$G$8</f>
        <v>2 = Once in the last year</v>
      </c>
      <c r="U56">
        <f>+COUNTIF(U$2:U$53,2)</f>
        <v>4</v>
      </c>
      <c r="V56" t="str">
        <f>+Settings!$G$16</f>
        <v>2 = Unlikely</v>
      </c>
      <c r="W56">
        <f>+COUNTIF(W$2:W$53,2)</f>
        <v>17</v>
      </c>
      <c r="X56" t="str">
        <f>+Settings!$G$17</f>
        <v>2 = A little increase</v>
      </c>
      <c r="Y56">
        <f>+COUNTIF(Y$2:Y$53,2)</f>
        <v>9</v>
      </c>
      <c r="Z56" t="str">
        <f>+Settings!$G$18</f>
        <v>2 = If I get flooded, I won't get damaged</v>
      </c>
      <c r="AA56">
        <f>+COUNTIF(AA$2:AA$53,2)</f>
        <v>9</v>
      </c>
    </row>
    <row r="57" spans="1:27" x14ac:dyDescent="0.2">
      <c r="F57" t="str">
        <f>+Settings!$H$7</f>
        <v>3 = Yes, with minor disruptions or damages</v>
      </c>
      <c r="G57">
        <f>+COUNTIF(G$2:G$53,3)</f>
        <v>5</v>
      </c>
      <c r="H57" t="str">
        <f>+Settings!$H$8</f>
        <v>3 = Once in the last six months</v>
      </c>
      <c r="I57">
        <f>+COUNTIF(I$2:I$53,3)</f>
        <v>7</v>
      </c>
      <c r="J57" t="str">
        <f>+Settings!$H$8</f>
        <v>3 = Once in the last six months</v>
      </c>
      <c r="K57">
        <f>+COUNTIF(K$2:K$53,3)</f>
        <v>11</v>
      </c>
      <c r="L57" t="str">
        <f>+Settings!$H$8</f>
        <v>3 = Once in the last six months</v>
      </c>
      <c r="M57">
        <f>+COUNTIF(M$2:M$53,3)</f>
        <v>7</v>
      </c>
      <c r="N57" t="str">
        <f>+Settings!$H$8</f>
        <v>3 = Once in the last six months</v>
      </c>
      <c r="O57">
        <f>+COUNTIF(O$2:O$53,3)</f>
        <v>20</v>
      </c>
      <c r="P57" t="str">
        <f>+Settings!$H$8</f>
        <v>3 = Once in the last six months</v>
      </c>
      <c r="Q57">
        <f>+COUNTIF(Q$2:Q$53,3)</f>
        <v>17</v>
      </c>
      <c r="R57" t="str">
        <f>+Settings!$H$8</f>
        <v>3 = Once in the last six months</v>
      </c>
      <c r="S57">
        <f>+COUNTIF(S$2:S$53,3)</f>
        <v>5</v>
      </c>
      <c r="T57" t="str">
        <f>+Settings!$H$8</f>
        <v>3 = Once in the last six months</v>
      </c>
      <c r="U57">
        <f>+COUNTIF(U$2:U$53,3)</f>
        <v>2</v>
      </c>
      <c r="V57" t="str">
        <f>+Settings!$H$16</f>
        <v>3 = Neutral</v>
      </c>
      <c r="W57">
        <f>+COUNTIF(W$2:W$53,3)</f>
        <v>9</v>
      </c>
      <c r="X57" t="str">
        <f>+Settings!$H$17</f>
        <v>3 = A moderate increase</v>
      </c>
      <c r="Y57">
        <f>+COUNTIF(Y$2:Y$53,3)</f>
        <v>11</v>
      </c>
      <c r="Z57" t="str">
        <f>+Settings!$H$18</f>
        <v>3 = I might suffer minor damage</v>
      </c>
      <c r="AA57">
        <f>+COUNTIF(AA$2:AA$53,3)</f>
        <v>22</v>
      </c>
    </row>
    <row r="58" spans="1:27" x14ac:dyDescent="0.2">
      <c r="F58" t="str">
        <f>+Settings!$I$7</f>
        <v>4 = Yes, with some disruptions or damages</v>
      </c>
      <c r="G58">
        <f>+COUNTIF(G$2:G$53,4)</f>
        <v>4</v>
      </c>
      <c r="H58" t="str">
        <f>+Settings!$I$8</f>
        <v>4 = Once a month</v>
      </c>
      <c r="I58">
        <f>+COUNTIF(I$2:I$53,4)</f>
        <v>4</v>
      </c>
      <c r="J58" t="str">
        <f>+Settings!$I$8</f>
        <v>4 = Once a month</v>
      </c>
      <c r="K58">
        <f>+COUNTIF(K$2:K$53,4)</f>
        <v>5</v>
      </c>
      <c r="L58" t="str">
        <f>+Settings!$I$8</f>
        <v>4 = Once a month</v>
      </c>
      <c r="M58">
        <f>+COUNTIF(M$2:M$53,4)</f>
        <v>4</v>
      </c>
      <c r="N58" t="str">
        <f>+Settings!$I$8</f>
        <v>4 = Once a month</v>
      </c>
      <c r="O58">
        <f>+COUNTIF(O$2:O$53,4)</f>
        <v>10</v>
      </c>
      <c r="P58" t="str">
        <f>+Settings!$I$8</f>
        <v>4 = Once a month</v>
      </c>
      <c r="Q58">
        <f>+COUNTIF(Q$2:Q$53,4)</f>
        <v>6</v>
      </c>
      <c r="R58" t="str">
        <f>+Settings!$I$8</f>
        <v>4 = Once a month</v>
      </c>
      <c r="S58">
        <f>+COUNTIF(S$2:S$53,4)</f>
        <v>0</v>
      </c>
      <c r="T58" t="str">
        <f>+Settings!$I$8</f>
        <v>4 = Once a month</v>
      </c>
      <c r="U58">
        <f>+COUNTIF(U$2:U$53,4)</f>
        <v>0</v>
      </c>
      <c r="V58" t="str">
        <f>+Settings!$I$16</f>
        <v>4 = Likely</v>
      </c>
      <c r="W58">
        <f>+COUNTIF(W$2:W$53,4)</f>
        <v>16</v>
      </c>
      <c r="X58" t="str">
        <f>+Settings!$I$17</f>
        <v>4 = A big increase</v>
      </c>
      <c r="Y58">
        <f>+COUNTIF(Y$2:Y$53,4)</f>
        <v>25</v>
      </c>
      <c r="Z58" t="str">
        <f>+Settings!$I$18</f>
        <v>4 = I will suffer some damage</v>
      </c>
      <c r="AA58">
        <f>+COUNTIF(AA$2:AA$53,4)</f>
        <v>12</v>
      </c>
    </row>
    <row r="59" spans="1:27" x14ac:dyDescent="0.2">
      <c r="F59" t="str">
        <f>+Settings!$J$7</f>
        <v>5 = Yes, with serious disruptions or damages</v>
      </c>
      <c r="G59">
        <f>+COUNTIF(G$2:G$53,5)</f>
        <v>1</v>
      </c>
      <c r="H59" t="str">
        <f>+Settings!$J$8</f>
        <v>5 = Once a week</v>
      </c>
      <c r="I59">
        <f>+COUNTIF(I$2:I$53,5)</f>
        <v>0</v>
      </c>
      <c r="J59" t="str">
        <f>+Settings!$J$8</f>
        <v>5 = Once a week</v>
      </c>
      <c r="K59">
        <f>+COUNTIF(K$2:K$53,5)</f>
        <v>3</v>
      </c>
      <c r="L59" t="str">
        <f>+Settings!$J$8</f>
        <v>5 = Once a week</v>
      </c>
      <c r="M59">
        <f>+COUNTIF(M$2:M$53,5)</f>
        <v>0</v>
      </c>
      <c r="N59" t="str">
        <f>+Settings!$J$8</f>
        <v>5 = Once a week</v>
      </c>
      <c r="O59">
        <f>+COUNTIF(O$2:O$53,5)</f>
        <v>3</v>
      </c>
      <c r="P59" t="str">
        <f>+Settings!$J$8</f>
        <v>5 = Once a week</v>
      </c>
      <c r="Q59">
        <f>+COUNTIF(Q$2:Q$53,5)</f>
        <v>2</v>
      </c>
      <c r="R59" t="str">
        <f>+Settings!$J$8</f>
        <v>5 = Once a week</v>
      </c>
      <c r="S59">
        <f>+COUNTIF(S$2:S$53,5)</f>
        <v>0</v>
      </c>
      <c r="T59" t="str">
        <f>+Settings!$J$8</f>
        <v>5 = Once a week</v>
      </c>
      <c r="U59">
        <f>+COUNTIF(U$2:U$53,5)</f>
        <v>0</v>
      </c>
      <c r="V59" t="str">
        <f>+Settings!$J$16</f>
        <v>5 = Very likely</v>
      </c>
      <c r="W59">
        <f>+COUNTIF(W$2:W$53,5)</f>
        <v>1</v>
      </c>
      <c r="X59" t="str">
        <f>+Settings!$J$17</f>
        <v>5 = An extreme increase</v>
      </c>
      <c r="Y59">
        <f>+COUNTIF(Y$2:Y$53,5)</f>
        <v>6</v>
      </c>
      <c r="Z59" t="str">
        <f>+Settings!$J$18</f>
        <v>5 = I will get seriously damaged</v>
      </c>
      <c r="AA59">
        <f>+COUNTIF(AA$2:AA$53,5)</f>
        <v>4</v>
      </c>
    </row>
    <row r="60" spans="1:27" x14ac:dyDescent="0.2">
      <c r="H60" t="str">
        <f>+Settings!$K$8</f>
        <v>6 = Once a day</v>
      </c>
      <c r="I60">
        <f>+COUNTIF(I$2:I$53,6)</f>
        <v>0</v>
      </c>
      <c r="J60" t="str">
        <f>+Settings!$K$8</f>
        <v>6 = Once a day</v>
      </c>
      <c r="K60">
        <f>+COUNTIF(K$2:K$53,6)</f>
        <v>3</v>
      </c>
      <c r="L60" t="str">
        <f>+Settings!$K$8</f>
        <v>6 = Once a day</v>
      </c>
      <c r="M60">
        <f>+COUNTIF(M$2:M$53,6)</f>
        <v>0</v>
      </c>
      <c r="N60" t="str">
        <f>+Settings!$K$8</f>
        <v>6 = Once a day</v>
      </c>
      <c r="O60">
        <f>+COUNTIF(O$2:O$53,6)</f>
        <v>1</v>
      </c>
      <c r="P60" t="str">
        <f>+Settings!$K$8</f>
        <v>6 = Once a day</v>
      </c>
      <c r="Q60">
        <f>+COUNTIF(Q$2:Q$53,6)</f>
        <v>4</v>
      </c>
      <c r="R60" t="str">
        <f>+Settings!$K$8</f>
        <v>6 = Once a day</v>
      </c>
      <c r="S60">
        <f>+COUNTIF(S$2:S$53,6)</f>
        <v>0</v>
      </c>
      <c r="T60" t="str">
        <f>+Settings!$K$8</f>
        <v>6 = Once a day</v>
      </c>
      <c r="U60">
        <f>+COUNTIF(U$2:U$53,6)</f>
        <v>0</v>
      </c>
    </row>
    <row r="61" spans="1:27" x14ac:dyDescent="0.2">
      <c r="F61" s="7" t="s">
        <v>167</v>
      </c>
      <c r="G61" s="8" cm="1">
        <f t="array" ref="G61">+AVERAGE(VALUE(G$2:G$24))</f>
        <v>1.6956521739130435</v>
      </c>
      <c r="H61" s="7" t="s">
        <v>167</v>
      </c>
      <c r="I61" s="8" cm="1">
        <f t="array" ref="I61">+AVERAGE(VALUE(I$2:I$24))</f>
        <v>1.6086956521739131</v>
      </c>
      <c r="J61" s="7" t="s">
        <v>167</v>
      </c>
      <c r="K61" s="8" cm="1">
        <f t="array" ref="K61">+AVERAGE(VALUE(K$2:K$24))</f>
        <v>2</v>
      </c>
      <c r="L61" s="7" t="s">
        <v>167</v>
      </c>
      <c r="M61" s="8" cm="1">
        <f t="array" ref="M61">+AVERAGE(VALUE(M$2:M$24))</f>
        <v>1.5217391304347827</v>
      </c>
      <c r="N61" s="7" t="s">
        <v>167</v>
      </c>
      <c r="O61" s="8" cm="1">
        <f t="array" ref="O61">+AVERAGE(VALUE(O$2:O$24))</f>
        <v>2.6086956521739131</v>
      </c>
      <c r="P61" s="7" t="s">
        <v>167</v>
      </c>
      <c r="Q61" s="8" cm="1">
        <f t="array" ref="Q61">+AVERAGE(VALUE(Q$2:Q$24))</f>
        <v>2.347826086956522</v>
      </c>
      <c r="R61" s="7" t="s">
        <v>167</v>
      </c>
      <c r="S61" s="8" cm="1">
        <f t="array" ref="S61">+AVERAGE(VALUE(S$2:S$24))</f>
        <v>1.3478260869565217</v>
      </c>
      <c r="T61" s="7" t="s">
        <v>167</v>
      </c>
      <c r="U61" s="8" cm="1">
        <f t="array" ref="U61">+AVERAGE(VALUE(U$2:U$24))</f>
        <v>1.2608695652173914</v>
      </c>
      <c r="V61" s="7" t="s">
        <v>167</v>
      </c>
      <c r="W61" s="8" cm="1">
        <f t="array" ref="W61">+AVERAGE(VALUE(W$2:W$24))</f>
        <v>2.652173913043478</v>
      </c>
      <c r="X61" s="7" t="s">
        <v>167</v>
      </c>
      <c r="Y61" s="8" cm="1">
        <f t="array" ref="Y61">+AVERAGE(VALUE(Y$2:Y$24))</f>
        <v>3.5652173913043477</v>
      </c>
      <c r="Z61" s="7" t="s">
        <v>167</v>
      </c>
      <c r="AA61" s="8" cm="1">
        <f t="array" ref="AA61">+AVERAGE(VALUE(AA$2:AA$24))</f>
        <v>3.0434782608695654</v>
      </c>
    </row>
    <row r="62" spans="1:27" x14ac:dyDescent="0.2">
      <c r="F62" s="7" t="s">
        <v>168</v>
      </c>
      <c r="G62" cm="1">
        <f t="array" ref="G62">+MEDIAN(VALUE(G$26:G$30))</f>
        <v>1</v>
      </c>
      <c r="H62" s="7" t="s">
        <v>168</v>
      </c>
      <c r="I62" cm="1">
        <f t="array" ref="I62">+MEDIAN(VALUE(I$26:I$30))</f>
        <v>1</v>
      </c>
      <c r="J62" s="7" t="s">
        <v>168</v>
      </c>
      <c r="K62" cm="1">
        <f t="array" ref="K62">+MEDIAN(VALUE(K$26:K$30))</f>
        <v>5</v>
      </c>
      <c r="L62" s="7" t="s">
        <v>168</v>
      </c>
      <c r="M62" cm="1">
        <f t="array" ref="M62">+MEDIAN(VALUE(M$26:M$30))</f>
        <v>1</v>
      </c>
      <c r="N62" s="7" t="s">
        <v>168</v>
      </c>
      <c r="O62" cm="1">
        <f t="array" ref="O62">+MEDIAN(VALUE(O$26:O$30))</f>
        <v>2</v>
      </c>
      <c r="P62" s="7" t="s">
        <v>168</v>
      </c>
      <c r="Q62" cm="1">
        <f t="array" ref="Q62">+MEDIAN(VALUE(Q$26:Q$30))</f>
        <v>5</v>
      </c>
      <c r="R62" s="7" t="s">
        <v>168</v>
      </c>
      <c r="S62" cm="1">
        <f t="array" ref="S62">+MEDIAN(VALUE(S$26:S$30))</f>
        <v>1</v>
      </c>
      <c r="T62" s="7" t="s">
        <v>168</v>
      </c>
      <c r="U62" cm="1">
        <f t="array" ref="U62">+MEDIAN(VALUE(U$26:U$30))</f>
        <v>1</v>
      </c>
      <c r="V62" s="7" t="s">
        <v>168</v>
      </c>
      <c r="W62" cm="1">
        <f t="array" ref="W62">+MEDIAN(VALUE(W$26:W$30))</f>
        <v>3</v>
      </c>
      <c r="X62" s="7" t="s">
        <v>168</v>
      </c>
      <c r="Y62" cm="1">
        <f t="array" ref="Y62">+MEDIAN(VALUE(Y$26:Y$30))</f>
        <v>4</v>
      </c>
      <c r="Z62" s="7" t="s">
        <v>168</v>
      </c>
      <c r="AA62" cm="1">
        <f t="array" ref="AA62">+MEDIAN(VALUE(AA$26:AA$30))</f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BAA33-F1A8-40BD-9C0B-CBC580EA97A9}">
  <dimension ref="A1:AA88"/>
  <sheetViews>
    <sheetView workbookViewId="0">
      <pane xSplit="4" ySplit="1" topLeftCell="E52" activePane="bottomRight" state="frozen"/>
      <selection pane="topRight" activeCell="E1" sqref="E1"/>
      <selection pane="bottomLeft" activeCell="A2" sqref="A2"/>
      <selection pane="bottomRight" activeCell="A87" sqref="A87:XFD87"/>
    </sheetView>
  </sheetViews>
  <sheetFormatPr baseColWidth="10" defaultColWidth="8.83203125" defaultRowHeight="15" x14ac:dyDescent="0.2"/>
  <cols>
    <col min="3" max="3" width="20.6640625" style="2" customWidth="1"/>
  </cols>
  <sheetData>
    <row r="1" spans="1:2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</row>
    <row r="2" spans="1:23" x14ac:dyDescent="0.2">
      <c r="A2">
        <v>1</v>
      </c>
      <c r="B2" t="s">
        <v>27</v>
      </c>
      <c r="C2" s="2">
        <v>45559.100164699077</v>
      </c>
      <c r="D2" t="s">
        <v>66</v>
      </c>
      <c r="E2" t="s">
        <v>58</v>
      </c>
      <c r="F2" t="s">
        <v>67</v>
      </c>
      <c r="G2" t="s">
        <v>29</v>
      </c>
      <c r="H2" t="s">
        <v>68</v>
      </c>
      <c r="I2" t="s">
        <v>29</v>
      </c>
      <c r="J2" t="s">
        <v>68</v>
      </c>
      <c r="K2" t="s">
        <v>29</v>
      </c>
      <c r="L2" t="s">
        <v>68</v>
      </c>
      <c r="M2" t="s">
        <v>29</v>
      </c>
      <c r="N2" t="s">
        <v>69</v>
      </c>
      <c r="O2" t="s">
        <v>38</v>
      </c>
      <c r="P2" t="s">
        <v>68</v>
      </c>
      <c r="Q2" t="s">
        <v>29</v>
      </c>
      <c r="R2" t="s">
        <v>70</v>
      </c>
      <c r="S2" t="s">
        <v>29</v>
      </c>
      <c r="T2" t="s">
        <v>71</v>
      </c>
      <c r="U2" t="s">
        <v>34</v>
      </c>
      <c r="V2" t="s">
        <v>72</v>
      </c>
      <c r="W2" t="s">
        <v>29</v>
      </c>
    </row>
    <row r="3" spans="1:23" x14ac:dyDescent="0.2">
      <c r="A3">
        <v>2</v>
      </c>
      <c r="B3" t="s">
        <v>27</v>
      </c>
      <c r="C3" s="2">
        <v>45559.100937581017</v>
      </c>
      <c r="D3" t="s">
        <v>66</v>
      </c>
      <c r="E3" t="s">
        <v>73</v>
      </c>
      <c r="F3" t="s">
        <v>67</v>
      </c>
      <c r="G3" t="s">
        <v>29</v>
      </c>
      <c r="H3" t="s">
        <v>69</v>
      </c>
      <c r="I3" t="s">
        <v>38</v>
      </c>
      <c r="J3" t="s">
        <v>74</v>
      </c>
      <c r="K3" t="s">
        <v>34</v>
      </c>
      <c r="L3" t="s">
        <v>69</v>
      </c>
      <c r="M3" t="s">
        <v>38</v>
      </c>
      <c r="N3" t="s">
        <v>75</v>
      </c>
      <c r="O3" t="s">
        <v>32</v>
      </c>
      <c r="P3" t="s">
        <v>74</v>
      </c>
      <c r="Q3" t="s">
        <v>34</v>
      </c>
      <c r="R3" t="s">
        <v>76</v>
      </c>
      <c r="S3" t="s">
        <v>38</v>
      </c>
      <c r="T3" t="s">
        <v>77</v>
      </c>
      <c r="U3" t="s">
        <v>30</v>
      </c>
      <c r="V3" t="s">
        <v>78</v>
      </c>
      <c r="W3" t="s">
        <v>30</v>
      </c>
    </row>
    <row r="4" spans="1:23" x14ac:dyDescent="0.2">
      <c r="A4">
        <v>3</v>
      </c>
      <c r="B4" t="s">
        <v>27</v>
      </c>
      <c r="C4" s="2">
        <v>45559.101154571763</v>
      </c>
      <c r="D4" t="s">
        <v>66</v>
      </c>
      <c r="E4" t="s">
        <v>49</v>
      </c>
      <c r="F4" t="s">
        <v>67</v>
      </c>
      <c r="G4" t="s">
        <v>29</v>
      </c>
      <c r="H4" t="s">
        <v>79</v>
      </c>
      <c r="I4" t="s">
        <v>30</v>
      </c>
      <c r="J4" t="s">
        <v>68</v>
      </c>
      <c r="K4" t="s">
        <v>29</v>
      </c>
      <c r="L4" t="s">
        <v>79</v>
      </c>
      <c r="M4" t="s">
        <v>30</v>
      </c>
      <c r="N4" t="s">
        <v>74</v>
      </c>
      <c r="O4" t="s">
        <v>34</v>
      </c>
      <c r="P4" t="s">
        <v>75</v>
      </c>
      <c r="Q4" t="s">
        <v>32</v>
      </c>
      <c r="R4" t="s">
        <v>80</v>
      </c>
      <c r="S4" t="s">
        <v>34</v>
      </c>
      <c r="T4" t="s">
        <v>81</v>
      </c>
      <c r="U4" t="s">
        <v>32</v>
      </c>
      <c r="V4" t="s">
        <v>82</v>
      </c>
      <c r="W4" t="s">
        <v>34</v>
      </c>
    </row>
    <row r="5" spans="1:23" x14ac:dyDescent="0.2">
      <c r="A5">
        <v>4</v>
      </c>
      <c r="B5" t="s">
        <v>27</v>
      </c>
      <c r="C5" s="2">
        <v>45559.10137694444</v>
      </c>
      <c r="D5" t="s">
        <v>66</v>
      </c>
      <c r="E5" t="s">
        <v>50</v>
      </c>
      <c r="F5" t="s">
        <v>67</v>
      </c>
      <c r="G5" t="s">
        <v>29</v>
      </c>
      <c r="H5" t="s">
        <v>68</v>
      </c>
      <c r="I5" t="s">
        <v>29</v>
      </c>
      <c r="J5" t="s">
        <v>68</v>
      </c>
      <c r="K5" t="s">
        <v>29</v>
      </c>
      <c r="L5" t="s">
        <v>68</v>
      </c>
      <c r="M5" t="s">
        <v>29</v>
      </c>
      <c r="N5" t="s">
        <v>79</v>
      </c>
      <c r="O5" t="s">
        <v>30</v>
      </c>
      <c r="P5" t="s">
        <v>69</v>
      </c>
      <c r="Q5" t="s">
        <v>38</v>
      </c>
      <c r="R5" t="s">
        <v>70</v>
      </c>
      <c r="S5" t="s">
        <v>29</v>
      </c>
      <c r="T5" t="s">
        <v>71</v>
      </c>
      <c r="U5" t="s">
        <v>34</v>
      </c>
      <c r="V5" t="s">
        <v>78</v>
      </c>
      <c r="W5" t="s">
        <v>30</v>
      </c>
    </row>
    <row r="6" spans="1:23" x14ac:dyDescent="0.2">
      <c r="A6">
        <v>5</v>
      </c>
      <c r="B6" t="s">
        <v>27</v>
      </c>
      <c r="C6" s="2">
        <v>45559.101619074077</v>
      </c>
      <c r="D6" t="s">
        <v>66</v>
      </c>
      <c r="E6" t="s">
        <v>83</v>
      </c>
      <c r="F6" t="s">
        <v>84</v>
      </c>
      <c r="G6" t="s">
        <v>38</v>
      </c>
      <c r="H6" t="s">
        <v>68</v>
      </c>
      <c r="I6" t="s">
        <v>29</v>
      </c>
      <c r="J6" t="s">
        <v>69</v>
      </c>
      <c r="K6" t="s">
        <v>38</v>
      </c>
      <c r="L6" t="s">
        <v>68</v>
      </c>
      <c r="M6" t="s">
        <v>29</v>
      </c>
      <c r="N6" t="s">
        <v>79</v>
      </c>
      <c r="O6" t="s">
        <v>30</v>
      </c>
      <c r="P6" t="s">
        <v>68</v>
      </c>
      <c r="Q6" t="s">
        <v>29</v>
      </c>
      <c r="R6" t="s">
        <v>76</v>
      </c>
      <c r="S6" t="s">
        <v>38</v>
      </c>
      <c r="T6" t="s">
        <v>77</v>
      </c>
      <c r="U6" t="s">
        <v>30</v>
      </c>
      <c r="V6" t="s">
        <v>85</v>
      </c>
      <c r="W6" t="s">
        <v>38</v>
      </c>
    </row>
    <row r="7" spans="1:23" x14ac:dyDescent="0.2">
      <c r="A7">
        <v>6</v>
      </c>
      <c r="B7" t="s">
        <v>27</v>
      </c>
      <c r="C7" s="2">
        <v>45559.101784027778</v>
      </c>
      <c r="D7" t="s">
        <v>66</v>
      </c>
      <c r="E7" t="s">
        <v>86</v>
      </c>
      <c r="F7" t="s">
        <v>67</v>
      </c>
      <c r="G7" t="s">
        <v>29</v>
      </c>
      <c r="H7" t="s">
        <v>68</v>
      </c>
      <c r="I7" t="s">
        <v>29</v>
      </c>
      <c r="J7" t="s">
        <v>68</v>
      </c>
      <c r="K7" t="s">
        <v>29</v>
      </c>
      <c r="L7" t="s">
        <v>68</v>
      </c>
      <c r="M7" t="s">
        <v>29</v>
      </c>
      <c r="N7" t="s">
        <v>74</v>
      </c>
      <c r="O7" t="s">
        <v>34</v>
      </c>
      <c r="P7" t="s">
        <v>68</v>
      </c>
      <c r="Q7" t="s">
        <v>29</v>
      </c>
      <c r="R7" t="s">
        <v>76</v>
      </c>
      <c r="S7" t="s">
        <v>38</v>
      </c>
      <c r="T7" t="s">
        <v>81</v>
      </c>
      <c r="U7" t="s">
        <v>32</v>
      </c>
      <c r="V7" t="s">
        <v>82</v>
      </c>
      <c r="W7" t="s">
        <v>34</v>
      </c>
    </row>
    <row r="8" spans="1:23" x14ac:dyDescent="0.2">
      <c r="A8">
        <v>7</v>
      </c>
      <c r="B8" t="s">
        <v>27</v>
      </c>
      <c r="C8" s="2">
        <v>45559.101863518517</v>
      </c>
      <c r="D8" t="s">
        <v>66</v>
      </c>
      <c r="E8" t="s">
        <v>42</v>
      </c>
      <c r="F8" t="s">
        <v>67</v>
      </c>
      <c r="G8" t="s">
        <v>29</v>
      </c>
      <c r="H8" t="s">
        <v>79</v>
      </c>
      <c r="I8" t="s">
        <v>30</v>
      </c>
      <c r="J8" t="s">
        <v>79</v>
      </c>
      <c r="K8" t="s">
        <v>30</v>
      </c>
      <c r="L8" t="s">
        <v>79</v>
      </c>
      <c r="M8" t="s">
        <v>30</v>
      </c>
      <c r="N8" t="s">
        <v>74</v>
      </c>
      <c r="O8" t="s">
        <v>34</v>
      </c>
      <c r="P8" t="s">
        <v>74</v>
      </c>
      <c r="Q8" t="s">
        <v>34</v>
      </c>
      <c r="R8" t="s">
        <v>87</v>
      </c>
      <c r="S8" t="s">
        <v>30</v>
      </c>
      <c r="T8" t="s">
        <v>71</v>
      </c>
      <c r="U8" t="s">
        <v>34</v>
      </c>
      <c r="V8" t="s">
        <v>78</v>
      </c>
      <c r="W8" t="s">
        <v>30</v>
      </c>
    </row>
    <row r="9" spans="1:23" x14ac:dyDescent="0.2">
      <c r="A9">
        <v>8</v>
      </c>
      <c r="B9" t="s">
        <v>27</v>
      </c>
      <c r="C9" s="2">
        <v>45559.101892060193</v>
      </c>
      <c r="D9" t="s">
        <v>66</v>
      </c>
      <c r="E9" t="s">
        <v>88</v>
      </c>
      <c r="F9" t="s">
        <v>67</v>
      </c>
      <c r="G9" t="s">
        <v>29</v>
      </c>
      <c r="H9" t="s">
        <v>69</v>
      </c>
      <c r="I9" t="s">
        <v>38</v>
      </c>
      <c r="J9" t="s">
        <v>69</v>
      </c>
      <c r="K9" t="s">
        <v>38</v>
      </c>
      <c r="L9" t="s">
        <v>68</v>
      </c>
      <c r="M9" t="s">
        <v>29</v>
      </c>
      <c r="N9" t="s">
        <v>68</v>
      </c>
      <c r="O9" t="s">
        <v>29</v>
      </c>
      <c r="P9" t="s">
        <v>74</v>
      </c>
      <c r="Q9" t="s">
        <v>34</v>
      </c>
      <c r="R9" t="s">
        <v>76</v>
      </c>
      <c r="S9" t="s">
        <v>38</v>
      </c>
      <c r="T9" t="s">
        <v>77</v>
      </c>
      <c r="U9" t="s">
        <v>30</v>
      </c>
      <c r="V9" t="s">
        <v>78</v>
      </c>
      <c r="W9" t="s">
        <v>30</v>
      </c>
    </row>
    <row r="10" spans="1:23" x14ac:dyDescent="0.2">
      <c r="A10">
        <v>9</v>
      </c>
      <c r="B10" t="s">
        <v>27</v>
      </c>
      <c r="C10" s="2">
        <v>45559.102028402784</v>
      </c>
      <c r="D10" t="s">
        <v>66</v>
      </c>
      <c r="E10" t="s">
        <v>57</v>
      </c>
      <c r="F10" t="s">
        <v>67</v>
      </c>
      <c r="G10" t="s">
        <v>29</v>
      </c>
      <c r="H10" t="s">
        <v>69</v>
      </c>
      <c r="I10" t="s">
        <v>38</v>
      </c>
      <c r="J10" t="s">
        <v>68</v>
      </c>
      <c r="K10" t="s">
        <v>29</v>
      </c>
      <c r="L10" t="s">
        <v>68</v>
      </c>
      <c r="M10" t="s">
        <v>29</v>
      </c>
      <c r="N10" t="s">
        <v>74</v>
      </c>
      <c r="O10" t="s">
        <v>34</v>
      </c>
      <c r="P10" t="s">
        <v>68</v>
      </c>
      <c r="Q10" t="s">
        <v>29</v>
      </c>
      <c r="R10" t="s">
        <v>76</v>
      </c>
      <c r="S10" t="s">
        <v>38</v>
      </c>
      <c r="T10" t="s">
        <v>71</v>
      </c>
      <c r="U10" t="s">
        <v>34</v>
      </c>
      <c r="V10" t="s">
        <v>78</v>
      </c>
      <c r="W10" t="s">
        <v>30</v>
      </c>
    </row>
    <row r="11" spans="1:23" x14ac:dyDescent="0.2">
      <c r="A11">
        <v>10</v>
      </c>
      <c r="B11" t="s">
        <v>27</v>
      </c>
      <c r="C11" s="2">
        <v>45559.10227614583</v>
      </c>
      <c r="D11" t="s">
        <v>66</v>
      </c>
      <c r="E11" t="s">
        <v>89</v>
      </c>
      <c r="F11" t="s">
        <v>84</v>
      </c>
      <c r="G11" t="s">
        <v>38</v>
      </c>
      <c r="H11" t="s">
        <v>68</v>
      </c>
      <c r="I11" t="s">
        <v>29</v>
      </c>
      <c r="J11" t="s">
        <v>74</v>
      </c>
      <c r="K11" t="s">
        <v>34</v>
      </c>
      <c r="L11" t="s">
        <v>68</v>
      </c>
      <c r="M11" t="s">
        <v>29</v>
      </c>
      <c r="N11" t="s">
        <v>74</v>
      </c>
      <c r="O11" t="s">
        <v>34</v>
      </c>
      <c r="P11" t="s">
        <v>79</v>
      </c>
      <c r="Q11" t="s">
        <v>30</v>
      </c>
      <c r="R11" t="s">
        <v>76</v>
      </c>
      <c r="S11" t="s">
        <v>38</v>
      </c>
      <c r="T11" t="s">
        <v>71</v>
      </c>
      <c r="U11" t="s">
        <v>34</v>
      </c>
      <c r="V11" t="s">
        <v>78</v>
      </c>
      <c r="W11" t="s">
        <v>30</v>
      </c>
    </row>
    <row r="12" spans="1:23" x14ac:dyDescent="0.2">
      <c r="A12">
        <v>11</v>
      </c>
      <c r="B12" t="s">
        <v>27</v>
      </c>
      <c r="C12" s="2">
        <v>45559.102388437503</v>
      </c>
      <c r="D12" t="s">
        <v>66</v>
      </c>
      <c r="E12" t="s">
        <v>39</v>
      </c>
      <c r="F12" t="s">
        <v>67</v>
      </c>
      <c r="G12" t="s">
        <v>29</v>
      </c>
      <c r="H12" t="s">
        <v>68</v>
      </c>
      <c r="I12" t="s">
        <v>29</v>
      </c>
      <c r="J12" t="s">
        <v>68</v>
      </c>
      <c r="K12" t="s">
        <v>29</v>
      </c>
      <c r="L12" t="s">
        <v>68</v>
      </c>
      <c r="M12" t="s">
        <v>29</v>
      </c>
      <c r="N12" t="s">
        <v>79</v>
      </c>
      <c r="O12" t="s">
        <v>30</v>
      </c>
      <c r="P12" t="s">
        <v>79</v>
      </c>
      <c r="Q12" t="s">
        <v>30</v>
      </c>
      <c r="R12" t="s">
        <v>76</v>
      </c>
      <c r="S12" t="s">
        <v>38</v>
      </c>
      <c r="T12" t="s">
        <v>71</v>
      </c>
      <c r="U12" t="s">
        <v>34</v>
      </c>
      <c r="V12" t="s">
        <v>78</v>
      </c>
      <c r="W12" t="s">
        <v>30</v>
      </c>
    </row>
    <row r="13" spans="1:23" x14ac:dyDescent="0.2">
      <c r="A13">
        <v>12</v>
      </c>
      <c r="B13" t="s">
        <v>27</v>
      </c>
      <c r="C13" s="2">
        <v>45559.102407546292</v>
      </c>
      <c r="D13" t="s">
        <v>66</v>
      </c>
      <c r="E13" t="s">
        <v>65</v>
      </c>
      <c r="F13" t="s">
        <v>84</v>
      </c>
      <c r="G13" t="s">
        <v>38</v>
      </c>
      <c r="H13" t="s">
        <v>68</v>
      </c>
      <c r="I13" t="s">
        <v>29</v>
      </c>
      <c r="J13" t="s">
        <v>68</v>
      </c>
      <c r="K13" t="s">
        <v>29</v>
      </c>
      <c r="L13" t="s">
        <v>69</v>
      </c>
      <c r="M13" t="s">
        <v>38</v>
      </c>
      <c r="N13" t="s">
        <v>79</v>
      </c>
      <c r="O13" t="s">
        <v>30</v>
      </c>
      <c r="P13" t="s">
        <v>79</v>
      </c>
      <c r="Q13" t="s">
        <v>30</v>
      </c>
      <c r="R13" t="s">
        <v>80</v>
      </c>
      <c r="S13" t="s">
        <v>34</v>
      </c>
      <c r="T13" t="s">
        <v>71</v>
      </c>
      <c r="U13" t="s">
        <v>34</v>
      </c>
      <c r="V13" t="s">
        <v>85</v>
      </c>
      <c r="W13" t="s">
        <v>38</v>
      </c>
    </row>
    <row r="14" spans="1:23" x14ac:dyDescent="0.2">
      <c r="A14">
        <v>13</v>
      </c>
      <c r="B14" t="s">
        <v>27</v>
      </c>
      <c r="C14" s="2">
        <v>45559.102525879629</v>
      </c>
      <c r="D14" t="s">
        <v>66</v>
      </c>
      <c r="E14" t="s">
        <v>90</v>
      </c>
      <c r="F14" t="s">
        <v>91</v>
      </c>
      <c r="G14" t="s">
        <v>30</v>
      </c>
      <c r="H14" t="s">
        <v>74</v>
      </c>
      <c r="I14" t="s">
        <v>34</v>
      </c>
      <c r="J14" t="s">
        <v>74</v>
      </c>
      <c r="K14" t="s">
        <v>34</v>
      </c>
      <c r="L14" t="s">
        <v>69</v>
      </c>
      <c r="M14" t="s">
        <v>38</v>
      </c>
      <c r="N14" t="s">
        <v>74</v>
      </c>
      <c r="O14" t="s">
        <v>34</v>
      </c>
      <c r="P14" t="s">
        <v>74</v>
      </c>
      <c r="Q14" t="s">
        <v>34</v>
      </c>
      <c r="R14" t="s">
        <v>92</v>
      </c>
      <c r="S14" t="s">
        <v>32</v>
      </c>
      <c r="T14" t="s">
        <v>77</v>
      </c>
      <c r="U14" t="s">
        <v>30</v>
      </c>
      <c r="V14" t="s">
        <v>82</v>
      </c>
      <c r="W14" t="s">
        <v>34</v>
      </c>
    </row>
    <row r="15" spans="1:23" x14ac:dyDescent="0.2">
      <c r="A15">
        <v>14</v>
      </c>
      <c r="B15" t="s">
        <v>27</v>
      </c>
      <c r="C15" s="2">
        <v>45559.102546631941</v>
      </c>
      <c r="D15" t="s">
        <v>66</v>
      </c>
      <c r="E15" t="s">
        <v>53</v>
      </c>
      <c r="F15" t="s">
        <v>67</v>
      </c>
      <c r="G15" t="s">
        <v>29</v>
      </c>
      <c r="H15" t="s">
        <v>79</v>
      </c>
      <c r="I15" t="s">
        <v>30</v>
      </c>
      <c r="J15" t="s">
        <v>79</v>
      </c>
      <c r="K15" t="s">
        <v>30</v>
      </c>
      <c r="L15" t="s">
        <v>79</v>
      </c>
      <c r="M15" t="s">
        <v>30</v>
      </c>
      <c r="N15" t="s">
        <v>75</v>
      </c>
      <c r="O15" t="s">
        <v>32</v>
      </c>
      <c r="P15" t="s">
        <v>74</v>
      </c>
      <c r="Q15" t="s">
        <v>34</v>
      </c>
      <c r="R15" t="s">
        <v>87</v>
      </c>
      <c r="S15" t="s">
        <v>30</v>
      </c>
      <c r="T15" t="s">
        <v>71</v>
      </c>
      <c r="U15" t="s">
        <v>34</v>
      </c>
      <c r="V15" t="s">
        <v>82</v>
      </c>
      <c r="W15" t="s">
        <v>34</v>
      </c>
    </row>
    <row r="16" spans="1:23" x14ac:dyDescent="0.2">
      <c r="A16">
        <v>15</v>
      </c>
      <c r="B16" t="s">
        <v>27</v>
      </c>
      <c r="C16" s="2">
        <v>45559.102616782402</v>
      </c>
      <c r="D16" t="s">
        <v>66</v>
      </c>
      <c r="E16" t="s">
        <v>93</v>
      </c>
      <c r="F16" t="s">
        <v>67</v>
      </c>
      <c r="G16" t="s">
        <v>29</v>
      </c>
      <c r="H16" t="s">
        <v>68</v>
      </c>
      <c r="I16" t="s">
        <v>29</v>
      </c>
      <c r="J16" t="s">
        <v>79</v>
      </c>
      <c r="K16" t="s">
        <v>30</v>
      </c>
      <c r="L16" t="s">
        <v>68</v>
      </c>
      <c r="M16" t="s">
        <v>29</v>
      </c>
      <c r="N16" t="s">
        <v>79</v>
      </c>
      <c r="O16" t="s">
        <v>30</v>
      </c>
      <c r="P16" t="s">
        <v>79</v>
      </c>
      <c r="Q16" t="s">
        <v>30</v>
      </c>
      <c r="R16" t="s">
        <v>70</v>
      </c>
      <c r="S16" t="s">
        <v>29</v>
      </c>
      <c r="T16" t="s">
        <v>94</v>
      </c>
      <c r="U16" t="s">
        <v>38</v>
      </c>
      <c r="V16" t="s">
        <v>72</v>
      </c>
      <c r="W16" t="s">
        <v>29</v>
      </c>
    </row>
    <row r="17" spans="1:23" x14ac:dyDescent="0.2">
      <c r="A17">
        <v>16</v>
      </c>
      <c r="B17" t="s">
        <v>27</v>
      </c>
      <c r="C17" s="2">
        <v>45559.102691446758</v>
      </c>
      <c r="D17" t="s">
        <v>66</v>
      </c>
      <c r="E17" t="s">
        <v>46</v>
      </c>
      <c r="F17" t="s">
        <v>67</v>
      </c>
      <c r="G17" t="s">
        <v>29</v>
      </c>
      <c r="H17" t="s">
        <v>79</v>
      </c>
      <c r="I17" t="s">
        <v>30</v>
      </c>
      <c r="J17" t="s">
        <v>95</v>
      </c>
      <c r="K17" t="s">
        <v>35</v>
      </c>
      <c r="L17" t="s">
        <v>68</v>
      </c>
      <c r="M17" t="s">
        <v>29</v>
      </c>
      <c r="N17" t="s">
        <v>79</v>
      </c>
      <c r="O17" t="s">
        <v>30</v>
      </c>
      <c r="P17" t="s">
        <v>74</v>
      </c>
      <c r="Q17" t="s">
        <v>34</v>
      </c>
      <c r="R17" t="s">
        <v>80</v>
      </c>
      <c r="S17" t="s">
        <v>34</v>
      </c>
      <c r="T17" t="s">
        <v>81</v>
      </c>
      <c r="U17" t="s">
        <v>32</v>
      </c>
      <c r="V17" t="s">
        <v>82</v>
      </c>
      <c r="W17" t="s">
        <v>34</v>
      </c>
    </row>
    <row r="18" spans="1:23" x14ac:dyDescent="0.2">
      <c r="A18">
        <v>17</v>
      </c>
      <c r="B18" t="s">
        <v>27</v>
      </c>
      <c r="C18" s="2">
        <v>45559.102952106477</v>
      </c>
      <c r="D18" t="s">
        <v>66</v>
      </c>
      <c r="E18" t="s">
        <v>48</v>
      </c>
      <c r="F18" t="s">
        <v>91</v>
      </c>
      <c r="G18" t="s">
        <v>30</v>
      </c>
      <c r="H18" t="s">
        <v>79</v>
      </c>
      <c r="I18" t="s">
        <v>30</v>
      </c>
      <c r="J18" t="s">
        <v>74</v>
      </c>
      <c r="K18" t="s">
        <v>34</v>
      </c>
      <c r="L18" t="s">
        <v>69</v>
      </c>
      <c r="M18" t="s">
        <v>38</v>
      </c>
      <c r="N18" t="s">
        <v>75</v>
      </c>
      <c r="O18" t="s">
        <v>32</v>
      </c>
      <c r="P18" t="s">
        <v>74</v>
      </c>
      <c r="Q18" t="s">
        <v>34</v>
      </c>
      <c r="R18" t="s">
        <v>80</v>
      </c>
      <c r="S18" t="s">
        <v>34</v>
      </c>
      <c r="T18" t="s">
        <v>71</v>
      </c>
      <c r="U18" t="s">
        <v>34</v>
      </c>
      <c r="V18" t="s">
        <v>78</v>
      </c>
      <c r="W18" t="s">
        <v>30</v>
      </c>
    </row>
    <row r="19" spans="1:23" x14ac:dyDescent="0.2">
      <c r="A19">
        <v>18</v>
      </c>
      <c r="B19" t="s">
        <v>27</v>
      </c>
      <c r="C19" s="2">
        <v>45559.102962777783</v>
      </c>
      <c r="D19" t="s">
        <v>66</v>
      </c>
      <c r="E19" t="s">
        <v>56</v>
      </c>
      <c r="F19" t="s">
        <v>67</v>
      </c>
      <c r="G19" t="s">
        <v>29</v>
      </c>
      <c r="H19" t="s">
        <v>68</v>
      </c>
      <c r="I19" t="s">
        <v>29</v>
      </c>
      <c r="J19" t="s">
        <v>68</v>
      </c>
      <c r="K19" t="s">
        <v>29</v>
      </c>
      <c r="L19" t="s">
        <v>68</v>
      </c>
      <c r="M19" t="s">
        <v>29</v>
      </c>
      <c r="N19" t="s">
        <v>68</v>
      </c>
      <c r="O19" t="s">
        <v>29</v>
      </c>
      <c r="P19" t="s">
        <v>68</v>
      </c>
      <c r="Q19" t="s">
        <v>29</v>
      </c>
      <c r="R19" t="s">
        <v>80</v>
      </c>
      <c r="S19" t="s">
        <v>34</v>
      </c>
      <c r="T19" t="s">
        <v>81</v>
      </c>
      <c r="U19" t="s">
        <v>32</v>
      </c>
      <c r="V19" t="s">
        <v>78</v>
      </c>
      <c r="W19" t="s">
        <v>30</v>
      </c>
    </row>
    <row r="20" spans="1:23" x14ac:dyDescent="0.2">
      <c r="A20">
        <v>19</v>
      </c>
      <c r="B20" t="s">
        <v>27</v>
      </c>
      <c r="C20" s="2">
        <v>45559.102964641213</v>
      </c>
      <c r="D20" t="s">
        <v>66</v>
      </c>
      <c r="E20" t="s">
        <v>96</v>
      </c>
      <c r="F20" t="s">
        <v>84</v>
      </c>
      <c r="G20" t="s">
        <v>38</v>
      </c>
      <c r="H20" t="s">
        <v>74</v>
      </c>
      <c r="I20" t="s">
        <v>34</v>
      </c>
      <c r="J20" t="s">
        <v>69</v>
      </c>
      <c r="K20" t="s">
        <v>38</v>
      </c>
      <c r="L20" t="s">
        <v>69</v>
      </c>
      <c r="M20" t="s">
        <v>38</v>
      </c>
      <c r="N20" t="s">
        <v>75</v>
      </c>
      <c r="O20" t="s">
        <v>32</v>
      </c>
      <c r="P20" t="s">
        <v>68</v>
      </c>
      <c r="Q20" t="s">
        <v>29</v>
      </c>
      <c r="R20" t="s">
        <v>70</v>
      </c>
      <c r="S20" t="s">
        <v>29</v>
      </c>
      <c r="T20" t="s">
        <v>81</v>
      </c>
      <c r="U20" t="s">
        <v>32</v>
      </c>
      <c r="V20" t="s">
        <v>78</v>
      </c>
      <c r="W20" t="s">
        <v>30</v>
      </c>
    </row>
    <row r="21" spans="1:23" x14ac:dyDescent="0.2">
      <c r="A21">
        <v>20</v>
      </c>
      <c r="B21" t="s">
        <v>27</v>
      </c>
      <c r="C21" s="2">
        <v>45559.102986921287</v>
      </c>
      <c r="D21" t="s">
        <v>66</v>
      </c>
      <c r="E21" t="s">
        <v>97</v>
      </c>
      <c r="F21" t="s">
        <v>67</v>
      </c>
      <c r="G21" t="s">
        <v>29</v>
      </c>
      <c r="H21" t="s">
        <v>68</v>
      </c>
      <c r="I21" t="s">
        <v>29</v>
      </c>
      <c r="J21" t="s">
        <v>69</v>
      </c>
      <c r="K21" t="s">
        <v>38</v>
      </c>
      <c r="L21" t="s">
        <v>68</v>
      </c>
      <c r="M21" t="s">
        <v>29</v>
      </c>
      <c r="N21" t="s">
        <v>69</v>
      </c>
      <c r="O21" t="s">
        <v>38</v>
      </c>
      <c r="P21" t="s">
        <v>69</v>
      </c>
      <c r="Q21" t="s">
        <v>38</v>
      </c>
      <c r="R21" t="s">
        <v>70</v>
      </c>
      <c r="S21" t="s">
        <v>29</v>
      </c>
      <c r="T21" t="s">
        <v>94</v>
      </c>
      <c r="U21" t="s">
        <v>38</v>
      </c>
      <c r="V21" t="s">
        <v>72</v>
      </c>
      <c r="W21" t="s">
        <v>29</v>
      </c>
    </row>
    <row r="22" spans="1:23" x14ac:dyDescent="0.2">
      <c r="A22">
        <v>21</v>
      </c>
      <c r="B22" t="s">
        <v>27</v>
      </c>
      <c r="C22" s="2">
        <v>45559.103155983801</v>
      </c>
      <c r="D22" t="s">
        <v>66</v>
      </c>
      <c r="E22" t="s">
        <v>98</v>
      </c>
      <c r="F22" t="s">
        <v>84</v>
      </c>
      <c r="G22" t="s">
        <v>38</v>
      </c>
      <c r="H22" t="s">
        <v>69</v>
      </c>
      <c r="I22" t="s">
        <v>38</v>
      </c>
      <c r="J22" t="s">
        <v>95</v>
      </c>
      <c r="K22" t="s">
        <v>35</v>
      </c>
      <c r="L22" t="s">
        <v>68</v>
      </c>
      <c r="M22" t="s">
        <v>29</v>
      </c>
      <c r="N22" t="s">
        <v>75</v>
      </c>
      <c r="O22" t="s">
        <v>32</v>
      </c>
      <c r="P22" t="s">
        <v>95</v>
      </c>
      <c r="Q22" t="s">
        <v>35</v>
      </c>
      <c r="R22" t="s">
        <v>80</v>
      </c>
      <c r="S22" t="s">
        <v>34</v>
      </c>
      <c r="T22" t="s">
        <v>81</v>
      </c>
      <c r="U22" t="s">
        <v>32</v>
      </c>
      <c r="V22" t="s">
        <v>78</v>
      </c>
      <c r="W22" t="s">
        <v>30</v>
      </c>
    </row>
    <row r="23" spans="1:23" x14ac:dyDescent="0.2">
      <c r="A23">
        <v>22</v>
      </c>
      <c r="B23" t="s">
        <v>27</v>
      </c>
      <c r="C23" s="2">
        <v>45559.103181134247</v>
      </c>
      <c r="D23" t="s">
        <v>66</v>
      </c>
      <c r="E23" t="s">
        <v>64</v>
      </c>
      <c r="F23" t="s">
        <v>67</v>
      </c>
      <c r="G23" t="s">
        <v>29</v>
      </c>
      <c r="H23" t="s">
        <v>69</v>
      </c>
      <c r="I23" t="s">
        <v>38</v>
      </c>
      <c r="J23" t="s">
        <v>75</v>
      </c>
      <c r="K23" t="s">
        <v>32</v>
      </c>
      <c r="L23" t="s">
        <v>68</v>
      </c>
      <c r="M23" t="s">
        <v>29</v>
      </c>
      <c r="N23" t="s">
        <v>69</v>
      </c>
      <c r="O23" t="s">
        <v>38</v>
      </c>
      <c r="P23" t="s">
        <v>79</v>
      </c>
      <c r="Q23" t="s">
        <v>30</v>
      </c>
      <c r="R23" t="s">
        <v>76</v>
      </c>
      <c r="S23" t="s">
        <v>38</v>
      </c>
      <c r="T23" t="s">
        <v>94</v>
      </c>
      <c r="U23" t="s">
        <v>38</v>
      </c>
      <c r="V23" t="s">
        <v>72</v>
      </c>
      <c r="W23" t="s">
        <v>29</v>
      </c>
    </row>
    <row r="24" spans="1:23" x14ac:dyDescent="0.2">
      <c r="A24">
        <v>23</v>
      </c>
      <c r="B24" t="s">
        <v>27</v>
      </c>
      <c r="C24" s="2">
        <v>45559.103315150467</v>
      </c>
      <c r="D24" t="s">
        <v>66</v>
      </c>
      <c r="E24" t="s">
        <v>52</v>
      </c>
      <c r="F24" t="s">
        <v>67</v>
      </c>
      <c r="G24" t="s">
        <v>29</v>
      </c>
      <c r="H24" t="s">
        <v>68</v>
      </c>
      <c r="I24" t="s">
        <v>29</v>
      </c>
      <c r="J24" t="s">
        <v>68</v>
      </c>
      <c r="K24" t="s">
        <v>29</v>
      </c>
      <c r="L24" t="s">
        <v>68</v>
      </c>
      <c r="M24" t="s">
        <v>29</v>
      </c>
      <c r="N24" t="s">
        <v>74</v>
      </c>
      <c r="O24" t="s">
        <v>34</v>
      </c>
      <c r="P24" t="s">
        <v>74</v>
      </c>
      <c r="Q24" t="s">
        <v>34</v>
      </c>
      <c r="R24" t="s">
        <v>70</v>
      </c>
      <c r="S24" t="s">
        <v>29</v>
      </c>
      <c r="T24" t="s">
        <v>71</v>
      </c>
      <c r="U24" t="s">
        <v>34</v>
      </c>
      <c r="V24" t="s">
        <v>72</v>
      </c>
      <c r="W24" t="s">
        <v>29</v>
      </c>
    </row>
    <row r="25" spans="1:23" x14ac:dyDescent="0.2">
      <c r="A25">
        <v>24</v>
      </c>
      <c r="B25" t="s">
        <v>27</v>
      </c>
      <c r="C25" s="2">
        <v>45559.103396481492</v>
      </c>
      <c r="D25" t="s">
        <v>66</v>
      </c>
      <c r="E25" t="s">
        <v>99</v>
      </c>
      <c r="F25" t="s">
        <v>84</v>
      </c>
      <c r="G25" t="s">
        <v>38</v>
      </c>
      <c r="H25" t="s">
        <v>79</v>
      </c>
      <c r="I25" t="s">
        <v>30</v>
      </c>
      <c r="J25" t="s">
        <v>79</v>
      </c>
      <c r="K25" t="s">
        <v>30</v>
      </c>
      <c r="L25" t="s">
        <v>74</v>
      </c>
      <c r="M25" t="s">
        <v>34</v>
      </c>
      <c r="N25" t="s">
        <v>75</v>
      </c>
      <c r="O25" t="s">
        <v>32</v>
      </c>
      <c r="P25" t="s">
        <v>74</v>
      </c>
      <c r="Q25" t="s">
        <v>34</v>
      </c>
      <c r="R25" t="s">
        <v>80</v>
      </c>
      <c r="S25" t="s">
        <v>34</v>
      </c>
      <c r="T25" t="s">
        <v>81</v>
      </c>
      <c r="U25" t="s">
        <v>32</v>
      </c>
      <c r="V25" t="s">
        <v>82</v>
      </c>
      <c r="W25" t="s">
        <v>34</v>
      </c>
    </row>
    <row r="26" spans="1:23" x14ac:dyDescent="0.2">
      <c r="A26">
        <v>25</v>
      </c>
      <c r="B26" t="s">
        <v>27</v>
      </c>
      <c r="C26" s="2">
        <v>45559.103399328698</v>
      </c>
      <c r="D26" t="s">
        <v>66</v>
      </c>
      <c r="E26" t="s">
        <v>100</v>
      </c>
      <c r="F26" t="s">
        <v>67</v>
      </c>
      <c r="G26" t="s">
        <v>29</v>
      </c>
      <c r="H26" t="s">
        <v>69</v>
      </c>
      <c r="I26" t="s">
        <v>38</v>
      </c>
      <c r="J26" t="s">
        <v>69</v>
      </c>
      <c r="K26" t="s">
        <v>38</v>
      </c>
      <c r="L26" t="s">
        <v>68</v>
      </c>
      <c r="M26" t="s">
        <v>29</v>
      </c>
      <c r="N26" t="s">
        <v>79</v>
      </c>
      <c r="O26" t="s">
        <v>30</v>
      </c>
      <c r="P26" t="s">
        <v>68</v>
      </c>
      <c r="Q26" t="s">
        <v>29</v>
      </c>
      <c r="R26" t="s">
        <v>76</v>
      </c>
      <c r="S26" t="s">
        <v>38</v>
      </c>
      <c r="T26" t="s">
        <v>94</v>
      </c>
      <c r="U26" t="s">
        <v>38</v>
      </c>
      <c r="V26" t="s">
        <v>78</v>
      </c>
      <c r="W26" t="s">
        <v>30</v>
      </c>
    </row>
    <row r="27" spans="1:23" x14ac:dyDescent="0.2">
      <c r="A27">
        <v>26</v>
      </c>
      <c r="B27" t="s">
        <v>27</v>
      </c>
      <c r="C27" s="2">
        <v>45559.103431192118</v>
      </c>
      <c r="D27" t="s">
        <v>66</v>
      </c>
      <c r="E27" t="s">
        <v>101</v>
      </c>
      <c r="F27" t="s">
        <v>67</v>
      </c>
      <c r="G27" t="s">
        <v>29</v>
      </c>
      <c r="H27" t="s">
        <v>69</v>
      </c>
      <c r="I27" t="s">
        <v>38</v>
      </c>
      <c r="J27" t="s">
        <v>68</v>
      </c>
      <c r="K27" t="s">
        <v>29</v>
      </c>
      <c r="L27" t="s">
        <v>79</v>
      </c>
      <c r="M27" t="s">
        <v>30</v>
      </c>
      <c r="N27" t="s">
        <v>79</v>
      </c>
      <c r="O27" t="s">
        <v>30</v>
      </c>
      <c r="P27" t="s">
        <v>79</v>
      </c>
      <c r="Q27" t="s">
        <v>30</v>
      </c>
      <c r="R27" t="s">
        <v>80</v>
      </c>
      <c r="S27" t="s">
        <v>34</v>
      </c>
      <c r="T27" t="s">
        <v>71</v>
      </c>
      <c r="U27" t="s">
        <v>34</v>
      </c>
      <c r="V27" t="s">
        <v>85</v>
      </c>
      <c r="W27" t="s">
        <v>38</v>
      </c>
    </row>
    <row r="28" spans="1:23" x14ac:dyDescent="0.2">
      <c r="A28">
        <v>27</v>
      </c>
      <c r="B28" t="s">
        <v>27</v>
      </c>
      <c r="C28" s="2">
        <v>45559.103761990737</v>
      </c>
      <c r="D28" t="s">
        <v>66</v>
      </c>
      <c r="E28" t="s">
        <v>100</v>
      </c>
      <c r="F28" t="s">
        <v>67</v>
      </c>
      <c r="G28" t="s">
        <v>29</v>
      </c>
      <c r="H28" t="s">
        <v>68</v>
      </c>
      <c r="I28" t="s">
        <v>29</v>
      </c>
      <c r="J28" t="s">
        <v>69</v>
      </c>
      <c r="K28" t="s">
        <v>38</v>
      </c>
      <c r="L28" t="s">
        <v>68</v>
      </c>
      <c r="M28" t="s">
        <v>29</v>
      </c>
      <c r="N28" t="s">
        <v>69</v>
      </c>
      <c r="O28" t="s">
        <v>38</v>
      </c>
      <c r="P28" t="s">
        <v>69</v>
      </c>
      <c r="Q28" t="s">
        <v>38</v>
      </c>
      <c r="R28" t="s">
        <v>76</v>
      </c>
      <c r="S28" t="s">
        <v>38</v>
      </c>
      <c r="T28" t="s">
        <v>94</v>
      </c>
      <c r="U28" t="s">
        <v>38</v>
      </c>
      <c r="V28" t="s">
        <v>85</v>
      </c>
      <c r="W28" t="s">
        <v>38</v>
      </c>
    </row>
    <row r="29" spans="1:23" x14ac:dyDescent="0.2">
      <c r="A29">
        <v>28</v>
      </c>
      <c r="B29" t="s">
        <v>27</v>
      </c>
      <c r="C29" s="2">
        <v>45559.103805127314</v>
      </c>
      <c r="D29" t="s">
        <v>66</v>
      </c>
      <c r="E29" t="s">
        <v>61</v>
      </c>
      <c r="F29" t="s">
        <v>67</v>
      </c>
      <c r="G29" t="s">
        <v>29</v>
      </c>
      <c r="H29" t="s">
        <v>69</v>
      </c>
      <c r="I29" t="s">
        <v>38</v>
      </c>
      <c r="J29" t="s">
        <v>69</v>
      </c>
      <c r="K29" t="s">
        <v>38</v>
      </c>
      <c r="L29" t="s">
        <v>68</v>
      </c>
      <c r="M29" t="s">
        <v>29</v>
      </c>
      <c r="N29" t="s">
        <v>69</v>
      </c>
      <c r="O29" t="s">
        <v>38</v>
      </c>
      <c r="P29" t="s">
        <v>69</v>
      </c>
      <c r="Q29" t="s">
        <v>38</v>
      </c>
      <c r="R29" t="s">
        <v>70</v>
      </c>
      <c r="S29" t="s">
        <v>29</v>
      </c>
      <c r="T29" t="s">
        <v>94</v>
      </c>
      <c r="U29" t="s">
        <v>38</v>
      </c>
      <c r="V29" t="s">
        <v>72</v>
      </c>
      <c r="W29" t="s">
        <v>29</v>
      </c>
    </row>
    <row r="30" spans="1:23" x14ac:dyDescent="0.2">
      <c r="A30">
        <v>29</v>
      </c>
      <c r="B30" t="s">
        <v>27</v>
      </c>
      <c r="C30" s="2">
        <v>45559.10386974537</v>
      </c>
      <c r="D30" t="s">
        <v>66</v>
      </c>
      <c r="E30" t="s">
        <v>60</v>
      </c>
      <c r="F30" t="s">
        <v>102</v>
      </c>
      <c r="G30" t="s">
        <v>32</v>
      </c>
      <c r="H30" t="s">
        <v>68</v>
      </c>
      <c r="I30" t="s">
        <v>29</v>
      </c>
      <c r="J30" t="s">
        <v>74</v>
      </c>
      <c r="K30" t="s">
        <v>34</v>
      </c>
      <c r="L30" t="s">
        <v>79</v>
      </c>
      <c r="M30" t="s">
        <v>30</v>
      </c>
      <c r="N30" t="s">
        <v>75</v>
      </c>
      <c r="O30" t="s">
        <v>32</v>
      </c>
      <c r="P30" t="s">
        <v>74</v>
      </c>
      <c r="Q30" t="s">
        <v>34</v>
      </c>
      <c r="R30" t="s">
        <v>76</v>
      </c>
      <c r="S30" t="s">
        <v>38</v>
      </c>
      <c r="T30" t="s">
        <v>77</v>
      </c>
      <c r="U30" t="s">
        <v>30</v>
      </c>
      <c r="V30" t="s">
        <v>82</v>
      </c>
      <c r="W30" t="s">
        <v>34</v>
      </c>
    </row>
    <row r="31" spans="1:23" x14ac:dyDescent="0.2">
      <c r="A31">
        <v>30</v>
      </c>
      <c r="B31" t="s">
        <v>27</v>
      </c>
      <c r="C31" s="2">
        <v>45559.103981064807</v>
      </c>
      <c r="D31" t="s">
        <v>66</v>
      </c>
      <c r="E31" t="s">
        <v>28</v>
      </c>
      <c r="F31" t="s">
        <v>67</v>
      </c>
      <c r="G31" t="s">
        <v>29</v>
      </c>
      <c r="H31" t="s">
        <v>79</v>
      </c>
      <c r="I31" t="s">
        <v>30</v>
      </c>
      <c r="J31" t="s">
        <v>68</v>
      </c>
      <c r="K31" t="s">
        <v>29</v>
      </c>
      <c r="L31" t="s">
        <v>68</v>
      </c>
      <c r="M31" t="s">
        <v>29</v>
      </c>
      <c r="N31" t="s">
        <v>74</v>
      </c>
      <c r="O31" t="s">
        <v>34</v>
      </c>
      <c r="P31" t="s">
        <v>74</v>
      </c>
      <c r="Q31" t="s">
        <v>34</v>
      </c>
      <c r="R31" t="s">
        <v>80</v>
      </c>
      <c r="S31" t="s">
        <v>34</v>
      </c>
      <c r="T31" t="s">
        <v>81</v>
      </c>
      <c r="U31" t="s">
        <v>32</v>
      </c>
      <c r="V31" t="s">
        <v>78</v>
      </c>
      <c r="W31" t="s">
        <v>30</v>
      </c>
    </row>
    <row r="32" spans="1:23" x14ac:dyDescent="0.2">
      <c r="A32">
        <v>31</v>
      </c>
      <c r="B32" t="s">
        <v>27</v>
      </c>
      <c r="C32" s="2">
        <v>45559.104280706008</v>
      </c>
      <c r="D32" t="s">
        <v>66</v>
      </c>
      <c r="E32" t="s">
        <v>43</v>
      </c>
      <c r="F32" t="s">
        <v>91</v>
      </c>
      <c r="G32" t="s">
        <v>30</v>
      </c>
      <c r="H32" t="s">
        <v>79</v>
      </c>
      <c r="I32" t="s">
        <v>30</v>
      </c>
      <c r="J32" t="s">
        <v>75</v>
      </c>
      <c r="K32" t="s">
        <v>32</v>
      </c>
      <c r="L32" t="s">
        <v>69</v>
      </c>
      <c r="M32" t="s">
        <v>38</v>
      </c>
      <c r="N32" t="s">
        <v>79</v>
      </c>
      <c r="O32" t="s">
        <v>30</v>
      </c>
      <c r="P32" t="s">
        <v>74</v>
      </c>
      <c r="Q32" t="s">
        <v>34</v>
      </c>
      <c r="R32" t="s">
        <v>76</v>
      </c>
      <c r="S32" t="s">
        <v>38</v>
      </c>
      <c r="T32" t="s">
        <v>103</v>
      </c>
      <c r="U32" t="s">
        <v>29</v>
      </c>
      <c r="V32" t="s">
        <v>72</v>
      </c>
      <c r="W32" t="s">
        <v>29</v>
      </c>
    </row>
    <row r="33" spans="1:23" x14ac:dyDescent="0.2">
      <c r="A33">
        <v>32</v>
      </c>
      <c r="B33" t="s">
        <v>27</v>
      </c>
      <c r="C33" s="2">
        <v>45559.104399317133</v>
      </c>
      <c r="D33" t="s">
        <v>66</v>
      </c>
      <c r="E33" t="s">
        <v>55</v>
      </c>
      <c r="F33" t="s">
        <v>91</v>
      </c>
      <c r="G33" t="s">
        <v>30</v>
      </c>
      <c r="H33" t="s">
        <v>74</v>
      </c>
      <c r="I33" t="s">
        <v>34</v>
      </c>
      <c r="J33" t="s">
        <v>75</v>
      </c>
      <c r="K33" t="s">
        <v>32</v>
      </c>
      <c r="L33" t="s">
        <v>74</v>
      </c>
      <c r="M33" t="s">
        <v>34</v>
      </c>
      <c r="N33" t="s">
        <v>95</v>
      </c>
      <c r="O33" t="s">
        <v>35</v>
      </c>
      <c r="P33" t="s">
        <v>95</v>
      </c>
      <c r="Q33" t="s">
        <v>35</v>
      </c>
      <c r="R33" t="s">
        <v>80</v>
      </c>
      <c r="S33" t="s">
        <v>34</v>
      </c>
      <c r="T33" t="s">
        <v>71</v>
      </c>
      <c r="U33" t="s">
        <v>34</v>
      </c>
      <c r="V33" t="s">
        <v>78</v>
      </c>
      <c r="W33" t="s">
        <v>30</v>
      </c>
    </row>
    <row r="34" spans="1:23" x14ac:dyDescent="0.2">
      <c r="A34">
        <v>33</v>
      </c>
      <c r="B34" t="s">
        <v>27</v>
      </c>
      <c r="C34" s="2">
        <v>45559.104447187499</v>
      </c>
      <c r="D34" t="s">
        <v>66</v>
      </c>
      <c r="E34" t="s">
        <v>63</v>
      </c>
      <c r="F34" t="s">
        <v>67</v>
      </c>
      <c r="G34" t="s">
        <v>29</v>
      </c>
      <c r="H34" t="s">
        <v>68</v>
      </c>
      <c r="I34" t="s">
        <v>29</v>
      </c>
      <c r="J34" t="s">
        <v>68</v>
      </c>
      <c r="K34" t="s">
        <v>29</v>
      </c>
      <c r="L34" t="s">
        <v>68</v>
      </c>
      <c r="M34" t="s">
        <v>29</v>
      </c>
      <c r="N34" t="s">
        <v>69</v>
      </c>
      <c r="O34" t="s">
        <v>38</v>
      </c>
      <c r="P34" t="s">
        <v>68</v>
      </c>
      <c r="Q34" t="s">
        <v>29</v>
      </c>
      <c r="R34" t="s">
        <v>80</v>
      </c>
      <c r="S34" t="s">
        <v>34</v>
      </c>
      <c r="T34" t="s">
        <v>71</v>
      </c>
      <c r="U34" t="s">
        <v>34</v>
      </c>
      <c r="V34" t="s">
        <v>85</v>
      </c>
      <c r="W34" t="s">
        <v>38</v>
      </c>
    </row>
    <row r="35" spans="1:23" x14ac:dyDescent="0.2">
      <c r="A35">
        <v>34</v>
      </c>
      <c r="B35" t="s">
        <v>27</v>
      </c>
      <c r="C35" s="2">
        <v>45559.104549270844</v>
      </c>
      <c r="D35" t="s">
        <v>66</v>
      </c>
      <c r="E35" t="s">
        <v>104</v>
      </c>
      <c r="F35" t="s">
        <v>84</v>
      </c>
      <c r="G35" t="s">
        <v>38</v>
      </c>
      <c r="H35" t="s">
        <v>68</v>
      </c>
      <c r="I35" t="s">
        <v>29</v>
      </c>
      <c r="J35" t="s">
        <v>68</v>
      </c>
      <c r="K35" t="s">
        <v>29</v>
      </c>
      <c r="L35" t="s">
        <v>68</v>
      </c>
      <c r="M35" t="s">
        <v>29</v>
      </c>
      <c r="N35" t="s">
        <v>69</v>
      </c>
      <c r="O35" t="s">
        <v>38</v>
      </c>
      <c r="P35" t="s">
        <v>68</v>
      </c>
      <c r="Q35" t="s">
        <v>29</v>
      </c>
      <c r="R35" t="s">
        <v>76</v>
      </c>
      <c r="S35" t="s">
        <v>38</v>
      </c>
      <c r="T35" t="s">
        <v>77</v>
      </c>
      <c r="U35" t="s">
        <v>30</v>
      </c>
      <c r="V35" t="s">
        <v>85</v>
      </c>
      <c r="W35" t="s">
        <v>38</v>
      </c>
    </row>
    <row r="36" spans="1:23" x14ac:dyDescent="0.2">
      <c r="A36">
        <v>35</v>
      </c>
      <c r="B36" t="s">
        <v>27</v>
      </c>
      <c r="C36" s="2">
        <v>45559.104556076389</v>
      </c>
      <c r="D36" t="s">
        <v>66</v>
      </c>
      <c r="E36" t="s">
        <v>62</v>
      </c>
      <c r="F36" t="s">
        <v>67</v>
      </c>
      <c r="G36" t="s">
        <v>29</v>
      </c>
      <c r="H36" t="s">
        <v>68</v>
      </c>
      <c r="I36" t="s">
        <v>29</v>
      </c>
      <c r="J36" t="s">
        <v>68</v>
      </c>
      <c r="K36" t="s">
        <v>29</v>
      </c>
      <c r="L36" t="s">
        <v>68</v>
      </c>
      <c r="M36" t="s">
        <v>29</v>
      </c>
      <c r="N36" t="s">
        <v>79</v>
      </c>
      <c r="O36" t="s">
        <v>30</v>
      </c>
      <c r="P36" t="s">
        <v>79</v>
      </c>
      <c r="Q36" t="s">
        <v>30</v>
      </c>
      <c r="R36" t="s">
        <v>87</v>
      </c>
      <c r="S36" t="s">
        <v>30</v>
      </c>
      <c r="T36" t="s">
        <v>71</v>
      </c>
      <c r="U36" t="s">
        <v>34</v>
      </c>
      <c r="V36" t="s">
        <v>78</v>
      </c>
      <c r="W36" t="s">
        <v>30</v>
      </c>
    </row>
    <row r="37" spans="1:23" x14ac:dyDescent="0.2">
      <c r="A37">
        <v>36</v>
      </c>
      <c r="B37" t="s">
        <v>27</v>
      </c>
      <c r="C37" s="2">
        <v>45559.104617511577</v>
      </c>
      <c r="D37" t="s">
        <v>66</v>
      </c>
      <c r="E37" t="s">
        <v>54</v>
      </c>
      <c r="F37" t="s">
        <v>84</v>
      </c>
      <c r="G37" t="s">
        <v>38</v>
      </c>
      <c r="H37" t="s">
        <v>68</v>
      </c>
      <c r="I37" t="s">
        <v>29</v>
      </c>
      <c r="J37" t="s">
        <v>68</v>
      </c>
      <c r="K37" t="s">
        <v>29</v>
      </c>
      <c r="L37" t="s">
        <v>68</v>
      </c>
      <c r="M37" t="s">
        <v>29</v>
      </c>
      <c r="N37" t="s">
        <v>69</v>
      </c>
      <c r="O37" t="s">
        <v>38</v>
      </c>
      <c r="P37" t="s">
        <v>69</v>
      </c>
      <c r="Q37" t="s">
        <v>38</v>
      </c>
      <c r="R37" t="s">
        <v>76</v>
      </c>
      <c r="S37" t="s">
        <v>38</v>
      </c>
      <c r="T37" t="s">
        <v>77</v>
      </c>
      <c r="U37" t="s">
        <v>30</v>
      </c>
      <c r="V37" t="s">
        <v>82</v>
      </c>
      <c r="W37" t="s">
        <v>34</v>
      </c>
    </row>
    <row r="38" spans="1:23" x14ac:dyDescent="0.2">
      <c r="A38">
        <v>37</v>
      </c>
      <c r="B38" t="s">
        <v>27</v>
      </c>
      <c r="C38" s="2">
        <v>45559.104656076393</v>
      </c>
      <c r="D38" t="s">
        <v>66</v>
      </c>
      <c r="E38" t="s">
        <v>105</v>
      </c>
      <c r="F38" t="s">
        <v>106</v>
      </c>
      <c r="G38" t="s">
        <v>34</v>
      </c>
      <c r="H38" t="s">
        <v>69</v>
      </c>
      <c r="I38" t="s">
        <v>38</v>
      </c>
      <c r="J38" t="s">
        <v>69</v>
      </c>
      <c r="K38" t="s">
        <v>38</v>
      </c>
      <c r="L38" t="s">
        <v>68</v>
      </c>
      <c r="M38" t="s">
        <v>29</v>
      </c>
      <c r="N38" t="s">
        <v>79</v>
      </c>
      <c r="O38" t="s">
        <v>30</v>
      </c>
      <c r="P38" t="s">
        <v>79</v>
      </c>
      <c r="Q38" t="s">
        <v>30</v>
      </c>
      <c r="R38" t="s">
        <v>87</v>
      </c>
      <c r="S38" t="s">
        <v>30</v>
      </c>
      <c r="T38" t="s">
        <v>77</v>
      </c>
      <c r="U38" t="s">
        <v>30</v>
      </c>
      <c r="V38" t="s">
        <v>85</v>
      </c>
      <c r="W38" t="s">
        <v>38</v>
      </c>
    </row>
    <row r="39" spans="1:23" x14ac:dyDescent="0.2">
      <c r="A39">
        <v>38</v>
      </c>
      <c r="B39" t="s">
        <v>27</v>
      </c>
      <c r="C39" s="2">
        <v>45559.104981076387</v>
      </c>
      <c r="D39" t="s">
        <v>66</v>
      </c>
      <c r="E39" t="s">
        <v>107</v>
      </c>
      <c r="F39" t="s">
        <v>91</v>
      </c>
      <c r="G39" t="s">
        <v>30</v>
      </c>
      <c r="H39" t="s">
        <v>69</v>
      </c>
      <c r="I39" t="s">
        <v>38</v>
      </c>
      <c r="J39" t="s">
        <v>68</v>
      </c>
      <c r="K39" t="s">
        <v>29</v>
      </c>
      <c r="L39" t="s">
        <v>69</v>
      </c>
      <c r="M39" t="s">
        <v>38</v>
      </c>
      <c r="N39" t="s">
        <v>69</v>
      </c>
      <c r="O39" t="s">
        <v>38</v>
      </c>
      <c r="P39" t="s">
        <v>69</v>
      </c>
      <c r="Q39" t="s">
        <v>38</v>
      </c>
      <c r="R39" t="s">
        <v>80</v>
      </c>
      <c r="S39" t="s">
        <v>34</v>
      </c>
      <c r="T39" t="s">
        <v>81</v>
      </c>
      <c r="U39" t="s">
        <v>32</v>
      </c>
      <c r="V39" t="s">
        <v>78</v>
      </c>
      <c r="W39" t="s">
        <v>30</v>
      </c>
    </row>
    <row r="40" spans="1:23" x14ac:dyDescent="0.2">
      <c r="A40">
        <v>39</v>
      </c>
      <c r="B40" t="s">
        <v>27</v>
      </c>
      <c r="C40" s="2">
        <v>45559.105632939812</v>
      </c>
      <c r="D40" t="s">
        <v>66</v>
      </c>
      <c r="E40" t="s">
        <v>108</v>
      </c>
      <c r="F40" t="s">
        <v>91</v>
      </c>
      <c r="G40" t="s">
        <v>30</v>
      </c>
      <c r="H40" t="s">
        <v>68</v>
      </c>
      <c r="I40" t="s">
        <v>29</v>
      </c>
      <c r="J40" t="s">
        <v>69</v>
      </c>
      <c r="K40" t="s">
        <v>38</v>
      </c>
      <c r="L40" t="s">
        <v>68</v>
      </c>
      <c r="M40" t="s">
        <v>29</v>
      </c>
      <c r="N40" t="s">
        <v>69</v>
      </c>
      <c r="O40" t="s">
        <v>38</v>
      </c>
      <c r="P40" t="s">
        <v>68</v>
      </c>
      <c r="Q40" t="s">
        <v>29</v>
      </c>
      <c r="R40" t="s">
        <v>80</v>
      </c>
      <c r="S40" t="s">
        <v>34</v>
      </c>
      <c r="T40" t="s">
        <v>94</v>
      </c>
      <c r="U40" t="s">
        <v>38</v>
      </c>
      <c r="V40" t="s">
        <v>78</v>
      </c>
      <c r="W40" t="s">
        <v>30</v>
      </c>
    </row>
    <row r="41" spans="1:23" x14ac:dyDescent="0.2">
      <c r="A41">
        <v>40</v>
      </c>
      <c r="B41" t="s">
        <v>27</v>
      </c>
      <c r="C41" s="2">
        <v>45559.262222233803</v>
      </c>
      <c r="D41" t="s">
        <v>66</v>
      </c>
      <c r="E41" t="s">
        <v>109</v>
      </c>
      <c r="F41" t="s">
        <v>84</v>
      </c>
      <c r="G41" t="s">
        <v>38</v>
      </c>
      <c r="H41" t="s">
        <v>68</v>
      </c>
      <c r="I41" t="s">
        <v>29</v>
      </c>
      <c r="J41" t="s">
        <v>69</v>
      </c>
      <c r="K41" t="s">
        <v>38</v>
      </c>
      <c r="L41" t="s">
        <v>79</v>
      </c>
      <c r="M41" t="s">
        <v>30</v>
      </c>
      <c r="N41" t="s">
        <v>74</v>
      </c>
      <c r="O41" t="s">
        <v>34</v>
      </c>
      <c r="P41" t="s">
        <v>74</v>
      </c>
      <c r="Q41" t="s">
        <v>34</v>
      </c>
      <c r="R41" t="s">
        <v>76</v>
      </c>
      <c r="S41" t="s">
        <v>38</v>
      </c>
      <c r="T41" t="s">
        <v>71</v>
      </c>
      <c r="U41" t="s">
        <v>34</v>
      </c>
      <c r="V41" t="s">
        <v>78</v>
      </c>
      <c r="W41" t="s">
        <v>30</v>
      </c>
    </row>
    <row r="42" spans="1:23" x14ac:dyDescent="0.2">
      <c r="A42">
        <v>41</v>
      </c>
      <c r="B42" t="s">
        <v>27</v>
      </c>
      <c r="C42" s="2">
        <v>45559.262562673612</v>
      </c>
      <c r="D42" t="s">
        <v>66</v>
      </c>
      <c r="E42" t="s">
        <v>110</v>
      </c>
      <c r="F42" t="s">
        <v>67</v>
      </c>
      <c r="G42" t="s">
        <v>29</v>
      </c>
      <c r="H42" t="s">
        <v>69</v>
      </c>
      <c r="I42" t="s">
        <v>38</v>
      </c>
      <c r="J42" t="s">
        <v>74</v>
      </c>
      <c r="K42" t="s">
        <v>34</v>
      </c>
      <c r="L42" t="s">
        <v>68</v>
      </c>
      <c r="M42" t="s">
        <v>29</v>
      </c>
      <c r="N42" t="s">
        <v>74</v>
      </c>
      <c r="O42" t="s">
        <v>34</v>
      </c>
      <c r="P42" t="s">
        <v>74</v>
      </c>
      <c r="Q42" t="s">
        <v>34</v>
      </c>
      <c r="R42" t="s">
        <v>87</v>
      </c>
      <c r="S42" t="s">
        <v>30</v>
      </c>
      <c r="T42" t="s">
        <v>77</v>
      </c>
      <c r="U42" t="s">
        <v>30</v>
      </c>
      <c r="V42" t="s">
        <v>78</v>
      </c>
      <c r="W42" t="s">
        <v>30</v>
      </c>
    </row>
    <row r="43" spans="1:23" x14ac:dyDescent="0.2">
      <c r="A43">
        <v>42</v>
      </c>
      <c r="B43" t="s">
        <v>27</v>
      </c>
      <c r="C43" s="2">
        <v>45559.262575729168</v>
      </c>
      <c r="D43" t="s">
        <v>66</v>
      </c>
      <c r="E43" t="s">
        <v>111</v>
      </c>
      <c r="F43" t="s">
        <v>67</v>
      </c>
      <c r="G43" t="s">
        <v>29</v>
      </c>
      <c r="H43" t="s">
        <v>68</v>
      </c>
      <c r="I43" t="s">
        <v>29</v>
      </c>
      <c r="J43" t="s">
        <v>68</v>
      </c>
      <c r="K43" t="s">
        <v>29</v>
      </c>
      <c r="L43" t="s">
        <v>68</v>
      </c>
      <c r="M43" t="s">
        <v>29</v>
      </c>
      <c r="N43" t="s">
        <v>68</v>
      </c>
      <c r="O43" t="s">
        <v>29</v>
      </c>
      <c r="P43" t="s">
        <v>68</v>
      </c>
      <c r="Q43" t="s">
        <v>29</v>
      </c>
      <c r="R43" t="s">
        <v>76</v>
      </c>
      <c r="S43" t="s">
        <v>38</v>
      </c>
      <c r="T43" t="s">
        <v>71</v>
      </c>
      <c r="U43" t="s">
        <v>34</v>
      </c>
      <c r="V43" t="s">
        <v>78</v>
      </c>
      <c r="W43" t="s">
        <v>30</v>
      </c>
    </row>
    <row r="44" spans="1:23" x14ac:dyDescent="0.2">
      <c r="A44">
        <v>43</v>
      </c>
      <c r="B44" t="s">
        <v>27</v>
      </c>
      <c r="C44" s="2">
        <v>45559.262660474538</v>
      </c>
      <c r="D44" t="s">
        <v>66</v>
      </c>
      <c r="E44" t="s">
        <v>112</v>
      </c>
      <c r="F44" t="s">
        <v>67</v>
      </c>
      <c r="G44" t="s">
        <v>29</v>
      </c>
      <c r="H44" t="s">
        <v>69</v>
      </c>
      <c r="I44" t="s">
        <v>38</v>
      </c>
      <c r="J44" t="s">
        <v>69</v>
      </c>
      <c r="K44" t="s">
        <v>38</v>
      </c>
      <c r="L44" t="s">
        <v>69</v>
      </c>
      <c r="M44" t="s">
        <v>38</v>
      </c>
      <c r="N44" t="s">
        <v>74</v>
      </c>
      <c r="O44" t="s">
        <v>34</v>
      </c>
      <c r="P44" t="s">
        <v>74</v>
      </c>
      <c r="Q44" t="s">
        <v>34</v>
      </c>
      <c r="R44" t="s">
        <v>76</v>
      </c>
      <c r="S44" t="s">
        <v>38</v>
      </c>
      <c r="T44" t="s">
        <v>94</v>
      </c>
      <c r="U44" t="s">
        <v>38</v>
      </c>
      <c r="V44" t="s">
        <v>78</v>
      </c>
      <c r="W44" t="s">
        <v>30</v>
      </c>
    </row>
    <row r="45" spans="1:23" x14ac:dyDescent="0.2">
      <c r="A45">
        <v>44</v>
      </c>
      <c r="B45" t="s">
        <v>27</v>
      </c>
      <c r="C45" s="2">
        <v>45559.262819004631</v>
      </c>
      <c r="D45" t="s">
        <v>66</v>
      </c>
      <c r="E45" t="s">
        <v>113</v>
      </c>
      <c r="F45" t="s">
        <v>67</v>
      </c>
      <c r="G45" t="s">
        <v>29</v>
      </c>
      <c r="H45" t="s">
        <v>68</v>
      </c>
      <c r="I45" t="s">
        <v>29</v>
      </c>
      <c r="J45" t="s">
        <v>68</v>
      </c>
      <c r="K45" t="s">
        <v>29</v>
      </c>
      <c r="L45" t="s">
        <v>68</v>
      </c>
      <c r="M45" t="s">
        <v>29</v>
      </c>
      <c r="N45" t="s">
        <v>74</v>
      </c>
      <c r="O45" t="s">
        <v>34</v>
      </c>
      <c r="P45" t="s">
        <v>74</v>
      </c>
      <c r="Q45" t="s">
        <v>34</v>
      </c>
      <c r="R45" t="s">
        <v>76</v>
      </c>
      <c r="S45" t="s">
        <v>38</v>
      </c>
      <c r="T45" t="s">
        <v>71</v>
      </c>
      <c r="U45" t="s">
        <v>34</v>
      </c>
      <c r="V45" t="s">
        <v>114</v>
      </c>
      <c r="W45" t="s">
        <v>32</v>
      </c>
    </row>
    <row r="46" spans="1:23" x14ac:dyDescent="0.2">
      <c r="A46">
        <v>45</v>
      </c>
      <c r="B46" t="s">
        <v>27</v>
      </c>
      <c r="C46" s="2">
        <v>45559.26293809028</v>
      </c>
      <c r="D46" t="s">
        <v>66</v>
      </c>
      <c r="E46" t="s">
        <v>115</v>
      </c>
      <c r="F46" t="s">
        <v>67</v>
      </c>
      <c r="G46" t="s">
        <v>29</v>
      </c>
      <c r="H46" t="s">
        <v>68</v>
      </c>
      <c r="I46" t="s">
        <v>29</v>
      </c>
      <c r="J46" t="s">
        <v>95</v>
      </c>
      <c r="K46" t="s">
        <v>35</v>
      </c>
      <c r="L46" t="s">
        <v>79</v>
      </c>
      <c r="M46" t="s">
        <v>30</v>
      </c>
      <c r="N46" t="s">
        <v>74</v>
      </c>
      <c r="O46" t="s">
        <v>34</v>
      </c>
      <c r="P46" t="s">
        <v>69</v>
      </c>
      <c r="Q46" t="s">
        <v>38</v>
      </c>
      <c r="R46" t="s">
        <v>76</v>
      </c>
      <c r="S46" t="s">
        <v>38</v>
      </c>
      <c r="T46" t="s">
        <v>71</v>
      </c>
      <c r="U46" t="s">
        <v>34</v>
      </c>
      <c r="V46" t="s">
        <v>78</v>
      </c>
      <c r="W46" t="s">
        <v>30</v>
      </c>
    </row>
    <row r="47" spans="1:23" x14ac:dyDescent="0.2">
      <c r="A47">
        <v>46</v>
      </c>
      <c r="B47" t="s">
        <v>27</v>
      </c>
      <c r="C47" s="2">
        <v>45559.262968923613</v>
      </c>
      <c r="D47" t="s">
        <v>66</v>
      </c>
      <c r="E47" t="s">
        <v>116</v>
      </c>
      <c r="F47" t="s">
        <v>67</v>
      </c>
      <c r="G47" t="s">
        <v>29</v>
      </c>
      <c r="H47" t="s">
        <v>79</v>
      </c>
      <c r="I47" t="s">
        <v>30</v>
      </c>
      <c r="J47" t="s">
        <v>68</v>
      </c>
      <c r="K47" t="s">
        <v>29</v>
      </c>
      <c r="L47" t="s">
        <v>68</v>
      </c>
      <c r="M47" t="s">
        <v>29</v>
      </c>
      <c r="N47" t="s">
        <v>79</v>
      </c>
      <c r="O47" t="s">
        <v>30</v>
      </c>
      <c r="P47" t="s">
        <v>79</v>
      </c>
      <c r="Q47" t="s">
        <v>30</v>
      </c>
      <c r="R47" t="s">
        <v>87</v>
      </c>
      <c r="S47" t="s">
        <v>30</v>
      </c>
      <c r="T47" t="s">
        <v>77</v>
      </c>
      <c r="U47" t="s">
        <v>30</v>
      </c>
      <c r="V47" t="s">
        <v>72</v>
      </c>
      <c r="W47" t="s">
        <v>29</v>
      </c>
    </row>
    <row r="48" spans="1:23" x14ac:dyDescent="0.2">
      <c r="A48">
        <v>47</v>
      </c>
      <c r="B48" t="s">
        <v>27</v>
      </c>
      <c r="C48" s="2">
        <v>45559.263040081023</v>
      </c>
      <c r="D48" t="s">
        <v>66</v>
      </c>
      <c r="E48" t="s">
        <v>117</v>
      </c>
      <c r="F48" t="s">
        <v>67</v>
      </c>
      <c r="G48" t="s">
        <v>29</v>
      </c>
      <c r="H48" t="s">
        <v>68</v>
      </c>
      <c r="I48" t="s">
        <v>29</v>
      </c>
      <c r="J48" t="s">
        <v>79</v>
      </c>
      <c r="K48" t="s">
        <v>30</v>
      </c>
      <c r="L48" t="s">
        <v>69</v>
      </c>
      <c r="M48" t="s">
        <v>38</v>
      </c>
      <c r="N48" t="s">
        <v>79</v>
      </c>
      <c r="O48" t="s">
        <v>30</v>
      </c>
      <c r="P48" t="s">
        <v>69</v>
      </c>
      <c r="Q48" t="s">
        <v>38</v>
      </c>
      <c r="R48" t="s">
        <v>87</v>
      </c>
      <c r="S48" t="s">
        <v>30</v>
      </c>
      <c r="T48" t="s">
        <v>77</v>
      </c>
      <c r="U48" t="s">
        <v>30</v>
      </c>
      <c r="V48" t="s">
        <v>78</v>
      </c>
      <c r="W48" t="s">
        <v>30</v>
      </c>
    </row>
    <row r="49" spans="1:23" x14ac:dyDescent="0.2">
      <c r="A49">
        <v>48</v>
      </c>
      <c r="B49" t="s">
        <v>27</v>
      </c>
      <c r="C49" s="2">
        <v>45559.263060324069</v>
      </c>
      <c r="D49" t="s">
        <v>66</v>
      </c>
      <c r="E49" t="s">
        <v>118</v>
      </c>
      <c r="F49" t="s">
        <v>67</v>
      </c>
      <c r="G49" t="s">
        <v>29</v>
      </c>
      <c r="H49" t="s">
        <v>68</v>
      </c>
      <c r="I49" t="s">
        <v>29</v>
      </c>
      <c r="J49" t="s">
        <v>75</v>
      </c>
      <c r="K49" t="s">
        <v>32</v>
      </c>
      <c r="L49" t="s">
        <v>74</v>
      </c>
      <c r="M49" t="s">
        <v>34</v>
      </c>
      <c r="N49" t="s">
        <v>74</v>
      </c>
      <c r="O49" t="s">
        <v>34</v>
      </c>
      <c r="P49" t="s">
        <v>74</v>
      </c>
      <c r="Q49" t="s">
        <v>34</v>
      </c>
      <c r="R49" t="s">
        <v>87</v>
      </c>
      <c r="S49" t="s">
        <v>30</v>
      </c>
      <c r="T49" t="s">
        <v>71</v>
      </c>
      <c r="U49" t="s">
        <v>34</v>
      </c>
      <c r="V49" t="s">
        <v>78</v>
      </c>
      <c r="W49" t="s">
        <v>30</v>
      </c>
    </row>
    <row r="50" spans="1:23" x14ac:dyDescent="0.2">
      <c r="A50">
        <v>49</v>
      </c>
      <c r="B50" t="s">
        <v>27</v>
      </c>
      <c r="C50" s="2">
        <v>45559.263198020839</v>
      </c>
      <c r="D50" t="s">
        <v>66</v>
      </c>
      <c r="E50" t="s">
        <v>119</v>
      </c>
      <c r="F50" t="s">
        <v>67</v>
      </c>
      <c r="G50" t="s">
        <v>29</v>
      </c>
      <c r="H50" t="s">
        <v>68</v>
      </c>
      <c r="I50" t="s">
        <v>29</v>
      </c>
      <c r="J50" t="s">
        <v>69</v>
      </c>
      <c r="K50" t="s">
        <v>38</v>
      </c>
      <c r="L50" t="s">
        <v>68</v>
      </c>
      <c r="M50" t="s">
        <v>29</v>
      </c>
      <c r="N50" t="s">
        <v>69</v>
      </c>
      <c r="O50" t="s">
        <v>38</v>
      </c>
      <c r="P50" t="s">
        <v>69</v>
      </c>
      <c r="Q50" t="s">
        <v>38</v>
      </c>
      <c r="R50" t="s">
        <v>76</v>
      </c>
      <c r="S50" t="s">
        <v>38</v>
      </c>
      <c r="T50" t="s">
        <v>77</v>
      </c>
      <c r="U50" t="s">
        <v>30</v>
      </c>
      <c r="V50" t="s">
        <v>72</v>
      </c>
      <c r="W50" t="s">
        <v>29</v>
      </c>
    </row>
    <row r="51" spans="1:23" x14ac:dyDescent="0.2">
      <c r="A51">
        <v>50</v>
      </c>
      <c r="B51" t="s">
        <v>27</v>
      </c>
      <c r="C51" s="2">
        <v>45559.263217025473</v>
      </c>
      <c r="D51" t="s">
        <v>66</v>
      </c>
      <c r="E51" t="s">
        <v>120</v>
      </c>
      <c r="F51" t="s">
        <v>91</v>
      </c>
      <c r="G51" t="s">
        <v>30</v>
      </c>
      <c r="H51" t="s">
        <v>69</v>
      </c>
      <c r="I51" t="s">
        <v>38</v>
      </c>
      <c r="J51" t="s">
        <v>68</v>
      </c>
      <c r="K51" t="s">
        <v>29</v>
      </c>
      <c r="L51" t="s">
        <v>68</v>
      </c>
      <c r="M51" t="s">
        <v>29</v>
      </c>
      <c r="N51" t="s">
        <v>69</v>
      </c>
      <c r="O51" t="s">
        <v>38</v>
      </c>
      <c r="P51" t="s">
        <v>69</v>
      </c>
      <c r="Q51" t="s">
        <v>38</v>
      </c>
      <c r="R51" t="s">
        <v>70</v>
      </c>
      <c r="S51" t="s">
        <v>29</v>
      </c>
      <c r="T51" t="s">
        <v>94</v>
      </c>
      <c r="U51" t="s">
        <v>38</v>
      </c>
      <c r="V51" t="s">
        <v>72</v>
      </c>
      <c r="W51" t="s">
        <v>29</v>
      </c>
    </row>
    <row r="52" spans="1:23" x14ac:dyDescent="0.2">
      <c r="A52">
        <v>51</v>
      </c>
      <c r="B52" t="s">
        <v>27</v>
      </c>
      <c r="C52" s="2">
        <v>45559.263252407407</v>
      </c>
      <c r="D52" t="s">
        <v>66</v>
      </c>
      <c r="E52" t="s">
        <v>121</v>
      </c>
      <c r="F52" t="s">
        <v>67</v>
      </c>
      <c r="G52" t="s">
        <v>29</v>
      </c>
      <c r="H52" t="s">
        <v>68</v>
      </c>
      <c r="I52" t="s">
        <v>29</v>
      </c>
      <c r="J52" t="s">
        <v>74</v>
      </c>
      <c r="K52" t="s">
        <v>34</v>
      </c>
      <c r="L52" t="s">
        <v>69</v>
      </c>
      <c r="M52" t="s">
        <v>38</v>
      </c>
      <c r="N52" t="s">
        <v>74</v>
      </c>
      <c r="O52" t="s">
        <v>34</v>
      </c>
      <c r="P52" t="s">
        <v>69</v>
      </c>
      <c r="Q52" t="s">
        <v>38</v>
      </c>
      <c r="R52" t="s">
        <v>87</v>
      </c>
      <c r="S52" t="s">
        <v>30</v>
      </c>
      <c r="T52" t="s">
        <v>71</v>
      </c>
      <c r="U52" t="s">
        <v>34</v>
      </c>
      <c r="V52" t="s">
        <v>82</v>
      </c>
      <c r="W52" t="s">
        <v>34</v>
      </c>
    </row>
    <row r="53" spans="1:23" x14ac:dyDescent="0.2">
      <c r="A53">
        <v>52</v>
      </c>
      <c r="B53" t="s">
        <v>27</v>
      </c>
      <c r="C53" s="2">
        <v>45559.263591099538</v>
      </c>
      <c r="D53" t="s">
        <v>66</v>
      </c>
      <c r="E53" t="s">
        <v>122</v>
      </c>
      <c r="F53" t="s">
        <v>84</v>
      </c>
      <c r="G53" t="s">
        <v>38</v>
      </c>
      <c r="H53" t="s">
        <v>68</v>
      </c>
      <c r="I53" t="s">
        <v>29</v>
      </c>
      <c r="J53" t="s">
        <v>68</v>
      </c>
      <c r="K53" t="s">
        <v>29</v>
      </c>
      <c r="L53" t="s">
        <v>68</v>
      </c>
      <c r="M53" t="s">
        <v>29</v>
      </c>
      <c r="N53" t="s">
        <v>79</v>
      </c>
      <c r="O53" t="s">
        <v>30</v>
      </c>
      <c r="P53" t="s">
        <v>69</v>
      </c>
      <c r="Q53" t="s">
        <v>38</v>
      </c>
      <c r="R53" t="s">
        <v>80</v>
      </c>
      <c r="S53" t="s">
        <v>34</v>
      </c>
      <c r="T53" t="s">
        <v>71</v>
      </c>
      <c r="U53" t="s">
        <v>34</v>
      </c>
      <c r="V53" t="s">
        <v>78</v>
      </c>
      <c r="W53" t="s">
        <v>30</v>
      </c>
    </row>
    <row r="54" spans="1:23" x14ac:dyDescent="0.2">
      <c r="A54">
        <v>53</v>
      </c>
      <c r="B54" t="s">
        <v>27</v>
      </c>
      <c r="C54" s="2">
        <v>45559.263599745369</v>
      </c>
      <c r="D54" t="s">
        <v>66</v>
      </c>
      <c r="E54" t="s">
        <v>123</v>
      </c>
      <c r="F54" t="s">
        <v>67</v>
      </c>
      <c r="G54" t="s">
        <v>29</v>
      </c>
      <c r="H54" t="s">
        <v>74</v>
      </c>
      <c r="I54" t="s">
        <v>34</v>
      </c>
      <c r="J54" t="s">
        <v>68</v>
      </c>
      <c r="K54" t="s">
        <v>29</v>
      </c>
      <c r="L54" t="s">
        <v>75</v>
      </c>
      <c r="M54" t="s">
        <v>32</v>
      </c>
      <c r="N54" t="s">
        <v>75</v>
      </c>
      <c r="O54" t="s">
        <v>32</v>
      </c>
      <c r="P54" t="s">
        <v>75</v>
      </c>
      <c r="Q54" t="s">
        <v>32</v>
      </c>
      <c r="R54" t="s">
        <v>70</v>
      </c>
      <c r="S54" t="s">
        <v>29</v>
      </c>
      <c r="T54" t="s">
        <v>77</v>
      </c>
      <c r="U54" t="s">
        <v>30</v>
      </c>
      <c r="V54" t="s">
        <v>85</v>
      </c>
      <c r="W54" t="s">
        <v>38</v>
      </c>
    </row>
    <row r="55" spans="1:23" x14ac:dyDescent="0.2">
      <c r="A55">
        <v>54</v>
      </c>
      <c r="B55" t="s">
        <v>27</v>
      </c>
      <c r="C55" s="2">
        <v>45559.263764976851</v>
      </c>
      <c r="D55" t="s">
        <v>66</v>
      </c>
      <c r="E55" t="s">
        <v>124</v>
      </c>
      <c r="F55" t="s">
        <v>67</v>
      </c>
      <c r="G55" t="s">
        <v>29</v>
      </c>
      <c r="H55" t="s">
        <v>68</v>
      </c>
      <c r="I55" t="s">
        <v>29</v>
      </c>
      <c r="J55" t="s">
        <v>68</v>
      </c>
      <c r="K55" t="s">
        <v>29</v>
      </c>
      <c r="L55" t="s">
        <v>68</v>
      </c>
      <c r="M55" t="s">
        <v>29</v>
      </c>
      <c r="N55" t="s">
        <v>68</v>
      </c>
      <c r="O55" t="s">
        <v>29</v>
      </c>
      <c r="P55" t="s">
        <v>68</v>
      </c>
      <c r="Q55" t="s">
        <v>29</v>
      </c>
      <c r="R55" t="s">
        <v>70</v>
      </c>
      <c r="S55" t="s">
        <v>29</v>
      </c>
      <c r="T55" t="s">
        <v>71</v>
      </c>
      <c r="U55" t="s">
        <v>34</v>
      </c>
      <c r="V55" t="s">
        <v>72</v>
      </c>
      <c r="W55" t="s">
        <v>29</v>
      </c>
    </row>
    <row r="56" spans="1:23" x14ac:dyDescent="0.2">
      <c r="A56">
        <v>55</v>
      </c>
      <c r="B56" t="s">
        <v>27</v>
      </c>
      <c r="C56" s="2">
        <v>45559.263848460643</v>
      </c>
      <c r="D56" t="s">
        <v>66</v>
      </c>
      <c r="E56" t="s">
        <v>125</v>
      </c>
      <c r="F56" t="s">
        <v>67</v>
      </c>
      <c r="G56" t="s">
        <v>29</v>
      </c>
      <c r="H56" t="s">
        <v>79</v>
      </c>
      <c r="I56" t="s">
        <v>30</v>
      </c>
      <c r="J56" t="s">
        <v>79</v>
      </c>
      <c r="K56" t="s">
        <v>30</v>
      </c>
      <c r="L56" t="s">
        <v>79</v>
      </c>
      <c r="M56" t="s">
        <v>30</v>
      </c>
      <c r="N56" t="s">
        <v>79</v>
      </c>
      <c r="O56" t="s">
        <v>30</v>
      </c>
      <c r="P56" t="s">
        <v>79</v>
      </c>
      <c r="Q56" t="s">
        <v>30</v>
      </c>
      <c r="R56" t="s">
        <v>76</v>
      </c>
      <c r="S56" t="s">
        <v>38</v>
      </c>
      <c r="T56" t="s">
        <v>94</v>
      </c>
      <c r="U56" t="s">
        <v>38</v>
      </c>
      <c r="V56" t="s">
        <v>72</v>
      </c>
      <c r="W56" t="s">
        <v>29</v>
      </c>
    </row>
    <row r="57" spans="1:23" x14ac:dyDescent="0.2">
      <c r="A57">
        <v>56</v>
      </c>
      <c r="B57" t="s">
        <v>27</v>
      </c>
      <c r="C57" s="2">
        <v>45559.263863738423</v>
      </c>
      <c r="D57" t="s">
        <v>66</v>
      </c>
      <c r="E57" t="s">
        <v>126</v>
      </c>
      <c r="F57" t="s">
        <v>91</v>
      </c>
      <c r="G57" t="s">
        <v>30</v>
      </c>
      <c r="H57" t="s">
        <v>79</v>
      </c>
      <c r="I57" t="s">
        <v>30</v>
      </c>
      <c r="J57" t="s">
        <v>79</v>
      </c>
      <c r="K57" t="s">
        <v>30</v>
      </c>
      <c r="L57" t="s">
        <v>79</v>
      </c>
      <c r="M57" t="s">
        <v>30</v>
      </c>
      <c r="N57" t="s">
        <v>79</v>
      </c>
      <c r="O57" t="s">
        <v>30</v>
      </c>
      <c r="P57" t="s">
        <v>79</v>
      </c>
      <c r="Q57" t="s">
        <v>30</v>
      </c>
      <c r="R57" t="s">
        <v>80</v>
      </c>
      <c r="S57" t="s">
        <v>34</v>
      </c>
      <c r="T57" t="s">
        <v>71</v>
      </c>
      <c r="U57" t="s">
        <v>34</v>
      </c>
      <c r="V57" t="s">
        <v>78</v>
      </c>
      <c r="W57" t="s">
        <v>30</v>
      </c>
    </row>
    <row r="58" spans="1:23" x14ac:dyDescent="0.2">
      <c r="A58">
        <v>57</v>
      </c>
      <c r="B58" t="s">
        <v>27</v>
      </c>
      <c r="C58" s="2">
        <v>45559.263874525474</v>
      </c>
      <c r="D58" t="s">
        <v>66</v>
      </c>
      <c r="E58" t="s">
        <v>127</v>
      </c>
      <c r="F58" t="s">
        <v>67</v>
      </c>
      <c r="G58" t="s">
        <v>29</v>
      </c>
      <c r="H58" t="s">
        <v>68</v>
      </c>
      <c r="I58" t="s">
        <v>29</v>
      </c>
      <c r="J58" t="s">
        <v>79</v>
      </c>
      <c r="K58" t="s">
        <v>30</v>
      </c>
      <c r="L58" t="s">
        <v>69</v>
      </c>
      <c r="M58" t="s">
        <v>38</v>
      </c>
      <c r="N58" t="s">
        <v>79</v>
      </c>
      <c r="O58" t="s">
        <v>30</v>
      </c>
      <c r="P58" t="s">
        <v>69</v>
      </c>
      <c r="Q58" t="s">
        <v>38</v>
      </c>
      <c r="R58" t="s">
        <v>87</v>
      </c>
      <c r="S58" t="s">
        <v>30</v>
      </c>
      <c r="T58" t="s">
        <v>81</v>
      </c>
      <c r="U58" t="s">
        <v>32</v>
      </c>
      <c r="V58" t="s">
        <v>82</v>
      </c>
      <c r="W58" t="s">
        <v>34</v>
      </c>
    </row>
    <row r="59" spans="1:23" x14ac:dyDescent="0.2">
      <c r="A59">
        <v>58</v>
      </c>
      <c r="B59" t="s">
        <v>27</v>
      </c>
      <c r="C59" s="2">
        <v>45559.263907349537</v>
      </c>
      <c r="D59" t="s">
        <v>66</v>
      </c>
      <c r="E59" t="s">
        <v>128</v>
      </c>
      <c r="F59" t="s">
        <v>84</v>
      </c>
      <c r="G59" t="s">
        <v>38</v>
      </c>
      <c r="H59" t="s">
        <v>68</v>
      </c>
      <c r="I59" t="s">
        <v>29</v>
      </c>
      <c r="J59" t="s">
        <v>79</v>
      </c>
      <c r="K59" t="s">
        <v>30</v>
      </c>
      <c r="L59" t="s">
        <v>69</v>
      </c>
      <c r="M59" t="s">
        <v>38</v>
      </c>
      <c r="N59" t="s">
        <v>74</v>
      </c>
      <c r="O59" t="s">
        <v>34</v>
      </c>
      <c r="P59" t="s">
        <v>74</v>
      </c>
      <c r="Q59" t="s">
        <v>34</v>
      </c>
      <c r="R59" t="s">
        <v>87</v>
      </c>
      <c r="S59" t="s">
        <v>30</v>
      </c>
      <c r="T59" t="s">
        <v>71</v>
      </c>
      <c r="U59" t="s">
        <v>34</v>
      </c>
      <c r="V59" t="s">
        <v>78</v>
      </c>
      <c r="W59" t="s">
        <v>30</v>
      </c>
    </row>
    <row r="60" spans="1:23" x14ac:dyDescent="0.2">
      <c r="A60">
        <v>59</v>
      </c>
      <c r="B60" t="s">
        <v>27</v>
      </c>
      <c r="C60" s="2">
        <v>45559.263949687513</v>
      </c>
      <c r="D60" t="s">
        <v>66</v>
      </c>
      <c r="E60" t="s">
        <v>129</v>
      </c>
      <c r="F60" t="s">
        <v>67</v>
      </c>
      <c r="G60" t="s">
        <v>29</v>
      </c>
      <c r="H60" t="s">
        <v>69</v>
      </c>
      <c r="I60" t="s">
        <v>38</v>
      </c>
      <c r="J60" t="s">
        <v>69</v>
      </c>
      <c r="K60" t="s">
        <v>38</v>
      </c>
      <c r="L60" t="s">
        <v>69</v>
      </c>
      <c r="M60" t="s">
        <v>38</v>
      </c>
      <c r="N60" t="s">
        <v>74</v>
      </c>
      <c r="O60" t="s">
        <v>34</v>
      </c>
      <c r="P60" t="s">
        <v>74</v>
      </c>
      <c r="Q60" t="s">
        <v>34</v>
      </c>
      <c r="R60" t="s">
        <v>76</v>
      </c>
      <c r="S60" t="s">
        <v>38</v>
      </c>
      <c r="T60" t="s">
        <v>77</v>
      </c>
      <c r="U60" t="s">
        <v>30</v>
      </c>
      <c r="V60" t="s">
        <v>78</v>
      </c>
      <c r="W60" t="s">
        <v>30</v>
      </c>
    </row>
    <row r="61" spans="1:23" x14ac:dyDescent="0.2">
      <c r="A61">
        <v>60</v>
      </c>
      <c r="B61" t="s">
        <v>27</v>
      </c>
      <c r="C61" s="2">
        <v>45559.263955312497</v>
      </c>
      <c r="D61" t="s">
        <v>66</v>
      </c>
      <c r="E61" t="s">
        <v>130</v>
      </c>
      <c r="F61" t="s">
        <v>67</v>
      </c>
      <c r="G61" t="s">
        <v>29</v>
      </c>
      <c r="H61" t="s">
        <v>69</v>
      </c>
      <c r="I61" t="s">
        <v>38</v>
      </c>
      <c r="J61" t="s">
        <v>68</v>
      </c>
      <c r="K61" t="s">
        <v>29</v>
      </c>
      <c r="L61" t="s">
        <v>68</v>
      </c>
      <c r="M61" t="s">
        <v>29</v>
      </c>
      <c r="N61" t="s">
        <v>69</v>
      </c>
      <c r="O61" t="s">
        <v>38</v>
      </c>
      <c r="P61" t="s">
        <v>68</v>
      </c>
      <c r="Q61" t="s">
        <v>29</v>
      </c>
      <c r="R61" t="s">
        <v>70</v>
      </c>
      <c r="S61" t="s">
        <v>29</v>
      </c>
      <c r="T61" t="s">
        <v>94</v>
      </c>
      <c r="U61" t="s">
        <v>38</v>
      </c>
      <c r="V61" t="s">
        <v>72</v>
      </c>
      <c r="W61" t="s">
        <v>29</v>
      </c>
    </row>
    <row r="62" spans="1:23" x14ac:dyDescent="0.2">
      <c r="A62">
        <v>61</v>
      </c>
      <c r="B62" t="s">
        <v>27</v>
      </c>
      <c r="C62" s="2">
        <v>45559.264018888891</v>
      </c>
      <c r="D62" t="s">
        <v>66</v>
      </c>
      <c r="E62" t="s">
        <v>131</v>
      </c>
      <c r="F62" t="s">
        <v>67</v>
      </c>
      <c r="G62" t="s">
        <v>29</v>
      </c>
      <c r="H62" t="s">
        <v>79</v>
      </c>
      <c r="I62" t="s">
        <v>30</v>
      </c>
      <c r="J62" t="s">
        <v>74</v>
      </c>
      <c r="K62" t="s">
        <v>34</v>
      </c>
      <c r="L62" t="s">
        <v>68</v>
      </c>
      <c r="M62" t="s">
        <v>29</v>
      </c>
      <c r="N62" t="s">
        <v>74</v>
      </c>
      <c r="O62" t="s">
        <v>34</v>
      </c>
      <c r="P62" t="s">
        <v>69</v>
      </c>
      <c r="Q62" t="s">
        <v>38</v>
      </c>
      <c r="R62" t="s">
        <v>70</v>
      </c>
      <c r="S62" t="s">
        <v>29</v>
      </c>
      <c r="T62" t="s">
        <v>71</v>
      </c>
      <c r="U62" t="s">
        <v>34</v>
      </c>
      <c r="V62" t="s">
        <v>82</v>
      </c>
      <c r="W62" t="s">
        <v>34</v>
      </c>
    </row>
    <row r="63" spans="1:23" x14ac:dyDescent="0.2">
      <c r="A63">
        <v>62</v>
      </c>
      <c r="B63" t="s">
        <v>27</v>
      </c>
      <c r="C63" s="2">
        <v>45559.264042870367</v>
      </c>
      <c r="D63" t="s">
        <v>66</v>
      </c>
      <c r="E63" t="s">
        <v>132</v>
      </c>
      <c r="F63" t="s">
        <v>67</v>
      </c>
      <c r="G63" t="s">
        <v>29</v>
      </c>
      <c r="H63" t="s">
        <v>69</v>
      </c>
      <c r="I63" t="s">
        <v>38</v>
      </c>
      <c r="J63" t="s">
        <v>79</v>
      </c>
      <c r="K63" t="s">
        <v>30</v>
      </c>
      <c r="L63" t="s">
        <v>68</v>
      </c>
      <c r="M63" t="s">
        <v>29</v>
      </c>
      <c r="N63" t="s">
        <v>74</v>
      </c>
      <c r="O63" t="s">
        <v>34</v>
      </c>
      <c r="P63" t="s">
        <v>68</v>
      </c>
      <c r="Q63" t="s">
        <v>29</v>
      </c>
      <c r="R63" t="s">
        <v>87</v>
      </c>
      <c r="S63" t="s">
        <v>30</v>
      </c>
      <c r="T63" t="s">
        <v>71</v>
      </c>
      <c r="U63" t="s">
        <v>34</v>
      </c>
      <c r="V63" t="s">
        <v>78</v>
      </c>
      <c r="W63" t="s">
        <v>30</v>
      </c>
    </row>
    <row r="64" spans="1:23" x14ac:dyDescent="0.2">
      <c r="A64">
        <v>63</v>
      </c>
      <c r="B64" t="s">
        <v>27</v>
      </c>
      <c r="C64" s="2">
        <v>45559.264051053236</v>
      </c>
      <c r="D64" t="s">
        <v>66</v>
      </c>
      <c r="E64" t="s">
        <v>133</v>
      </c>
      <c r="F64" t="s">
        <v>84</v>
      </c>
      <c r="G64" t="s">
        <v>38</v>
      </c>
      <c r="H64" t="s">
        <v>68</v>
      </c>
      <c r="I64" t="s">
        <v>29</v>
      </c>
      <c r="J64" t="s">
        <v>68</v>
      </c>
      <c r="K64" t="s">
        <v>29</v>
      </c>
      <c r="L64" t="s">
        <v>68</v>
      </c>
      <c r="M64" t="s">
        <v>29</v>
      </c>
      <c r="N64" t="s">
        <v>68</v>
      </c>
      <c r="O64" t="s">
        <v>29</v>
      </c>
      <c r="P64" t="s">
        <v>68</v>
      </c>
      <c r="Q64" t="s">
        <v>29</v>
      </c>
      <c r="R64" t="s">
        <v>87</v>
      </c>
      <c r="S64" t="s">
        <v>30</v>
      </c>
      <c r="T64" t="s">
        <v>94</v>
      </c>
      <c r="U64" t="s">
        <v>38</v>
      </c>
      <c r="V64" t="s">
        <v>78</v>
      </c>
      <c r="W64" t="s">
        <v>30</v>
      </c>
    </row>
    <row r="65" spans="1:23" x14ac:dyDescent="0.2">
      <c r="A65">
        <v>64</v>
      </c>
      <c r="B65" t="s">
        <v>27</v>
      </c>
      <c r="C65" s="2">
        <v>45559.264087407413</v>
      </c>
      <c r="D65" t="s">
        <v>66</v>
      </c>
      <c r="E65" t="s">
        <v>134</v>
      </c>
      <c r="F65" t="s">
        <v>67</v>
      </c>
      <c r="G65" t="s">
        <v>29</v>
      </c>
      <c r="H65" t="s">
        <v>69</v>
      </c>
      <c r="I65" t="s">
        <v>38</v>
      </c>
      <c r="J65" t="s">
        <v>69</v>
      </c>
      <c r="K65" t="s">
        <v>38</v>
      </c>
      <c r="L65" t="s">
        <v>68</v>
      </c>
      <c r="M65" t="s">
        <v>29</v>
      </c>
      <c r="N65" t="s">
        <v>79</v>
      </c>
      <c r="O65" t="s">
        <v>30</v>
      </c>
      <c r="P65" t="s">
        <v>79</v>
      </c>
      <c r="Q65" t="s">
        <v>30</v>
      </c>
      <c r="R65" t="s">
        <v>76</v>
      </c>
      <c r="S65" t="s">
        <v>38</v>
      </c>
      <c r="T65" t="s">
        <v>71</v>
      </c>
      <c r="U65" t="s">
        <v>34</v>
      </c>
      <c r="V65" t="s">
        <v>85</v>
      </c>
      <c r="W65" t="s">
        <v>38</v>
      </c>
    </row>
    <row r="66" spans="1:23" x14ac:dyDescent="0.2">
      <c r="A66">
        <v>65</v>
      </c>
      <c r="B66" t="s">
        <v>27</v>
      </c>
      <c r="C66" s="2">
        <v>45559.264102546287</v>
      </c>
      <c r="D66" t="s">
        <v>66</v>
      </c>
      <c r="E66" t="s">
        <v>135</v>
      </c>
      <c r="F66" t="s">
        <v>67</v>
      </c>
      <c r="G66" t="s">
        <v>29</v>
      </c>
      <c r="H66" t="s">
        <v>68</v>
      </c>
      <c r="I66" t="s">
        <v>29</v>
      </c>
      <c r="J66" t="s">
        <v>69</v>
      </c>
      <c r="K66" t="s">
        <v>38</v>
      </c>
      <c r="L66" t="s">
        <v>68</v>
      </c>
      <c r="M66" t="s">
        <v>29</v>
      </c>
      <c r="N66" t="s">
        <v>79</v>
      </c>
      <c r="O66" t="s">
        <v>30</v>
      </c>
      <c r="P66" t="s">
        <v>79</v>
      </c>
      <c r="Q66" t="s">
        <v>30</v>
      </c>
      <c r="R66" t="s">
        <v>76</v>
      </c>
      <c r="S66" t="s">
        <v>38</v>
      </c>
      <c r="T66" t="s">
        <v>77</v>
      </c>
      <c r="U66" t="s">
        <v>30</v>
      </c>
      <c r="V66" t="s">
        <v>114</v>
      </c>
      <c r="W66" t="s">
        <v>32</v>
      </c>
    </row>
    <row r="67" spans="1:23" x14ac:dyDescent="0.2">
      <c r="A67">
        <v>66</v>
      </c>
      <c r="B67" t="s">
        <v>27</v>
      </c>
      <c r="C67" s="2">
        <v>45559.264277187503</v>
      </c>
      <c r="D67" t="s">
        <v>66</v>
      </c>
      <c r="E67" t="s">
        <v>136</v>
      </c>
      <c r="F67" t="s">
        <v>84</v>
      </c>
      <c r="G67" t="s">
        <v>38</v>
      </c>
      <c r="H67" t="s">
        <v>68</v>
      </c>
      <c r="I67" t="s">
        <v>29</v>
      </c>
      <c r="J67" t="s">
        <v>68</v>
      </c>
      <c r="K67" t="s">
        <v>29</v>
      </c>
      <c r="L67" t="s">
        <v>68</v>
      </c>
      <c r="M67" t="s">
        <v>29</v>
      </c>
      <c r="N67" t="s">
        <v>79</v>
      </c>
      <c r="O67" t="s">
        <v>30</v>
      </c>
      <c r="P67" t="s">
        <v>68</v>
      </c>
      <c r="Q67" t="s">
        <v>29</v>
      </c>
      <c r="R67" t="s">
        <v>87</v>
      </c>
      <c r="S67" t="s">
        <v>30</v>
      </c>
      <c r="T67" t="s">
        <v>71</v>
      </c>
      <c r="U67" t="s">
        <v>34</v>
      </c>
      <c r="V67" t="s">
        <v>78</v>
      </c>
      <c r="W67" t="s">
        <v>30</v>
      </c>
    </row>
    <row r="68" spans="1:23" x14ac:dyDescent="0.2">
      <c r="A68">
        <v>67</v>
      </c>
      <c r="B68" t="s">
        <v>27</v>
      </c>
      <c r="C68" s="2">
        <v>45559.264449467591</v>
      </c>
      <c r="D68" t="s">
        <v>66</v>
      </c>
      <c r="E68" t="s">
        <v>137</v>
      </c>
      <c r="F68" t="s">
        <v>67</v>
      </c>
      <c r="G68" t="s">
        <v>29</v>
      </c>
      <c r="H68" t="s">
        <v>69</v>
      </c>
      <c r="I68" t="s">
        <v>38</v>
      </c>
      <c r="J68" t="s">
        <v>69</v>
      </c>
      <c r="K68" t="s">
        <v>38</v>
      </c>
      <c r="L68" t="s">
        <v>68</v>
      </c>
      <c r="M68" t="s">
        <v>29</v>
      </c>
      <c r="N68" t="s">
        <v>74</v>
      </c>
      <c r="O68" t="s">
        <v>34</v>
      </c>
      <c r="P68" t="s">
        <v>74</v>
      </c>
      <c r="Q68" t="s">
        <v>34</v>
      </c>
      <c r="R68" t="s">
        <v>80</v>
      </c>
      <c r="S68" t="s">
        <v>34</v>
      </c>
      <c r="T68" t="s">
        <v>77</v>
      </c>
      <c r="U68" t="s">
        <v>30</v>
      </c>
      <c r="V68" t="s">
        <v>72</v>
      </c>
      <c r="W68" t="s">
        <v>29</v>
      </c>
    </row>
    <row r="69" spans="1:23" x14ac:dyDescent="0.2">
      <c r="A69">
        <v>68</v>
      </c>
      <c r="B69" t="s">
        <v>27</v>
      </c>
      <c r="C69" s="2">
        <v>45559.264489201392</v>
      </c>
      <c r="D69" t="s">
        <v>66</v>
      </c>
      <c r="E69" t="s">
        <v>138</v>
      </c>
      <c r="F69" t="s">
        <v>91</v>
      </c>
      <c r="G69" t="s">
        <v>30</v>
      </c>
      <c r="H69" t="s">
        <v>79</v>
      </c>
      <c r="I69" t="s">
        <v>30</v>
      </c>
      <c r="J69" t="s">
        <v>69</v>
      </c>
      <c r="K69" t="s">
        <v>38</v>
      </c>
      <c r="L69" t="s">
        <v>69</v>
      </c>
      <c r="M69" t="s">
        <v>38</v>
      </c>
      <c r="N69" t="s">
        <v>79</v>
      </c>
      <c r="O69" t="s">
        <v>30</v>
      </c>
      <c r="P69" t="s">
        <v>79</v>
      </c>
      <c r="Q69" t="s">
        <v>30</v>
      </c>
      <c r="R69" t="s">
        <v>80</v>
      </c>
      <c r="S69" t="s">
        <v>34</v>
      </c>
      <c r="T69" t="s">
        <v>71</v>
      </c>
      <c r="U69" t="s">
        <v>34</v>
      </c>
      <c r="V69" t="s">
        <v>78</v>
      </c>
      <c r="W69" t="s">
        <v>30</v>
      </c>
    </row>
    <row r="70" spans="1:23" x14ac:dyDescent="0.2">
      <c r="A70">
        <v>69</v>
      </c>
      <c r="B70" t="s">
        <v>27</v>
      </c>
      <c r="C70" s="2">
        <v>45559.264613611107</v>
      </c>
      <c r="D70" t="s">
        <v>66</v>
      </c>
      <c r="E70" t="s">
        <v>139</v>
      </c>
      <c r="F70" t="s">
        <v>67</v>
      </c>
      <c r="G70" t="s">
        <v>29</v>
      </c>
      <c r="H70" t="s">
        <v>69</v>
      </c>
      <c r="I70" t="s">
        <v>38</v>
      </c>
      <c r="J70" t="s">
        <v>79</v>
      </c>
      <c r="K70" t="s">
        <v>30</v>
      </c>
      <c r="L70" t="s">
        <v>74</v>
      </c>
      <c r="M70" t="s">
        <v>34</v>
      </c>
      <c r="N70" t="s">
        <v>74</v>
      </c>
      <c r="O70" t="s">
        <v>34</v>
      </c>
      <c r="P70" t="s">
        <v>74</v>
      </c>
      <c r="Q70" t="s">
        <v>34</v>
      </c>
      <c r="R70" t="s">
        <v>92</v>
      </c>
      <c r="S70" t="s">
        <v>32</v>
      </c>
      <c r="T70" t="s">
        <v>81</v>
      </c>
      <c r="U70" t="s">
        <v>32</v>
      </c>
      <c r="V70" t="s">
        <v>82</v>
      </c>
      <c r="W70" t="s">
        <v>34</v>
      </c>
    </row>
    <row r="71" spans="1:23" x14ac:dyDescent="0.2">
      <c r="A71">
        <v>70</v>
      </c>
      <c r="B71" t="s">
        <v>27</v>
      </c>
      <c r="C71" s="2">
        <v>45559.264650833327</v>
      </c>
      <c r="D71" t="s">
        <v>66</v>
      </c>
      <c r="E71" t="s">
        <v>140</v>
      </c>
      <c r="F71" t="s">
        <v>67</v>
      </c>
      <c r="G71" t="s">
        <v>29</v>
      </c>
      <c r="H71" t="s">
        <v>69</v>
      </c>
      <c r="I71" t="s">
        <v>38</v>
      </c>
      <c r="J71" t="s">
        <v>69</v>
      </c>
      <c r="K71" t="s">
        <v>38</v>
      </c>
      <c r="L71" t="s">
        <v>68</v>
      </c>
      <c r="M71" t="s">
        <v>29</v>
      </c>
      <c r="N71" t="s">
        <v>69</v>
      </c>
      <c r="O71" t="s">
        <v>38</v>
      </c>
      <c r="P71" t="s">
        <v>79</v>
      </c>
      <c r="Q71" t="s">
        <v>30</v>
      </c>
      <c r="R71" t="s">
        <v>76</v>
      </c>
      <c r="S71" t="s">
        <v>38</v>
      </c>
      <c r="T71" t="s">
        <v>94</v>
      </c>
      <c r="U71" t="s">
        <v>38</v>
      </c>
      <c r="V71" t="s">
        <v>78</v>
      </c>
      <c r="W71" t="s">
        <v>30</v>
      </c>
    </row>
    <row r="72" spans="1:23" x14ac:dyDescent="0.2">
      <c r="A72">
        <v>71</v>
      </c>
      <c r="B72" t="s">
        <v>27</v>
      </c>
      <c r="C72" s="2">
        <v>45559.264693518518</v>
      </c>
      <c r="D72" t="s">
        <v>66</v>
      </c>
      <c r="E72" t="s">
        <v>141</v>
      </c>
      <c r="F72" t="s">
        <v>67</v>
      </c>
      <c r="G72" t="s">
        <v>29</v>
      </c>
      <c r="H72" t="s">
        <v>68</v>
      </c>
      <c r="I72" t="s">
        <v>29</v>
      </c>
      <c r="J72" t="s">
        <v>68</v>
      </c>
      <c r="K72" t="s">
        <v>29</v>
      </c>
      <c r="L72" t="s">
        <v>68</v>
      </c>
      <c r="M72" t="s">
        <v>29</v>
      </c>
      <c r="N72" t="s">
        <v>79</v>
      </c>
      <c r="O72" t="s">
        <v>30</v>
      </c>
      <c r="P72" t="s">
        <v>68</v>
      </c>
      <c r="Q72" t="s">
        <v>29</v>
      </c>
      <c r="R72" t="s">
        <v>70</v>
      </c>
      <c r="S72" t="s">
        <v>29</v>
      </c>
      <c r="T72" t="s">
        <v>94</v>
      </c>
      <c r="U72" t="s">
        <v>38</v>
      </c>
      <c r="V72" t="s">
        <v>85</v>
      </c>
      <c r="W72" t="s">
        <v>38</v>
      </c>
    </row>
    <row r="73" spans="1:23" x14ac:dyDescent="0.2">
      <c r="A73">
        <v>72</v>
      </c>
      <c r="B73" t="s">
        <v>27</v>
      </c>
      <c r="C73" s="2">
        <v>45559.264804456019</v>
      </c>
      <c r="D73" t="s">
        <v>66</v>
      </c>
      <c r="E73" t="s">
        <v>142</v>
      </c>
      <c r="F73" t="s">
        <v>67</v>
      </c>
      <c r="G73" t="s">
        <v>29</v>
      </c>
      <c r="H73" t="s">
        <v>68</v>
      </c>
      <c r="I73" t="s">
        <v>29</v>
      </c>
      <c r="J73" t="s">
        <v>79</v>
      </c>
      <c r="K73" t="s">
        <v>30</v>
      </c>
      <c r="L73" t="s">
        <v>68</v>
      </c>
      <c r="M73" t="s">
        <v>29</v>
      </c>
      <c r="N73" t="s">
        <v>79</v>
      </c>
      <c r="O73" t="s">
        <v>30</v>
      </c>
      <c r="P73" t="s">
        <v>79</v>
      </c>
      <c r="Q73" t="s">
        <v>30</v>
      </c>
      <c r="R73" t="s">
        <v>87</v>
      </c>
      <c r="S73" t="s">
        <v>30</v>
      </c>
      <c r="T73" t="s">
        <v>71</v>
      </c>
      <c r="U73" t="s">
        <v>34</v>
      </c>
      <c r="V73" t="s">
        <v>82</v>
      </c>
      <c r="W73" t="s">
        <v>34</v>
      </c>
    </row>
    <row r="74" spans="1:23" x14ac:dyDescent="0.2">
      <c r="A74">
        <v>73</v>
      </c>
      <c r="B74" t="s">
        <v>27</v>
      </c>
      <c r="C74" s="2">
        <v>45559.264885069439</v>
      </c>
      <c r="D74" t="s">
        <v>66</v>
      </c>
      <c r="E74" t="s">
        <v>143</v>
      </c>
      <c r="F74" t="s">
        <v>84</v>
      </c>
      <c r="G74" t="s">
        <v>38</v>
      </c>
      <c r="H74" t="s">
        <v>68</v>
      </c>
      <c r="I74" t="s">
        <v>29</v>
      </c>
      <c r="J74" t="s">
        <v>68</v>
      </c>
      <c r="K74" t="s">
        <v>29</v>
      </c>
      <c r="L74" t="s">
        <v>69</v>
      </c>
      <c r="M74" t="s">
        <v>38</v>
      </c>
      <c r="N74" t="s">
        <v>68</v>
      </c>
      <c r="O74" t="s">
        <v>29</v>
      </c>
      <c r="P74" t="s">
        <v>68</v>
      </c>
      <c r="Q74" t="s">
        <v>29</v>
      </c>
      <c r="R74" t="s">
        <v>76</v>
      </c>
      <c r="S74" t="s">
        <v>38</v>
      </c>
      <c r="T74" t="s">
        <v>94</v>
      </c>
      <c r="U74" t="s">
        <v>38</v>
      </c>
      <c r="V74" t="s">
        <v>85</v>
      </c>
      <c r="W74" t="s">
        <v>38</v>
      </c>
    </row>
    <row r="75" spans="1:23" x14ac:dyDescent="0.2">
      <c r="A75">
        <v>74</v>
      </c>
      <c r="B75" t="s">
        <v>27</v>
      </c>
      <c r="C75" s="2">
        <v>45559.264980706022</v>
      </c>
      <c r="D75" t="s">
        <v>66</v>
      </c>
      <c r="E75" t="s">
        <v>144</v>
      </c>
      <c r="F75" t="s">
        <v>67</v>
      </c>
      <c r="G75" t="s">
        <v>29</v>
      </c>
      <c r="H75" t="s">
        <v>79</v>
      </c>
      <c r="I75" t="s">
        <v>30</v>
      </c>
      <c r="J75" t="s">
        <v>79</v>
      </c>
      <c r="K75" t="s">
        <v>30</v>
      </c>
      <c r="L75" t="s">
        <v>68</v>
      </c>
      <c r="M75" t="s">
        <v>29</v>
      </c>
      <c r="N75" t="s">
        <v>79</v>
      </c>
      <c r="O75" t="s">
        <v>30</v>
      </c>
      <c r="P75" t="s">
        <v>79</v>
      </c>
      <c r="Q75" t="s">
        <v>30</v>
      </c>
      <c r="R75" t="s">
        <v>80</v>
      </c>
      <c r="S75" t="s">
        <v>34</v>
      </c>
      <c r="T75" t="s">
        <v>71</v>
      </c>
      <c r="U75" t="s">
        <v>34</v>
      </c>
      <c r="V75" t="s">
        <v>82</v>
      </c>
      <c r="W75" t="s">
        <v>34</v>
      </c>
    </row>
    <row r="76" spans="1:23" x14ac:dyDescent="0.2">
      <c r="A76">
        <v>75</v>
      </c>
      <c r="B76" t="s">
        <v>27</v>
      </c>
      <c r="C76" s="2">
        <v>45559.265016770827</v>
      </c>
      <c r="D76" t="s">
        <v>66</v>
      </c>
      <c r="E76" t="s">
        <v>145</v>
      </c>
      <c r="F76" t="s">
        <v>67</v>
      </c>
      <c r="G76" t="s">
        <v>29</v>
      </c>
      <c r="H76" t="s">
        <v>68</v>
      </c>
      <c r="I76" t="s">
        <v>29</v>
      </c>
      <c r="J76" t="s">
        <v>68</v>
      </c>
      <c r="K76" t="s">
        <v>29</v>
      </c>
      <c r="L76" t="s">
        <v>68</v>
      </c>
      <c r="M76" t="s">
        <v>29</v>
      </c>
      <c r="N76" t="s">
        <v>68</v>
      </c>
      <c r="O76" t="s">
        <v>29</v>
      </c>
      <c r="P76" t="s">
        <v>68</v>
      </c>
      <c r="Q76" t="s">
        <v>29</v>
      </c>
      <c r="R76" t="s">
        <v>76</v>
      </c>
      <c r="S76" t="s">
        <v>38</v>
      </c>
      <c r="T76" t="s">
        <v>71</v>
      </c>
      <c r="U76" t="s">
        <v>34</v>
      </c>
      <c r="V76" t="s">
        <v>78</v>
      </c>
      <c r="W76" t="s">
        <v>30</v>
      </c>
    </row>
    <row r="77" spans="1:23" x14ac:dyDescent="0.2">
      <c r="A77">
        <v>76</v>
      </c>
      <c r="B77" t="s">
        <v>27</v>
      </c>
      <c r="C77" s="2">
        <v>45559.265060358797</v>
      </c>
      <c r="D77" t="s">
        <v>66</v>
      </c>
      <c r="E77" t="s">
        <v>146</v>
      </c>
      <c r="F77" t="s">
        <v>67</v>
      </c>
      <c r="G77" t="s">
        <v>29</v>
      </c>
      <c r="H77" t="s">
        <v>74</v>
      </c>
      <c r="I77" t="s">
        <v>34</v>
      </c>
      <c r="J77" t="s">
        <v>74</v>
      </c>
      <c r="K77" t="s">
        <v>34</v>
      </c>
      <c r="L77" t="s">
        <v>69</v>
      </c>
      <c r="M77" t="s">
        <v>38</v>
      </c>
      <c r="N77" t="s">
        <v>75</v>
      </c>
      <c r="O77" t="s">
        <v>32</v>
      </c>
      <c r="P77" t="s">
        <v>75</v>
      </c>
      <c r="Q77" t="s">
        <v>32</v>
      </c>
      <c r="R77" t="s">
        <v>87</v>
      </c>
      <c r="S77" t="s">
        <v>30</v>
      </c>
      <c r="T77" t="s">
        <v>71</v>
      </c>
      <c r="U77" t="s">
        <v>34</v>
      </c>
      <c r="V77" t="s">
        <v>82</v>
      </c>
      <c r="W77" t="s">
        <v>34</v>
      </c>
    </row>
    <row r="78" spans="1:23" x14ac:dyDescent="0.2">
      <c r="A78">
        <v>77</v>
      </c>
      <c r="B78" t="s">
        <v>27</v>
      </c>
      <c r="C78" s="2">
        <v>45559.265384479157</v>
      </c>
      <c r="D78" t="s">
        <v>66</v>
      </c>
      <c r="E78" t="s">
        <v>147</v>
      </c>
      <c r="F78" t="s">
        <v>67</v>
      </c>
      <c r="G78" t="s">
        <v>29</v>
      </c>
      <c r="H78" t="s">
        <v>68</v>
      </c>
      <c r="I78" t="s">
        <v>29</v>
      </c>
      <c r="J78" t="s">
        <v>69</v>
      </c>
      <c r="K78" t="s">
        <v>38</v>
      </c>
      <c r="L78" t="s">
        <v>79</v>
      </c>
      <c r="M78" t="s">
        <v>30</v>
      </c>
      <c r="N78" t="s">
        <v>74</v>
      </c>
      <c r="O78" t="s">
        <v>34</v>
      </c>
      <c r="P78" t="s">
        <v>75</v>
      </c>
      <c r="Q78" t="s">
        <v>32</v>
      </c>
      <c r="R78" t="s">
        <v>87</v>
      </c>
      <c r="S78" t="s">
        <v>30</v>
      </c>
      <c r="T78" t="s">
        <v>71</v>
      </c>
      <c r="U78" t="s">
        <v>34</v>
      </c>
      <c r="V78" t="s">
        <v>82</v>
      </c>
      <c r="W78" t="s">
        <v>34</v>
      </c>
    </row>
    <row r="79" spans="1:23" x14ac:dyDescent="0.2">
      <c r="A79">
        <v>78</v>
      </c>
      <c r="B79" t="s">
        <v>27</v>
      </c>
      <c r="C79" s="2">
        <v>45559.265940150457</v>
      </c>
      <c r="D79" t="s">
        <v>66</v>
      </c>
      <c r="E79" t="s">
        <v>148</v>
      </c>
      <c r="F79" t="s">
        <v>67</v>
      </c>
      <c r="G79" t="s">
        <v>29</v>
      </c>
      <c r="H79" t="s">
        <v>68</v>
      </c>
      <c r="I79" t="s">
        <v>29</v>
      </c>
      <c r="J79" t="s">
        <v>68</v>
      </c>
      <c r="K79" t="s">
        <v>29</v>
      </c>
      <c r="L79" t="s">
        <v>68</v>
      </c>
      <c r="M79" t="s">
        <v>29</v>
      </c>
      <c r="N79" t="s">
        <v>68</v>
      </c>
      <c r="O79" t="s">
        <v>29</v>
      </c>
      <c r="P79" t="s">
        <v>68</v>
      </c>
      <c r="Q79" t="s">
        <v>29</v>
      </c>
      <c r="R79" t="s">
        <v>76</v>
      </c>
      <c r="S79" t="s">
        <v>38</v>
      </c>
      <c r="T79" t="s">
        <v>77</v>
      </c>
      <c r="U79" t="s">
        <v>30</v>
      </c>
      <c r="V79" t="s">
        <v>82</v>
      </c>
      <c r="W79" t="s">
        <v>34</v>
      </c>
    </row>
    <row r="80" spans="1:23" x14ac:dyDescent="0.2">
      <c r="F80" t="s">
        <v>166</v>
      </c>
    </row>
    <row r="81" spans="6:27" x14ac:dyDescent="0.2">
      <c r="F81" t="str">
        <f>+Settings!$F$7</f>
        <v>1 = No, I do not have a flood experience</v>
      </c>
      <c r="G81">
        <f>+COUNTIF(G$2:G$79,1)</f>
        <v>53</v>
      </c>
      <c r="H81" t="str">
        <f>+Settings!$F$8</f>
        <v>1 = Never</v>
      </c>
      <c r="I81">
        <f>+COUNTIF(I$2:I$79,1)</f>
        <v>39</v>
      </c>
      <c r="J81" t="str">
        <f>+Settings!$F$8</f>
        <v>1 = Never</v>
      </c>
      <c r="K81">
        <f>+COUNTIF(K$2:K$79,1)</f>
        <v>30</v>
      </c>
      <c r="L81" t="str">
        <f>+Settings!$F$8</f>
        <v>1 = Never</v>
      </c>
      <c r="M81">
        <f>+COUNTIF(M$2:M$79,1)</f>
        <v>47</v>
      </c>
      <c r="N81" t="str">
        <f>+Settings!$F$8</f>
        <v>1 = Never</v>
      </c>
      <c r="O81">
        <f>+COUNTIF(O$2:O$79,1)</f>
        <v>8</v>
      </c>
      <c r="P81" t="str">
        <f>+Settings!$F$8</f>
        <v>1 = Never</v>
      </c>
      <c r="Q81">
        <f>+COUNTIF(Q$2:Q$79,1)</f>
        <v>20</v>
      </c>
      <c r="R81" t="str">
        <f>+Settings!$F$16</f>
        <v>1 = Very unlikely</v>
      </c>
      <c r="S81">
        <f>+COUNTIF(S$2:S$79,1)</f>
        <v>13</v>
      </c>
      <c r="T81" t="str">
        <f>+Settings!$F$17</f>
        <v>1 = No increase at all</v>
      </c>
      <c r="U81">
        <f>+COUNTIF(U$2:U$79,1)</f>
        <v>1</v>
      </c>
      <c r="V81" t="str">
        <f>+Settings!$F$18</f>
        <v>1 = I won't get flooded</v>
      </c>
      <c r="W81">
        <f>+COUNTIF(W$2:W$79,1)</f>
        <v>14</v>
      </c>
    </row>
    <row r="82" spans="6:27" x14ac:dyDescent="0.2">
      <c r="F82" t="str">
        <f>+Settings!$G$7</f>
        <v>2 = Yes, but without disruptions or damages</v>
      </c>
      <c r="G82">
        <f>+COUNTIF(G$2:G$79,2)</f>
        <v>14</v>
      </c>
      <c r="H82" t="str">
        <f>+Settings!$G$8</f>
        <v>2 = Once in the last year</v>
      </c>
      <c r="I82">
        <f>+COUNTIF(I$2:I$79,2)</f>
        <v>20</v>
      </c>
      <c r="J82" t="str">
        <f>+Settings!$G$8</f>
        <v>2 = Once in the last year</v>
      </c>
      <c r="K82">
        <f>+COUNTIF(K$2:K$79,2)</f>
        <v>19</v>
      </c>
      <c r="L82" t="str">
        <f>+Settings!$G$8</f>
        <v>2 = Once in the last year</v>
      </c>
      <c r="M82">
        <f>+COUNTIF(M$2:M$79,2)</f>
        <v>16</v>
      </c>
      <c r="N82" t="str">
        <f>+Settings!$G$8</f>
        <v>2 = Once in the last year</v>
      </c>
      <c r="O82">
        <f>+COUNTIF(O$2:O$79,2)</f>
        <v>14</v>
      </c>
      <c r="P82" t="str">
        <f>+Settings!$G$8</f>
        <v>2 = Once in the last year</v>
      </c>
      <c r="Q82">
        <f>+COUNTIF(Q$2:Q$79,2)</f>
        <v>14</v>
      </c>
      <c r="R82" t="str">
        <f>+Settings!$G$16</f>
        <v>2 = Unlikely</v>
      </c>
      <c r="S82">
        <f>+COUNTIF(S$2:S$79,2)</f>
        <v>28</v>
      </c>
      <c r="T82" t="str">
        <f>+Settings!$G$17</f>
        <v>2 = A little increase</v>
      </c>
      <c r="U82">
        <f>+COUNTIF(U$2:U$79,2)</f>
        <v>15</v>
      </c>
      <c r="V82" t="str">
        <f>+Settings!$G$18</f>
        <v>2 = If I get flooded, I won't get damaged</v>
      </c>
      <c r="W82">
        <f>+COUNTIF(W$2:W$79,2)</f>
        <v>11</v>
      </c>
    </row>
    <row r="83" spans="6:27" x14ac:dyDescent="0.2">
      <c r="F83" t="str">
        <f>+Settings!$H$7</f>
        <v>3 = Yes, with minor disruptions or damages</v>
      </c>
      <c r="G83">
        <f>+COUNTIF(G$2:G$79,3)</f>
        <v>9</v>
      </c>
      <c r="H83" t="str">
        <f>+Settings!$H$8</f>
        <v>3 = Once in the last six months</v>
      </c>
      <c r="I83">
        <f>+COUNTIF(I$2:I$79,3)</f>
        <v>14</v>
      </c>
      <c r="J83" t="str">
        <f>+Settings!$H$8</f>
        <v>3 = Once in the last six months</v>
      </c>
      <c r="K83">
        <f>+COUNTIF(K$2:K$79,3)</f>
        <v>13</v>
      </c>
      <c r="L83" t="str">
        <f>+Settings!$H$8</f>
        <v>3 = Once in the last six months</v>
      </c>
      <c r="M83">
        <f>+COUNTIF(M$2:M$79,3)</f>
        <v>10</v>
      </c>
      <c r="N83" t="str">
        <f>+Settings!$H$8</f>
        <v>3 = Once in the last six months</v>
      </c>
      <c r="O83">
        <f>+COUNTIF(O$2:O$79,3)</f>
        <v>24</v>
      </c>
      <c r="P83" t="str">
        <f>+Settings!$H$8</f>
        <v>3 = Once in the last six months</v>
      </c>
      <c r="Q83">
        <f>+COUNTIF(Q$2:Q$79,3)</f>
        <v>17</v>
      </c>
      <c r="R83" t="str">
        <f>+Settings!$H$16</f>
        <v>3 = Neutral</v>
      </c>
      <c r="S83">
        <f>+COUNTIF(S$2:S$79,3)</f>
        <v>17</v>
      </c>
      <c r="T83" t="str">
        <f>+Settings!$H$17</f>
        <v>3 = A moderate increase</v>
      </c>
      <c r="U83">
        <f>+COUNTIF(U$2:U$79,3)</f>
        <v>17</v>
      </c>
      <c r="V83" t="str">
        <f>+Settings!$H$18</f>
        <v>3 = I might suffer minor damage</v>
      </c>
      <c r="W83">
        <f>+COUNTIF(W$2:W$79,3)</f>
        <v>34</v>
      </c>
    </row>
    <row r="84" spans="6:27" x14ac:dyDescent="0.2">
      <c r="F84" t="str">
        <f>+Settings!$I$7</f>
        <v>4 = Yes, with some disruptions or damages</v>
      </c>
      <c r="G84">
        <f>+COUNTIF(G$2:G$79,4)</f>
        <v>1</v>
      </c>
      <c r="H84" t="str">
        <f>+Settings!$I$8</f>
        <v>4 = Once a month</v>
      </c>
      <c r="I84">
        <f>+COUNTIF(I$2:I$79,4)</f>
        <v>5</v>
      </c>
      <c r="J84" t="str">
        <f>+Settings!$I$8</f>
        <v>4 = Once a month</v>
      </c>
      <c r="K84">
        <f>+COUNTIF(K$2:K$79,4)</f>
        <v>9</v>
      </c>
      <c r="L84" t="str">
        <f>+Settings!$I$8</f>
        <v>4 = Once a month</v>
      </c>
      <c r="M84">
        <f>+COUNTIF(M$2:M$79,4)</f>
        <v>4</v>
      </c>
      <c r="N84" t="str">
        <f>+Settings!$I$8</f>
        <v>4 = Once a month</v>
      </c>
      <c r="O84">
        <f>+COUNTIF(O$2:O$79,4)</f>
        <v>22</v>
      </c>
      <c r="P84" t="str">
        <f>+Settings!$I$8</f>
        <v>4 = Once a month</v>
      </c>
      <c r="Q84">
        <f>+COUNTIF(Q$2:Q$79,4)</f>
        <v>21</v>
      </c>
      <c r="R84" t="str">
        <f>+Settings!$I$16</f>
        <v>4 = Likely</v>
      </c>
      <c r="S84">
        <f>+COUNTIF(S$2:S$79,4)</f>
        <v>18</v>
      </c>
      <c r="T84" t="str">
        <f>+Settings!$I$17</f>
        <v>4 = A big increase</v>
      </c>
      <c r="U84">
        <f>+COUNTIF(U$2:U$79,4)</f>
        <v>34</v>
      </c>
      <c r="V84" t="str">
        <f>+Settings!$I$18</f>
        <v>4 = I will suffer some damage</v>
      </c>
      <c r="W84">
        <f>+COUNTIF(W$2:W$79,4)</f>
        <v>17</v>
      </c>
    </row>
    <row r="85" spans="6:27" x14ac:dyDescent="0.2">
      <c r="F85" t="str">
        <f>+Settings!$J$7</f>
        <v>5 = Yes, with serious disruptions or damages</v>
      </c>
      <c r="G85">
        <f>+COUNTIF(G$2:G$79,5)</f>
        <v>1</v>
      </c>
      <c r="H85" t="str">
        <f>+Settings!$J$8</f>
        <v>5 = Once a week</v>
      </c>
      <c r="I85">
        <f>+COUNTIF(I$2:I$79,5)</f>
        <v>0</v>
      </c>
      <c r="J85" t="str">
        <f>+Settings!$J$8</f>
        <v>5 = Once a week</v>
      </c>
      <c r="K85">
        <f>+COUNTIF(K$2:K$79,5)</f>
        <v>4</v>
      </c>
      <c r="L85" t="str">
        <f>+Settings!$J$8</f>
        <v>5 = Once a week</v>
      </c>
      <c r="M85">
        <f>+COUNTIF(M$2:M$79,5)</f>
        <v>1</v>
      </c>
      <c r="N85" t="str">
        <f>+Settings!$J$8</f>
        <v>5 = Once a week</v>
      </c>
      <c r="O85">
        <f>+COUNTIF(O$2:O$79,5)</f>
        <v>9</v>
      </c>
      <c r="P85" t="str">
        <f>+Settings!$J$8</f>
        <v>5 = Once a week</v>
      </c>
      <c r="Q85">
        <f>+COUNTIF(Q$2:Q$79,5)</f>
        <v>4</v>
      </c>
      <c r="R85" t="str">
        <f>+Settings!$J$16</f>
        <v>5 = Very likely</v>
      </c>
      <c r="S85">
        <f>+COUNTIF(S$2:S$79,5)</f>
        <v>2</v>
      </c>
      <c r="T85" t="str">
        <f>+Settings!$J$17</f>
        <v>5 = An extreme increase</v>
      </c>
      <c r="U85">
        <f>+COUNTIF(U$2:U$79,5)</f>
        <v>11</v>
      </c>
      <c r="V85" t="str">
        <f>+Settings!$J$18</f>
        <v>5 = I will get seriously damaged</v>
      </c>
      <c r="W85">
        <f>+COUNTIF(W$2:W$79,5)</f>
        <v>2</v>
      </c>
    </row>
    <row r="86" spans="6:27" x14ac:dyDescent="0.2">
      <c r="H86" t="str">
        <f>+Settings!$K$8</f>
        <v>6 = Once a day</v>
      </c>
      <c r="I86">
        <f>+COUNTIF(I$2:I$79,6)</f>
        <v>0</v>
      </c>
      <c r="J86" t="str">
        <f>+Settings!$K$8</f>
        <v>6 = Once a day</v>
      </c>
      <c r="K86">
        <f>+COUNTIF(K$2:K$79,6)</f>
        <v>3</v>
      </c>
      <c r="L86" t="str">
        <f>+Settings!$K$8</f>
        <v>6 = Once a day</v>
      </c>
      <c r="M86">
        <f>+COUNTIF(M$2:M$79,6)</f>
        <v>0</v>
      </c>
      <c r="N86" t="str">
        <f>+Settings!$K$8</f>
        <v>6 = Once a day</v>
      </c>
      <c r="O86">
        <f>+COUNTIF(O$2:O$79,6)</f>
        <v>1</v>
      </c>
      <c r="P86" t="str">
        <f>+Settings!$K$8</f>
        <v>6 = Once a day</v>
      </c>
      <c r="Q86">
        <f>+COUNTIF(Q$2:Q$79,6)</f>
        <v>2</v>
      </c>
    </row>
    <row r="87" spans="6:27" x14ac:dyDescent="0.2">
      <c r="F87" s="7" t="s">
        <v>167</v>
      </c>
      <c r="G87" s="8" cm="1">
        <f t="array" ref="G87">+AVERAGE(VALUE(G$2:G$24))</f>
        <v>1.3913043478260869</v>
      </c>
      <c r="H87" s="7" t="s">
        <v>167</v>
      </c>
      <c r="I87" s="8" cm="1">
        <f t="array" ref="I87">+AVERAGE(VALUE(I$2:I$24))</f>
        <v>1.9130434782608696</v>
      </c>
      <c r="J87" s="7" t="s">
        <v>167</v>
      </c>
      <c r="K87" s="8" cm="1">
        <f t="array" ref="K87">+AVERAGE(VALUE(K$2:K$24))</f>
        <v>2.5652173913043477</v>
      </c>
      <c r="L87" s="7" t="s">
        <v>167</v>
      </c>
      <c r="M87" s="8" cm="1">
        <f t="array" ref="M87">+AVERAGE(VALUE(M$2:M$24))</f>
        <v>1.4782608695652173</v>
      </c>
      <c r="N87" s="7" t="s">
        <v>167</v>
      </c>
      <c r="O87" s="8" cm="1">
        <f t="array" ref="O87">+AVERAGE(VALUE(O$2:O$24))</f>
        <v>3.4347826086956523</v>
      </c>
      <c r="P87" s="7" t="s">
        <v>167</v>
      </c>
      <c r="Q87" s="8" cm="1">
        <f t="array" ref="Q87">+AVERAGE(VALUE(Q$2:Q$24))</f>
        <v>2.9565217391304346</v>
      </c>
      <c r="R87" s="7" t="s">
        <v>167</v>
      </c>
      <c r="S87" s="8" cm="1">
        <f t="array" ref="S87">+AVERAGE(VALUE(S$2:S$24))</f>
        <v>2.4782608695652173</v>
      </c>
      <c r="T87" s="7" t="s">
        <v>167</v>
      </c>
      <c r="U87" s="8" cm="1">
        <f t="array" ref="U87">+AVERAGE(VALUE(U$2:U$24))</f>
        <v>3.8260869565217392</v>
      </c>
      <c r="V87" s="7" t="s">
        <v>167</v>
      </c>
      <c r="W87" s="8" cm="1">
        <f t="array" ref="W87">+AVERAGE(VALUE(W$2:W$24))</f>
        <v>2.6956521739130435</v>
      </c>
      <c r="X87" s="7"/>
      <c r="Y87" s="8"/>
      <c r="Z87" s="7"/>
      <c r="AA87" s="8"/>
    </row>
    <row r="88" spans="6:27" x14ac:dyDescent="0.2">
      <c r="F88" s="7" t="s">
        <v>168</v>
      </c>
      <c r="G88" cm="1">
        <f t="array" ref="G88">+MEDIAN(VALUE(G$26:G$30))</f>
        <v>1</v>
      </c>
      <c r="H88" s="7" t="s">
        <v>168</v>
      </c>
      <c r="I88" cm="1">
        <f t="array" ref="I88">+MEDIAN(VALUE(I$26:I$30))</f>
        <v>2</v>
      </c>
      <c r="J88" s="7" t="s">
        <v>168</v>
      </c>
      <c r="K88" cm="1">
        <f t="array" ref="K88">+MEDIAN(VALUE(K$26:K$30))</f>
        <v>2</v>
      </c>
      <c r="L88" s="7" t="s">
        <v>168</v>
      </c>
      <c r="M88" cm="1">
        <f t="array" ref="M88">+MEDIAN(VALUE(M$26:M$30))</f>
        <v>1</v>
      </c>
      <c r="N88" s="7" t="s">
        <v>168</v>
      </c>
      <c r="O88" cm="1">
        <f t="array" ref="O88">+MEDIAN(VALUE(O$26:O$30))</f>
        <v>3</v>
      </c>
      <c r="P88" s="7" t="s">
        <v>168</v>
      </c>
      <c r="Q88" cm="1">
        <f t="array" ref="Q88">+MEDIAN(VALUE(Q$26:Q$30))</f>
        <v>2</v>
      </c>
      <c r="R88" s="7" t="s">
        <v>168</v>
      </c>
      <c r="S88" cm="1">
        <f t="array" ref="S88">+MEDIAN(VALUE(S$26:S$30))</f>
        <v>2</v>
      </c>
      <c r="T88" s="7" t="s">
        <v>168</v>
      </c>
      <c r="U88" cm="1">
        <f t="array" ref="U88">+MEDIAN(VALUE(U$26:U$30))</f>
        <v>2</v>
      </c>
      <c r="V88" s="7" t="s">
        <v>168</v>
      </c>
      <c r="W88" cm="1">
        <f t="array" ref="W88">+MEDIAN(VALUE(W$26:W$30))</f>
        <v>2</v>
      </c>
      <c r="X88" s="7"/>
      <c r="Z88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02AC7-E120-46FE-93A3-75166DB6F668}">
  <dimension ref="A1:L18"/>
  <sheetViews>
    <sheetView workbookViewId="0">
      <selection activeCell="F7" sqref="F7"/>
    </sheetView>
  </sheetViews>
  <sheetFormatPr baseColWidth="10" defaultColWidth="8.83203125" defaultRowHeight="15" x14ac:dyDescent="0.2"/>
  <cols>
    <col min="1" max="1" width="21.6640625" customWidth="1"/>
    <col min="2" max="2" width="16.83203125" customWidth="1"/>
    <col min="3" max="3" width="53.5" customWidth="1"/>
    <col min="5" max="5" width="14.1640625" bestFit="1" customWidth="1"/>
    <col min="6" max="6" width="35.5" customWidth="1"/>
    <col min="7" max="7" width="32.5" customWidth="1"/>
    <col min="8" max="8" width="24.1640625" customWidth="1"/>
    <col min="9" max="9" width="21.33203125" customWidth="1"/>
    <col min="10" max="10" width="26.5" customWidth="1"/>
    <col min="11" max="11" width="21.33203125" customWidth="1"/>
  </cols>
  <sheetData>
    <row r="1" spans="1:12" ht="32" x14ac:dyDescent="0.2">
      <c r="A1" t="s">
        <v>154</v>
      </c>
      <c r="B1" t="s">
        <v>155</v>
      </c>
      <c r="C1" s="3" t="s">
        <v>156</v>
      </c>
      <c r="D1" s="3" t="s">
        <v>157</v>
      </c>
      <c r="E1" s="5" t="s">
        <v>158</v>
      </c>
      <c r="F1" s="3" t="s">
        <v>159</v>
      </c>
      <c r="G1" s="3" t="s">
        <v>160</v>
      </c>
      <c r="H1" s="3" t="s">
        <v>161</v>
      </c>
      <c r="I1" s="3" t="s">
        <v>162</v>
      </c>
      <c r="J1" s="3" t="s">
        <v>163</v>
      </c>
      <c r="K1" s="3" t="s">
        <v>164</v>
      </c>
      <c r="L1" s="3" t="s">
        <v>165</v>
      </c>
    </row>
    <row r="2" spans="1:12" ht="16" x14ac:dyDescent="0.2">
      <c r="A2" t="str">
        <f>+[1]Overview!A2</f>
        <v>Presurvey_id-0-1</v>
      </c>
      <c r="B2" t="s">
        <v>1</v>
      </c>
      <c r="C2" s="3" t="s">
        <v>210</v>
      </c>
      <c r="D2" s="3">
        <v>5</v>
      </c>
      <c r="E2" s="5" t="s">
        <v>211</v>
      </c>
    </row>
    <row r="3" spans="1:12" ht="16" x14ac:dyDescent="0.2">
      <c r="A3" t="str">
        <f>+[1]Overview!A3</f>
        <v>Presurvey_id-0-2</v>
      </c>
      <c r="B3" t="s">
        <v>2</v>
      </c>
      <c r="C3" s="3" t="s">
        <v>212</v>
      </c>
      <c r="D3" s="3">
        <v>6</v>
      </c>
      <c r="E3" s="5" t="s">
        <v>213</v>
      </c>
    </row>
    <row r="4" spans="1:12" ht="16" x14ac:dyDescent="0.2">
      <c r="A4" t="str">
        <f>+[1]Overview!A4</f>
        <v>Presurvey_id-0-3</v>
      </c>
      <c r="B4" t="s">
        <v>3</v>
      </c>
      <c r="C4" s="3" t="s">
        <v>214</v>
      </c>
      <c r="D4" s="3">
        <v>10</v>
      </c>
      <c r="E4" s="5" t="s">
        <v>215</v>
      </c>
      <c r="F4" t="s">
        <v>216</v>
      </c>
      <c r="G4" t="s">
        <v>217</v>
      </c>
    </row>
    <row r="5" spans="1:12" ht="32" x14ac:dyDescent="0.2">
      <c r="A5" t="str">
        <f>+[1]Overview!A5</f>
        <v>Presurvey_id-0-4</v>
      </c>
      <c r="B5" t="s">
        <v>206</v>
      </c>
      <c r="C5" s="3" t="s">
        <v>218</v>
      </c>
      <c r="D5" s="3">
        <v>11</v>
      </c>
      <c r="E5" s="5" t="s">
        <v>219</v>
      </c>
    </row>
    <row r="6" spans="1:12" ht="16" x14ac:dyDescent="0.2">
      <c r="A6">
        <f>+[1]Overview!A8</f>
        <v>0</v>
      </c>
      <c r="B6" t="s">
        <v>207</v>
      </c>
      <c r="C6" s="3" t="s">
        <v>220</v>
      </c>
      <c r="D6" s="3">
        <v>12</v>
      </c>
      <c r="E6" s="5" t="s">
        <v>219</v>
      </c>
    </row>
    <row r="7" spans="1:12" ht="32" x14ac:dyDescent="0.2">
      <c r="A7" t="str">
        <f>+[1]Overview!A10</f>
        <v>RiskPerception_1</v>
      </c>
      <c r="B7" t="s">
        <v>5</v>
      </c>
      <c r="C7" s="3" t="s">
        <v>187</v>
      </c>
      <c r="D7" s="4">
        <v>13</v>
      </c>
      <c r="E7" s="5">
        <v>5</v>
      </c>
      <c r="F7" s="3" t="s">
        <v>188</v>
      </c>
      <c r="G7" t="s">
        <v>189</v>
      </c>
      <c r="H7" t="s">
        <v>190</v>
      </c>
      <c r="I7" t="s">
        <v>191</v>
      </c>
      <c r="J7" t="s">
        <v>192</v>
      </c>
    </row>
    <row r="8" spans="1:12" ht="16" x14ac:dyDescent="0.2">
      <c r="A8" t="str">
        <f>+[1]Overview!A12</f>
        <v>RiskPerception_2_1</v>
      </c>
      <c r="B8" t="s">
        <v>7</v>
      </c>
      <c r="C8" s="3" t="s">
        <v>193</v>
      </c>
      <c r="D8" s="3">
        <v>14</v>
      </c>
      <c r="E8" s="5">
        <v>6</v>
      </c>
      <c r="F8" t="s">
        <v>194</v>
      </c>
      <c r="G8" t="s">
        <v>195</v>
      </c>
      <c r="H8" t="s">
        <v>196</v>
      </c>
      <c r="I8" t="s">
        <v>197</v>
      </c>
      <c r="J8" t="s">
        <v>198</v>
      </c>
      <c r="K8" t="s">
        <v>199</v>
      </c>
    </row>
    <row r="9" spans="1:12" ht="16" x14ac:dyDescent="0.2">
      <c r="A9" t="str">
        <f>+[1]Overview!A13</f>
        <v>RiskPerception_2_2</v>
      </c>
      <c r="B9" t="s">
        <v>9</v>
      </c>
      <c r="C9" s="3" t="s">
        <v>200</v>
      </c>
      <c r="D9" s="3">
        <v>15</v>
      </c>
      <c r="E9" s="5">
        <f>+E$8</f>
        <v>6</v>
      </c>
      <c r="F9" s="5" t="str">
        <f t="shared" ref="F9:K14" si="0">+F$8</f>
        <v>1 = Never</v>
      </c>
      <c r="G9" s="5" t="str">
        <f t="shared" si="0"/>
        <v>2 = Once in the last year</v>
      </c>
      <c r="H9" s="5" t="str">
        <f t="shared" si="0"/>
        <v>3 = Once in the last six months</v>
      </c>
      <c r="I9" s="5" t="str">
        <f t="shared" si="0"/>
        <v>4 = Once a month</v>
      </c>
      <c r="J9" s="5" t="str">
        <f t="shared" si="0"/>
        <v>5 = Once a week</v>
      </c>
      <c r="K9" s="5" t="str">
        <f t="shared" si="0"/>
        <v>6 = Once a day</v>
      </c>
    </row>
    <row r="10" spans="1:12" ht="16" x14ac:dyDescent="0.2">
      <c r="A10" t="str">
        <f>+[1]Overview!A14</f>
        <v>RiskPerception_2_3</v>
      </c>
      <c r="B10" t="s">
        <v>11</v>
      </c>
      <c r="C10" s="3" t="s">
        <v>201</v>
      </c>
      <c r="D10" s="3">
        <v>16</v>
      </c>
      <c r="E10" s="5">
        <f t="shared" ref="E10:E14" si="1">+E$8</f>
        <v>6</v>
      </c>
      <c r="F10" s="5" t="str">
        <f t="shared" si="0"/>
        <v>1 = Never</v>
      </c>
      <c r="G10" s="5" t="str">
        <f t="shared" si="0"/>
        <v>2 = Once in the last year</v>
      </c>
      <c r="H10" s="5" t="str">
        <f t="shared" si="0"/>
        <v>3 = Once in the last six months</v>
      </c>
      <c r="I10" s="5" t="str">
        <f t="shared" si="0"/>
        <v>4 = Once a month</v>
      </c>
      <c r="J10" s="5" t="str">
        <f t="shared" si="0"/>
        <v>5 = Once a week</v>
      </c>
      <c r="K10" s="5" t="str">
        <f t="shared" si="0"/>
        <v>6 = Once a day</v>
      </c>
    </row>
    <row r="11" spans="1:12" ht="16" x14ac:dyDescent="0.2">
      <c r="A11" t="str">
        <f>+[1]Overview!A15</f>
        <v>RiskPerception_2_4</v>
      </c>
      <c r="B11" t="s">
        <v>13</v>
      </c>
      <c r="C11" s="3" t="s">
        <v>202</v>
      </c>
      <c r="D11" s="3">
        <v>17</v>
      </c>
      <c r="E11" s="5">
        <f t="shared" si="1"/>
        <v>6</v>
      </c>
      <c r="F11" s="5" t="str">
        <f t="shared" si="0"/>
        <v>1 = Never</v>
      </c>
      <c r="G11" s="5" t="str">
        <f t="shared" si="0"/>
        <v>2 = Once in the last year</v>
      </c>
      <c r="H11" s="5" t="str">
        <f t="shared" si="0"/>
        <v>3 = Once in the last six months</v>
      </c>
      <c r="I11" s="5" t="str">
        <f t="shared" si="0"/>
        <v>4 = Once a month</v>
      </c>
      <c r="J11" s="5" t="str">
        <f t="shared" si="0"/>
        <v>5 = Once a week</v>
      </c>
      <c r="K11" s="5" t="str">
        <f t="shared" si="0"/>
        <v>6 = Once a day</v>
      </c>
    </row>
    <row r="12" spans="1:12" ht="16" x14ac:dyDescent="0.2">
      <c r="A12" t="str">
        <f>+[1]Overview!A16</f>
        <v>RiskPerception_2_5</v>
      </c>
      <c r="B12" t="s">
        <v>15</v>
      </c>
      <c r="C12" s="3" t="s">
        <v>203</v>
      </c>
      <c r="D12" s="3">
        <v>18</v>
      </c>
      <c r="E12" s="5">
        <f t="shared" si="1"/>
        <v>6</v>
      </c>
      <c r="F12" s="5" t="str">
        <f t="shared" si="0"/>
        <v>1 = Never</v>
      </c>
      <c r="G12" s="5" t="str">
        <f t="shared" si="0"/>
        <v>2 = Once in the last year</v>
      </c>
      <c r="H12" s="5" t="str">
        <f t="shared" si="0"/>
        <v>3 = Once in the last six months</v>
      </c>
      <c r="I12" s="5" t="str">
        <f t="shared" si="0"/>
        <v>4 = Once a month</v>
      </c>
      <c r="J12" s="5" t="str">
        <f t="shared" si="0"/>
        <v>5 = Once a week</v>
      </c>
      <c r="K12" s="5" t="str">
        <f t="shared" si="0"/>
        <v>6 = Once a day</v>
      </c>
    </row>
    <row r="13" spans="1:12" ht="16" x14ac:dyDescent="0.2">
      <c r="A13" t="str">
        <f>+[1]Overview!A17</f>
        <v>RiskPerception_2_6</v>
      </c>
      <c r="B13" t="s">
        <v>17</v>
      </c>
      <c r="C13" s="6" t="s">
        <v>204</v>
      </c>
      <c r="D13" s="6">
        <v>19</v>
      </c>
      <c r="E13" s="5">
        <f t="shared" si="1"/>
        <v>6</v>
      </c>
      <c r="F13" s="5" t="str">
        <f t="shared" si="0"/>
        <v>1 = Never</v>
      </c>
      <c r="G13" s="5" t="str">
        <f t="shared" si="0"/>
        <v>2 = Once in the last year</v>
      </c>
      <c r="H13" s="5" t="str">
        <f t="shared" si="0"/>
        <v>3 = Once in the last six months</v>
      </c>
      <c r="I13" s="5" t="str">
        <f t="shared" si="0"/>
        <v>4 = Once a month</v>
      </c>
      <c r="J13" s="5" t="str">
        <f t="shared" si="0"/>
        <v>5 = Once a week</v>
      </c>
      <c r="K13" s="5" t="str">
        <f t="shared" si="0"/>
        <v>6 = Once a day</v>
      </c>
    </row>
    <row r="14" spans="1:12" ht="16" x14ac:dyDescent="0.2">
      <c r="A14" t="str">
        <f>+[1]Overview!A18</f>
        <v>RiskPerception_2_7</v>
      </c>
      <c r="B14" t="s">
        <v>19</v>
      </c>
      <c r="C14" s="6" t="s">
        <v>205</v>
      </c>
      <c r="D14" s="6">
        <v>20</v>
      </c>
      <c r="E14" s="5">
        <f t="shared" si="1"/>
        <v>6</v>
      </c>
      <c r="F14" s="5" t="str">
        <f t="shared" si="0"/>
        <v>1 = Never</v>
      </c>
      <c r="G14" s="5" t="str">
        <f t="shared" si="0"/>
        <v>2 = Once in the last year</v>
      </c>
      <c r="H14" s="5" t="str">
        <f t="shared" si="0"/>
        <v>3 = Once in the last six months</v>
      </c>
      <c r="I14" s="5" t="str">
        <f t="shared" si="0"/>
        <v>4 = Once a month</v>
      </c>
      <c r="J14" s="5" t="str">
        <f t="shared" si="0"/>
        <v>5 = Once a week</v>
      </c>
      <c r="K14" s="5" t="str">
        <f t="shared" si="0"/>
        <v>6 = Once a day</v>
      </c>
    </row>
    <row r="15" spans="1:12" ht="48" x14ac:dyDescent="0.2">
      <c r="A15">
        <f>+[1]Overview!A19</f>
        <v>0</v>
      </c>
      <c r="B15" t="s">
        <v>208</v>
      </c>
      <c r="C15" s="3" t="s">
        <v>221</v>
      </c>
      <c r="D15" s="3">
        <v>21</v>
      </c>
      <c r="E15" s="5" t="s">
        <v>219</v>
      </c>
      <c r="F15" s="5"/>
      <c r="G15" s="5"/>
      <c r="H15" s="5"/>
      <c r="I15" s="5"/>
      <c r="J15" s="5"/>
      <c r="K15" s="5"/>
    </row>
    <row r="16" spans="1:12" ht="32" x14ac:dyDescent="0.2">
      <c r="A16" t="str">
        <f>+[1]Overview!A20</f>
        <v>RiskPerception_3</v>
      </c>
      <c r="B16" t="s">
        <v>21</v>
      </c>
      <c r="C16" s="3" t="s">
        <v>169</v>
      </c>
      <c r="D16" s="3">
        <v>22</v>
      </c>
      <c r="E16" s="5">
        <v>5</v>
      </c>
      <c r="F16" t="s">
        <v>170</v>
      </c>
      <c r="G16" t="s">
        <v>171</v>
      </c>
      <c r="H16" t="s">
        <v>172</v>
      </c>
      <c r="I16" t="s">
        <v>173</v>
      </c>
      <c r="J16" t="s">
        <v>174</v>
      </c>
    </row>
    <row r="17" spans="1:10" ht="32" x14ac:dyDescent="0.2">
      <c r="A17" t="str">
        <f>+[1]Overview!A21</f>
        <v>RiskPerception_4</v>
      </c>
      <c r="B17" t="s">
        <v>209</v>
      </c>
      <c r="C17" s="3" t="s">
        <v>175</v>
      </c>
      <c r="D17" s="3">
        <v>23</v>
      </c>
      <c r="E17" s="5">
        <v>5</v>
      </c>
      <c r="F17" t="s">
        <v>176</v>
      </c>
      <c r="G17" t="s">
        <v>177</v>
      </c>
      <c r="H17" t="s">
        <v>178</v>
      </c>
      <c r="I17" t="s">
        <v>179</v>
      </c>
      <c r="J17" t="s">
        <v>180</v>
      </c>
    </row>
    <row r="18" spans="1:10" ht="32" x14ac:dyDescent="0.2">
      <c r="A18" t="str">
        <f>+[1]Overview!A22</f>
        <v>RiskPerception_5</v>
      </c>
      <c r="B18" t="s">
        <v>25</v>
      </c>
      <c r="C18" s="3" t="s">
        <v>181</v>
      </c>
      <c r="D18" s="3">
        <v>24</v>
      </c>
      <c r="E18" s="5">
        <v>5</v>
      </c>
      <c r="F18" t="s">
        <v>182</v>
      </c>
      <c r="G18" t="s">
        <v>183</v>
      </c>
      <c r="H18" t="s">
        <v>184</v>
      </c>
      <c r="I18" t="s">
        <v>185</v>
      </c>
      <c r="J18" t="s">
        <v>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62900-88B7-4FC3-B57C-5FD835749EC5}">
  <dimension ref="A1:AB162"/>
  <sheetViews>
    <sheetView zoomScale="158" zoomScaleNormal="25" workbookViewId="0">
      <pane xSplit="5" ySplit="1" topLeftCell="K142" activePane="bottomRight" state="frozen"/>
      <selection pane="topRight" activeCell="E1" sqref="E1"/>
      <selection pane="bottomLeft" activeCell="A2" sqref="A2"/>
      <selection pane="bottomRight" activeCell="K162" sqref="K162"/>
    </sheetView>
  </sheetViews>
  <sheetFormatPr baseColWidth="10" defaultColWidth="8.83203125" defaultRowHeight="15" x14ac:dyDescent="0.2"/>
  <cols>
    <col min="4" max="4" width="20.6640625" style="2" customWidth="1"/>
    <col min="5" max="5" width="10.5" customWidth="1"/>
    <col min="6" max="6" width="15.6640625" bestFit="1" customWidth="1"/>
    <col min="7" max="7" width="45.33203125" bestFit="1" customWidth="1"/>
    <col min="8" max="8" width="17" bestFit="1" customWidth="1"/>
    <col min="9" max="9" width="35.5" bestFit="1" customWidth="1"/>
    <col min="10" max="10" width="22.83203125" bestFit="1" customWidth="1"/>
    <col min="11" max="11" width="35.5" bestFit="1" customWidth="1"/>
    <col min="12" max="12" width="26.83203125" bestFit="1" customWidth="1"/>
    <col min="13" max="13" width="35.5" bestFit="1" customWidth="1"/>
    <col min="14" max="14" width="19.6640625" bestFit="1" customWidth="1"/>
    <col min="15" max="15" width="35.5" bestFit="1" customWidth="1"/>
    <col min="16" max="16" width="24.5" bestFit="1" customWidth="1"/>
    <col min="17" max="17" width="35.5" bestFit="1" customWidth="1"/>
    <col min="18" max="18" width="22.5" bestFit="1" customWidth="1"/>
    <col min="19" max="19" width="35.5" bestFit="1" customWidth="1"/>
    <col min="20" max="20" width="18" bestFit="1" customWidth="1"/>
    <col min="21" max="21" width="35.5" bestFit="1" customWidth="1"/>
    <col min="22" max="22" width="20.5" bestFit="1" customWidth="1"/>
    <col min="23" max="23" width="34.83203125" bestFit="1" customWidth="1"/>
  </cols>
  <sheetData>
    <row r="1" spans="1:24" s="1" customFormat="1" x14ac:dyDescent="0.2">
      <c r="A1" s="1" t="s">
        <v>246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</row>
    <row r="2" spans="1:24" x14ac:dyDescent="0.2">
      <c r="A2">
        <v>251007</v>
      </c>
      <c r="B2">
        <f>+'251007'!A2</f>
        <v>1</v>
      </c>
      <c r="C2" t="str">
        <f>+'251007'!B2</f>
        <v>True</v>
      </c>
      <c r="D2">
        <f>+'251007'!C2</f>
        <v>45937.248254502309</v>
      </c>
      <c r="E2">
        <f>+'251007'!D2</f>
        <v>0</v>
      </c>
      <c r="F2" t="str">
        <f>+'251007'!E2</f>
        <v>t3p3</v>
      </c>
      <c r="G2" t="str">
        <f>+'251007'!F2</f>
        <v>Nee, ik heb G$een ervarinG$ met overstrominG$en</v>
      </c>
      <c r="H2" t="str">
        <f>+'251007'!G2</f>
        <v>1</v>
      </c>
      <c r="I2" t="str">
        <f>+'251007'!H2</f>
        <v>Eén keer in de afG$elopen zes maanden</v>
      </c>
      <c r="J2" t="str">
        <f>+'251007'!I2</f>
        <v>3</v>
      </c>
      <c r="K2" t="str">
        <f>+'251007'!J2</f>
        <v>Eén keer per week</v>
      </c>
      <c r="L2" t="str">
        <f>+'251007'!K2</f>
        <v>5</v>
      </c>
      <c r="M2" t="str">
        <f>+'251007'!L2</f>
        <v>Eén keer per maand</v>
      </c>
      <c r="N2" t="str">
        <f>+'251007'!M2</f>
        <v>4</v>
      </c>
      <c r="O2" t="str">
        <f>+'251007'!N2</f>
        <v>Eén keer per maand</v>
      </c>
      <c r="P2" t="str">
        <f>+'251007'!O2</f>
        <v>4</v>
      </c>
      <c r="Q2" t="str">
        <f>+'251007'!P2</f>
        <v>Eén keer per maand</v>
      </c>
      <c r="R2" t="str">
        <f>+'251007'!Q2</f>
        <v>4</v>
      </c>
      <c r="S2" t="str">
        <f>+'251007'!V2</f>
        <v>Neutraal</v>
      </c>
      <c r="T2" t="str">
        <f>+'251007'!W2</f>
        <v>3</v>
      </c>
      <c r="U2" t="str">
        <f>+'251007'!X2</f>
        <v>Een kleine toename</v>
      </c>
      <c r="V2" t="str">
        <f>+'251007'!Y2</f>
        <v>2</v>
      </c>
      <c r="W2" t="str">
        <f>+'251007'!Z2</f>
        <v>Ik zal eniG$e schade oplopen</v>
      </c>
      <c r="X2" t="str">
        <f>+'251007'!AA2</f>
        <v>4</v>
      </c>
    </row>
    <row r="3" spans="1:24" x14ac:dyDescent="0.2">
      <c r="A3">
        <v>251007</v>
      </c>
      <c r="B3">
        <f>+'251007'!A3</f>
        <v>2</v>
      </c>
      <c r="C3" t="str">
        <f>+'251007'!B3</f>
        <v>True</v>
      </c>
      <c r="D3">
        <f>+'251007'!C3</f>
        <v>45937.250662881939</v>
      </c>
      <c r="E3" t="str">
        <f>+'251007'!D3</f>
        <v>Ja, ik G$a akkoord met vrijwilliG$e deelname (bedankt voor uw medewerkinG$)!</v>
      </c>
      <c r="F3" t="str">
        <f>+'251007'!E3</f>
        <v>t4p5</v>
      </c>
      <c r="G3" t="str">
        <f>+'251007'!F3</f>
        <v>Nee, ik heb G$een ervarinG$ met overstrominG$en</v>
      </c>
      <c r="H3" t="str">
        <f>+'251007'!G3</f>
        <v>1</v>
      </c>
      <c r="I3" t="str">
        <f>+'251007'!H3</f>
        <v>Nooit</v>
      </c>
      <c r="J3" t="str">
        <f>+'251007'!I3</f>
        <v>1</v>
      </c>
      <c r="K3" t="str">
        <f>+'251007'!J3</f>
        <v>Eén keer in de afG$elopen zes maanden</v>
      </c>
      <c r="L3" t="str">
        <f>+'251007'!K3</f>
        <v>3</v>
      </c>
      <c r="M3" t="str">
        <f>+'251007'!L3</f>
        <v>Nooit</v>
      </c>
      <c r="N3" t="str">
        <f>+'251007'!M3</f>
        <v>1</v>
      </c>
      <c r="O3" t="str">
        <f>+'251007'!N3</f>
        <v>Eén keer per maand</v>
      </c>
      <c r="P3" t="str">
        <f>+'251007'!O3</f>
        <v>4</v>
      </c>
      <c r="Q3" t="str">
        <f>+'251007'!P3</f>
        <v>Eén keer in de afG$elopen zes maanden</v>
      </c>
      <c r="R3" t="str">
        <f>+'251007'!Q3</f>
        <v>3</v>
      </c>
      <c r="S3" t="str">
        <f>+'251007'!V3</f>
        <v>Onwaarschijnlijk</v>
      </c>
      <c r="T3" t="str">
        <f>+'251007'!W3</f>
        <v>2</v>
      </c>
      <c r="U3" t="str">
        <f>+'251007'!X3</f>
        <v>Een kleine toename</v>
      </c>
      <c r="V3" t="str">
        <f>+'251007'!Y3</f>
        <v>2</v>
      </c>
      <c r="W3" t="str">
        <f>+'251007'!Z3</f>
        <v>G$een, Ik zal niet overstromen</v>
      </c>
      <c r="X3" t="str">
        <f>+'251007'!AA3</f>
        <v>1</v>
      </c>
    </row>
    <row r="4" spans="1:24" x14ac:dyDescent="0.2">
      <c r="A4">
        <v>251007</v>
      </c>
      <c r="B4">
        <f>+'251007'!A4</f>
        <v>3</v>
      </c>
      <c r="C4" t="str">
        <f>+'251007'!B4</f>
        <v>True</v>
      </c>
      <c r="D4">
        <f>+'251007'!C4</f>
        <v>45937.250705486113</v>
      </c>
      <c r="E4" t="str">
        <f>+'251007'!D4</f>
        <v>Ja, ik G$a akkoord met vrijwilliG$e deelname (bedankt voor uw medewerkinG$)!</v>
      </c>
      <c r="F4" t="str">
        <f>+'251007'!E4</f>
        <v>t3p4</v>
      </c>
      <c r="G4" t="str">
        <f>+'251007'!F4</f>
        <v>Nee, ik heb G$een ervarinG$ met overstrominG$en</v>
      </c>
      <c r="H4" t="str">
        <f>+'251007'!G4</f>
        <v>1</v>
      </c>
      <c r="I4" t="str">
        <f>+'251007'!H4</f>
        <v>Eén keer per week</v>
      </c>
      <c r="J4" t="str">
        <f>+'251007'!I4</f>
        <v>5</v>
      </c>
      <c r="K4" t="str">
        <f>+'251007'!J4</f>
        <v>Eén keer per week</v>
      </c>
      <c r="L4" t="str">
        <f>+'251007'!K4</f>
        <v>5</v>
      </c>
      <c r="M4" t="str">
        <f>+'251007'!L4</f>
        <v>Eén keer per maand</v>
      </c>
      <c r="N4" t="str">
        <f>+'251007'!M4</f>
        <v>4</v>
      </c>
      <c r="O4" t="str">
        <f>+'251007'!N4</f>
        <v>Eén keer per daG$</v>
      </c>
      <c r="P4" t="str">
        <f>+'251007'!O4</f>
        <v>6</v>
      </c>
      <c r="Q4" t="str">
        <f>+'251007'!P4</f>
        <v>Eén keer per daG$</v>
      </c>
      <c r="R4" t="str">
        <f>+'251007'!Q4</f>
        <v>6</v>
      </c>
      <c r="S4" t="str">
        <f>+'251007'!V4</f>
        <v>Neutraal</v>
      </c>
      <c r="T4" t="str">
        <f>+'251007'!W4</f>
        <v>3</v>
      </c>
      <c r="U4" t="str">
        <f>+'251007'!X4</f>
        <v>Een G$emiddelde toename</v>
      </c>
      <c r="V4" t="str">
        <f>+'251007'!Y4</f>
        <v>3</v>
      </c>
      <c r="W4" t="str">
        <f>+'251007'!Z4</f>
        <v>Ik zal eniG$e schade oplopen</v>
      </c>
      <c r="X4" t="str">
        <f>+'251007'!AA4</f>
        <v>4</v>
      </c>
    </row>
    <row r="5" spans="1:24" x14ac:dyDescent="0.2">
      <c r="A5">
        <v>251007</v>
      </c>
      <c r="B5">
        <f>+'251007'!A5</f>
        <v>4</v>
      </c>
      <c r="C5" t="str">
        <f>+'251007'!B5</f>
        <v>True</v>
      </c>
      <c r="D5">
        <f>+'251007'!C5</f>
        <v>45937.250719328702</v>
      </c>
      <c r="E5" t="str">
        <f>+'251007'!D5</f>
        <v>Ja, ik G$a akkoord met vrijwilliG$e deelname (bedankt voor uw medewerkinG$)!</v>
      </c>
      <c r="F5" t="str">
        <f>+'251007'!E5</f>
        <v>t3p2</v>
      </c>
      <c r="G5" t="str">
        <f>+'251007'!F5</f>
        <v>Ja, met eniG$e verstorinG$en of schade</v>
      </c>
      <c r="H5" t="str">
        <f>+'251007'!G5</f>
        <v>4</v>
      </c>
      <c r="I5" t="str">
        <f>+'251007'!H5</f>
        <v>Eén keer in het afG$elopen jaar</v>
      </c>
      <c r="J5" t="str">
        <f>+'251007'!I5</f>
        <v>2</v>
      </c>
      <c r="K5" t="str">
        <f>+'251007'!J5</f>
        <v>Eén keer in het afG$elopen jaar</v>
      </c>
      <c r="L5" t="str">
        <f>+'251007'!K5</f>
        <v>2</v>
      </c>
      <c r="M5" t="str">
        <f>+'251007'!L5</f>
        <v>Nooit</v>
      </c>
      <c r="N5" t="str">
        <f>+'251007'!M5</f>
        <v>1</v>
      </c>
      <c r="O5" t="str">
        <f>+'251007'!N5</f>
        <v>Eén keer in het afG$elopen jaar</v>
      </c>
      <c r="P5" t="str">
        <f>+'251007'!O5</f>
        <v>2</v>
      </c>
      <c r="Q5" t="str">
        <f>+'251007'!P5</f>
        <v>Eén keer in het afG$elopen jaar</v>
      </c>
      <c r="R5" t="str">
        <f>+'251007'!Q5</f>
        <v>2</v>
      </c>
      <c r="S5" t="str">
        <f>+'251007'!V5</f>
        <v>Zeer onwaarschijnlijk</v>
      </c>
      <c r="T5" t="str">
        <f>+'251007'!W5</f>
        <v>1</v>
      </c>
      <c r="U5" t="str">
        <f>+'251007'!X5</f>
        <v>G$een toename</v>
      </c>
      <c r="V5" t="str">
        <f>+'251007'!Y5</f>
        <v>1</v>
      </c>
      <c r="W5" t="str">
        <f>+'251007'!Z5</f>
        <v>G$een, Ik zal niet overstromen</v>
      </c>
      <c r="X5" t="str">
        <f>+'251007'!AA5</f>
        <v>1</v>
      </c>
    </row>
    <row r="6" spans="1:24" x14ac:dyDescent="0.2">
      <c r="A6">
        <v>251007</v>
      </c>
      <c r="B6">
        <f>+'251007'!A6</f>
        <v>5</v>
      </c>
      <c r="C6" t="str">
        <f>+'251007'!B6</f>
        <v>True</v>
      </c>
      <c r="D6">
        <f>+'251007'!C6</f>
        <v>45937.250817812499</v>
      </c>
      <c r="E6" t="str">
        <f>+'251007'!D6</f>
        <v>Ja, ik G$a akkoord met vrijwilliG$e deelname (bedankt voor uw medewerkinG$)!</v>
      </c>
      <c r="F6" t="str">
        <f>+'251007'!E6</f>
        <v>3 en</v>
      </c>
      <c r="G6" t="str">
        <f>+'251007'!F6</f>
        <v>Nee, ik heb G$een ervarinG$ met overstrominG$en</v>
      </c>
      <c r="H6" t="str">
        <f>+'251007'!G6</f>
        <v>1</v>
      </c>
      <c r="I6" t="str">
        <f>+'251007'!H6</f>
        <v>Eén keer per maand</v>
      </c>
      <c r="J6" t="str">
        <f>+'251007'!I6</f>
        <v>4</v>
      </c>
      <c r="K6" t="str">
        <f>+'251007'!J6</f>
        <v>Eén keer per week</v>
      </c>
      <c r="L6" t="str">
        <f>+'251007'!K6</f>
        <v>5</v>
      </c>
      <c r="M6" t="str">
        <f>+'251007'!L6</f>
        <v>Eén keer in de afG$elopen zes maanden</v>
      </c>
      <c r="N6" t="str">
        <f>+'251007'!M6</f>
        <v>3</v>
      </c>
      <c r="O6" t="str">
        <f>+'251007'!N6</f>
        <v>Eén keer per week</v>
      </c>
      <c r="P6" t="str">
        <f>+'251007'!O6</f>
        <v>5</v>
      </c>
      <c r="Q6" t="str">
        <f>+'251007'!P6</f>
        <v>Eén keer per week</v>
      </c>
      <c r="R6" t="str">
        <f>+'251007'!Q6</f>
        <v>5</v>
      </c>
      <c r="S6" t="str">
        <f>+'251007'!V6</f>
        <v>Zeer onwaarschijnlijk</v>
      </c>
      <c r="T6" t="str">
        <f>+'251007'!W6</f>
        <v>1</v>
      </c>
      <c r="U6" t="str">
        <f>+'251007'!X6</f>
        <v>Een kleine toename</v>
      </c>
      <c r="V6" t="str">
        <f>+'251007'!Y6</f>
        <v>2</v>
      </c>
      <c r="W6" t="str">
        <f>+'251007'!Z6</f>
        <v>Als ik overstroom, zal ik G$een schade hebben</v>
      </c>
      <c r="X6" t="str">
        <f>+'251007'!AA6</f>
        <v>2</v>
      </c>
    </row>
    <row r="7" spans="1:24" x14ac:dyDescent="0.2">
      <c r="A7">
        <v>251007</v>
      </c>
      <c r="B7">
        <f>+'251007'!A7</f>
        <v>6</v>
      </c>
      <c r="C7" t="str">
        <f>+'251007'!B7</f>
        <v>True</v>
      </c>
      <c r="D7">
        <f>+'251007'!C7</f>
        <v>45937.250835729174</v>
      </c>
      <c r="E7" t="str">
        <f>+'251007'!D7</f>
        <v>Ja, ik G$a akkoord met vrijwilliG$e deelname (bedankt voor uw medewerkinG$)!</v>
      </c>
      <c r="F7" t="str">
        <f>+'251007'!E7</f>
        <v>t2p4</v>
      </c>
      <c r="G7" t="str">
        <f>+'251007'!F7</f>
        <v>Ja, met lichte verstorinG$en of schade</v>
      </c>
      <c r="H7" t="str">
        <f>+'251007'!G7</f>
        <v>3</v>
      </c>
      <c r="I7" t="str">
        <f>+'251007'!H7</f>
        <v>Nooit</v>
      </c>
      <c r="J7" t="str">
        <f>+'251007'!I7</f>
        <v>1</v>
      </c>
      <c r="K7" t="str">
        <f>+'251007'!J7</f>
        <v>Eén keer per maand</v>
      </c>
      <c r="L7" t="str">
        <f>+'251007'!K7</f>
        <v>4</v>
      </c>
      <c r="M7" t="str">
        <f>+'251007'!L7</f>
        <v>Nooit</v>
      </c>
      <c r="N7" t="str">
        <f>+'251007'!M7</f>
        <v>1</v>
      </c>
      <c r="O7" t="str">
        <f>+'251007'!N7</f>
        <v>Eén keer per maand</v>
      </c>
      <c r="P7" t="str">
        <f>+'251007'!O7</f>
        <v>4</v>
      </c>
      <c r="Q7" t="str">
        <f>+'251007'!P7</f>
        <v>Nooit</v>
      </c>
      <c r="R7" t="str">
        <f>+'251007'!Q7</f>
        <v>1</v>
      </c>
      <c r="S7" t="str">
        <f>+'251007'!V7</f>
        <v>Waarschijnlijk</v>
      </c>
      <c r="T7" t="str">
        <f>+'251007'!W7</f>
        <v>4</v>
      </c>
      <c r="U7" t="str">
        <f>+'251007'!X7</f>
        <v>Een kleine toename</v>
      </c>
      <c r="V7" t="str">
        <f>+'251007'!Y7</f>
        <v>2</v>
      </c>
      <c r="W7" t="str">
        <f>+'251007'!Z7</f>
        <v>Ik zal eniG$e schade oplopen</v>
      </c>
      <c r="X7" t="str">
        <f>+'251007'!AA7</f>
        <v>4</v>
      </c>
    </row>
    <row r="8" spans="1:24" x14ac:dyDescent="0.2">
      <c r="A8">
        <v>251007</v>
      </c>
      <c r="B8">
        <f>+'251007'!A8</f>
        <v>7</v>
      </c>
      <c r="C8" t="str">
        <f>+'251007'!B8</f>
        <v>True</v>
      </c>
      <c r="D8">
        <f>+'251007'!C8</f>
        <v>45937.251459236111</v>
      </c>
      <c r="E8" t="str">
        <f>+'251007'!D8</f>
        <v>Ja, ik G$a akkoord met vrijwilliG$e deelname (bedankt voor uw medewerkinG$)!</v>
      </c>
      <c r="F8" t="str">
        <f>+'251007'!E8</f>
        <v>t2p5</v>
      </c>
      <c r="G8" t="str">
        <f>+'251007'!F8</f>
        <v>Ja, met eniG$e verstorinG$en of schade</v>
      </c>
      <c r="H8" t="str">
        <f>+'251007'!G8</f>
        <v>4</v>
      </c>
      <c r="I8" t="str">
        <f>+'251007'!H8</f>
        <v>Eén keer in het afG$elopen jaar</v>
      </c>
      <c r="J8" t="str">
        <f>+'251007'!I8</f>
        <v>2</v>
      </c>
      <c r="K8" t="str">
        <f>+'251007'!J8</f>
        <v>Eén keer in het afG$elopen jaar</v>
      </c>
      <c r="L8" t="str">
        <f>+'251007'!K8</f>
        <v>2</v>
      </c>
      <c r="M8" t="str">
        <f>+'251007'!L8</f>
        <v>Eén keer in de afG$elopen zes maanden</v>
      </c>
      <c r="N8" t="str">
        <f>+'251007'!M8</f>
        <v>3</v>
      </c>
      <c r="O8" t="str">
        <f>+'251007'!N8</f>
        <v>Eén keer per maand</v>
      </c>
      <c r="P8" t="str">
        <f>+'251007'!O8</f>
        <v>4</v>
      </c>
      <c r="Q8" t="str">
        <f>+'251007'!P8</f>
        <v>Eén keer in de afG$elopen zes maanden</v>
      </c>
      <c r="R8" t="str">
        <f>+'251007'!Q8</f>
        <v>3</v>
      </c>
      <c r="S8" t="str">
        <f>+'251007'!V8</f>
        <v>Zeer onwaarschijnlijk</v>
      </c>
      <c r="T8" t="str">
        <f>+'251007'!W8</f>
        <v>1</v>
      </c>
      <c r="U8" t="str">
        <f>+'251007'!X8</f>
        <v>G$een toename</v>
      </c>
      <c r="V8" t="str">
        <f>+'251007'!Y8</f>
        <v>1</v>
      </c>
      <c r="W8" t="str">
        <f>+'251007'!Z8</f>
        <v>G$een, Ik zal niet overstromen</v>
      </c>
      <c r="X8" t="str">
        <f>+'251007'!AA8</f>
        <v>1</v>
      </c>
    </row>
    <row r="9" spans="1:24" x14ac:dyDescent="0.2">
      <c r="A9">
        <v>251007</v>
      </c>
      <c r="B9">
        <f>+'251007'!A9</f>
        <v>8</v>
      </c>
      <c r="C9" t="str">
        <f>+'251007'!B9</f>
        <v>True</v>
      </c>
      <c r="D9">
        <f>+'251007'!C9</f>
        <v>45937.251572372683</v>
      </c>
      <c r="E9" t="str">
        <f>+'251007'!D9</f>
        <v>Ja, ik G$a akkoord met vrijwilliG$e deelname (bedankt voor uw medewerkinG$)!</v>
      </c>
      <c r="F9" t="str">
        <f>+'251007'!E9</f>
        <v>t4p6</v>
      </c>
      <c r="G9" t="str">
        <f>+'251007'!F9</f>
        <v>Nee, ik heb G$een ervarinG$ met overstrominG$en</v>
      </c>
      <c r="H9" t="str">
        <f>+'251007'!G9</f>
        <v>1</v>
      </c>
      <c r="I9" t="str">
        <f>+'251007'!H9</f>
        <v>Eén keer in het afG$elopen jaar</v>
      </c>
      <c r="J9" t="str">
        <f>+'251007'!I9</f>
        <v>2</v>
      </c>
      <c r="K9" t="str">
        <f>+'251007'!J9</f>
        <v>Eén keer in de afG$elopen zes maanden</v>
      </c>
      <c r="L9" t="str">
        <f>+'251007'!K9</f>
        <v>3</v>
      </c>
      <c r="M9" t="str">
        <f>+'251007'!L9</f>
        <v>Eén keer in het afG$elopen jaar</v>
      </c>
      <c r="N9" t="str">
        <f>+'251007'!M9</f>
        <v>2</v>
      </c>
      <c r="O9" t="str">
        <f>+'251007'!N9</f>
        <v>Eén keer in het afG$elopen jaar</v>
      </c>
      <c r="P9" t="str">
        <f>+'251007'!O9</f>
        <v>2</v>
      </c>
      <c r="Q9" t="str">
        <f>+'251007'!P9</f>
        <v>Nooit</v>
      </c>
      <c r="R9" t="str">
        <f>+'251007'!Q9</f>
        <v>1</v>
      </c>
      <c r="S9" t="str">
        <f>+'251007'!V9</f>
        <v>Onwaarschijnlijk</v>
      </c>
      <c r="T9" t="str">
        <f>+'251007'!W9</f>
        <v>2</v>
      </c>
      <c r="U9" t="str">
        <f>+'251007'!X9</f>
        <v>Een kleine toename</v>
      </c>
      <c r="V9" t="str">
        <f>+'251007'!Y9</f>
        <v>2</v>
      </c>
      <c r="W9" t="str">
        <f>+'251007'!Z9</f>
        <v>Ik zal eniG$e schade oplopen</v>
      </c>
      <c r="X9" t="str">
        <f>+'251007'!AA9</f>
        <v>4</v>
      </c>
    </row>
    <row r="10" spans="1:24" x14ac:dyDescent="0.2">
      <c r="A10">
        <v>251007</v>
      </c>
      <c r="B10">
        <f>+'251007'!A10</f>
        <v>9</v>
      </c>
      <c r="C10" t="str">
        <f>+'251007'!B10</f>
        <v>True</v>
      </c>
      <c r="D10">
        <f>+'251007'!C10</f>
        <v>45937.2519812963</v>
      </c>
      <c r="E10" t="str">
        <f>+'251007'!D10</f>
        <v>Ja, ik G$a akkoord met vrijwilliG$e deelname (bedankt voor uw medewerkinG$)!</v>
      </c>
      <c r="F10" t="str">
        <f>+'251007'!E10</f>
        <v>t2p6</v>
      </c>
      <c r="G10" t="str">
        <f>+'251007'!F10</f>
        <v>Ja, maar zonder verstorinG$en of schade</v>
      </c>
      <c r="H10" t="str">
        <f>+'251007'!G10</f>
        <v>2</v>
      </c>
      <c r="I10" t="str">
        <f>+'251007'!H10</f>
        <v>Nooit</v>
      </c>
      <c r="J10" t="str">
        <f>+'251007'!I10</f>
        <v>1</v>
      </c>
      <c r="K10" t="str">
        <f>+'251007'!J10</f>
        <v>Eén keer in het afG$elopen jaar</v>
      </c>
      <c r="L10" t="str">
        <f>+'251007'!K10</f>
        <v>2</v>
      </c>
      <c r="M10" t="str">
        <f>+'251007'!L10</f>
        <v>Eén keer in de afG$elopen zes maanden</v>
      </c>
      <c r="N10" t="str">
        <f>+'251007'!M10</f>
        <v>3</v>
      </c>
      <c r="O10" t="str">
        <f>+'251007'!N10</f>
        <v>Eén keer in de afG$elopen zes maanden</v>
      </c>
      <c r="P10" t="str">
        <f>+'251007'!O10</f>
        <v>3</v>
      </c>
      <c r="Q10" t="str">
        <f>+'251007'!P10</f>
        <v>Eén keer in het afG$elopen jaar</v>
      </c>
      <c r="R10" t="str">
        <f>+'251007'!Q10</f>
        <v>2</v>
      </c>
      <c r="S10" t="str">
        <f>+'251007'!V10</f>
        <v>Zeer onwaarschijnlijk</v>
      </c>
      <c r="T10" t="str">
        <f>+'251007'!W10</f>
        <v>1</v>
      </c>
      <c r="U10" t="str">
        <f>+'251007'!X10</f>
        <v>Een kleine toename</v>
      </c>
      <c r="V10" t="str">
        <f>+'251007'!Y10</f>
        <v>2</v>
      </c>
      <c r="W10" t="str">
        <f>+'251007'!Z10</f>
        <v>Ik zou lichte schade kunnen oplopen</v>
      </c>
      <c r="X10" t="str">
        <f>+'251007'!AA10</f>
        <v>3</v>
      </c>
    </row>
    <row r="11" spans="1:24" x14ac:dyDescent="0.2">
      <c r="A11">
        <v>251007</v>
      </c>
      <c r="B11">
        <f>+'251007'!A11</f>
        <v>10</v>
      </c>
      <c r="C11" t="str">
        <f>+'251007'!B11</f>
        <v>True</v>
      </c>
      <c r="D11">
        <f>+'251007'!C11</f>
        <v>45937.252174247682</v>
      </c>
      <c r="E11" t="str">
        <f>+'251007'!D11</f>
        <v>Ja, ik G$a akkoord met vrijwilliG$e deelname (bedankt voor uw medewerkinG$)!</v>
      </c>
      <c r="F11" t="str">
        <f>+'251007'!E11</f>
        <v>t4p4</v>
      </c>
      <c r="G11" t="str">
        <f>+'251007'!F11</f>
        <v>Ja, met lichte verstorinG$en of schade</v>
      </c>
      <c r="H11" t="str">
        <f>+'251007'!G11</f>
        <v>3</v>
      </c>
      <c r="I11" t="str">
        <f>+'251007'!H11</f>
        <v>Eén keer in de afG$elopen zes maanden</v>
      </c>
      <c r="J11" t="str">
        <f>+'251007'!I11</f>
        <v>3</v>
      </c>
      <c r="K11" t="str">
        <f>+'251007'!J11</f>
        <v>Eén keer per daG$</v>
      </c>
      <c r="L11" t="str">
        <f>+'251007'!K11</f>
        <v>6</v>
      </c>
      <c r="M11" t="str">
        <f>+'251007'!L11</f>
        <v>Eén keer in de afG$elopen zes maanden</v>
      </c>
      <c r="N11" t="str">
        <f>+'251007'!M11</f>
        <v>3</v>
      </c>
      <c r="O11" t="str">
        <f>+'251007'!N11</f>
        <v>Eén keer per daG$</v>
      </c>
      <c r="P11" t="str">
        <f>+'251007'!O11</f>
        <v>6</v>
      </c>
      <c r="Q11" t="str">
        <f>+'251007'!P11</f>
        <v>Nooit</v>
      </c>
      <c r="R11" t="str">
        <f>+'251007'!Q11</f>
        <v>1</v>
      </c>
      <c r="S11" t="str">
        <f>+'251007'!V11</f>
        <v>Waarschijnlijk</v>
      </c>
      <c r="T11" t="str">
        <f>+'251007'!W11</f>
        <v>4</v>
      </c>
      <c r="U11" t="str">
        <f>+'251007'!X11</f>
        <v>Een G$rote toename</v>
      </c>
      <c r="V11" t="str">
        <f>+'251007'!Y11</f>
        <v>4</v>
      </c>
      <c r="W11" t="str">
        <f>+'251007'!Z11</f>
        <v>Ik zou lichte schade kunnen oplopen</v>
      </c>
      <c r="X11" t="str">
        <f>+'251007'!AA11</f>
        <v>3</v>
      </c>
    </row>
    <row r="12" spans="1:24" x14ac:dyDescent="0.2">
      <c r="A12">
        <v>251007</v>
      </c>
      <c r="B12">
        <f>+'251007'!A12</f>
        <v>11</v>
      </c>
      <c r="C12" t="str">
        <f>+'251007'!B12</f>
        <v>True</v>
      </c>
      <c r="D12">
        <f>+'251007'!C12</f>
        <v>45937.252205034732</v>
      </c>
      <c r="E12" t="str">
        <f>+'251007'!D12</f>
        <v>Ja, ik G$a akkoord met vrijwilliG$e deelname (bedankt voor uw medewerkinG$)!</v>
      </c>
      <c r="F12" t="str">
        <f>+'251007'!E12</f>
        <v>t3p5</v>
      </c>
      <c r="G12" t="str">
        <f>+'251007'!F12</f>
        <v>Nee, ik heb G$een ervarinG$ met overstrominG$en</v>
      </c>
      <c r="H12" t="str">
        <f>+'251007'!G12</f>
        <v>1</v>
      </c>
      <c r="I12" t="str">
        <f>+'251007'!H12</f>
        <v>Eén keer in de afG$elopen zes maanden</v>
      </c>
      <c r="J12" t="str">
        <f>+'251007'!I12</f>
        <v>3</v>
      </c>
      <c r="K12" t="str">
        <f>+'251007'!J12</f>
        <v>Eén keer per maand</v>
      </c>
      <c r="L12" t="str">
        <f>+'251007'!K12</f>
        <v>4</v>
      </c>
      <c r="M12" t="str">
        <f>+'251007'!L12</f>
        <v>Nooit</v>
      </c>
      <c r="N12" t="str">
        <f>+'251007'!M12</f>
        <v>1</v>
      </c>
      <c r="O12" t="str">
        <f>+'251007'!N12</f>
        <v>Eén keer in de afG$elopen zes maanden</v>
      </c>
      <c r="P12" t="str">
        <f>+'251007'!O12</f>
        <v>3</v>
      </c>
      <c r="Q12" t="str">
        <f>+'251007'!P12</f>
        <v>Eén keer in de afG$elopen zes maanden</v>
      </c>
      <c r="R12" t="str">
        <f>+'251007'!Q12</f>
        <v>3</v>
      </c>
      <c r="S12" t="str">
        <f>+'251007'!V12</f>
        <v>Zeer onwaarschijnlijk</v>
      </c>
      <c r="T12" t="str">
        <f>+'251007'!W12</f>
        <v>1</v>
      </c>
      <c r="U12" t="str">
        <f>+'251007'!X12</f>
        <v>G$een toename</v>
      </c>
      <c r="V12" t="str">
        <f>+'251007'!Y12</f>
        <v>1</v>
      </c>
      <c r="W12" t="str">
        <f>+'251007'!Z12</f>
        <v>G$een, Ik zal niet overstromen</v>
      </c>
      <c r="X12" t="str">
        <f>+'251007'!AA12</f>
        <v>1</v>
      </c>
    </row>
    <row r="13" spans="1:24" x14ac:dyDescent="0.2">
      <c r="A13">
        <v>251007</v>
      </c>
      <c r="B13">
        <f>+'251007'!A13</f>
        <v>12</v>
      </c>
      <c r="C13" t="str">
        <f>+'251007'!B13</f>
        <v>True</v>
      </c>
      <c r="D13">
        <f>+'251007'!C13</f>
        <v>45937.252322499997</v>
      </c>
      <c r="E13" t="str">
        <f>+'251007'!D13</f>
        <v>Ja, ik G$a akkoord met vrijwilliG$e deelname (bedankt voor uw medewerkinG$)!</v>
      </c>
      <c r="F13" t="str">
        <f>+'251007'!E13</f>
        <v>t1p1</v>
      </c>
      <c r="G13" t="str">
        <f>+'251007'!F13</f>
        <v>Nee, ik heb G$een ervarinG$ met overstrominG$en</v>
      </c>
      <c r="H13" t="str">
        <f>+'251007'!G13</f>
        <v>1</v>
      </c>
      <c r="I13" t="str">
        <f>+'251007'!H13</f>
        <v>Nooit</v>
      </c>
      <c r="J13" t="str">
        <f>+'251007'!I13</f>
        <v>1</v>
      </c>
      <c r="K13" t="str">
        <f>+'251007'!J13</f>
        <v>Nooit</v>
      </c>
      <c r="L13" t="str">
        <f>+'251007'!K13</f>
        <v>1</v>
      </c>
      <c r="M13" t="str">
        <f>+'251007'!L13</f>
        <v>Nooit</v>
      </c>
      <c r="N13" t="str">
        <f>+'251007'!M13</f>
        <v>1</v>
      </c>
      <c r="O13" t="str">
        <f>+'251007'!N13</f>
        <v>Eén keer in de afG$elopen zes maanden</v>
      </c>
      <c r="P13" t="str">
        <f>+'251007'!O13</f>
        <v>3</v>
      </c>
      <c r="Q13" t="str">
        <f>+'251007'!P13</f>
        <v>Nooit</v>
      </c>
      <c r="R13" t="str">
        <f>+'251007'!Q13</f>
        <v>1</v>
      </c>
      <c r="S13" t="str">
        <f>+'251007'!V13</f>
        <v>Zeer onwaarschijnlijk</v>
      </c>
      <c r="T13" t="str">
        <f>+'251007'!W13</f>
        <v>1</v>
      </c>
      <c r="U13" t="str">
        <f>+'251007'!X13</f>
        <v>G$een toename</v>
      </c>
      <c r="V13" t="str">
        <f>+'251007'!Y13</f>
        <v>1</v>
      </c>
      <c r="W13" t="str">
        <f>+'251007'!Z13</f>
        <v>G$een, Ik zal niet overstromen</v>
      </c>
      <c r="X13" t="str">
        <f>+'251007'!AA13</f>
        <v>1</v>
      </c>
    </row>
    <row r="14" spans="1:24" x14ac:dyDescent="0.2">
      <c r="A14">
        <v>251007</v>
      </c>
      <c r="B14">
        <f>+'251007'!A14</f>
        <v>13</v>
      </c>
      <c r="C14" t="str">
        <f>+'251007'!B14</f>
        <v>True</v>
      </c>
      <c r="D14">
        <f>+'251007'!C14</f>
        <v>45937.252370150462</v>
      </c>
      <c r="E14" t="str">
        <f>+'251007'!D14</f>
        <v>Ja, ik G$a akkoord met vrijwilliG$e deelname (bedankt voor uw medewerkinG$)!</v>
      </c>
      <c r="F14" t="str">
        <f>+'251007'!E14</f>
        <v>t1p3</v>
      </c>
      <c r="G14" t="str">
        <f>+'251007'!F14</f>
        <v>Ja, met eniG$e verstorinG$en of schade</v>
      </c>
      <c r="H14" t="str">
        <f>+'251007'!G14</f>
        <v>4</v>
      </c>
      <c r="I14" t="str">
        <f>+'251007'!H14</f>
        <v>Eén keer in de afG$elopen zes maanden</v>
      </c>
      <c r="J14" t="str">
        <f>+'251007'!I14</f>
        <v>3</v>
      </c>
      <c r="K14" t="str">
        <f>+'251007'!J14</f>
        <v>Eén keer per daG$</v>
      </c>
      <c r="L14" t="str">
        <f>+'251007'!K14</f>
        <v>6</v>
      </c>
      <c r="M14" t="str">
        <f>+'251007'!L14</f>
        <v>Eén keer in de afG$elopen zes maanden</v>
      </c>
      <c r="N14" t="str">
        <f>+'251007'!M14</f>
        <v>3</v>
      </c>
      <c r="O14" t="str">
        <f>+'251007'!N14</f>
        <v>Eén keer per daG$</v>
      </c>
      <c r="P14" t="str">
        <f>+'251007'!O14</f>
        <v>6</v>
      </c>
      <c r="Q14" t="str">
        <f>+'251007'!P14</f>
        <v>Eén keer per week</v>
      </c>
      <c r="R14" t="str">
        <f>+'251007'!Q14</f>
        <v>5</v>
      </c>
      <c r="S14" t="str">
        <f>+'251007'!V14</f>
        <v>Zeer onwaarschijnlijk</v>
      </c>
      <c r="T14" t="str">
        <f>+'251007'!W14</f>
        <v>1</v>
      </c>
      <c r="U14" t="str">
        <f>+'251007'!X14</f>
        <v>Een kleine toename</v>
      </c>
      <c r="V14" t="str">
        <f>+'251007'!Y14</f>
        <v>2</v>
      </c>
      <c r="W14" t="str">
        <f>+'251007'!Z14</f>
        <v>G$een, Ik zal niet overstromen</v>
      </c>
      <c r="X14" t="str">
        <f>+'251007'!AA14</f>
        <v>1</v>
      </c>
    </row>
    <row r="15" spans="1:24" x14ac:dyDescent="0.2">
      <c r="A15">
        <v>251007</v>
      </c>
      <c r="B15">
        <f>+'251007'!A15</f>
        <v>14</v>
      </c>
      <c r="C15" t="str">
        <f>+'251007'!B15</f>
        <v>True</v>
      </c>
      <c r="D15">
        <f>+'251007'!C15</f>
        <v>45937.252417337957</v>
      </c>
      <c r="E15" t="str">
        <f>+'251007'!D15</f>
        <v>Ja, ik G$a akkoord met vrijwilliG$e deelname (bedankt voor uw medewerkinG$)!</v>
      </c>
      <c r="F15" t="str">
        <f>+'251007'!E15</f>
        <v>t2p1</v>
      </c>
      <c r="G15" t="str">
        <f>+'251007'!F15</f>
        <v>Ja, met eniG$e verstorinG$en of schade</v>
      </c>
      <c r="H15" t="str">
        <f>+'251007'!G15</f>
        <v>4</v>
      </c>
      <c r="I15" t="str">
        <f>+'251007'!H15</f>
        <v>Nooit</v>
      </c>
      <c r="J15" t="str">
        <f>+'251007'!I15</f>
        <v>1</v>
      </c>
      <c r="K15" t="str">
        <f>+'251007'!J15</f>
        <v>Eén keer in het afG$elopen jaar</v>
      </c>
      <c r="L15" t="str">
        <f>+'251007'!K15</f>
        <v>2</v>
      </c>
      <c r="M15" t="str">
        <f>+'251007'!L15</f>
        <v>Nooit</v>
      </c>
      <c r="N15" t="str">
        <f>+'251007'!M15</f>
        <v>1</v>
      </c>
      <c r="O15" t="str">
        <f>+'251007'!N15</f>
        <v>Eén keer per week</v>
      </c>
      <c r="P15" t="str">
        <f>+'251007'!O15</f>
        <v>5</v>
      </c>
      <c r="Q15" t="str">
        <f>+'251007'!P15</f>
        <v>Eén keer in de afG$elopen zes maanden</v>
      </c>
      <c r="R15" t="str">
        <f>+'251007'!Q15</f>
        <v>3</v>
      </c>
      <c r="S15" t="str">
        <f>+'251007'!V15</f>
        <v>Zeer onwaarschijnlijk</v>
      </c>
      <c r="T15" t="str">
        <f>+'251007'!W15</f>
        <v>1</v>
      </c>
      <c r="U15" t="str">
        <f>+'251007'!X15</f>
        <v>Een kleine toename</v>
      </c>
      <c r="V15" t="str">
        <f>+'251007'!Y15</f>
        <v>2</v>
      </c>
      <c r="W15" t="str">
        <f>+'251007'!Z15</f>
        <v>Ik zal eniG$e schade oplopen</v>
      </c>
      <c r="X15" t="str">
        <f>+'251007'!AA15</f>
        <v>4</v>
      </c>
    </row>
    <row r="16" spans="1:24" x14ac:dyDescent="0.2">
      <c r="A16">
        <v>251007</v>
      </c>
      <c r="B16">
        <f>+'251007'!A16</f>
        <v>15</v>
      </c>
      <c r="C16" t="str">
        <f>+'251007'!B16</f>
        <v>True</v>
      </c>
      <c r="D16">
        <f>+'251007'!C16</f>
        <v>45937.252912488417</v>
      </c>
      <c r="E16" t="str">
        <f>+'251007'!D16</f>
        <v>Ja, ik G$a akkoord met vrijwilliG$e deelname (bedankt voor uw medewerkinG$)!</v>
      </c>
      <c r="F16" t="str">
        <f>+'251007'!E16</f>
        <v>t4p2</v>
      </c>
      <c r="G16" t="str">
        <f>+'251007'!F16</f>
        <v>Nee, ik heb G$een ervarinG$ met overstrominG$en</v>
      </c>
      <c r="H16" t="str">
        <f>+'251007'!G16</f>
        <v>1</v>
      </c>
      <c r="I16" t="str">
        <f>+'251007'!H16</f>
        <v>Eén keer in de afG$elopen zes maanden</v>
      </c>
      <c r="J16" t="str">
        <f>+'251007'!I16</f>
        <v>3</v>
      </c>
      <c r="K16" t="str">
        <f>+'251007'!J16</f>
        <v>Eén keer in het afG$elopen jaar</v>
      </c>
      <c r="L16" t="str">
        <f>+'251007'!K16</f>
        <v>2</v>
      </c>
      <c r="M16" t="str">
        <f>+'251007'!L16</f>
        <v>Eén keer in het afG$elopen jaar</v>
      </c>
      <c r="N16" t="str">
        <f>+'251007'!M16</f>
        <v>2</v>
      </c>
      <c r="O16" t="str">
        <f>+'251007'!N16</f>
        <v>Eén keer in het afG$elopen jaar</v>
      </c>
      <c r="P16" t="str">
        <f>+'251007'!O16</f>
        <v>2</v>
      </c>
      <c r="Q16" t="str">
        <f>+'251007'!P16</f>
        <v>Eén keer in het afG$elopen jaar</v>
      </c>
      <c r="R16" t="str">
        <f>+'251007'!Q16</f>
        <v>2</v>
      </c>
      <c r="S16" t="str">
        <f>+'251007'!V16</f>
        <v>Onwaarschijnlijk</v>
      </c>
      <c r="T16" t="str">
        <f>+'251007'!W16</f>
        <v>2</v>
      </c>
      <c r="U16" t="str">
        <f>+'251007'!X16</f>
        <v>Een kleine toename</v>
      </c>
      <c r="V16" t="str">
        <f>+'251007'!Y16</f>
        <v>2</v>
      </c>
      <c r="W16" t="str">
        <f>+'251007'!Z16</f>
        <v>Als ik overstroom, zal ik G$een schade hebben</v>
      </c>
      <c r="X16" t="str">
        <f>+'251007'!AA16</f>
        <v>2</v>
      </c>
    </row>
    <row r="17" spans="1:24" x14ac:dyDescent="0.2">
      <c r="A17">
        <v>251007</v>
      </c>
      <c r="B17">
        <f>+'251007'!A17</f>
        <v>16</v>
      </c>
      <c r="C17" t="str">
        <f>+'251007'!B17</f>
        <v>True</v>
      </c>
      <c r="D17">
        <f>+'251007'!C17</f>
        <v>45937.252994618058</v>
      </c>
      <c r="E17" t="str">
        <f>+'251007'!D17</f>
        <v>Ja, ik G$a akkoord met vrijwilliG$e deelname (bedankt voor uw medewerkinG$)!</v>
      </c>
      <c r="F17" t="str">
        <f>+'251007'!E17</f>
        <v>t3p6</v>
      </c>
      <c r="G17" t="str">
        <f>+'251007'!F17</f>
        <v>Nee, ik heb G$een ervarinG$ met overstrominG$en</v>
      </c>
      <c r="H17" t="str">
        <f>+'251007'!G17</f>
        <v>1</v>
      </c>
      <c r="I17" t="str">
        <f>+'251007'!H17</f>
        <v>Eén keer in het afG$elopen jaar</v>
      </c>
      <c r="J17" t="str">
        <f>+'251007'!I17</f>
        <v>2</v>
      </c>
      <c r="K17" t="str">
        <f>+'251007'!J17</f>
        <v>Eén keer per daG$</v>
      </c>
      <c r="L17" t="str">
        <f>+'251007'!K17</f>
        <v>6</v>
      </c>
      <c r="M17" t="str">
        <f>+'251007'!L17</f>
        <v>Nooit</v>
      </c>
      <c r="N17" t="str">
        <f>+'251007'!M17</f>
        <v>1</v>
      </c>
      <c r="O17" t="str">
        <f>+'251007'!N17</f>
        <v>Eén keer per daG$</v>
      </c>
      <c r="P17" t="str">
        <f>+'251007'!O17</f>
        <v>6</v>
      </c>
      <c r="Q17" t="str">
        <f>+'251007'!P17</f>
        <v>Eén keer in de afG$elopen zes maanden</v>
      </c>
      <c r="R17" t="str">
        <f>+'251007'!Q17</f>
        <v>3</v>
      </c>
      <c r="S17" t="str">
        <f>+'251007'!V17</f>
        <v>Zeer onwaarschijnlijk</v>
      </c>
      <c r="T17" t="str">
        <f>+'251007'!W17</f>
        <v>1</v>
      </c>
      <c r="U17" t="str">
        <f>+'251007'!X17</f>
        <v>Een G$rote toename</v>
      </c>
      <c r="V17" t="str">
        <f>+'251007'!Y17</f>
        <v>4</v>
      </c>
      <c r="W17" t="str">
        <f>+'251007'!Z17</f>
        <v>G$een, Ik zal niet overstromen</v>
      </c>
      <c r="X17" t="str">
        <f>+'251007'!AA17</f>
        <v>1</v>
      </c>
    </row>
    <row r="18" spans="1:24" x14ac:dyDescent="0.2">
      <c r="A18">
        <v>251007</v>
      </c>
      <c r="B18">
        <f>+'251007'!A18</f>
        <v>17</v>
      </c>
      <c r="C18" t="str">
        <f>+'251007'!B18</f>
        <v>True</v>
      </c>
      <c r="D18">
        <f>+'251007'!C18</f>
        <v>45937.253339201387</v>
      </c>
      <c r="E18" t="str">
        <f>+'251007'!D18</f>
        <v>Ja, ik G$a akkoord met vrijwilliG$e deelname (bedankt voor uw medewerkinG$)!</v>
      </c>
      <c r="F18" t="str">
        <f>+'251007'!E18</f>
        <v>table</v>
      </c>
      <c r="G18" t="str">
        <f>+'251007'!F18</f>
        <v>Nee, ik heb G$een ervarinG$ met overstrominG$en</v>
      </c>
      <c r="H18" t="str">
        <f>+'251007'!G18</f>
        <v>1</v>
      </c>
      <c r="I18" t="str">
        <f>+'251007'!H18</f>
        <v>Eén keer in het afG$elopen jaar</v>
      </c>
      <c r="J18" t="str">
        <f>+'251007'!I18</f>
        <v>2</v>
      </c>
      <c r="K18" t="str">
        <f>+'251007'!J18</f>
        <v>Eén keer per daG$</v>
      </c>
      <c r="L18" t="str">
        <f>+'251007'!K18</f>
        <v>6</v>
      </c>
      <c r="M18" t="str">
        <f>+'251007'!L18</f>
        <v>Eén keer in het afG$elopen jaar</v>
      </c>
      <c r="N18" t="str">
        <f>+'251007'!M18</f>
        <v>2</v>
      </c>
      <c r="O18" t="str">
        <f>+'251007'!N18</f>
        <v>Eén keer per daG$</v>
      </c>
      <c r="P18" t="str">
        <f>+'251007'!O18</f>
        <v>6</v>
      </c>
      <c r="Q18" t="str">
        <f>+'251007'!P18</f>
        <v>Eén keer in de afG$elopen zes maanden</v>
      </c>
      <c r="R18" t="str">
        <f>+'251007'!Q18</f>
        <v>3</v>
      </c>
      <c r="S18" t="str">
        <f>+'251007'!V18</f>
        <v>Zeer onwaarschijnlijk</v>
      </c>
      <c r="T18" t="str">
        <f>+'251007'!W18</f>
        <v>1</v>
      </c>
      <c r="U18" t="str">
        <f>+'251007'!X18</f>
        <v>G$een toename</v>
      </c>
      <c r="V18" t="str">
        <f>+'251007'!Y18</f>
        <v>1</v>
      </c>
      <c r="W18" t="str">
        <f>+'251007'!Z18</f>
        <v>G$een, Ik zal niet overstromen</v>
      </c>
      <c r="X18" t="str">
        <f>+'251007'!AA18</f>
        <v>1</v>
      </c>
    </row>
    <row r="19" spans="1:24" x14ac:dyDescent="0.2">
      <c r="A19">
        <v>251007</v>
      </c>
      <c r="B19">
        <f>+'251007'!A19</f>
        <v>18</v>
      </c>
      <c r="C19" t="str">
        <f>+'251007'!B19</f>
        <v>True</v>
      </c>
      <c r="D19">
        <f>+'251007'!C19</f>
        <v>45937.253520937513</v>
      </c>
      <c r="E19" t="str">
        <f>+'251007'!D19</f>
        <v>Ja, ik G$a akkoord met vrijwilliG$e deelname (bedankt voor uw medewerkinG$)!</v>
      </c>
      <c r="F19" t="str">
        <f>+'251007'!E19</f>
        <v>t4p3</v>
      </c>
      <c r="G19" t="str">
        <f>+'251007'!F19</f>
        <v>Ja, met ernstiG$e verstorinG$en of schade</v>
      </c>
      <c r="H19" t="str">
        <f>+'251007'!G19</f>
        <v>5</v>
      </c>
      <c r="I19" t="str">
        <f>+'251007'!H19</f>
        <v>Eén keer in het afG$elopen jaar</v>
      </c>
      <c r="J19" t="str">
        <f>+'251007'!I19</f>
        <v>2</v>
      </c>
      <c r="K19" t="str">
        <f>+'251007'!J19</f>
        <v>Eén keer per daG$</v>
      </c>
      <c r="L19" t="str">
        <f>+'251007'!K19</f>
        <v>6</v>
      </c>
      <c r="M19" t="str">
        <f>+'251007'!L19</f>
        <v>Eén keer in het afG$elopen jaar</v>
      </c>
      <c r="N19" t="str">
        <f>+'251007'!M19</f>
        <v>2</v>
      </c>
      <c r="O19" t="str">
        <f>+'251007'!N19</f>
        <v>Eén keer in de afG$elopen zes maanden</v>
      </c>
      <c r="P19" t="str">
        <f>+'251007'!O19</f>
        <v>3</v>
      </c>
      <c r="Q19" t="str">
        <f>+'251007'!P19</f>
        <v>Eén keer in de afG$elopen zes maanden</v>
      </c>
      <c r="R19" t="str">
        <f>+'251007'!Q19</f>
        <v>3</v>
      </c>
      <c r="S19" t="str">
        <f>+'251007'!V19</f>
        <v>Waarschijnlijk</v>
      </c>
      <c r="T19" t="str">
        <f>+'251007'!W19</f>
        <v>4</v>
      </c>
      <c r="U19" t="str">
        <f>+'251007'!X19</f>
        <v>G$een toename</v>
      </c>
      <c r="V19" t="str">
        <f>+'251007'!Y19</f>
        <v>1</v>
      </c>
      <c r="W19" t="str">
        <f>+'251007'!Z19</f>
        <v>G$een, Ik zal niet overstromen</v>
      </c>
      <c r="X19" t="str">
        <f>+'251007'!AA19</f>
        <v>1</v>
      </c>
    </row>
    <row r="20" spans="1:24" x14ac:dyDescent="0.2">
      <c r="A20">
        <v>251007</v>
      </c>
      <c r="B20">
        <f>+'251007'!A20</f>
        <v>19</v>
      </c>
      <c r="C20" t="str">
        <f>+'251007'!B20</f>
        <v>True</v>
      </c>
      <c r="D20">
        <f>+'251007'!C20</f>
        <v>45937.25383548611</v>
      </c>
      <c r="E20" t="str">
        <f>+'251007'!D20</f>
        <v>Ja, ik G$a akkoord met vrijwilliG$e deelname (bedankt voor uw medewerkinG$)!</v>
      </c>
      <c r="F20" t="str">
        <f>+'251007'!E20</f>
        <v>t1p5</v>
      </c>
      <c r="G20" t="str">
        <f>+'251007'!F20</f>
        <v>Ja, met lichte verstorinG$en of schade</v>
      </c>
      <c r="H20" t="str">
        <f>+'251007'!G20</f>
        <v>3</v>
      </c>
      <c r="I20" t="str">
        <f>+'251007'!H20</f>
        <v>Eén keer per maand</v>
      </c>
      <c r="J20" t="str">
        <f>+'251007'!I20</f>
        <v>4</v>
      </c>
      <c r="K20" t="str">
        <f>+'251007'!J20</f>
        <v>Eén keer per daG$</v>
      </c>
      <c r="L20" t="str">
        <f>+'251007'!K20</f>
        <v>6</v>
      </c>
      <c r="M20" t="str">
        <f>+'251007'!L20</f>
        <v>Eén keer per week</v>
      </c>
      <c r="N20" t="str">
        <f>+'251007'!M20</f>
        <v>5</v>
      </c>
      <c r="O20" t="str">
        <f>+'251007'!N20</f>
        <v>Eén keer per daG$</v>
      </c>
      <c r="P20" t="str">
        <f>+'251007'!O20</f>
        <v>6</v>
      </c>
      <c r="Q20" t="str">
        <f>+'251007'!P20</f>
        <v>Eén keer per daG$</v>
      </c>
      <c r="R20" t="str">
        <f>+'251007'!Q20</f>
        <v>6</v>
      </c>
      <c r="S20" t="str">
        <f>+'251007'!V20</f>
        <v>Neutraal</v>
      </c>
      <c r="T20" t="str">
        <f>+'251007'!W20</f>
        <v>3</v>
      </c>
      <c r="U20" t="str">
        <f>+'251007'!X20</f>
        <v>Een G$rote toename</v>
      </c>
      <c r="V20" t="str">
        <f>+'251007'!Y20</f>
        <v>4</v>
      </c>
      <c r="W20" t="str">
        <f>+'251007'!Z20</f>
        <v>Ik zal eniG$e schade oplopen</v>
      </c>
      <c r="X20" t="str">
        <f>+'251007'!AA20</f>
        <v>4</v>
      </c>
    </row>
    <row r="21" spans="1:24" x14ac:dyDescent="0.2">
      <c r="A21">
        <v>251007</v>
      </c>
      <c r="B21">
        <f>+'251007'!A21</f>
        <v>20</v>
      </c>
      <c r="C21" t="str">
        <f>+'251007'!B21</f>
        <v>True</v>
      </c>
      <c r="D21">
        <f>+'251007'!C21</f>
        <v>45937.254022986112</v>
      </c>
      <c r="E21" t="str">
        <f>+'251007'!D21</f>
        <v>Ja, ik G$a akkoord met vrijwilliG$e deelname (bedankt voor uw medewerkinG$)!</v>
      </c>
      <c r="F21" t="str">
        <f>+'251007'!E21</f>
        <v>t1p4</v>
      </c>
      <c r="G21" t="str">
        <f>+'251007'!F21</f>
        <v>Nee, ik heb G$een ervarinG$ met overstrominG$en</v>
      </c>
      <c r="H21" t="str">
        <f>+'251007'!G21</f>
        <v>1</v>
      </c>
      <c r="I21" t="str">
        <f>+'251007'!H21</f>
        <v>Eén keer per week</v>
      </c>
      <c r="J21" t="str">
        <f>+'251007'!I21</f>
        <v>5</v>
      </c>
      <c r="K21" t="str">
        <f>+'251007'!J21</f>
        <v>Eén keer per maand</v>
      </c>
      <c r="L21" t="str">
        <f>+'251007'!K21</f>
        <v>4</v>
      </c>
      <c r="M21" t="str">
        <f>+'251007'!L21</f>
        <v>Eén keer per week</v>
      </c>
      <c r="N21" t="str">
        <f>+'251007'!M21</f>
        <v>5</v>
      </c>
      <c r="O21" t="str">
        <f>+'251007'!N21</f>
        <v>Eén keer per maand</v>
      </c>
      <c r="P21" t="str">
        <f>+'251007'!O21</f>
        <v>4</v>
      </c>
      <c r="Q21" t="str">
        <f>+'251007'!P21</f>
        <v>Eén keer per week</v>
      </c>
      <c r="R21" t="str">
        <f>+'251007'!Q21</f>
        <v>5</v>
      </c>
      <c r="S21" t="str">
        <f>+'251007'!V21</f>
        <v>Zeer onwaarschijnlijk</v>
      </c>
      <c r="T21" t="str">
        <f>+'251007'!W21</f>
        <v>1</v>
      </c>
      <c r="U21" t="str">
        <f>+'251007'!X21</f>
        <v>Een G$rote toename</v>
      </c>
      <c r="V21" t="str">
        <f>+'251007'!Y21</f>
        <v>4</v>
      </c>
      <c r="W21" t="str">
        <f>+'251007'!Z21</f>
        <v>Als ik overstroom, zal ik G$een schade hebben</v>
      </c>
      <c r="X21" t="str">
        <f>+'251007'!AA21</f>
        <v>2</v>
      </c>
    </row>
    <row r="22" spans="1:24" x14ac:dyDescent="0.2">
      <c r="A22">
        <v>251007</v>
      </c>
      <c r="B22">
        <f>+'251007'!A22</f>
        <v>21</v>
      </c>
      <c r="C22" t="str">
        <f>+'251007'!B22</f>
        <v>True</v>
      </c>
      <c r="D22">
        <f>+'251007'!C22</f>
        <v>45937.254370590279</v>
      </c>
      <c r="E22" t="str">
        <f>+'251007'!D22</f>
        <v>Ja, ik G$a akkoord met vrijwilliG$e deelname (bedankt voor uw medewerkinG$)!</v>
      </c>
      <c r="F22" t="str">
        <f>+'251007'!E22</f>
        <v>t1p2</v>
      </c>
      <c r="G22" t="str">
        <f>+'251007'!F22</f>
        <v>Nee, ik heb G$een ervarinG$ met overstrominG$en</v>
      </c>
      <c r="H22" t="str">
        <f>+'251007'!G22</f>
        <v>1</v>
      </c>
      <c r="I22" t="str">
        <f>+'251007'!H22</f>
        <v>Eén keer in de afG$elopen zes maanden</v>
      </c>
      <c r="J22" t="str">
        <f>+'251007'!I22</f>
        <v>3</v>
      </c>
      <c r="K22" t="str">
        <f>+'251007'!J22</f>
        <v>Eén keer in de afG$elopen zes maanden</v>
      </c>
      <c r="L22" t="str">
        <f>+'251007'!K22</f>
        <v>3</v>
      </c>
      <c r="M22" t="str">
        <f>+'251007'!L22</f>
        <v>Eén keer in de afG$elopen zes maanden</v>
      </c>
      <c r="N22" t="str">
        <f>+'251007'!M22</f>
        <v>3</v>
      </c>
      <c r="O22" t="str">
        <f>+'251007'!N22</f>
        <v>Eén keer per maand</v>
      </c>
      <c r="P22" t="str">
        <f>+'251007'!O22</f>
        <v>4</v>
      </c>
      <c r="Q22" t="str">
        <f>+'251007'!P22</f>
        <v>Nooit</v>
      </c>
      <c r="R22" t="str">
        <f>+'251007'!Q22</f>
        <v>1</v>
      </c>
      <c r="S22" t="str">
        <f>+'251007'!V22</f>
        <v>Waarschijnlijk</v>
      </c>
      <c r="T22" t="str">
        <f>+'251007'!W22</f>
        <v>4</v>
      </c>
      <c r="U22" t="str">
        <f>+'251007'!X22</f>
        <v>Een kleine toename</v>
      </c>
      <c r="V22" t="str">
        <f>+'251007'!Y22</f>
        <v>2</v>
      </c>
      <c r="W22" t="str">
        <f>+'251007'!Z22</f>
        <v>Ik zal eniG$e schade oplopen</v>
      </c>
      <c r="X22" t="str">
        <f>+'251007'!AA22</f>
        <v>4</v>
      </c>
    </row>
    <row r="23" spans="1:24" x14ac:dyDescent="0.2">
      <c r="A23">
        <v>251007</v>
      </c>
      <c r="B23">
        <f>+'251007'!A23</f>
        <v>22</v>
      </c>
      <c r="C23" t="str">
        <f>+'251007'!B23</f>
        <v>True</v>
      </c>
      <c r="D23">
        <f>+'251007'!C23</f>
        <v>45937.254578773151</v>
      </c>
      <c r="E23" t="str">
        <f>+'251007'!D23</f>
        <v>Ja, ik G$a akkoord met vrijwilliG$e deelname (bedankt voor uw medewerkinG$)!</v>
      </c>
      <c r="F23" t="str">
        <f>+'251007'!E23</f>
        <v>t1p6</v>
      </c>
      <c r="G23" t="str">
        <f>+'251007'!F23</f>
        <v>Nee, ik heb G$een ervarinG$ met overstrominG$en</v>
      </c>
      <c r="H23" t="str">
        <f>+'251007'!G23</f>
        <v>1</v>
      </c>
      <c r="I23" t="str">
        <f>+'251007'!H23</f>
        <v>Eén keer in de afG$elopen zes maanden</v>
      </c>
      <c r="J23" t="str">
        <f>+'251007'!I23</f>
        <v>3</v>
      </c>
      <c r="K23" t="str">
        <f>+'251007'!J23</f>
        <v>Eén keer per week</v>
      </c>
      <c r="L23" t="str">
        <f>+'251007'!K23</f>
        <v>5</v>
      </c>
      <c r="M23" t="str">
        <f>+'251007'!L23</f>
        <v>Eén keer in de afG$elopen zes maanden</v>
      </c>
      <c r="N23" t="str">
        <f>+'251007'!M23</f>
        <v>3</v>
      </c>
      <c r="O23" t="str">
        <f>+'251007'!N23</f>
        <v>Eén keer per daG$</v>
      </c>
      <c r="P23" t="str">
        <f>+'251007'!O23</f>
        <v>6</v>
      </c>
      <c r="Q23" t="str">
        <f>+'251007'!P23</f>
        <v>Eén keer per daG$</v>
      </c>
      <c r="R23" t="str">
        <f>+'251007'!Q23</f>
        <v>6</v>
      </c>
      <c r="S23" t="str">
        <f>+'251007'!V23</f>
        <v>Zeer onwaarschijnlijk</v>
      </c>
      <c r="T23" t="str">
        <f>+'251007'!W23</f>
        <v>1</v>
      </c>
      <c r="U23" t="str">
        <f>+'251007'!X23</f>
        <v>G$een toename</v>
      </c>
      <c r="V23" t="str">
        <f>+'251007'!Y23</f>
        <v>1</v>
      </c>
      <c r="W23" t="str">
        <f>+'251007'!Z23</f>
        <v>G$een, Ik zal niet overstromen</v>
      </c>
      <c r="X23" t="str">
        <f>+'251007'!AA23</f>
        <v>1</v>
      </c>
    </row>
    <row r="24" spans="1:24" x14ac:dyDescent="0.2">
      <c r="A24">
        <v>251007</v>
      </c>
      <c r="B24">
        <f>+'251007'!A24</f>
        <v>23</v>
      </c>
      <c r="C24" t="str">
        <f>+'251007'!B24</f>
        <v>True</v>
      </c>
      <c r="D24">
        <f>+'251007'!C24</f>
        <v>45937.256146608786</v>
      </c>
      <c r="E24" t="str">
        <f>+'251007'!D24</f>
        <v>Ja, ik G$a akkoord met vrijwilliG$e deelname (bedankt voor uw medewerkinG$)!</v>
      </c>
      <c r="F24" t="str">
        <f>+'251007'!E24</f>
        <v>t2p2</v>
      </c>
      <c r="G24" t="str">
        <f>+'251007'!F24</f>
        <v>Nee, ik heb G$een ervarinG$ met overstrominG$en</v>
      </c>
      <c r="H24" t="str">
        <f>+'251007'!G24</f>
        <v>1</v>
      </c>
      <c r="I24" t="str">
        <f>+'251007'!H24</f>
        <v>Eén keer in het afG$elopen jaar</v>
      </c>
      <c r="J24" t="str">
        <f>+'251007'!I24</f>
        <v>2</v>
      </c>
      <c r="K24" t="str">
        <f>+'251007'!J24</f>
        <v>Eén keer in de afG$elopen zes maanden</v>
      </c>
      <c r="L24" t="str">
        <f>+'251007'!K24</f>
        <v>3</v>
      </c>
      <c r="M24" t="str">
        <f>+'251007'!L24</f>
        <v>Eén keer in de afG$elopen zes maanden</v>
      </c>
      <c r="N24" t="str">
        <f>+'251007'!M24</f>
        <v>3</v>
      </c>
      <c r="O24" t="str">
        <f>+'251007'!N24</f>
        <v>Eén keer per maand</v>
      </c>
      <c r="P24" t="str">
        <f>+'251007'!O24</f>
        <v>4</v>
      </c>
      <c r="Q24" t="str">
        <f>+'251007'!P24</f>
        <v>Nooit</v>
      </c>
      <c r="R24" t="str">
        <f>+'251007'!Q24</f>
        <v>1</v>
      </c>
      <c r="S24" t="str">
        <f>+'251007'!V24</f>
        <v>Zeer onwaarschijnlijk</v>
      </c>
      <c r="T24" t="str">
        <f>+'251007'!W24</f>
        <v>1</v>
      </c>
      <c r="U24" t="str">
        <f>+'251007'!X24</f>
        <v>Een kleine toename</v>
      </c>
      <c r="V24" t="str">
        <f>+'251007'!Y24</f>
        <v>2</v>
      </c>
      <c r="W24" t="str">
        <f>+'251007'!Z24</f>
        <v>Ik zal eniG$e schade oplopen</v>
      </c>
      <c r="X24" t="str">
        <f>+'251007'!AA24</f>
        <v>4</v>
      </c>
    </row>
    <row r="25" spans="1:24" x14ac:dyDescent="0.2">
      <c r="B25">
        <f>+'250923'!A2</f>
        <v>1</v>
      </c>
      <c r="C25" t="str">
        <f>+'250923'!B2</f>
        <v>True</v>
      </c>
      <c r="D25">
        <f>+'250923'!C2</f>
        <v>45923.103994722223</v>
      </c>
      <c r="E25" t="str">
        <f>+'250923'!D2</f>
        <v>Yes, I agree to voluntarily participate (thanks for your collaboration)!</v>
      </c>
      <c r="F25" t="str">
        <f>+'250923'!E2</f>
        <v>t1p3</v>
      </c>
      <c r="G25" t="str">
        <f>+'250923'!F2</f>
        <v>No, I do not have a flood experience</v>
      </c>
      <c r="H25" t="str">
        <f>+'250923'!G2</f>
        <v>1</v>
      </c>
      <c r="I25" t="str">
        <f>+'250923'!H2</f>
        <v>Once in the last year</v>
      </c>
      <c r="J25" t="str">
        <f>+'250923'!I2</f>
        <v>2</v>
      </c>
      <c r="K25" t="str">
        <f>+'250923'!J2</f>
        <v>Once in the last year</v>
      </c>
      <c r="L25" t="str">
        <f>+'250923'!K2</f>
        <v>2</v>
      </c>
      <c r="M25" t="str">
        <f>+'250923'!L2</f>
        <v>Never</v>
      </c>
      <c r="N25" t="str">
        <f>+'250923'!M2</f>
        <v>1</v>
      </c>
      <c r="O25" t="str">
        <f>+'250923'!N2</f>
        <v>Once in the last year</v>
      </c>
      <c r="P25" t="str">
        <f>+'250923'!O2</f>
        <v>2</v>
      </c>
      <c r="Q25" t="str">
        <f>+'250923'!P2</f>
        <v>Never</v>
      </c>
      <c r="R25" t="str">
        <f>+'250923'!Q2</f>
        <v>1</v>
      </c>
      <c r="S25" t="str">
        <f>+'250923'!V2</f>
        <v>Unlikely</v>
      </c>
      <c r="T25" t="str">
        <f>+'250923'!W2</f>
        <v>2</v>
      </c>
      <c r="U25" t="str">
        <f>+'250923'!X2</f>
        <v>A little increase</v>
      </c>
      <c r="V25" t="str">
        <f>+'250923'!Y2</f>
        <v>2</v>
      </c>
      <c r="W25" t="str">
        <f>+'250923'!Z2</f>
        <v>I might suffer minor damage</v>
      </c>
      <c r="X25" t="str">
        <f>+'250923'!AA2</f>
        <v>3</v>
      </c>
    </row>
    <row r="26" spans="1:24" x14ac:dyDescent="0.2">
      <c r="B26">
        <f>+'250923'!A3</f>
        <v>2</v>
      </c>
      <c r="C26" t="str">
        <f>+'250923'!B3</f>
        <v>True</v>
      </c>
      <c r="D26">
        <f>+'250923'!C3</f>
        <v>45923.104438032409</v>
      </c>
      <c r="E26" t="str">
        <f>+'250923'!D3</f>
        <v>Yes, I agree to voluntarily participate (thanks for your collaboration)!</v>
      </c>
      <c r="F26" t="str">
        <f>+'250923'!E3</f>
        <v>t1p1</v>
      </c>
      <c r="G26" t="str">
        <f>+'250923'!F3</f>
        <v>Yes, with minor disruptions or damages</v>
      </c>
      <c r="H26" t="str">
        <f>+'250923'!G3</f>
        <v>3</v>
      </c>
      <c r="I26" t="str">
        <f>+'250923'!H3</f>
        <v>Never</v>
      </c>
      <c r="J26" t="str">
        <f>+'250923'!I3</f>
        <v>1</v>
      </c>
      <c r="K26" t="str">
        <f>+'250923'!J3</f>
        <v>Once in the last year</v>
      </c>
      <c r="L26" t="str">
        <f>+'250923'!K3</f>
        <v>2</v>
      </c>
      <c r="M26" t="str">
        <f>+'250923'!L3</f>
        <v>Once in the last year</v>
      </c>
      <c r="N26" t="str">
        <f>+'250923'!M3</f>
        <v>2</v>
      </c>
      <c r="O26" t="str">
        <f>+'250923'!N3</f>
        <v>Once in the last six months</v>
      </c>
      <c r="P26" t="str">
        <f>+'250923'!O3</f>
        <v>3</v>
      </c>
      <c r="Q26" t="str">
        <f>+'250923'!P3</f>
        <v>Once in the last six months</v>
      </c>
      <c r="R26" t="str">
        <f>+'250923'!Q3</f>
        <v>3</v>
      </c>
      <c r="S26" t="str">
        <f>+'250923'!V3</f>
        <v>Likely</v>
      </c>
      <c r="T26" t="str">
        <f>+'250923'!W3</f>
        <v>4</v>
      </c>
      <c r="U26" t="str">
        <f>+'250923'!X3</f>
        <v>An extreme increase</v>
      </c>
      <c r="V26" t="str">
        <f>+'250923'!Y3</f>
        <v>5</v>
      </c>
      <c r="W26" t="str">
        <f>+'250923'!Z3</f>
        <v>I will suffer some damage</v>
      </c>
      <c r="X26" t="str">
        <f>+'250923'!AA3</f>
        <v>4</v>
      </c>
    </row>
    <row r="27" spans="1:24" x14ac:dyDescent="0.2">
      <c r="B27">
        <f>+'250923'!A4</f>
        <v>3</v>
      </c>
      <c r="C27" t="str">
        <f>+'250923'!B4</f>
        <v>True</v>
      </c>
      <c r="D27">
        <f>+'250923'!C4</f>
        <v>45923.10448076389</v>
      </c>
      <c r="E27" t="str">
        <f>+'250923'!D4</f>
        <v>Yes, I agree to voluntarily participate (thanks for your collaboration)!</v>
      </c>
      <c r="F27" t="str">
        <f>+'250923'!E4</f>
        <v>t2p1</v>
      </c>
      <c r="G27" t="str">
        <f>+'250923'!F4</f>
        <v>No, I do not have a flood experience</v>
      </c>
      <c r="H27" t="str">
        <f>+'250923'!G4</f>
        <v>1</v>
      </c>
      <c r="I27" t="str">
        <f>+'250923'!H4</f>
        <v>Never</v>
      </c>
      <c r="J27" t="str">
        <f>+'250923'!I4</f>
        <v>1</v>
      </c>
      <c r="K27" t="str">
        <f>+'250923'!J4</f>
        <v>Never</v>
      </c>
      <c r="L27" t="str">
        <f>+'250923'!K4</f>
        <v>1</v>
      </c>
      <c r="M27" t="str">
        <f>+'250923'!L4</f>
        <v>Never</v>
      </c>
      <c r="N27" t="str">
        <f>+'250923'!M4</f>
        <v>1</v>
      </c>
      <c r="O27" t="str">
        <f>+'250923'!N4</f>
        <v>Once in the last year</v>
      </c>
      <c r="P27" t="str">
        <f>+'250923'!O4</f>
        <v>2</v>
      </c>
      <c r="Q27" t="str">
        <f>+'250923'!P4</f>
        <v>Once in the last year</v>
      </c>
      <c r="R27" t="str">
        <f>+'250923'!Q4</f>
        <v>2</v>
      </c>
      <c r="S27" t="str">
        <f>+'250923'!V4</f>
        <v>Very unlikely</v>
      </c>
      <c r="T27" t="str">
        <f>+'250923'!W4</f>
        <v>1</v>
      </c>
      <c r="U27" t="str">
        <f>+'250923'!X4</f>
        <v>A big increase</v>
      </c>
      <c r="V27" t="str">
        <f>+'250923'!Y4</f>
        <v>4</v>
      </c>
      <c r="W27" t="str">
        <f>+'250923'!Z4</f>
        <v>I won't get flooded</v>
      </c>
      <c r="X27" t="str">
        <f>+'250923'!AA4</f>
        <v>1</v>
      </c>
    </row>
    <row r="28" spans="1:24" x14ac:dyDescent="0.2">
      <c r="B28">
        <f>+'250923'!A5</f>
        <v>4</v>
      </c>
      <c r="C28" t="str">
        <f>+'250923'!B5</f>
        <v>True</v>
      </c>
      <c r="D28">
        <f>+'250923'!C5</f>
        <v>45923.104664675928</v>
      </c>
      <c r="E28" t="str">
        <f>+'250923'!D5</f>
        <v>Yes, I agree to voluntarily participate (thanks for your collaboration)!</v>
      </c>
      <c r="F28" t="str">
        <f>+'250923'!E5</f>
        <v>t1p5</v>
      </c>
      <c r="G28" t="str">
        <f>+'250923'!F5</f>
        <v>Yes, with some disruptions or damages</v>
      </c>
      <c r="H28" t="str">
        <f>+'250923'!G5</f>
        <v>4</v>
      </c>
      <c r="I28" t="str">
        <f>+'250923'!H5</f>
        <v>Never</v>
      </c>
      <c r="J28" t="str">
        <f>+'250923'!I5</f>
        <v>1</v>
      </c>
      <c r="K28" t="str">
        <f>+'250923'!J5</f>
        <v>Once in the last six months</v>
      </c>
      <c r="L28" t="str">
        <f>+'250923'!K5</f>
        <v>3</v>
      </c>
      <c r="M28" t="str">
        <f>+'250923'!L5</f>
        <v>Never</v>
      </c>
      <c r="N28" t="str">
        <f>+'250923'!M5</f>
        <v>1</v>
      </c>
      <c r="O28" t="str">
        <f>+'250923'!N5</f>
        <v>Once in the last six months</v>
      </c>
      <c r="P28" t="str">
        <f>+'250923'!O5</f>
        <v>3</v>
      </c>
      <c r="Q28" t="str">
        <f>+'250923'!P5</f>
        <v>Once in the last six months</v>
      </c>
      <c r="R28" t="str">
        <f>+'250923'!Q5</f>
        <v>3</v>
      </c>
      <c r="S28" t="str">
        <f>+'250923'!V5</f>
        <v>Likely</v>
      </c>
      <c r="T28" t="str">
        <f>+'250923'!W5</f>
        <v>4</v>
      </c>
      <c r="U28" t="str">
        <f>+'250923'!X5</f>
        <v>An extreme increase</v>
      </c>
      <c r="V28" t="str">
        <f>+'250923'!Y5</f>
        <v>5</v>
      </c>
      <c r="W28" t="str">
        <f>+'250923'!Z5</f>
        <v>I will suffer some damage</v>
      </c>
      <c r="X28" t="str">
        <f>+'250923'!AA5</f>
        <v>4</v>
      </c>
    </row>
    <row r="29" spans="1:24" x14ac:dyDescent="0.2">
      <c r="B29">
        <f>+'250923'!A6</f>
        <v>5</v>
      </c>
      <c r="C29" t="str">
        <f>+'250923'!B6</f>
        <v>True</v>
      </c>
      <c r="D29">
        <f>+'250923'!C6</f>
        <v>45923.10492513889</v>
      </c>
      <c r="E29" t="str">
        <f>+'250923'!D6</f>
        <v>Yes, I agree to voluntarily participate (thanks for your collaboration)!</v>
      </c>
      <c r="F29" t="str">
        <f>+'250923'!E6</f>
        <v>t2 p5</v>
      </c>
      <c r="G29" t="str">
        <f>+'250923'!F6</f>
        <v>No, I do not have a flood experience</v>
      </c>
      <c r="H29" t="str">
        <f>+'250923'!G6</f>
        <v>1</v>
      </c>
      <c r="I29" t="str">
        <f>+'250923'!H6</f>
        <v>Once in the last year</v>
      </c>
      <c r="J29" t="str">
        <f>+'250923'!I6</f>
        <v>2</v>
      </c>
      <c r="K29" t="str">
        <f>+'250923'!J6</f>
        <v>Once in the last year</v>
      </c>
      <c r="L29" t="str">
        <f>+'250923'!K6</f>
        <v>2</v>
      </c>
      <c r="M29" t="str">
        <f>+'250923'!L6</f>
        <v>Never</v>
      </c>
      <c r="N29" t="str">
        <f>+'250923'!M6</f>
        <v>1</v>
      </c>
      <c r="O29" t="str">
        <f>+'250923'!N6</f>
        <v>Once in the last six months</v>
      </c>
      <c r="P29" t="str">
        <f>+'250923'!O6</f>
        <v>3</v>
      </c>
      <c r="Q29" t="str">
        <f>+'250923'!P6</f>
        <v>Once in the last six months</v>
      </c>
      <c r="R29" t="str">
        <f>+'250923'!Q6</f>
        <v>3</v>
      </c>
      <c r="S29" t="str">
        <f>+'250923'!V6</f>
        <v>Unlikely</v>
      </c>
      <c r="T29" t="str">
        <f>+'250923'!W6</f>
        <v>2</v>
      </c>
      <c r="U29" t="str">
        <f>+'250923'!X6</f>
        <v>A big increase</v>
      </c>
      <c r="V29" t="str">
        <f>+'250923'!Y6</f>
        <v>4</v>
      </c>
      <c r="W29" t="str">
        <f>+'250923'!Z6</f>
        <v>If I get flooded, I won't get damaged</v>
      </c>
      <c r="X29" t="str">
        <f>+'250923'!AA6</f>
        <v>2</v>
      </c>
    </row>
    <row r="30" spans="1:24" x14ac:dyDescent="0.2">
      <c r="B30">
        <f>+'250923'!A7</f>
        <v>6</v>
      </c>
      <c r="C30" t="str">
        <f>+'250923'!B7</f>
        <v>True</v>
      </c>
      <c r="D30">
        <f>+'250923'!C7</f>
        <v>45923.10493296296</v>
      </c>
      <c r="E30" t="str">
        <f>+'250923'!D7</f>
        <v>Yes, I agree to voluntarily participate (thanks for your collaboration)!</v>
      </c>
      <c r="F30" t="str">
        <f>+'250923'!E7</f>
        <v>2, t2</v>
      </c>
      <c r="G30" t="str">
        <f>+'250923'!F7</f>
        <v>No, I do not have a flood experience</v>
      </c>
      <c r="H30" t="str">
        <f>+'250923'!G7</f>
        <v>1</v>
      </c>
      <c r="I30" t="str">
        <f>+'250923'!H7</f>
        <v>Never</v>
      </c>
      <c r="J30" t="str">
        <f>+'250923'!I7</f>
        <v>1</v>
      </c>
      <c r="K30" t="str">
        <f>+'250923'!J7</f>
        <v>Once in the last year</v>
      </c>
      <c r="L30" t="str">
        <f>+'250923'!K7</f>
        <v>2</v>
      </c>
      <c r="M30" t="str">
        <f>+'250923'!L7</f>
        <v>Never</v>
      </c>
      <c r="N30" t="str">
        <f>+'250923'!M7</f>
        <v>1</v>
      </c>
      <c r="O30" t="str">
        <f>+'250923'!N7</f>
        <v>Once in the last year</v>
      </c>
      <c r="P30" t="str">
        <f>+'250923'!O7</f>
        <v>2</v>
      </c>
      <c r="Q30" t="str">
        <f>+'250923'!P7</f>
        <v>Once in the last year</v>
      </c>
      <c r="R30" t="str">
        <f>+'250923'!Q7</f>
        <v>2</v>
      </c>
      <c r="S30" t="str">
        <f>+'250923'!V7</f>
        <v>Very unlikely</v>
      </c>
      <c r="T30" t="str">
        <f>+'250923'!W7</f>
        <v>1</v>
      </c>
      <c r="U30" t="str">
        <f>+'250923'!X7</f>
        <v>A little increase</v>
      </c>
      <c r="V30" t="str">
        <f>+'250923'!Y7</f>
        <v>2</v>
      </c>
      <c r="W30" t="str">
        <f>+'250923'!Z7</f>
        <v>I will suffer some damage</v>
      </c>
      <c r="X30" t="str">
        <f>+'250923'!AA7</f>
        <v>4</v>
      </c>
    </row>
    <row r="31" spans="1:24" x14ac:dyDescent="0.2">
      <c r="B31">
        <f>+'250923'!A8</f>
        <v>7</v>
      </c>
      <c r="C31" t="str">
        <f>+'250923'!B8</f>
        <v>True</v>
      </c>
      <c r="D31">
        <f>+'250923'!C8</f>
        <v>45923.105415486112</v>
      </c>
      <c r="E31" t="str">
        <f>+'250923'!D8</f>
        <v>Yes, I agree to voluntarily participate (thanks for your collaboration)!</v>
      </c>
      <c r="F31" t="str">
        <f>+'250923'!E8</f>
        <v>t1p2</v>
      </c>
      <c r="G31" t="str">
        <f>+'250923'!F8</f>
        <v>No, I do not have a flood experience</v>
      </c>
      <c r="H31" t="str">
        <f>+'250923'!G8</f>
        <v>1</v>
      </c>
      <c r="I31" t="str">
        <f>+'250923'!H8</f>
        <v>Once in the last six months</v>
      </c>
      <c r="J31" t="str">
        <f>+'250923'!I8</f>
        <v>3</v>
      </c>
      <c r="K31" t="str">
        <f>+'250923'!J8</f>
        <v>Once in the last six months</v>
      </c>
      <c r="L31" t="str">
        <f>+'250923'!K8</f>
        <v>3</v>
      </c>
      <c r="M31" t="str">
        <f>+'250923'!L8</f>
        <v>Never</v>
      </c>
      <c r="N31" t="str">
        <f>+'250923'!M8</f>
        <v>1</v>
      </c>
      <c r="O31" t="str">
        <f>+'250923'!N8</f>
        <v>Once in the last six months</v>
      </c>
      <c r="P31" t="str">
        <f>+'250923'!O8</f>
        <v>3</v>
      </c>
      <c r="Q31" t="str">
        <f>+'250923'!P8</f>
        <v>Once in the last six months</v>
      </c>
      <c r="R31" t="str">
        <f>+'250923'!Q8</f>
        <v>3</v>
      </c>
      <c r="S31" t="str">
        <f>+'250923'!V8</f>
        <v>Unlikely</v>
      </c>
      <c r="T31" t="str">
        <f>+'250923'!W8</f>
        <v>2</v>
      </c>
      <c r="U31" t="str">
        <f>+'250923'!X8</f>
        <v>A moderate increase</v>
      </c>
      <c r="V31" t="str">
        <f>+'250923'!Y8</f>
        <v>3</v>
      </c>
      <c r="W31" t="str">
        <f>+'250923'!Z8</f>
        <v>If I get flooded, I won't get damaged</v>
      </c>
      <c r="X31" t="str">
        <f>+'250923'!AA8</f>
        <v>2</v>
      </c>
    </row>
    <row r="32" spans="1:24" x14ac:dyDescent="0.2">
      <c r="B32">
        <f>+'250923'!A9</f>
        <v>8</v>
      </c>
      <c r="C32" t="str">
        <f>+'250923'!B9</f>
        <v>True</v>
      </c>
      <c r="D32">
        <f>+'250923'!C9</f>
        <v>45923.105520636571</v>
      </c>
      <c r="E32" t="str">
        <f>+'250923'!D9</f>
        <v>Yes, I agree to voluntarily participate (thanks for your collaboration)!</v>
      </c>
      <c r="F32" t="str">
        <f>+'250923'!E9</f>
        <v>t1p7</v>
      </c>
      <c r="G32" t="str">
        <f>+'250923'!F9</f>
        <v>Yes, with serious disruptions or damages</v>
      </c>
      <c r="H32" t="str">
        <f>+'250923'!G9</f>
        <v>5</v>
      </c>
      <c r="I32" t="str">
        <f>+'250923'!H9</f>
        <v>Once a month</v>
      </c>
      <c r="J32" t="str">
        <f>+'250923'!I9</f>
        <v>4</v>
      </c>
      <c r="K32" t="str">
        <f>+'250923'!J9</f>
        <v>Once in the last six months</v>
      </c>
      <c r="L32" t="str">
        <f>+'250923'!K9</f>
        <v>3</v>
      </c>
      <c r="M32" t="str">
        <f>+'250923'!L9</f>
        <v>Once a month</v>
      </c>
      <c r="N32" t="str">
        <f>+'250923'!M9</f>
        <v>4</v>
      </c>
      <c r="O32" t="str">
        <f>+'250923'!N9</f>
        <v>Once a month</v>
      </c>
      <c r="P32" t="str">
        <f>+'250923'!O9</f>
        <v>4</v>
      </c>
      <c r="Q32" t="str">
        <f>+'250923'!P9</f>
        <v>Once in the last six months</v>
      </c>
      <c r="R32" t="str">
        <f>+'250923'!Q9</f>
        <v>3</v>
      </c>
      <c r="S32" t="str">
        <f>+'250923'!V9</f>
        <v>Very likely</v>
      </c>
      <c r="T32" t="str">
        <f>+'250923'!W9</f>
        <v>5</v>
      </c>
      <c r="U32" t="str">
        <f>+'250923'!X9</f>
        <v>A big increase</v>
      </c>
      <c r="V32" t="str">
        <f>+'250923'!Y9</f>
        <v>4</v>
      </c>
      <c r="W32" t="str">
        <f>+'250923'!Z9</f>
        <v>I might suffer minor damage</v>
      </c>
      <c r="X32" t="str">
        <f>+'250923'!AA9</f>
        <v>3</v>
      </c>
    </row>
    <row r="33" spans="2:24" x14ac:dyDescent="0.2">
      <c r="B33">
        <f>+'250923'!A10</f>
        <v>9</v>
      </c>
      <c r="C33" t="str">
        <f>+'250923'!B10</f>
        <v>True</v>
      </c>
      <c r="D33">
        <f>+'250923'!C10</f>
        <v>45923.105570914347</v>
      </c>
      <c r="E33" t="str">
        <f>+'250923'!D10</f>
        <v>Yes, I agree to voluntarily participate (thanks for your collaboration)!</v>
      </c>
      <c r="F33" t="str">
        <f>+'250923'!E10</f>
        <v>t1p6</v>
      </c>
      <c r="G33" t="str">
        <f>+'250923'!F10</f>
        <v>No, I do not have a flood experience</v>
      </c>
      <c r="H33" t="str">
        <f>+'250923'!G10</f>
        <v>1</v>
      </c>
      <c r="I33" t="str">
        <f>+'250923'!H10</f>
        <v>Never</v>
      </c>
      <c r="J33" t="str">
        <f>+'250923'!I10</f>
        <v>1</v>
      </c>
      <c r="K33" t="str">
        <f>+'250923'!J10</f>
        <v>Never</v>
      </c>
      <c r="L33" t="str">
        <f>+'250923'!K10</f>
        <v>1</v>
      </c>
      <c r="M33" t="str">
        <f>+'250923'!L10</f>
        <v>Never</v>
      </c>
      <c r="N33" t="str">
        <f>+'250923'!M10</f>
        <v>1</v>
      </c>
      <c r="O33" t="str">
        <f>+'250923'!N10</f>
        <v>Never</v>
      </c>
      <c r="P33" t="str">
        <f>+'250923'!O10</f>
        <v>1</v>
      </c>
      <c r="Q33" t="str">
        <f>+'250923'!P10</f>
        <v>Never</v>
      </c>
      <c r="R33" t="str">
        <f>+'250923'!Q10</f>
        <v>1</v>
      </c>
      <c r="S33" t="str">
        <f>+'250923'!V10</f>
        <v>Unlikely</v>
      </c>
      <c r="T33" t="str">
        <f>+'250923'!W10</f>
        <v>2</v>
      </c>
      <c r="U33" t="str">
        <f>+'250923'!X10</f>
        <v>An extreme increase</v>
      </c>
      <c r="V33" t="str">
        <f>+'250923'!Y10</f>
        <v>5</v>
      </c>
      <c r="W33" t="str">
        <f>+'250923'!Z10</f>
        <v>I will get seriously damaged</v>
      </c>
      <c r="X33" t="str">
        <f>+'250923'!AA10</f>
        <v>5</v>
      </c>
    </row>
    <row r="34" spans="2:24" x14ac:dyDescent="0.2">
      <c r="B34">
        <f>+'250923'!A11</f>
        <v>10</v>
      </c>
      <c r="C34" t="str">
        <f>+'250923'!B11</f>
        <v>True</v>
      </c>
      <c r="D34">
        <f>+'250923'!C11</f>
        <v>45923.105611064813</v>
      </c>
      <c r="E34" t="str">
        <f>+'250923'!D11</f>
        <v>Yes, I agree to voluntarily participate (thanks for your collaboration)!</v>
      </c>
      <c r="F34" t="str">
        <f>+'250923'!E11</f>
        <v>t2p3</v>
      </c>
      <c r="G34" t="str">
        <f>+'250923'!F11</f>
        <v>No, I do not have a flood experience</v>
      </c>
      <c r="H34" t="str">
        <f>+'250923'!G11</f>
        <v>1</v>
      </c>
      <c r="I34" t="str">
        <f>+'250923'!H11</f>
        <v>Never</v>
      </c>
      <c r="J34" t="str">
        <f>+'250923'!I11</f>
        <v>1</v>
      </c>
      <c r="K34" t="str">
        <f>+'250923'!J11</f>
        <v>Never</v>
      </c>
      <c r="L34" t="str">
        <f>+'250923'!K11</f>
        <v>1</v>
      </c>
      <c r="M34" t="str">
        <f>+'250923'!L11</f>
        <v>Once in the last year</v>
      </c>
      <c r="N34" t="str">
        <f>+'250923'!M11</f>
        <v>2</v>
      </c>
      <c r="O34" t="str">
        <f>+'250923'!N11</f>
        <v>Once in the last six months</v>
      </c>
      <c r="P34" t="str">
        <f>+'250923'!O11</f>
        <v>3</v>
      </c>
      <c r="Q34" t="str">
        <f>+'250923'!P11</f>
        <v>Once in the last six months</v>
      </c>
      <c r="R34" t="str">
        <f>+'250923'!Q11</f>
        <v>3</v>
      </c>
      <c r="S34" t="str">
        <f>+'250923'!V11</f>
        <v>Neutral</v>
      </c>
      <c r="T34" t="str">
        <f>+'250923'!W11</f>
        <v>3</v>
      </c>
      <c r="U34" t="str">
        <f>+'250923'!X11</f>
        <v>A big increase</v>
      </c>
      <c r="V34" t="str">
        <f>+'250923'!Y11</f>
        <v>4</v>
      </c>
      <c r="W34" t="str">
        <f>+'250923'!Z11</f>
        <v>I might suffer minor damage</v>
      </c>
      <c r="X34" t="str">
        <f>+'250923'!AA11</f>
        <v>3</v>
      </c>
    </row>
    <row r="35" spans="2:24" x14ac:dyDescent="0.2">
      <c r="B35">
        <f>+'250923'!A12</f>
        <v>11</v>
      </c>
      <c r="C35" t="str">
        <f>+'250923'!B12</f>
        <v>True</v>
      </c>
      <c r="D35">
        <f>+'250923'!C12</f>
        <v>45923.105924016199</v>
      </c>
      <c r="E35" t="str">
        <f>+'250923'!D12</f>
        <v>Yes, I agree to voluntarily participate (thanks for your collaboration)!</v>
      </c>
      <c r="F35" t="str">
        <f>+'250923'!E12</f>
        <v>t4p6</v>
      </c>
      <c r="G35" t="str">
        <f>+'250923'!F12</f>
        <v>No, I do not have a flood experience</v>
      </c>
      <c r="H35" t="str">
        <f>+'250923'!G12</f>
        <v>1</v>
      </c>
      <c r="I35" t="str">
        <f>+'250923'!H12</f>
        <v>Never</v>
      </c>
      <c r="J35" t="str">
        <f>+'250923'!I12</f>
        <v>1</v>
      </c>
      <c r="K35" t="str">
        <f>+'250923'!J12</f>
        <v>Once in the last six months</v>
      </c>
      <c r="L35" t="str">
        <f>+'250923'!K12</f>
        <v>3</v>
      </c>
      <c r="M35" t="str">
        <f>+'250923'!L12</f>
        <v>Never</v>
      </c>
      <c r="N35" t="str">
        <f>+'250923'!M12</f>
        <v>1</v>
      </c>
      <c r="O35" t="str">
        <f>+'250923'!N12</f>
        <v>Once in the last six months</v>
      </c>
      <c r="P35" t="str">
        <f>+'250923'!O12</f>
        <v>3</v>
      </c>
      <c r="Q35" t="str">
        <f>+'250923'!P12</f>
        <v>Once in the last six months</v>
      </c>
      <c r="R35" t="str">
        <f>+'250923'!Q12</f>
        <v>3</v>
      </c>
      <c r="S35" t="str">
        <f>+'250923'!V12</f>
        <v>Neutral</v>
      </c>
      <c r="T35" t="str">
        <f>+'250923'!W12</f>
        <v>3</v>
      </c>
      <c r="U35" t="str">
        <f>+'250923'!X12</f>
        <v>A moderate increase</v>
      </c>
      <c r="V35" t="str">
        <f>+'250923'!Y12</f>
        <v>3</v>
      </c>
      <c r="W35" t="str">
        <f>+'250923'!Z12</f>
        <v>I might suffer minor damage</v>
      </c>
      <c r="X35" t="str">
        <f>+'250923'!AA12</f>
        <v>3</v>
      </c>
    </row>
    <row r="36" spans="2:24" x14ac:dyDescent="0.2">
      <c r="B36">
        <f>+'250923'!A13</f>
        <v>12</v>
      </c>
      <c r="C36" t="str">
        <f>+'250923'!B13</f>
        <v>True</v>
      </c>
      <c r="D36">
        <f>+'250923'!C13</f>
        <v>45923.105978622683</v>
      </c>
      <c r="E36" t="str">
        <f>+'250923'!D13</f>
        <v>Yes, I agree to voluntarily participate (thanks for your collaboration)!</v>
      </c>
      <c r="F36" t="str">
        <f>+'250923'!E13</f>
        <v>t4p2</v>
      </c>
      <c r="G36" t="str">
        <f>+'250923'!F13</f>
        <v>No, I do not have a flood experience</v>
      </c>
      <c r="H36" t="str">
        <f>+'250923'!G13</f>
        <v>1</v>
      </c>
      <c r="I36" t="str">
        <f>+'250923'!H13</f>
        <v>Once in the last year</v>
      </c>
      <c r="J36" t="str">
        <f>+'250923'!I13</f>
        <v>2</v>
      </c>
      <c r="K36" t="str">
        <f>+'250923'!J13</f>
        <v>Once in the last year</v>
      </c>
      <c r="L36" t="str">
        <f>+'250923'!K13</f>
        <v>2</v>
      </c>
      <c r="M36" t="str">
        <f>+'250923'!L13</f>
        <v>Once in the last year</v>
      </c>
      <c r="N36" t="str">
        <f>+'250923'!M13</f>
        <v>2</v>
      </c>
      <c r="O36" t="str">
        <f>+'250923'!N13</f>
        <v>Once in the last year</v>
      </c>
      <c r="P36" t="str">
        <f>+'250923'!O13</f>
        <v>2</v>
      </c>
      <c r="Q36" t="str">
        <f>+'250923'!P13</f>
        <v>Once in the last six months</v>
      </c>
      <c r="R36" t="str">
        <f>+'250923'!Q13</f>
        <v>3</v>
      </c>
      <c r="S36" t="str">
        <f>+'250923'!V13</f>
        <v>Neutral</v>
      </c>
      <c r="T36" t="str">
        <f>+'250923'!W13</f>
        <v>3</v>
      </c>
      <c r="U36" t="str">
        <f>+'250923'!X13</f>
        <v>A big increase</v>
      </c>
      <c r="V36" t="str">
        <f>+'250923'!Y13</f>
        <v>4</v>
      </c>
      <c r="W36" t="str">
        <f>+'250923'!Z13</f>
        <v>I might suffer minor damage</v>
      </c>
      <c r="X36" t="str">
        <f>+'250923'!AA13</f>
        <v>3</v>
      </c>
    </row>
    <row r="37" spans="2:24" x14ac:dyDescent="0.2">
      <c r="B37">
        <f>+'250923'!A14</f>
        <v>13</v>
      </c>
      <c r="C37" t="str">
        <f>+'250923'!B14</f>
        <v>True</v>
      </c>
      <c r="D37">
        <f>+'250923'!C14</f>
        <v>45923.106187569443</v>
      </c>
      <c r="E37" t="str">
        <f>+'250923'!D14</f>
        <v>Yes, I agree to voluntarily participate (thanks for your collaboration)!</v>
      </c>
      <c r="F37" t="str">
        <f>+'250923'!E14</f>
        <v>t1p4</v>
      </c>
      <c r="G37" t="str">
        <f>+'250923'!F14</f>
        <v>No, I do not have a flood experience</v>
      </c>
      <c r="H37" t="str">
        <f>+'250923'!G14</f>
        <v>1</v>
      </c>
      <c r="I37" t="str">
        <f>+'250923'!H14</f>
        <v>Once in the last year</v>
      </c>
      <c r="J37" t="str">
        <f>+'250923'!I14</f>
        <v>2</v>
      </c>
      <c r="K37" t="str">
        <f>+'250923'!J14</f>
        <v>Once in the last year</v>
      </c>
      <c r="L37" t="str">
        <f>+'250923'!K14</f>
        <v>2</v>
      </c>
      <c r="M37" t="str">
        <f>+'250923'!L14</f>
        <v>Once in the last year</v>
      </c>
      <c r="N37" t="str">
        <f>+'250923'!M14</f>
        <v>2</v>
      </c>
      <c r="O37" t="str">
        <f>+'250923'!N14</f>
        <v>Once in the last six months</v>
      </c>
      <c r="P37" t="str">
        <f>+'250923'!O14</f>
        <v>3</v>
      </c>
      <c r="Q37" t="str">
        <f>+'250923'!P14</f>
        <v>Once in the last year</v>
      </c>
      <c r="R37" t="str">
        <f>+'250923'!Q14</f>
        <v>2</v>
      </c>
      <c r="S37" t="str">
        <f>+'250923'!V14</f>
        <v>Unlikely</v>
      </c>
      <c r="T37" t="str">
        <f>+'250923'!W14</f>
        <v>2</v>
      </c>
      <c r="U37" t="str">
        <f>+'250923'!X14</f>
        <v>A moderate increase</v>
      </c>
      <c r="V37" t="str">
        <f>+'250923'!Y14</f>
        <v>3</v>
      </c>
      <c r="W37" t="str">
        <f>+'250923'!Z14</f>
        <v>I might suffer minor damage</v>
      </c>
      <c r="X37" t="str">
        <f>+'250923'!AA14</f>
        <v>3</v>
      </c>
    </row>
    <row r="38" spans="2:24" x14ac:dyDescent="0.2">
      <c r="B38">
        <f>+'250923'!A15</f>
        <v>14</v>
      </c>
      <c r="C38" t="str">
        <f>+'250923'!B15</f>
        <v>True</v>
      </c>
      <c r="D38">
        <f>+'250923'!C15</f>
        <v>45923.106241030087</v>
      </c>
      <c r="E38" t="str">
        <f>+'250923'!D15</f>
        <v>Yes, I agree to voluntarily participate (thanks for your collaboration)!</v>
      </c>
      <c r="F38" t="str">
        <f>+'250923'!E15</f>
        <v>t3p4</v>
      </c>
      <c r="G38" t="str">
        <f>+'250923'!F15</f>
        <v>No, I do not have a flood experience</v>
      </c>
      <c r="H38" t="str">
        <f>+'250923'!G15</f>
        <v>1</v>
      </c>
      <c r="I38" t="str">
        <f>+'250923'!H15</f>
        <v>Once in the last year</v>
      </c>
      <c r="J38" t="str">
        <f>+'250923'!I15</f>
        <v>2</v>
      </c>
      <c r="K38" t="str">
        <f>+'250923'!J15</f>
        <v>Once in the last year</v>
      </c>
      <c r="L38" t="str">
        <f>+'250923'!K15</f>
        <v>2</v>
      </c>
      <c r="M38" t="str">
        <f>+'250923'!L15</f>
        <v>Never</v>
      </c>
      <c r="N38" t="str">
        <f>+'250923'!M15</f>
        <v>1</v>
      </c>
      <c r="O38" t="str">
        <f>+'250923'!N15</f>
        <v>Once in the last year</v>
      </c>
      <c r="P38" t="str">
        <f>+'250923'!O15</f>
        <v>2</v>
      </c>
      <c r="Q38" t="str">
        <f>+'250923'!P15</f>
        <v>Never</v>
      </c>
      <c r="R38" t="str">
        <f>+'250923'!Q15</f>
        <v>1</v>
      </c>
      <c r="S38" t="str">
        <f>+'250923'!V15</f>
        <v>Very unlikely</v>
      </c>
      <c r="T38" t="str">
        <f>+'250923'!W15</f>
        <v>1</v>
      </c>
      <c r="U38" t="str">
        <f>+'250923'!X15</f>
        <v>A little increase</v>
      </c>
      <c r="V38" t="str">
        <f>+'250923'!Y15</f>
        <v>2</v>
      </c>
      <c r="W38" t="str">
        <f>+'250923'!Z15</f>
        <v>I won't get flooded</v>
      </c>
      <c r="X38" t="str">
        <f>+'250923'!AA15</f>
        <v>1</v>
      </c>
    </row>
    <row r="39" spans="2:24" x14ac:dyDescent="0.2">
      <c r="B39">
        <f>+'250923'!A16</f>
        <v>15</v>
      </c>
      <c r="C39" t="str">
        <f>+'250923'!B16</f>
        <v>True</v>
      </c>
      <c r="D39">
        <f>+'250923'!C16</f>
        <v>45923.106269745367</v>
      </c>
      <c r="E39" t="str">
        <f>+'250923'!D16</f>
        <v>Yes, I agree to voluntarily participate (thanks for your collaboration)!</v>
      </c>
      <c r="F39" t="str">
        <f>+'250923'!E16</f>
        <v>t4p7</v>
      </c>
      <c r="G39" t="str">
        <f>+'250923'!F16</f>
        <v>No, I do not have a flood experience</v>
      </c>
      <c r="H39" t="str">
        <f>+'250923'!G16</f>
        <v>1</v>
      </c>
      <c r="I39" t="str">
        <f>+'250923'!H16</f>
        <v>Never</v>
      </c>
      <c r="J39" t="str">
        <f>+'250923'!I16</f>
        <v>1</v>
      </c>
      <c r="K39" t="str">
        <f>+'250923'!J16</f>
        <v>Once in the last six months</v>
      </c>
      <c r="L39" t="str">
        <f>+'250923'!K16</f>
        <v>3</v>
      </c>
      <c r="M39" t="str">
        <f>+'250923'!L16</f>
        <v>Never</v>
      </c>
      <c r="N39" t="str">
        <f>+'250923'!M16</f>
        <v>1</v>
      </c>
      <c r="O39" t="str">
        <f>+'250923'!N16</f>
        <v>Once in the last six months</v>
      </c>
      <c r="P39" t="str">
        <f>+'250923'!O16</f>
        <v>3</v>
      </c>
      <c r="Q39" t="str">
        <f>+'250923'!P16</f>
        <v>Once a month</v>
      </c>
      <c r="R39" t="str">
        <f>+'250923'!Q16</f>
        <v>4</v>
      </c>
      <c r="S39" t="str">
        <f>+'250923'!V16</f>
        <v>Neutral</v>
      </c>
      <c r="T39" t="str">
        <f>+'250923'!W16</f>
        <v>3</v>
      </c>
      <c r="U39" t="str">
        <f>+'250923'!X16</f>
        <v>A moderate increase</v>
      </c>
      <c r="V39" t="str">
        <f>+'250923'!Y16</f>
        <v>3</v>
      </c>
      <c r="W39" t="str">
        <f>+'250923'!Z16</f>
        <v>I might suffer minor damage</v>
      </c>
      <c r="X39" t="str">
        <f>+'250923'!AA16</f>
        <v>3</v>
      </c>
    </row>
    <row r="40" spans="2:24" x14ac:dyDescent="0.2">
      <c r="B40">
        <f>+'250923'!A17</f>
        <v>16</v>
      </c>
      <c r="C40" t="str">
        <f>+'250923'!B17</f>
        <v>True</v>
      </c>
      <c r="D40">
        <f>+'250923'!C17</f>
        <v>45923.10635234954</v>
      </c>
      <c r="E40" t="str">
        <f>+'250923'!D17</f>
        <v>Yes, I agree to voluntarily participate (thanks for your collaboration)!</v>
      </c>
      <c r="F40" t="str">
        <f>+'250923'!E17</f>
        <v>t3p3</v>
      </c>
      <c r="G40" t="str">
        <f>+'250923'!F17</f>
        <v>Yes, with minor disruptions or damages</v>
      </c>
      <c r="H40" t="str">
        <f>+'250923'!G17</f>
        <v>3</v>
      </c>
      <c r="I40" t="str">
        <f>+'250923'!H17</f>
        <v>Never</v>
      </c>
      <c r="J40" t="str">
        <f>+'250923'!I17</f>
        <v>1</v>
      </c>
      <c r="K40" t="str">
        <f>+'250923'!J17</f>
        <v>Never</v>
      </c>
      <c r="L40" t="str">
        <f>+'250923'!K17</f>
        <v>1</v>
      </c>
      <c r="M40" t="str">
        <f>+'250923'!L17</f>
        <v>Never</v>
      </c>
      <c r="N40" t="str">
        <f>+'250923'!M17</f>
        <v>1</v>
      </c>
      <c r="O40" t="str">
        <f>+'250923'!N17</f>
        <v>Never</v>
      </c>
      <c r="P40" t="str">
        <f>+'250923'!O17</f>
        <v>1</v>
      </c>
      <c r="Q40" t="str">
        <f>+'250923'!P17</f>
        <v>Never</v>
      </c>
      <c r="R40" t="str">
        <f>+'250923'!Q17</f>
        <v>1</v>
      </c>
      <c r="S40" t="str">
        <f>+'250923'!V17</f>
        <v>Neutral</v>
      </c>
      <c r="T40" t="str">
        <f>+'250923'!W17</f>
        <v>3</v>
      </c>
      <c r="U40" t="str">
        <f>+'250923'!X17</f>
        <v>A big increase</v>
      </c>
      <c r="V40" t="str">
        <f>+'250923'!Y17</f>
        <v>4</v>
      </c>
      <c r="W40" t="str">
        <f>+'250923'!Z17</f>
        <v>I might suffer minor damage</v>
      </c>
      <c r="X40" t="str">
        <f>+'250923'!AA17</f>
        <v>3</v>
      </c>
    </row>
    <row r="41" spans="2:24" x14ac:dyDescent="0.2">
      <c r="B41">
        <f>+'250923'!A18</f>
        <v>17</v>
      </c>
      <c r="C41" t="str">
        <f>+'250923'!B18</f>
        <v>True</v>
      </c>
      <c r="D41">
        <f>+'250923'!C18</f>
        <v>45923.106402557867</v>
      </c>
      <c r="E41" t="str">
        <f>+'250923'!D18</f>
        <v>Yes, I agree to voluntarily participate (thanks for your collaboration)!</v>
      </c>
      <c r="F41" t="str">
        <f>+'250923'!E18</f>
        <v>t4p1</v>
      </c>
      <c r="G41" t="str">
        <f>+'250923'!F18</f>
        <v>No, I do not have a flood experience</v>
      </c>
      <c r="H41" t="str">
        <f>+'250923'!G18</f>
        <v>1</v>
      </c>
      <c r="I41" t="str">
        <f>+'250923'!H18</f>
        <v>Never</v>
      </c>
      <c r="J41" t="str">
        <f>+'250923'!I18</f>
        <v>1</v>
      </c>
      <c r="K41" t="str">
        <f>+'250923'!J18</f>
        <v>Never</v>
      </c>
      <c r="L41" t="str">
        <f>+'250923'!K18</f>
        <v>1</v>
      </c>
      <c r="M41" t="str">
        <f>+'250923'!L18</f>
        <v>Once in the last year</v>
      </c>
      <c r="N41" t="str">
        <f>+'250923'!M18</f>
        <v>2</v>
      </c>
      <c r="O41" t="str">
        <f>+'250923'!N18</f>
        <v>Once a month</v>
      </c>
      <c r="P41" t="str">
        <f>+'250923'!O18</f>
        <v>4</v>
      </c>
      <c r="Q41" t="str">
        <f>+'250923'!P18</f>
        <v>Never</v>
      </c>
      <c r="R41" t="str">
        <f>+'250923'!Q18</f>
        <v>1</v>
      </c>
      <c r="S41" t="str">
        <f>+'250923'!V18</f>
        <v>Unlikely</v>
      </c>
      <c r="T41" t="str">
        <f>+'250923'!W18</f>
        <v>2</v>
      </c>
      <c r="U41" t="str">
        <f>+'250923'!X18</f>
        <v>A moderate increase</v>
      </c>
      <c r="V41" t="str">
        <f>+'250923'!Y18</f>
        <v>3</v>
      </c>
      <c r="W41" t="str">
        <f>+'250923'!Z18</f>
        <v>If I get flooded, I won't get damaged</v>
      </c>
      <c r="X41" t="str">
        <f>+'250923'!AA18</f>
        <v>2</v>
      </c>
    </row>
    <row r="42" spans="2:24" x14ac:dyDescent="0.2">
      <c r="B42">
        <f>+'250923'!A19</f>
        <v>18</v>
      </c>
      <c r="C42" t="str">
        <f>+'250923'!B19</f>
        <v>True</v>
      </c>
      <c r="D42">
        <f>+'250923'!C19</f>
        <v>45923.10685045139</v>
      </c>
      <c r="E42" t="str">
        <f>+'250923'!D19</f>
        <v>Yes, I agree to voluntarily participate (thanks for your collaboration)!</v>
      </c>
      <c r="F42" t="str">
        <f>+'250923'!E19</f>
        <v>t4p5</v>
      </c>
      <c r="G42" t="str">
        <f>+'250923'!F19</f>
        <v>No, I do not have a flood experience</v>
      </c>
      <c r="H42" t="str">
        <f>+'250923'!G19</f>
        <v>1</v>
      </c>
      <c r="I42" t="str">
        <f>+'250923'!H19</f>
        <v>Once in the last six months</v>
      </c>
      <c r="J42" t="str">
        <f>+'250923'!I19</f>
        <v>3</v>
      </c>
      <c r="K42" t="str">
        <f>+'250923'!J19</f>
        <v>Once in the last six months</v>
      </c>
      <c r="L42" t="str">
        <f>+'250923'!K19</f>
        <v>3</v>
      </c>
      <c r="M42" t="str">
        <f>+'250923'!L19</f>
        <v>Once in the last six months</v>
      </c>
      <c r="N42" t="str">
        <f>+'250923'!M19</f>
        <v>3</v>
      </c>
      <c r="O42" t="str">
        <f>+'250923'!N19</f>
        <v>Once in the last six months</v>
      </c>
      <c r="P42" t="str">
        <f>+'250923'!O19</f>
        <v>3</v>
      </c>
      <c r="Q42" t="str">
        <f>+'250923'!P19</f>
        <v>Once in the last six months</v>
      </c>
      <c r="R42" t="str">
        <f>+'250923'!Q19</f>
        <v>3</v>
      </c>
      <c r="S42" t="str">
        <f>+'250923'!V19</f>
        <v>Likely</v>
      </c>
      <c r="T42" t="str">
        <f>+'250923'!W19</f>
        <v>4</v>
      </c>
      <c r="U42" t="str">
        <f>+'250923'!X19</f>
        <v>A big increase</v>
      </c>
      <c r="V42" t="str">
        <f>+'250923'!Y19</f>
        <v>4</v>
      </c>
      <c r="W42" t="str">
        <f>+'250923'!Z19</f>
        <v>I will suffer some damage</v>
      </c>
      <c r="X42" t="str">
        <f>+'250923'!AA19</f>
        <v>4</v>
      </c>
    </row>
    <row r="43" spans="2:24" x14ac:dyDescent="0.2">
      <c r="B43">
        <f>+'250923'!A20</f>
        <v>19</v>
      </c>
      <c r="C43" t="str">
        <f>+'250923'!B20</f>
        <v>True</v>
      </c>
      <c r="D43">
        <f>+'250923'!C20</f>
        <v>45923.106890208343</v>
      </c>
      <c r="E43" t="str">
        <f>+'250923'!D20</f>
        <v>Yes, I agree to voluntarily participate (thanks for your collaboration)!</v>
      </c>
      <c r="F43" t="str">
        <f>+'250923'!E20</f>
        <v>t4p4</v>
      </c>
      <c r="G43" t="str">
        <f>+'250923'!F20</f>
        <v>Yes, with minor disruptions or damages</v>
      </c>
      <c r="H43" t="str">
        <f>+'250923'!G20</f>
        <v>3</v>
      </c>
      <c r="I43" t="str">
        <f>+'250923'!H20</f>
        <v>Never</v>
      </c>
      <c r="J43" t="str">
        <f>+'250923'!I20</f>
        <v>1</v>
      </c>
      <c r="K43" t="str">
        <f>+'250923'!J20</f>
        <v>Once in the last year</v>
      </c>
      <c r="L43" t="str">
        <f>+'250923'!K20</f>
        <v>2</v>
      </c>
      <c r="M43" t="str">
        <f>+'250923'!L20</f>
        <v>Never</v>
      </c>
      <c r="N43" t="str">
        <f>+'250923'!M20</f>
        <v>1</v>
      </c>
      <c r="O43" t="str">
        <f>+'250923'!N20</f>
        <v>Once in the last six months</v>
      </c>
      <c r="P43" t="str">
        <f>+'250923'!O20</f>
        <v>3</v>
      </c>
      <c r="Q43" t="str">
        <f>+'250923'!P20</f>
        <v>Never</v>
      </c>
      <c r="R43" t="str">
        <f>+'250923'!Q20</f>
        <v>1</v>
      </c>
      <c r="S43" t="str">
        <f>+'250923'!V20</f>
        <v>Likely</v>
      </c>
      <c r="T43" t="str">
        <f>+'250923'!W20</f>
        <v>4</v>
      </c>
      <c r="U43" t="str">
        <f>+'250923'!X20</f>
        <v>A big increase</v>
      </c>
      <c r="V43" t="str">
        <f>+'250923'!Y20</f>
        <v>4</v>
      </c>
      <c r="W43" t="str">
        <f>+'250923'!Z20</f>
        <v>If I get flooded, I won't get damaged</v>
      </c>
      <c r="X43" t="str">
        <f>+'250923'!AA20</f>
        <v>2</v>
      </c>
    </row>
    <row r="44" spans="2:24" x14ac:dyDescent="0.2">
      <c r="B44">
        <f>+'250923'!A21</f>
        <v>20</v>
      </c>
      <c r="C44" t="str">
        <f>+'250923'!B21</f>
        <v>True</v>
      </c>
      <c r="D44">
        <f>+'250923'!C21</f>
        <v>45923.108345509259</v>
      </c>
      <c r="E44" t="str">
        <f>+'250923'!D21</f>
        <v>Yes, I agree to voluntarily participate (thanks for your collaboration)!</v>
      </c>
      <c r="F44" t="str">
        <f>+'250923'!E21</f>
        <v>t3p5</v>
      </c>
      <c r="G44" t="str">
        <f>+'250923'!F21</f>
        <v>Yes, with minor disruptions or damages</v>
      </c>
      <c r="H44" t="str">
        <f>+'250923'!G21</f>
        <v>3</v>
      </c>
      <c r="I44" t="str">
        <f>+'250923'!H21</f>
        <v>Once in the last year</v>
      </c>
      <c r="J44" t="str">
        <f>+'250923'!I21</f>
        <v>2</v>
      </c>
      <c r="K44" t="str">
        <f>+'250923'!J21</f>
        <v>Once in the last year</v>
      </c>
      <c r="L44" t="str">
        <f>+'250923'!K21</f>
        <v>2</v>
      </c>
      <c r="M44" t="str">
        <f>+'250923'!L21</f>
        <v>Never</v>
      </c>
      <c r="N44" t="str">
        <f>+'250923'!M21</f>
        <v>1</v>
      </c>
      <c r="O44" t="str">
        <f>+'250923'!N21</f>
        <v>Once a month</v>
      </c>
      <c r="P44" t="str">
        <f>+'250923'!O21</f>
        <v>4</v>
      </c>
      <c r="Q44" t="str">
        <f>+'250923'!P21</f>
        <v>Once in the last six months</v>
      </c>
      <c r="R44" t="str">
        <f>+'250923'!Q21</f>
        <v>3</v>
      </c>
      <c r="S44" t="str">
        <f>+'250923'!V21</f>
        <v>Unlikely</v>
      </c>
      <c r="T44" t="str">
        <f>+'250923'!W21</f>
        <v>2</v>
      </c>
      <c r="U44" t="str">
        <f>+'250923'!X21</f>
        <v>A big increase</v>
      </c>
      <c r="V44" t="str">
        <f>+'250923'!Y21</f>
        <v>4</v>
      </c>
      <c r="W44" t="str">
        <f>+'250923'!Z21</f>
        <v>I will suffer some damage</v>
      </c>
      <c r="X44" t="str">
        <f>+'250923'!AA21</f>
        <v>4</v>
      </c>
    </row>
    <row r="45" spans="2:24" x14ac:dyDescent="0.2">
      <c r="B45">
        <f>+'250923'!A22</f>
        <v>21</v>
      </c>
      <c r="C45" t="str">
        <f>+'250923'!B22</f>
        <v>True</v>
      </c>
      <c r="D45">
        <f>+'250923'!C22</f>
        <v>45923.10839789352</v>
      </c>
      <c r="E45" t="str">
        <f>+'250923'!D22</f>
        <v>Yes, I agree to voluntarily participate (thanks for your collaboration)!</v>
      </c>
      <c r="F45" t="str">
        <f>+'250923'!E22</f>
        <v>t3p2</v>
      </c>
      <c r="G45" t="str">
        <f>+'250923'!F22</f>
        <v>Yes, but without disruptions or damages</v>
      </c>
      <c r="H45" t="str">
        <f>+'250923'!G22</f>
        <v>2</v>
      </c>
      <c r="I45" t="str">
        <f>+'250923'!H22</f>
        <v>Once in the last year</v>
      </c>
      <c r="J45" t="str">
        <f>+'250923'!I22</f>
        <v>2</v>
      </c>
      <c r="K45" t="str">
        <f>+'250923'!J22</f>
        <v>Never</v>
      </c>
      <c r="L45" t="str">
        <f>+'250923'!K22</f>
        <v>1</v>
      </c>
      <c r="M45" t="str">
        <f>+'250923'!L22</f>
        <v>Once in the last six months</v>
      </c>
      <c r="N45" t="str">
        <f>+'250923'!M22</f>
        <v>3</v>
      </c>
      <c r="O45" t="str">
        <f>+'250923'!N22</f>
        <v>Never</v>
      </c>
      <c r="P45" t="str">
        <f>+'250923'!O22</f>
        <v>1</v>
      </c>
      <c r="Q45" t="str">
        <f>+'250923'!P22</f>
        <v>Once a month</v>
      </c>
      <c r="R45" t="str">
        <f>+'250923'!Q22</f>
        <v>4</v>
      </c>
      <c r="S45" t="str">
        <f>+'250923'!V22</f>
        <v>Likely</v>
      </c>
      <c r="T45" t="str">
        <f>+'250923'!W22</f>
        <v>4</v>
      </c>
      <c r="U45" t="str">
        <f>+'250923'!X22</f>
        <v>A big increase</v>
      </c>
      <c r="V45" t="str">
        <f>+'250923'!Y22</f>
        <v>4</v>
      </c>
      <c r="W45" t="str">
        <f>+'250923'!Z22</f>
        <v>I will suffer some damage</v>
      </c>
      <c r="X45" t="str">
        <f>+'250923'!AA22</f>
        <v>4</v>
      </c>
    </row>
    <row r="46" spans="2:24" x14ac:dyDescent="0.2">
      <c r="B46">
        <f>+'250923'!A23</f>
        <v>22</v>
      </c>
      <c r="C46" t="str">
        <f>+'250923'!B23</f>
        <v>True</v>
      </c>
      <c r="D46">
        <f>+'250923'!C23</f>
        <v>45923.108412847221</v>
      </c>
      <c r="E46" t="str">
        <f>+'250923'!D23</f>
        <v>Yes, I agree to voluntarily participate (thanks for your collaboration)!</v>
      </c>
      <c r="F46" t="str">
        <f>+'250923'!E23</f>
        <v>t4p3</v>
      </c>
      <c r="G46" t="str">
        <f>+'250923'!F23</f>
        <v>No, I do not have a flood experience</v>
      </c>
      <c r="H46" t="str">
        <f>+'250923'!G23</f>
        <v>1</v>
      </c>
      <c r="I46" t="str">
        <f>+'250923'!H23</f>
        <v>Never</v>
      </c>
      <c r="J46" t="str">
        <f>+'250923'!I23</f>
        <v>1</v>
      </c>
      <c r="K46" t="str">
        <f>+'250923'!J23</f>
        <v>Once in the last year</v>
      </c>
      <c r="L46" t="str">
        <f>+'250923'!K23</f>
        <v>2</v>
      </c>
      <c r="M46" t="str">
        <f>+'250923'!L23</f>
        <v>Never</v>
      </c>
      <c r="N46" t="str">
        <f>+'250923'!M23</f>
        <v>1</v>
      </c>
      <c r="O46" t="str">
        <f>+'250923'!N23</f>
        <v>Once in the last six months</v>
      </c>
      <c r="P46" t="str">
        <f>+'250923'!O23</f>
        <v>3</v>
      </c>
      <c r="Q46" t="str">
        <f>+'250923'!P23</f>
        <v>Once in the last year</v>
      </c>
      <c r="R46" t="str">
        <f>+'250923'!Q23</f>
        <v>2</v>
      </c>
      <c r="S46" t="str">
        <f>+'250923'!V23</f>
        <v>Neutral</v>
      </c>
      <c r="T46" t="str">
        <f>+'250923'!W23</f>
        <v>3</v>
      </c>
      <c r="U46" t="str">
        <f>+'250923'!X23</f>
        <v>A big increase</v>
      </c>
      <c r="V46" t="str">
        <f>+'250923'!Y23</f>
        <v>4</v>
      </c>
      <c r="W46" t="str">
        <f>+'250923'!Z23</f>
        <v>I might suffer minor damage</v>
      </c>
      <c r="X46" t="str">
        <f>+'250923'!AA23</f>
        <v>3</v>
      </c>
    </row>
    <row r="47" spans="2:24" x14ac:dyDescent="0.2">
      <c r="B47">
        <f>+'250923'!A24</f>
        <v>23</v>
      </c>
      <c r="C47" t="str">
        <f>+'250923'!B24</f>
        <v>True</v>
      </c>
      <c r="D47">
        <f>+'250923'!C24</f>
        <v>45923.108511516199</v>
      </c>
      <c r="E47" t="str">
        <f>+'250923'!D24</f>
        <v>Yes, I agree to voluntarily participate (thanks for your collaboration)!</v>
      </c>
      <c r="F47" t="str">
        <f>+'250923'!E24</f>
        <v>t2p4</v>
      </c>
      <c r="G47" t="str">
        <f>+'250923'!F24</f>
        <v>No, I do not have a flood experience</v>
      </c>
      <c r="H47" t="str">
        <f>+'250923'!G24</f>
        <v>1</v>
      </c>
      <c r="I47" t="str">
        <f>+'250923'!H24</f>
        <v>Never</v>
      </c>
      <c r="J47" t="str">
        <f>+'250923'!I24</f>
        <v>1</v>
      </c>
      <c r="K47" t="str">
        <f>+'250923'!J24</f>
        <v>Once in the last year</v>
      </c>
      <c r="L47" t="str">
        <f>+'250923'!K24</f>
        <v>2</v>
      </c>
      <c r="M47" t="str">
        <f>+'250923'!L24</f>
        <v>Never</v>
      </c>
      <c r="N47" t="str">
        <f>+'250923'!M24</f>
        <v>1</v>
      </c>
      <c r="O47" t="str">
        <f>+'250923'!N24</f>
        <v>Once in the last year</v>
      </c>
      <c r="P47" t="str">
        <f>+'250923'!O24</f>
        <v>2</v>
      </c>
      <c r="Q47" t="str">
        <f>+'250923'!P24</f>
        <v>Once in the last year</v>
      </c>
      <c r="R47" t="str">
        <f>+'250923'!Q24</f>
        <v>2</v>
      </c>
      <c r="S47" t="str">
        <f>+'250923'!V24</f>
        <v>Very unlikely</v>
      </c>
      <c r="T47" t="str">
        <f>+'250923'!W24</f>
        <v>1</v>
      </c>
      <c r="U47" t="str">
        <f>+'250923'!X24</f>
        <v>A little increase</v>
      </c>
      <c r="V47" t="str">
        <f>+'250923'!Y24</f>
        <v>2</v>
      </c>
      <c r="W47" t="str">
        <f>+'250923'!Z24</f>
        <v>I will suffer some damage</v>
      </c>
      <c r="X47" t="str">
        <f>+'250923'!AA24</f>
        <v>4</v>
      </c>
    </row>
    <row r="48" spans="2:24" x14ac:dyDescent="0.2">
      <c r="B48">
        <f>+'250923'!A25</f>
        <v>24</v>
      </c>
      <c r="C48" t="str">
        <f>+'250923'!B25</f>
        <v>True</v>
      </c>
      <c r="D48">
        <f>+'250923'!C25</f>
        <v>45923.108616469908</v>
      </c>
      <c r="E48" t="str">
        <f>+'250923'!D25</f>
        <v>Yes, I agree to voluntarily participate (thanks for your collaboration)!</v>
      </c>
      <c r="F48" t="str">
        <f>+'250923'!E25</f>
        <v>t3p6</v>
      </c>
      <c r="G48" t="str">
        <f>+'250923'!F25</f>
        <v>No, I do not have a flood experience</v>
      </c>
      <c r="H48" t="str">
        <f>+'250923'!G25</f>
        <v>1</v>
      </c>
      <c r="I48" t="str">
        <f>+'250923'!H25</f>
        <v>Once in the last year</v>
      </c>
      <c r="J48" t="str">
        <f>+'250923'!I25</f>
        <v>2</v>
      </c>
      <c r="K48" t="str">
        <f>+'250923'!J25</f>
        <v>Once in the last year</v>
      </c>
      <c r="L48" t="str">
        <f>+'250923'!K25</f>
        <v>2</v>
      </c>
      <c r="M48" t="str">
        <f>+'250923'!L25</f>
        <v>Never</v>
      </c>
      <c r="N48" t="str">
        <f>+'250923'!M25</f>
        <v>1</v>
      </c>
      <c r="O48" t="str">
        <f>+'250923'!N25</f>
        <v>Once in the last year</v>
      </c>
      <c r="P48" t="str">
        <f>+'250923'!O25</f>
        <v>2</v>
      </c>
      <c r="Q48" t="str">
        <f>+'250923'!P25</f>
        <v>Never</v>
      </c>
      <c r="R48" t="str">
        <f>+'250923'!Q25</f>
        <v>1</v>
      </c>
      <c r="S48" t="str">
        <f>+'250923'!V25</f>
        <v>Unlikely</v>
      </c>
      <c r="T48" t="str">
        <f>+'250923'!W25</f>
        <v>2</v>
      </c>
      <c r="U48" t="str">
        <f>+'250923'!X25</f>
        <v>A big increase</v>
      </c>
      <c r="V48" t="str">
        <f>+'250923'!Y25</f>
        <v>4</v>
      </c>
      <c r="W48" t="str">
        <f>+'250923'!Z25</f>
        <v>I might suffer minor damage</v>
      </c>
      <c r="X48" t="str">
        <f>+'250923'!AA25</f>
        <v>3</v>
      </c>
    </row>
    <row r="49" spans="2:24" x14ac:dyDescent="0.2">
      <c r="B49">
        <f>+'250923'!A26</f>
        <v>25</v>
      </c>
      <c r="C49" t="str">
        <f>+'250923'!B26</f>
        <v>True</v>
      </c>
      <c r="D49">
        <f>+'250923'!C26</f>
        <v>45923.108708761567</v>
      </c>
      <c r="E49" t="str">
        <f>+'250923'!D26</f>
        <v>Yes, I agree to voluntarily participate (thanks for your collaboration)!</v>
      </c>
      <c r="F49" t="str">
        <f>+'250923'!E26</f>
        <v>t3p5</v>
      </c>
      <c r="G49" t="str">
        <f>+'250923'!F26</f>
        <v>No, I do not have a flood experience</v>
      </c>
      <c r="H49" t="str">
        <f>+'250923'!G26</f>
        <v>1</v>
      </c>
      <c r="I49" t="str">
        <f>+'250923'!H26</f>
        <v>Once in the last six months</v>
      </c>
      <c r="J49" t="str">
        <f>+'250923'!I26</f>
        <v>3</v>
      </c>
      <c r="K49" t="str">
        <f>+'250923'!J26</f>
        <v>Once a day</v>
      </c>
      <c r="L49" t="str">
        <f>+'250923'!K26</f>
        <v>6</v>
      </c>
      <c r="M49" t="str">
        <f>+'250923'!L26</f>
        <v>Once in the last six months</v>
      </c>
      <c r="N49" t="str">
        <f>+'250923'!M26</f>
        <v>3</v>
      </c>
      <c r="O49" t="str">
        <f>+'250923'!N26</f>
        <v>Once a week</v>
      </c>
      <c r="P49" t="str">
        <f>+'250923'!O26</f>
        <v>5</v>
      </c>
      <c r="Q49" t="str">
        <f>+'250923'!P26</f>
        <v>Once a day</v>
      </c>
      <c r="R49" t="str">
        <f>+'250923'!Q26</f>
        <v>6</v>
      </c>
      <c r="S49" t="str">
        <f>+'250923'!V26</f>
        <v>Neutral</v>
      </c>
      <c r="T49" t="str">
        <f>+'250923'!W26</f>
        <v>3</v>
      </c>
      <c r="U49" t="str">
        <f>+'250923'!X26</f>
        <v>A big increase</v>
      </c>
      <c r="V49" t="str">
        <f>+'250923'!Y26</f>
        <v>4</v>
      </c>
      <c r="W49" t="str">
        <f>+'250923'!Z26</f>
        <v>I will get seriously damaged</v>
      </c>
      <c r="X49" t="str">
        <f>+'250923'!AA26</f>
        <v>5</v>
      </c>
    </row>
    <row r="50" spans="2:24" x14ac:dyDescent="0.2">
      <c r="B50">
        <f>+'250923'!A27</f>
        <v>26</v>
      </c>
      <c r="C50" t="str">
        <f>+'250923'!B27</f>
        <v>True</v>
      </c>
      <c r="D50">
        <f>+'250923'!C27</f>
        <v>45923.109022349541</v>
      </c>
      <c r="E50" t="str">
        <f>+'250923'!D27</f>
        <v>Yes, I agree to voluntarily participate (thanks for your collaboration)!</v>
      </c>
      <c r="F50" t="str">
        <f>+'250923'!E27</f>
        <v>t2p2</v>
      </c>
      <c r="G50" t="str">
        <f>+'250923'!F27</f>
        <v>No, I do not have a flood experience</v>
      </c>
      <c r="H50" t="str">
        <f>+'250923'!G27</f>
        <v>1</v>
      </c>
      <c r="I50" t="str">
        <f>+'250923'!H27</f>
        <v>Never</v>
      </c>
      <c r="J50" t="str">
        <f>+'250923'!I27</f>
        <v>1</v>
      </c>
      <c r="K50" t="str">
        <f>+'250923'!J27</f>
        <v>Once a week</v>
      </c>
      <c r="L50" t="str">
        <f>+'250923'!K27</f>
        <v>5</v>
      </c>
      <c r="M50" t="str">
        <f>+'250923'!L27</f>
        <v>Never</v>
      </c>
      <c r="N50" t="str">
        <f>+'250923'!M27</f>
        <v>1</v>
      </c>
      <c r="O50" t="str">
        <f>+'250923'!N27</f>
        <v>Once a month</v>
      </c>
      <c r="P50" t="str">
        <f>+'250923'!O27</f>
        <v>4</v>
      </c>
      <c r="Q50" t="str">
        <f>+'250923'!P27</f>
        <v>Once a day</v>
      </c>
      <c r="R50" t="str">
        <f>+'250923'!Q27</f>
        <v>6</v>
      </c>
      <c r="S50" t="str">
        <f>+'250923'!V27</f>
        <v>Neutral</v>
      </c>
      <c r="T50" t="str">
        <f>+'250923'!W27</f>
        <v>3</v>
      </c>
      <c r="U50" t="str">
        <f>+'250923'!X27</f>
        <v>A big increase</v>
      </c>
      <c r="V50" t="str">
        <f>+'250923'!Y27</f>
        <v>4</v>
      </c>
      <c r="W50" t="str">
        <f>+'250923'!Z27</f>
        <v>I might suffer minor damage</v>
      </c>
      <c r="X50" t="str">
        <f>+'250923'!AA27</f>
        <v>3</v>
      </c>
    </row>
    <row r="51" spans="2:24" x14ac:dyDescent="0.2">
      <c r="B51">
        <f>+'250923'!A28</f>
        <v>27</v>
      </c>
      <c r="C51" t="str">
        <f>+'250923'!B28</f>
        <v>True</v>
      </c>
      <c r="D51">
        <f>+'250923'!C28</f>
        <v>45923.255792222219</v>
      </c>
      <c r="E51" t="str">
        <f>+'250923'!D28</f>
        <v>No, I prefer not to participate (the survey ends, and you kindly wait for others to finish)</v>
      </c>
      <c r="F51">
        <f>+'250923'!E28</f>
        <v>0</v>
      </c>
      <c r="G51">
        <f>+'250923'!F28</f>
        <v>0</v>
      </c>
      <c r="H51">
        <f>+'250923'!G28</f>
        <v>0</v>
      </c>
      <c r="I51">
        <f>+'250923'!H28</f>
        <v>0</v>
      </c>
      <c r="J51">
        <f>+'250923'!I28</f>
        <v>0</v>
      </c>
      <c r="K51">
        <f>+'250923'!J28</f>
        <v>0</v>
      </c>
      <c r="L51">
        <f>+'250923'!K28</f>
        <v>0</v>
      </c>
      <c r="M51">
        <f>+'250923'!L28</f>
        <v>0</v>
      </c>
      <c r="N51">
        <f>+'250923'!M28</f>
        <v>0</v>
      </c>
      <c r="O51">
        <f>+'250923'!N28</f>
        <v>0</v>
      </c>
      <c r="P51">
        <f>+'250923'!O28</f>
        <v>0</v>
      </c>
      <c r="Q51">
        <f>+'250923'!P28</f>
        <v>0</v>
      </c>
      <c r="R51">
        <f>+'250923'!Q28</f>
        <v>0</v>
      </c>
      <c r="S51">
        <f>+'250923'!V28</f>
        <v>0</v>
      </c>
      <c r="T51">
        <f>+'250923'!W28</f>
        <v>0</v>
      </c>
      <c r="U51">
        <f>+'250923'!X28</f>
        <v>0</v>
      </c>
      <c r="V51">
        <f>+'250923'!Y28</f>
        <v>0</v>
      </c>
      <c r="W51">
        <f>+'250923'!Z28</f>
        <v>0</v>
      </c>
      <c r="X51">
        <f>+'250923'!AA28</f>
        <v>0</v>
      </c>
    </row>
    <row r="52" spans="2:24" x14ac:dyDescent="0.2">
      <c r="B52">
        <f>+'250923'!A29</f>
        <v>28</v>
      </c>
      <c r="C52" t="str">
        <f>+'250923'!B29</f>
        <v>True</v>
      </c>
      <c r="D52">
        <f>+'250923'!C29</f>
        <v>45923.256824849537</v>
      </c>
      <c r="E52" t="str">
        <f>+'250923'!D29</f>
        <v>Yes, I agree to voluntarily participate (thanks for your collaboration)!</v>
      </c>
      <c r="F52" t="str">
        <f>+'250923'!E29</f>
        <v>t8p1</v>
      </c>
      <c r="G52" t="str">
        <f>+'250923'!F29</f>
        <v>Yes, with some disruptions or damages</v>
      </c>
      <c r="H52" t="str">
        <f>+'250923'!G29</f>
        <v>4</v>
      </c>
      <c r="I52" t="str">
        <f>+'250923'!H29</f>
        <v>Never</v>
      </c>
      <c r="J52" t="str">
        <f>+'250923'!I29</f>
        <v>1</v>
      </c>
      <c r="K52" t="str">
        <f>+'250923'!J29</f>
        <v>Once a day</v>
      </c>
      <c r="L52" t="str">
        <f>+'250923'!K29</f>
        <v>6</v>
      </c>
      <c r="M52" t="str">
        <f>+'250923'!L29</f>
        <v>Once a month</v>
      </c>
      <c r="N52" t="str">
        <f>+'250923'!M29</f>
        <v>4</v>
      </c>
      <c r="O52" t="str">
        <f>+'250923'!N29</f>
        <v>Never</v>
      </c>
      <c r="P52" t="str">
        <f>+'250923'!O29</f>
        <v>1</v>
      </c>
      <c r="Q52" t="str">
        <f>+'250923'!P29</f>
        <v>Once a week</v>
      </c>
      <c r="R52" t="str">
        <f>+'250923'!Q29</f>
        <v>5</v>
      </c>
      <c r="S52" t="str">
        <f>+'250923'!V29</f>
        <v>Likely</v>
      </c>
      <c r="T52" t="str">
        <f>+'250923'!W29</f>
        <v>4</v>
      </c>
      <c r="U52" t="str">
        <f>+'250923'!X29</f>
        <v>An extreme increase</v>
      </c>
      <c r="V52" t="str">
        <f>+'250923'!Y29</f>
        <v>5</v>
      </c>
      <c r="W52" t="str">
        <f>+'250923'!Z29</f>
        <v>I might suffer minor damage</v>
      </c>
      <c r="X52" t="str">
        <f>+'250923'!AA29</f>
        <v>3</v>
      </c>
    </row>
    <row r="53" spans="2:24" x14ac:dyDescent="0.2">
      <c r="B53">
        <f>+'250923'!A30</f>
        <v>29</v>
      </c>
      <c r="C53" t="str">
        <f>+'250923'!B30</f>
        <v>True</v>
      </c>
      <c r="D53">
        <f>+'250923'!C30</f>
        <v>45923.257790682866</v>
      </c>
      <c r="E53" t="str">
        <f>+'250923'!D30</f>
        <v>Yes, I agree to voluntarily participate (thanks for your collaboration)!</v>
      </c>
      <c r="F53" t="str">
        <f>+'250923'!E30</f>
        <v>t8p2</v>
      </c>
      <c r="G53" t="str">
        <f>+'250923'!F30</f>
        <v>Yes, with minor disruptions or damages</v>
      </c>
      <c r="H53" t="str">
        <f>+'250923'!G30</f>
        <v>3</v>
      </c>
      <c r="I53" t="str">
        <f>+'250923'!H30</f>
        <v>Once in the last six months</v>
      </c>
      <c r="J53" t="str">
        <f>+'250923'!I30</f>
        <v>3</v>
      </c>
      <c r="K53" t="str">
        <f>+'250923'!J30</f>
        <v>Once in the last year</v>
      </c>
      <c r="L53" t="str">
        <f>+'250923'!K30</f>
        <v>2</v>
      </c>
      <c r="M53" t="str">
        <f>+'250923'!L30</f>
        <v>Never</v>
      </c>
      <c r="N53" t="str">
        <f>+'250923'!M30</f>
        <v>1</v>
      </c>
      <c r="O53" t="str">
        <f>+'250923'!N30</f>
        <v>Once in the last year</v>
      </c>
      <c r="P53" t="str">
        <f>+'250923'!O30</f>
        <v>2</v>
      </c>
      <c r="Q53" t="str">
        <f>+'250923'!P30</f>
        <v>Once in the last year</v>
      </c>
      <c r="R53" t="str">
        <f>+'250923'!Q30</f>
        <v>2</v>
      </c>
      <c r="S53" t="str">
        <f>+'250923'!V30</f>
        <v>Likely</v>
      </c>
      <c r="T53" t="str">
        <f>+'250923'!W30</f>
        <v>4</v>
      </c>
      <c r="U53" t="str">
        <f>+'250923'!X30</f>
        <v>An extreme increase</v>
      </c>
      <c r="V53" t="str">
        <f>+'250923'!Y30</f>
        <v>5</v>
      </c>
      <c r="W53" t="str">
        <f>+'250923'!Z30</f>
        <v>I might suffer minor damage</v>
      </c>
      <c r="X53" t="str">
        <f>+'250923'!AA30</f>
        <v>3</v>
      </c>
    </row>
    <row r="54" spans="2:24" x14ac:dyDescent="0.2">
      <c r="B54">
        <f>+'250923'!A31</f>
        <v>30</v>
      </c>
      <c r="C54" t="str">
        <f>+'250923'!B31</f>
        <v>True</v>
      </c>
      <c r="D54">
        <f>+'250923'!C31</f>
        <v>45923.258094803241</v>
      </c>
      <c r="E54" t="str">
        <f>+'250923'!D31</f>
        <v>Yes, I agree to voluntarily participate (thanks for your collaboration)!</v>
      </c>
      <c r="F54" t="str">
        <f>+'250923'!E31</f>
        <v>t8p7</v>
      </c>
      <c r="G54" t="str">
        <f>+'250923'!F31</f>
        <v>No, I do not have a flood experience</v>
      </c>
      <c r="H54" t="str">
        <f>+'250923'!G31</f>
        <v>1</v>
      </c>
      <c r="I54" t="str">
        <f>+'250923'!H31</f>
        <v>Once in the last year</v>
      </c>
      <c r="J54" t="str">
        <f>+'250923'!I31</f>
        <v>2</v>
      </c>
      <c r="K54" t="str">
        <f>+'250923'!J31</f>
        <v>Once in the last year</v>
      </c>
      <c r="L54" t="str">
        <f>+'250923'!K31</f>
        <v>2</v>
      </c>
      <c r="M54" t="str">
        <f>+'250923'!L31</f>
        <v>Never</v>
      </c>
      <c r="N54" t="str">
        <f>+'250923'!M31</f>
        <v>1</v>
      </c>
      <c r="O54" t="str">
        <f>+'250923'!N31</f>
        <v>Once a day</v>
      </c>
      <c r="P54" t="str">
        <f>+'250923'!O31</f>
        <v>6</v>
      </c>
      <c r="Q54" t="str">
        <f>+'250923'!P31</f>
        <v>Once a day</v>
      </c>
      <c r="R54" t="str">
        <f>+'250923'!Q31</f>
        <v>6</v>
      </c>
      <c r="S54" t="str">
        <f>+'250923'!V31</f>
        <v>Unlikely</v>
      </c>
      <c r="T54" t="str">
        <f>+'250923'!W31</f>
        <v>2</v>
      </c>
      <c r="U54" t="str">
        <f>+'250923'!X31</f>
        <v>A big increase</v>
      </c>
      <c r="V54" t="str">
        <f>+'250923'!Y31</f>
        <v>4</v>
      </c>
      <c r="W54" t="str">
        <f>+'250923'!Z31</f>
        <v>I will get seriously damaged</v>
      </c>
      <c r="X54" t="str">
        <f>+'250923'!AA31</f>
        <v>5</v>
      </c>
    </row>
    <row r="55" spans="2:24" x14ac:dyDescent="0.2">
      <c r="B55">
        <f>+'250923'!A32</f>
        <v>31</v>
      </c>
      <c r="C55" t="str">
        <f>+'250923'!B32</f>
        <v>True</v>
      </c>
      <c r="D55">
        <f>+'250923'!C32</f>
        <v>45923.25813548611</v>
      </c>
      <c r="E55" t="str">
        <f>+'250923'!D32</f>
        <v>Yes, I agree to voluntarily participate (thanks for your collaboration)!</v>
      </c>
      <c r="F55" t="str">
        <f>+'250923'!E32</f>
        <v>t7p5</v>
      </c>
      <c r="G55" t="str">
        <f>+'250923'!F32</f>
        <v>No, I do not have a flood experience</v>
      </c>
      <c r="H55" t="str">
        <f>+'250923'!G32</f>
        <v>1</v>
      </c>
      <c r="I55" t="str">
        <f>+'250923'!H32</f>
        <v>Never</v>
      </c>
      <c r="J55" t="str">
        <f>+'250923'!I32</f>
        <v>1</v>
      </c>
      <c r="K55" t="str">
        <f>+'250923'!J32</f>
        <v>Once a month</v>
      </c>
      <c r="L55" t="str">
        <f>+'250923'!K32</f>
        <v>4</v>
      </c>
      <c r="M55" t="str">
        <f>+'250923'!L32</f>
        <v>Never</v>
      </c>
      <c r="N55" t="str">
        <f>+'250923'!M32</f>
        <v>1</v>
      </c>
      <c r="O55" t="str">
        <f>+'250923'!N32</f>
        <v>Once in the last year</v>
      </c>
      <c r="P55" t="str">
        <f>+'250923'!O32</f>
        <v>2</v>
      </c>
      <c r="Q55" t="str">
        <f>+'250923'!P32</f>
        <v>Never</v>
      </c>
      <c r="R55" t="str">
        <f>+'250923'!Q32</f>
        <v>1</v>
      </c>
      <c r="S55" t="str">
        <f>+'250923'!V32</f>
        <v>Unlikely</v>
      </c>
      <c r="T55" t="str">
        <f>+'250923'!W32</f>
        <v>2</v>
      </c>
      <c r="U55" t="str">
        <f>+'250923'!X32</f>
        <v>A moderate increase</v>
      </c>
      <c r="V55" t="str">
        <f>+'250923'!Y32</f>
        <v>3</v>
      </c>
      <c r="W55" t="str">
        <f>+'250923'!Z32</f>
        <v>I might suffer minor damage</v>
      </c>
      <c r="X55" t="str">
        <f>+'250923'!AA32</f>
        <v>3</v>
      </c>
    </row>
    <row r="56" spans="2:24" x14ac:dyDescent="0.2">
      <c r="B56">
        <f>+'250923'!A33</f>
        <v>32</v>
      </c>
      <c r="C56" t="str">
        <f>+'250923'!B33</f>
        <v>True</v>
      </c>
      <c r="D56">
        <f>+'250923'!C33</f>
        <v>45923.258229479157</v>
      </c>
      <c r="E56" t="str">
        <f>+'250923'!D33</f>
        <v>Yes, I agree to voluntarily participate (thanks for your collaboration)!</v>
      </c>
      <c r="F56" t="str">
        <f>+'250923'!E33</f>
        <v>t5p5</v>
      </c>
      <c r="G56" t="str">
        <f>+'250923'!F33</f>
        <v>No, I do not have a flood experience</v>
      </c>
      <c r="H56" t="str">
        <f>+'250923'!G33</f>
        <v>1</v>
      </c>
      <c r="I56" t="str">
        <f>+'250923'!H33</f>
        <v>Once a month</v>
      </c>
      <c r="J56" t="str">
        <f>+'250923'!I33</f>
        <v>4</v>
      </c>
      <c r="K56" t="str">
        <f>+'250923'!J33</f>
        <v>Once a month</v>
      </c>
      <c r="L56" t="str">
        <f>+'250923'!K33</f>
        <v>4</v>
      </c>
      <c r="M56" t="str">
        <f>+'250923'!L33</f>
        <v>Never</v>
      </c>
      <c r="N56" t="str">
        <f>+'250923'!M33</f>
        <v>1</v>
      </c>
      <c r="O56" t="str">
        <f>+'250923'!N33</f>
        <v>Once a month</v>
      </c>
      <c r="P56" t="str">
        <f>+'250923'!O33</f>
        <v>4</v>
      </c>
      <c r="Q56" t="str">
        <f>+'250923'!P33</f>
        <v>Once a month</v>
      </c>
      <c r="R56" t="str">
        <f>+'250923'!Q33</f>
        <v>4</v>
      </c>
      <c r="S56" t="str">
        <f>+'250923'!V33</f>
        <v>Likely</v>
      </c>
      <c r="T56" t="str">
        <f>+'250923'!W33</f>
        <v>4</v>
      </c>
      <c r="U56" t="str">
        <f>+'250923'!X33</f>
        <v>A big increase</v>
      </c>
      <c r="V56" t="str">
        <f>+'250923'!Y33</f>
        <v>4</v>
      </c>
      <c r="W56" t="str">
        <f>+'250923'!Z33</f>
        <v>I might suffer minor damage</v>
      </c>
      <c r="X56" t="str">
        <f>+'250923'!AA33</f>
        <v>3</v>
      </c>
    </row>
    <row r="57" spans="2:24" x14ac:dyDescent="0.2">
      <c r="B57">
        <f>+'250923'!A34</f>
        <v>33</v>
      </c>
      <c r="C57" t="str">
        <f>+'250923'!B34</f>
        <v>True</v>
      </c>
      <c r="D57">
        <f>+'250923'!C34</f>
        <v>45923.258355960643</v>
      </c>
      <c r="E57" t="str">
        <f>+'250923'!D34</f>
        <v>Yes, I agree to voluntarily participate (thanks for your collaboration)!</v>
      </c>
      <c r="F57" t="str">
        <f>+'250923'!E34</f>
        <v>t5p3</v>
      </c>
      <c r="G57" t="str">
        <f>+'250923'!F34</f>
        <v>No, I do not have a flood experience</v>
      </c>
      <c r="H57" t="str">
        <f>+'250923'!G34</f>
        <v>1</v>
      </c>
      <c r="I57" t="str">
        <f>+'250923'!H34</f>
        <v>Never</v>
      </c>
      <c r="J57" t="str">
        <f>+'250923'!I34</f>
        <v>1</v>
      </c>
      <c r="K57" t="str">
        <f>+'250923'!J34</f>
        <v>Never</v>
      </c>
      <c r="L57" t="str">
        <f>+'250923'!K34</f>
        <v>1</v>
      </c>
      <c r="M57" t="str">
        <f>+'250923'!L34</f>
        <v>Never</v>
      </c>
      <c r="N57" t="str">
        <f>+'250923'!M34</f>
        <v>1</v>
      </c>
      <c r="O57" t="str">
        <f>+'250923'!N34</f>
        <v>Never</v>
      </c>
      <c r="P57" t="str">
        <f>+'250923'!O34</f>
        <v>1</v>
      </c>
      <c r="Q57" t="str">
        <f>+'250923'!P34</f>
        <v>Never</v>
      </c>
      <c r="R57" t="str">
        <f>+'250923'!Q34</f>
        <v>1</v>
      </c>
      <c r="S57" t="str">
        <f>+'250923'!V34</f>
        <v>Very unlikely</v>
      </c>
      <c r="T57" t="str">
        <f>+'250923'!W34</f>
        <v>1</v>
      </c>
      <c r="U57" t="str">
        <f>+'250923'!X34</f>
        <v>A little increase</v>
      </c>
      <c r="V57" t="str">
        <f>+'250923'!Y34</f>
        <v>2</v>
      </c>
      <c r="W57" t="str">
        <f>+'250923'!Z34</f>
        <v>If I get flooded, I won't get damaged</v>
      </c>
      <c r="X57" t="str">
        <f>+'250923'!AA34</f>
        <v>2</v>
      </c>
    </row>
    <row r="58" spans="2:24" x14ac:dyDescent="0.2">
      <c r="B58">
        <f>+'250923'!A35</f>
        <v>34</v>
      </c>
      <c r="C58" t="str">
        <f>+'250923'!B35</f>
        <v>True</v>
      </c>
      <c r="D58">
        <f>+'250923'!C35</f>
        <v>45923.258403842592</v>
      </c>
      <c r="E58" t="str">
        <f>+'250923'!D35</f>
        <v>Yes, I agree to voluntarily participate (thanks for your collaboration)!</v>
      </c>
      <c r="F58" t="str">
        <f>+'250923'!E35</f>
        <v>t8p6</v>
      </c>
      <c r="G58" t="str">
        <f>+'250923'!F35</f>
        <v>Yes, but without disruptions or damages</v>
      </c>
      <c r="H58" t="str">
        <f>+'250923'!G35</f>
        <v>2</v>
      </c>
      <c r="I58" t="str">
        <f>+'250923'!H35</f>
        <v>Never</v>
      </c>
      <c r="J58" t="str">
        <f>+'250923'!I35</f>
        <v>1</v>
      </c>
      <c r="K58" t="str">
        <f>+'250923'!J35</f>
        <v>Once in the last year</v>
      </c>
      <c r="L58" t="str">
        <f>+'250923'!K35</f>
        <v>2</v>
      </c>
      <c r="M58" t="str">
        <f>+'250923'!L35</f>
        <v>Never</v>
      </c>
      <c r="N58" t="str">
        <f>+'250923'!M35</f>
        <v>1</v>
      </c>
      <c r="O58" t="str">
        <f>+'250923'!N35</f>
        <v>Never</v>
      </c>
      <c r="P58" t="str">
        <f>+'250923'!O35</f>
        <v>1</v>
      </c>
      <c r="Q58" t="str">
        <f>+'250923'!P35</f>
        <v>Never</v>
      </c>
      <c r="R58" t="str">
        <f>+'250923'!Q35</f>
        <v>1</v>
      </c>
      <c r="S58" t="str">
        <f>+'250923'!V35</f>
        <v>Likely</v>
      </c>
      <c r="T58" t="str">
        <f>+'250923'!W35</f>
        <v>4</v>
      </c>
      <c r="U58" t="str">
        <f>+'250923'!X35</f>
        <v>A moderate increase</v>
      </c>
      <c r="V58" t="str">
        <f>+'250923'!Y35</f>
        <v>3</v>
      </c>
      <c r="W58" t="str">
        <f>+'250923'!Z35</f>
        <v>I might suffer minor damage</v>
      </c>
      <c r="X58" t="str">
        <f>+'250923'!AA35</f>
        <v>3</v>
      </c>
    </row>
    <row r="59" spans="2:24" x14ac:dyDescent="0.2">
      <c r="B59">
        <f>+'250923'!A36</f>
        <v>35</v>
      </c>
      <c r="C59" t="str">
        <f>+'250923'!B36</f>
        <v>True</v>
      </c>
      <c r="D59">
        <f>+'250923'!C36</f>
        <v>45923.258851006947</v>
      </c>
      <c r="E59" t="str">
        <f>+'250923'!D36</f>
        <v>Yes, I agree to voluntarily participate (thanks for your collaboration)!</v>
      </c>
      <c r="F59" t="str">
        <f>+'250923'!E36</f>
        <v>t7p1</v>
      </c>
      <c r="G59" t="str">
        <f>+'250923'!F36</f>
        <v>No, I do not have a flood experience</v>
      </c>
      <c r="H59" t="str">
        <f>+'250923'!G36</f>
        <v>1</v>
      </c>
      <c r="I59" t="str">
        <f>+'250923'!H36</f>
        <v>Never</v>
      </c>
      <c r="J59" t="str">
        <f>+'250923'!I36</f>
        <v>1</v>
      </c>
      <c r="K59" t="str">
        <f>+'250923'!J36</f>
        <v>Once a month</v>
      </c>
      <c r="L59" t="str">
        <f>+'250923'!K36</f>
        <v>4</v>
      </c>
      <c r="M59" t="str">
        <f>+'250923'!L36</f>
        <v>Never</v>
      </c>
      <c r="N59" t="str">
        <f>+'250923'!M36</f>
        <v>1</v>
      </c>
      <c r="O59" t="str">
        <f>+'250923'!N36</f>
        <v>Once in the last six months</v>
      </c>
      <c r="P59" t="str">
        <f>+'250923'!O36</f>
        <v>3</v>
      </c>
      <c r="Q59" t="str">
        <f>+'250923'!P36</f>
        <v>Never</v>
      </c>
      <c r="R59" t="str">
        <f>+'250923'!Q36</f>
        <v>1</v>
      </c>
      <c r="S59" t="str">
        <f>+'250923'!V36</f>
        <v>Likely</v>
      </c>
      <c r="T59" t="str">
        <f>+'250923'!W36</f>
        <v>4</v>
      </c>
      <c r="U59" t="str">
        <f>+'250923'!X36</f>
        <v>A big increase</v>
      </c>
      <c r="V59" t="str">
        <f>+'250923'!Y36</f>
        <v>4</v>
      </c>
      <c r="W59" t="str">
        <f>+'250923'!Z36</f>
        <v>I will suffer some damage</v>
      </c>
      <c r="X59" t="str">
        <f>+'250923'!AA36</f>
        <v>4</v>
      </c>
    </row>
    <row r="60" spans="2:24" x14ac:dyDescent="0.2">
      <c r="B60">
        <f>+'250923'!A37</f>
        <v>36</v>
      </c>
      <c r="C60" t="str">
        <f>+'250923'!B37</f>
        <v>True</v>
      </c>
      <c r="D60">
        <f>+'250923'!C37</f>
        <v>45923.258920486107</v>
      </c>
      <c r="E60" t="str">
        <f>+'250923'!D37</f>
        <v>Yes, I agree to voluntarily participate (thanks for your collaboration)!</v>
      </c>
      <c r="F60" t="str">
        <f>+'250923'!E37</f>
        <v>t5p1</v>
      </c>
      <c r="G60" t="str">
        <f>+'250923'!F37</f>
        <v>No, I do not have a flood experience</v>
      </c>
      <c r="H60" t="str">
        <f>+'250923'!G37</f>
        <v>1</v>
      </c>
      <c r="I60" t="str">
        <f>+'250923'!H37</f>
        <v>Once in the last six months</v>
      </c>
      <c r="J60" t="str">
        <f>+'250923'!I37</f>
        <v>3</v>
      </c>
      <c r="K60" t="str">
        <f>+'250923'!J37</f>
        <v>Once in the last year</v>
      </c>
      <c r="L60" t="str">
        <f>+'250923'!K37</f>
        <v>2</v>
      </c>
      <c r="M60" t="str">
        <f>+'250923'!L37</f>
        <v>Once in the last six months</v>
      </c>
      <c r="N60" t="str">
        <f>+'250923'!M37</f>
        <v>3</v>
      </c>
      <c r="O60" t="str">
        <f>+'250923'!N37</f>
        <v>Once in the last six months</v>
      </c>
      <c r="P60" t="str">
        <f>+'250923'!O37</f>
        <v>3</v>
      </c>
      <c r="Q60" t="str">
        <f>+'250923'!P37</f>
        <v>Never</v>
      </c>
      <c r="R60" t="str">
        <f>+'250923'!Q37</f>
        <v>1</v>
      </c>
      <c r="S60" t="str">
        <f>+'250923'!V37</f>
        <v>Unlikely</v>
      </c>
      <c r="T60" t="str">
        <f>+'250923'!W37</f>
        <v>2</v>
      </c>
      <c r="U60" t="str">
        <f>+'250923'!X37</f>
        <v>A big increase</v>
      </c>
      <c r="V60" t="str">
        <f>+'250923'!Y37</f>
        <v>4</v>
      </c>
      <c r="W60" t="str">
        <f>+'250923'!Z37</f>
        <v>I might suffer minor damage</v>
      </c>
      <c r="X60" t="str">
        <f>+'250923'!AA37</f>
        <v>3</v>
      </c>
    </row>
    <row r="61" spans="2:24" x14ac:dyDescent="0.2">
      <c r="B61">
        <f>+'250923'!A38</f>
        <v>37</v>
      </c>
      <c r="C61" t="str">
        <f>+'250923'!B38</f>
        <v>True</v>
      </c>
      <c r="D61">
        <f>+'250923'!C38</f>
        <v>45923.259214224541</v>
      </c>
      <c r="E61" t="str">
        <f>+'250923'!D38</f>
        <v>Yes, I agree to voluntarily participate (thanks for your collaboration)!</v>
      </c>
      <c r="F61" t="str">
        <f>+'250923'!E38</f>
        <v>t6p2</v>
      </c>
      <c r="G61" t="str">
        <f>+'250923'!F38</f>
        <v>No, I do not have a flood experience</v>
      </c>
      <c r="H61" t="str">
        <f>+'250923'!G38</f>
        <v>1</v>
      </c>
      <c r="I61" t="str">
        <f>+'250923'!H38</f>
        <v>Never</v>
      </c>
      <c r="J61" t="str">
        <f>+'250923'!I38</f>
        <v>1</v>
      </c>
      <c r="K61" t="str">
        <f>+'250923'!J38</f>
        <v>Once a day</v>
      </c>
      <c r="L61" t="str">
        <f>+'250923'!K38</f>
        <v>6</v>
      </c>
      <c r="M61" t="str">
        <f>+'250923'!L38</f>
        <v>Once a month</v>
      </c>
      <c r="N61" t="str">
        <f>+'250923'!M38</f>
        <v>4</v>
      </c>
      <c r="O61" t="str">
        <f>+'250923'!N38</f>
        <v>Once a week</v>
      </c>
      <c r="P61" t="str">
        <f>+'250923'!O38</f>
        <v>5</v>
      </c>
      <c r="Q61" t="str">
        <f>+'250923'!P38</f>
        <v>Once a day</v>
      </c>
      <c r="R61" t="str">
        <f>+'250923'!Q38</f>
        <v>6</v>
      </c>
      <c r="S61" t="str">
        <f>+'250923'!V38</f>
        <v>Very unlikely</v>
      </c>
      <c r="T61" t="str">
        <f>+'250923'!W38</f>
        <v>1</v>
      </c>
      <c r="U61" t="str">
        <f>+'250923'!X38</f>
        <v>A moderate increase</v>
      </c>
      <c r="V61" t="str">
        <f>+'250923'!Y38</f>
        <v>3</v>
      </c>
      <c r="W61" t="str">
        <f>+'250923'!Z38</f>
        <v>I won't get flooded</v>
      </c>
      <c r="X61" t="str">
        <f>+'250923'!AA38</f>
        <v>1</v>
      </c>
    </row>
    <row r="62" spans="2:24" x14ac:dyDescent="0.2">
      <c r="B62">
        <f>+'250923'!A39</f>
        <v>38</v>
      </c>
      <c r="C62" t="str">
        <f>+'250923'!B39</f>
        <v>True</v>
      </c>
      <c r="D62">
        <f>+'250923'!C39</f>
        <v>45923.259545034722</v>
      </c>
      <c r="E62" t="str">
        <f>+'250923'!D39</f>
        <v>Yes, I agree to voluntarily participate (thanks for your collaboration)!</v>
      </c>
      <c r="F62" t="str">
        <f>+'250923'!E39</f>
        <v>t5p2</v>
      </c>
      <c r="G62" t="str">
        <f>+'250923'!F39</f>
        <v>No, I do not have a flood experience</v>
      </c>
      <c r="H62" t="str">
        <f>+'250923'!G39</f>
        <v>1</v>
      </c>
      <c r="I62" t="str">
        <f>+'250923'!H39</f>
        <v>Never</v>
      </c>
      <c r="J62" t="str">
        <f>+'250923'!I39</f>
        <v>1</v>
      </c>
      <c r="K62" t="str">
        <f>+'250923'!J39</f>
        <v>Once in the last six months</v>
      </c>
      <c r="L62" t="str">
        <f>+'250923'!K39</f>
        <v>3</v>
      </c>
      <c r="M62" t="str">
        <f>+'250923'!L39</f>
        <v>Never</v>
      </c>
      <c r="N62" t="str">
        <f>+'250923'!M39</f>
        <v>1</v>
      </c>
      <c r="O62" t="str">
        <f>+'250923'!N39</f>
        <v>Once a month</v>
      </c>
      <c r="P62" t="str">
        <f>+'250923'!O39</f>
        <v>4</v>
      </c>
      <c r="Q62" t="str">
        <f>+'250923'!P39</f>
        <v>Once a month</v>
      </c>
      <c r="R62" t="str">
        <f>+'250923'!Q39</f>
        <v>4</v>
      </c>
      <c r="S62" t="str">
        <f>+'250923'!V39</f>
        <v>Unlikely</v>
      </c>
      <c r="T62" t="str">
        <f>+'250923'!W39</f>
        <v>2</v>
      </c>
      <c r="U62" t="str">
        <f>+'250923'!X39</f>
        <v>A big increase</v>
      </c>
      <c r="V62" t="str">
        <f>+'250923'!Y39</f>
        <v>4</v>
      </c>
      <c r="W62" t="str">
        <f>+'250923'!Z39</f>
        <v>I might suffer minor damage</v>
      </c>
      <c r="X62" t="str">
        <f>+'250923'!AA39</f>
        <v>3</v>
      </c>
    </row>
    <row r="63" spans="2:24" x14ac:dyDescent="0.2">
      <c r="B63">
        <f>+'250923'!A40</f>
        <v>39</v>
      </c>
      <c r="C63" t="str">
        <f>+'250923'!B40</f>
        <v>True</v>
      </c>
      <c r="D63">
        <f>+'250923'!C40</f>
        <v>45923.259586562497</v>
      </c>
      <c r="E63" t="str">
        <f>+'250923'!D40</f>
        <v>Yes, I agree to voluntarily participate (thanks for your collaboration)!</v>
      </c>
      <c r="F63" t="str">
        <f>+'250923'!E40</f>
        <v>t5p7</v>
      </c>
      <c r="G63" t="str">
        <f>+'250923'!F40</f>
        <v>No, I do not have a flood experience</v>
      </c>
      <c r="H63" t="str">
        <f>+'250923'!G40</f>
        <v>1</v>
      </c>
      <c r="I63" t="str">
        <f>+'250923'!H40</f>
        <v>Once in the last six months</v>
      </c>
      <c r="J63" t="str">
        <f>+'250923'!I40</f>
        <v>3</v>
      </c>
      <c r="K63" t="str">
        <f>+'250923'!J40</f>
        <v>Once a month</v>
      </c>
      <c r="L63" t="str">
        <f>+'250923'!K40</f>
        <v>4</v>
      </c>
      <c r="M63" t="str">
        <f>+'250923'!L40</f>
        <v>Never</v>
      </c>
      <c r="N63" t="str">
        <f>+'250923'!M40</f>
        <v>1</v>
      </c>
      <c r="O63" t="str">
        <f>+'250923'!N40</f>
        <v>Once in the last six months</v>
      </c>
      <c r="P63" t="str">
        <f>+'250923'!O40</f>
        <v>3</v>
      </c>
      <c r="Q63" t="str">
        <f>+'250923'!P40</f>
        <v>Once in the last six months</v>
      </c>
      <c r="R63" t="str">
        <f>+'250923'!Q40</f>
        <v>3</v>
      </c>
      <c r="S63" t="str">
        <f>+'250923'!V40</f>
        <v>Likely</v>
      </c>
      <c r="T63" t="str">
        <f>+'250923'!W40</f>
        <v>4</v>
      </c>
      <c r="U63" t="str">
        <f>+'250923'!X40</f>
        <v>A big increase</v>
      </c>
      <c r="V63" t="str">
        <f>+'250923'!Y40</f>
        <v>4</v>
      </c>
      <c r="W63" t="str">
        <f>+'250923'!Z40</f>
        <v>I might suffer minor damage</v>
      </c>
      <c r="X63" t="str">
        <f>+'250923'!AA40</f>
        <v>3</v>
      </c>
    </row>
    <row r="64" spans="2:24" x14ac:dyDescent="0.2">
      <c r="B64">
        <f>+'250923'!A41</f>
        <v>40</v>
      </c>
      <c r="C64" t="str">
        <f>+'250923'!B41</f>
        <v>True</v>
      </c>
      <c r="D64">
        <f>+'250923'!C41</f>
        <v>45923.25968722222</v>
      </c>
      <c r="E64" t="str">
        <f>+'250923'!D41</f>
        <v>Yes, I agree to voluntarily participate (thanks for your collaboration)!</v>
      </c>
      <c r="F64" t="str">
        <f>+'250923'!E41</f>
        <v>t7p3</v>
      </c>
      <c r="G64" t="str">
        <f>+'250923'!F41</f>
        <v>Yes, but without disruptions or damages</v>
      </c>
      <c r="H64" t="str">
        <f>+'250923'!G41</f>
        <v>2</v>
      </c>
      <c r="I64" t="str">
        <f>+'250923'!H41</f>
        <v>Never</v>
      </c>
      <c r="J64" t="str">
        <f>+'250923'!I41</f>
        <v>1</v>
      </c>
      <c r="K64" t="str">
        <f>+'250923'!J41</f>
        <v>Never</v>
      </c>
      <c r="L64" t="str">
        <f>+'250923'!K41</f>
        <v>1</v>
      </c>
      <c r="M64" t="str">
        <f>+'250923'!L41</f>
        <v>Once in the last year</v>
      </c>
      <c r="N64" t="str">
        <f>+'250923'!M41</f>
        <v>2</v>
      </c>
      <c r="O64" t="str">
        <f>+'250923'!N41</f>
        <v>Once in the last year</v>
      </c>
      <c r="P64" t="str">
        <f>+'250923'!O41</f>
        <v>2</v>
      </c>
      <c r="Q64" t="str">
        <f>+'250923'!P41</f>
        <v>Once in the last year</v>
      </c>
      <c r="R64" t="str">
        <f>+'250923'!Q41</f>
        <v>2</v>
      </c>
      <c r="S64" t="str">
        <f>+'250923'!V41</f>
        <v>Likely</v>
      </c>
      <c r="T64" t="str">
        <f>+'250923'!W41</f>
        <v>4</v>
      </c>
      <c r="U64" t="str">
        <f>+'250923'!X41</f>
        <v>A big increase</v>
      </c>
      <c r="V64" t="str">
        <f>+'250923'!Y41</f>
        <v>4</v>
      </c>
      <c r="W64" t="str">
        <f>+'250923'!Z41</f>
        <v>I will get seriously damaged</v>
      </c>
      <c r="X64" t="str">
        <f>+'250923'!AA41</f>
        <v>5</v>
      </c>
    </row>
    <row r="65" spans="2:24" x14ac:dyDescent="0.2">
      <c r="B65">
        <f>+'250923'!A42</f>
        <v>41</v>
      </c>
      <c r="C65" t="str">
        <f>+'250923'!B42</f>
        <v>True</v>
      </c>
      <c r="D65">
        <f>+'250923'!C42</f>
        <v>45923.259723483803</v>
      </c>
      <c r="E65" t="str">
        <f>+'250923'!D42</f>
        <v>Yes, I agree to voluntarily participate (thanks for your collaboration)!</v>
      </c>
      <c r="F65" t="str">
        <f>+'250923'!E42</f>
        <v>t6p5</v>
      </c>
      <c r="G65" t="str">
        <f>+'250923'!F42</f>
        <v>No, I do not have a flood experience</v>
      </c>
      <c r="H65" t="str">
        <f>+'250923'!G42</f>
        <v>1</v>
      </c>
      <c r="I65" t="str">
        <f>+'250923'!H42</f>
        <v>Never</v>
      </c>
      <c r="J65" t="str">
        <f>+'250923'!I42</f>
        <v>1</v>
      </c>
      <c r="K65" t="str">
        <f>+'250923'!J42</f>
        <v>Once in the last six months</v>
      </c>
      <c r="L65" t="str">
        <f>+'250923'!K42</f>
        <v>3</v>
      </c>
      <c r="M65" t="str">
        <f>+'250923'!L42</f>
        <v>Once in the last six months</v>
      </c>
      <c r="N65" t="str">
        <f>+'250923'!M42</f>
        <v>3</v>
      </c>
      <c r="O65" t="str">
        <f>+'250923'!N42</f>
        <v>Once in the last six months</v>
      </c>
      <c r="P65" t="str">
        <f>+'250923'!O42</f>
        <v>3</v>
      </c>
      <c r="Q65" t="str">
        <f>+'250923'!P42</f>
        <v>Once in the last six months</v>
      </c>
      <c r="R65" t="str">
        <f>+'250923'!Q42</f>
        <v>3</v>
      </c>
      <c r="S65" t="str">
        <f>+'250923'!V42</f>
        <v>Unlikely</v>
      </c>
      <c r="T65" t="str">
        <f>+'250923'!W42</f>
        <v>2</v>
      </c>
      <c r="U65" t="str">
        <f>+'250923'!X42</f>
        <v>A little increase</v>
      </c>
      <c r="V65" t="str">
        <f>+'250923'!Y42</f>
        <v>2</v>
      </c>
      <c r="W65" t="str">
        <f>+'250923'!Z42</f>
        <v>I will suffer some damage</v>
      </c>
      <c r="X65" t="str">
        <f>+'250923'!AA42</f>
        <v>4</v>
      </c>
    </row>
    <row r="66" spans="2:24" x14ac:dyDescent="0.2">
      <c r="B66">
        <f>+'250923'!A43</f>
        <v>42</v>
      </c>
      <c r="C66" t="str">
        <f>+'250923'!B43</f>
        <v>True</v>
      </c>
      <c r="D66">
        <f>+'250923'!C43</f>
        <v>45923.259727534722</v>
      </c>
      <c r="E66" t="str">
        <f>+'250923'!D43</f>
        <v>Yes, I agree to voluntarily participate (thanks for your collaboration)!</v>
      </c>
      <c r="F66" t="str">
        <f>+'250923'!E43</f>
        <v>t6p3</v>
      </c>
      <c r="G66" t="str">
        <f>+'250923'!F43</f>
        <v>No, I do not have a flood experience</v>
      </c>
      <c r="H66" t="str">
        <f>+'250923'!G43</f>
        <v>1</v>
      </c>
      <c r="I66" t="str">
        <f>+'250923'!H43</f>
        <v>Never</v>
      </c>
      <c r="J66" t="str">
        <f>+'250923'!I43</f>
        <v>1</v>
      </c>
      <c r="K66" t="str">
        <f>+'250923'!J43</f>
        <v>Once in the last year</v>
      </c>
      <c r="L66" t="str">
        <f>+'250923'!K43</f>
        <v>2</v>
      </c>
      <c r="M66" t="str">
        <f>+'250923'!L43</f>
        <v>Once in the last year</v>
      </c>
      <c r="N66" t="str">
        <f>+'250923'!M43</f>
        <v>2</v>
      </c>
      <c r="O66" t="str">
        <f>+'250923'!N43</f>
        <v>Once in the last six months</v>
      </c>
      <c r="P66" t="str">
        <f>+'250923'!O43</f>
        <v>3</v>
      </c>
      <c r="Q66" t="str">
        <f>+'250923'!P43</f>
        <v>Once in the last year</v>
      </c>
      <c r="R66" t="str">
        <f>+'250923'!Q43</f>
        <v>2</v>
      </c>
      <c r="S66" t="str">
        <f>+'250923'!V43</f>
        <v>Unlikely</v>
      </c>
      <c r="T66" t="str">
        <f>+'250923'!W43</f>
        <v>2</v>
      </c>
      <c r="U66" t="str">
        <f>+'250923'!X43</f>
        <v>A little increase</v>
      </c>
      <c r="V66" t="str">
        <f>+'250923'!Y43</f>
        <v>2</v>
      </c>
      <c r="W66" t="str">
        <f>+'250923'!Z43</f>
        <v>I might suffer minor damage</v>
      </c>
      <c r="X66" t="str">
        <f>+'250923'!AA43</f>
        <v>3</v>
      </c>
    </row>
    <row r="67" spans="2:24" x14ac:dyDescent="0.2">
      <c r="B67">
        <f>+'250923'!A44</f>
        <v>43</v>
      </c>
      <c r="C67" t="str">
        <f>+'250923'!B44</f>
        <v>True</v>
      </c>
      <c r="D67">
        <f>+'250923'!C44</f>
        <v>45923.25985722222</v>
      </c>
      <c r="E67" t="str">
        <f>+'250923'!D44</f>
        <v>Yes, I agree to voluntarily participate (thanks for your collaboration)!</v>
      </c>
      <c r="F67" t="str">
        <f>+'250923'!E44</f>
        <v>t7p6</v>
      </c>
      <c r="G67" t="str">
        <f>+'250923'!F44</f>
        <v>No, I do not have a flood experience</v>
      </c>
      <c r="H67" t="str">
        <f>+'250923'!G44</f>
        <v>1</v>
      </c>
      <c r="I67" t="str">
        <f>+'250923'!H44</f>
        <v>Never</v>
      </c>
      <c r="J67" t="str">
        <f>+'250923'!I44</f>
        <v>1</v>
      </c>
      <c r="K67" t="str">
        <f>+'250923'!J44</f>
        <v>Once in the last six months</v>
      </c>
      <c r="L67" t="str">
        <f>+'250923'!K44</f>
        <v>3</v>
      </c>
      <c r="M67" t="str">
        <f>+'250923'!L44</f>
        <v>Never</v>
      </c>
      <c r="N67" t="str">
        <f>+'250923'!M44</f>
        <v>1</v>
      </c>
      <c r="O67" t="str">
        <f>+'250923'!N44</f>
        <v>Once in the last six months</v>
      </c>
      <c r="P67" t="str">
        <f>+'250923'!O44</f>
        <v>3</v>
      </c>
      <c r="Q67" t="str">
        <f>+'250923'!P44</f>
        <v>Once in the last six months</v>
      </c>
      <c r="R67" t="str">
        <f>+'250923'!Q44</f>
        <v>3</v>
      </c>
      <c r="S67" t="str">
        <f>+'250923'!V44</f>
        <v>Very unlikely</v>
      </c>
      <c r="T67" t="str">
        <f>+'250923'!W44</f>
        <v>1</v>
      </c>
      <c r="U67" t="str">
        <f>+'250923'!X44</f>
        <v>A little increase</v>
      </c>
      <c r="V67" t="str">
        <f>+'250923'!Y44</f>
        <v>2</v>
      </c>
      <c r="W67" t="str">
        <f>+'250923'!Z44</f>
        <v>I won't get flooded</v>
      </c>
      <c r="X67" t="str">
        <f>+'250923'!AA44</f>
        <v>1</v>
      </c>
    </row>
    <row r="68" spans="2:24" x14ac:dyDescent="0.2">
      <c r="B68">
        <f>+'250923'!A45</f>
        <v>44</v>
      </c>
      <c r="C68" t="str">
        <f>+'250923'!B45</f>
        <v>True</v>
      </c>
      <c r="D68">
        <f>+'250923'!C45</f>
        <v>45923.260061134257</v>
      </c>
      <c r="E68" t="str">
        <f>+'250923'!D45</f>
        <v>Yes, I agree to voluntarily participate (thanks for your collaboration)!</v>
      </c>
      <c r="F68" t="str">
        <f>+'250923'!E45</f>
        <v>t7p4</v>
      </c>
      <c r="G68" t="str">
        <f>+'250923'!F45</f>
        <v>No, I do not have a flood experience</v>
      </c>
      <c r="H68" t="str">
        <f>+'250923'!G45</f>
        <v>1</v>
      </c>
      <c r="I68" t="str">
        <f>+'250923'!H45</f>
        <v>Once in the last year</v>
      </c>
      <c r="J68" t="str">
        <f>+'250923'!I45</f>
        <v>2</v>
      </c>
      <c r="K68" t="str">
        <f>+'250923'!J45</f>
        <v>Once a week</v>
      </c>
      <c r="L68" t="str">
        <f>+'250923'!K45</f>
        <v>5</v>
      </c>
      <c r="M68" t="str">
        <f>+'250923'!L45</f>
        <v>Once in the last year</v>
      </c>
      <c r="N68" t="str">
        <f>+'250923'!M45</f>
        <v>2</v>
      </c>
      <c r="O68" t="str">
        <f>+'250923'!N45</f>
        <v>Once in the last six months</v>
      </c>
      <c r="P68" t="str">
        <f>+'250923'!O45</f>
        <v>3</v>
      </c>
      <c r="Q68" t="str">
        <f>+'250923'!P45</f>
        <v>Once in the last six months</v>
      </c>
      <c r="R68" t="str">
        <f>+'250923'!Q45</f>
        <v>3</v>
      </c>
      <c r="S68" t="str">
        <f>+'250923'!V45</f>
        <v>Likely</v>
      </c>
      <c r="T68" t="str">
        <f>+'250923'!W45</f>
        <v>4</v>
      </c>
      <c r="U68" t="str">
        <f>+'250923'!X45</f>
        <v>A big increase</v>
      </c>
      <c r="V68" t="str">
        <f>+'250923'!Y45</f>
        <v>4</v>
      </c>
      <c r="W68" t="str">
        <f>+'250923'!Z45</f>
        <v>I will suffer some damage</v>
      </c>
      <c r="X68" t="str">
        <f>+'250923'!AA45</f>
        <v>4</v>
      </c>
    </row>
    <row r="69" spans="2:24" x14ac:dyDescent="0.2">
      <c r="B69">
        <f>+'250923'!A46</f>
        <v>45</v>
      </c>
      <c r="C69" t="str">
        <f>+'250923'!B46</f>
        <v>True</v>
      </c>
      <c r="D69">
        <f>+'250923'!C46</f>
        <v>45923.260074502323</v>
      </c>
      <c r="E69" t="str">
        <f>+'250923'!D46</f>
        <v>Yes, I agree to voluntarily participate (thanks for your collaboration)!</v>
      </c>
      <c r="F69" t="str">
        <f>+'250923'!E46</f>
        <v>t5p4</v>
      </c>
      <c r="G69" t="str">
        <f>+'250923'!F46</f>
        <v>Yes, but without disruptions or damages</v>
      </c>
      <c r="H69" t="str">
        <f>+'250923'!G46</f>
        <v>2</v>
      </c>
      <c r="I69" t="str">
        <f>+'250923'!H46</f>
        <v>Never</v>
      </c>
      <c r="J69" t="str">
        <f>+'250923'!I46</f>
        <v>1</v>
      </c>
      <c r="K69" t="str">
        <f>+'250923'!J46</f>
        <v>Never</v>
      </c>
      <c r="L69" t="str">
        <f>+'250923'!K46</f>
        <v>1</v>
      </c>
      <c r="M69" t="str">
        <f>+'250923'!L46</f>
        <v>Never</v>
      </c>
      <c r="N69" t="str">
        <f>+'250923'!M46</f>
        <v>1</v>
      </c>
      <c r="O69" t="str">
        <f>+'250923'!N46</f>
        <v>Once in the last year</v>
      </c>
      <c r="P69" t="str">
        <f>+'250923'!O46</f>
        <v>2</v>
      </c>
      <c r="Q69" t="str">
        <f>+'250923'!P46</f>
        <v>Once in the last year</v>
      </c>
      <c r="R69" t="str">
        <f>+'250923'!Q46</f>
        <v>2</v>
      </c>
      <c r="S69" t="str">
        <f>+'250923'!V46</f>
        <v>Unlikely</v>
      </c>
      <c r="T69" t="str">
        <f>+'250923'!W46</f>
        <v>2</v>
      </c>
      <c r="U69" t="str">
        <f>+'250923'!X46</f>
        <v>A moderate increase</v>
      </c>
      <c r="V69" t="str">
        <f>+'250923'!Y46</f>
        <v>3</v>
      </c>
      <c r="W69" t="str">
        <f>+'250923'!Z46</f>
        <v>If I get flooded, I won't get damaged</v>
      </c>
      <c r="X69" t="str">
        <f>+'250923'!AA46</f>
        <v>2</v>
      </c>
    </row>
    <row r="70" spans="2:24" x14ac:dyDescent="0.2">
      <c r="B70">
        <f>+'250923'!A47</f>
        <v>46</v>
      </c>
      <c r="C70" t="str">
        <f>+'250923'!B47</f>
        <v>True</v>
      </c>
      <c r="D70">
        <f>+'250923'!C47</f>
        <v>45923.260265590266</v>
      </c>
      <c r="E70" t="str">
        <f>+'250923'!D47</f>
        <v>Yes, I agree to voluntarily participate (thanks for your collaboration)!</v>
      </c>
      <c r="F70" t="str">
        <f>+'250923'!E47</f>
        <v>t6p6</v>
      </c>
      <c r="G70" t="str">
        <f>+'250923'!F47</f>
        <v>No, I do not have a flood experience</v>
      </c>
      <c r="H70" t="str">
        <f>+'250923'!G47</f>
        <v>1</v>
      </c>
      <c r="I70" t="str">
        <f>+'250923'!H47</f>
        <v>Once a month</v>
      </c>
      <c r="J70" t="str">
        <f>+'250923'!I47</f>
        <v>4</v>
      </c>
      <c r="K70" t="str">
        <f>+'250923'!J47</f>
        <v>Once a month</v>
      </c>
      <c r="L70" t="str">
        <f>+'250923'!K47</f>
        <v>4</v>
      </c>
      <c r="M70" t="str">
        <f>+'250923'!L47</f>
        <v>Never</v>
      </c>
      <c r="N70" t="str">
        <f>+'250923'!M47</f>
        <v>1</v>
      </c>
      <c r="O70" t="str">
        <f>+'250923'!N47</f>
        <v>Once a month</v>
      </c>
      <c r="P70" t="str">
        <f>+'250923'!O47</f>
        <v>4</v>
      </c>
      <c r="Q70" t="str">
        <f>+'250923'!P47</f>
        <v>Once in the last year</v>
      </c>
      <c r="R70" t="str">
        <f>+'250923'!Q47</f>
        <v>2</v>
      </c>
      <c r="S70" t="str">
        <f>+'250923'!V47</f>
        <v>Likely</v>
      </c>
      <c r="T70" t="str">
        <f>+'250923'!W47</f>
        <v>4</v>
      </c>
      <c r="U70" t="str">
        <f>+'250923'!X47</f>
        <v>An extreme increase</v>
      </c>
      <c r="V70" t="str">
        <f>+'250923'!Y47</f>
        <v>5</v>
      </c>
      <c r="W70" t="str">
        <f>+'250923'!Z47</f>
        <v>I will suffer some damage</v>
      </c>
      <c r="X70" t="str">
        <f>+'250923'!AA47</f>
        <v>4</v>
      </c>
    </row>
    <row r="71" spans="2:24" x14ac:dyDescent="0.2">
      <c r="B71">
        <f>+'250923'!A48</f>
        <v>47</v>
      </c>
      <c r="C71" t="str">
        <f>+'250923'!B48</f>
        <v>True</v>
      </c>
      <c r="D71">
        <f>+'250923'!C48</f>
        <v>45923.260346249997</v>
      </c>
      <c r="E71" t="str">
        <f>+'250923'!D48</f>
        <v>Yes, I agree to voluntarily participate (thanks for your collaboration)!</v>
      </c>
      <c r="F71" t="str">
        <f>+'250923'!E48</f>
        <v>t8p5</v>
      </c>
      <c r="G71" t="str">
        <f>+'250923'!F48</f>
        <v>Yes, but without disruptions or damages</v>
      </c>
      <c r="H71" t="str">
        <f>+'250923'!G48</f>
        <v>2</v>
      </c>
      <c r="I71" t="str">
        <f>+'250923'!H48</f>
        <v>Once in the last six months</v>
      </c>
      <c r="J71" t="str">
        <f>+'250923'!I48</f>
        <v>3</v>
      </c>
      <c r="K71" t="str">
        <f>+'250923'!J48</f>
        <v>Once in the last six months</v>
      </c>
      <c r="L71" t="str">
        <f>+'250923'!K48</f>
        <v>3</v>
      </c>
      <c r="M71" t="str">
        <f>+'250923'!L48</f>
        <v>Never</v>
      </c>
      <c r="N71" t="str">
        <f>+'250923'!M48</f>
        <v>1</v>
      </c>
      <c r="O71" t="str">
        <f>+'250923'!N48</f>
        <v>Once in the last six months</v>
      </c>
      <c r="P71" t="str">
        <f>+'250923'!O48</f>
        <v>3</v>
      </c>
      <c r="Q71" t="str">
        <f>+'250923'!P48</f>
        <v>Once in the last six months</v>
      </c>
      <c r="R71" t="str">
        <f>+'250923'!Q48</f>
        <v>3</v>
      </c>
      <c r="S71" t="str">
        <f>+'250923'!V48</f>
        <v>Very unlikely</v>
      </c>
      <c r="T71" t="str">
        <f>+'250923'!W48</f>
        <v>1</v>
      </c>
      <c r="U71" t="str">
        <f>+'250923'!X48</f>
        <v>A little increase</v>
      </c>
      <c r="V71" t="str">
        <f>+'250923'!Y48</f>
        <v>2</v>
      </c>
      <c r="W71" t="str">
        <f>+'250923'!Z48</f>
        <v>If I get flooded, I won't get damaged</v>
      </c>
      <c r="X71" t="str">
        <f>+'250923'!AA48</f>
        <v>2</v>
      </c>
    </row>
    <row r="72" spans="2:24" x14ac:dyDescent="0.2">
      <c r="B72">
        <f>+'250923'!A49</f>
        <v>48</v>
      </c>
      <c r="C72" t="str">
        <f>+'250923'!B49</f>
        <v>True</v>
      </c>
      <c r="D72">
        <f>+'250923'!C49</f>
        <v>45923.260367916657</v>
      </c>
      <c r="E72" t="str">
        <f>+'250923'!D49</f>
        <v>Yes, I agree to voluntarily participate (thanks for your collaboration)!</v>
      </c>
      <c r="F72" t="str">
        <f>+'250923'!E49</f>
        <v>t6p1</v>
      </c>
      <c r="G72" t="str">
        <f>+'250923'!F49</f>
        <v>No, I do not have a flood experience</v>
      </c>
      <c r="H72" t="str">
        <f>+'250923'!G49</f>
        <v>1</v>
      </c>
      <c r="I72" t="str">
        <f>+'250923'!H49</f>
        <v>Never</v>
      </c>
      <c r="J72" t="str">
        <f>+'250923'!I49</f>
        <v>1</v>
      </c>
      <c r="K72" t="str">
        <f>+'250923'!J49</f>
        <v>Never</v>
      </c>
      <c r="L72" t="str">
        <f>+'250923'!K49</f>
        <v>1</v>
      </c>
      <c r="M72" t="str">
        <f>+'250923'!L49</f>
        <v>Once in the last year</v>
      </c>
      <c r="N72" t="str">
        <f>+'250923'!M49</f>
        <v>2</v>
      </c>
      <c r="O72" t="str">
        <f>+'250923'!N49</f>
        <v>Once a month</v>
      </c>
      <c r="P72" t="str">
        <f>+'250923'!O49</f>
        <v>4</v>
      </c>
      <c r="Q72" t="str">
        <f>+'250923'!P49</f>
        <v>Once a month</v>
      </c>
      <c r="R72" t="str">
        <f>+'250923'!Q49</f>
        <v>4</v>
      </c>
      <c r="S72" t="str">
        <f>+'250923'!V49</f>
        <v>Unlikely</v>
      </c>
      <c r="T72" t="str">
        <f>+'250923'!W49</f>
        <v>2</v>
      </c>
      <c r="U72" t="str">
        <f>+'250923'!X49</f>
        <v>A moderate increase</v>
      </c>
      <c r="V72" t="str">
        <f>+'250923'!Y49</f>
        <v>3</v>
      </c>
      <c r="W72" t="str">
        <f>+'250923'!Z49</f>
        <v>I might suffer minor damage</v>
      </c>
      <c r="X72" t="str">
        <f>+'250923'!AA49</f>
        <v>3</v>
      </c>
    </row>
    <row r="73" spans="2:24" x14ac:dyDescent="0.2">
      <c r="B73">
        <f>+'250923'!A50</f>
        <v>49</v>
      </c>
      <c r="C73" t="str">
        <f>+'250923'!B50</f>
        <v>True</v>
      </c>
      <c r="D73">
        <f>+'250923'!C50</f>
        <v>45923.260369988428</v>
      </c>
      <c r="E73" t="str">
        <f>+'250923'!D50</f>
        <v>Yes, I agree to voluntarily participate (thanks for your collaboration)!</v>
      </c>
      <c r="F73" t="str">
        <f>+'250923'!E50</f>
        <v>t6p4</v>
      </c>
      <c r="G73" t="str">
        <f>+'250923'!F50</f>
        <v>No, I do not have a flood experience</v>
      </c>
      <c r="H73" t="str">
        <f>+'250923'!G50</f>
        <v>1</v>
      </c>
      <c r="I73" t="str">
        <f>+'250923'!H50</f>
        <v>Once in the last year</v>
      </c>
      <c r="J73" t="str">
        <f>+'250923'!I50</f>
        <v>2</v>
      </c>
      <c r="K73" t="str">
        <f>+'250923'!J50</f>
        <v>Never</v>
      </c>
      <c r="L73" t="str">
        <f>+'250923'!K50</f>
        <v>1</v>
      </c>
      <c r="M73" t="str">
        <f>+'250923'!L50</f>
        <v>Once a month</v>
      </c>
      <c r="N73" t="str">
        <f>+'250923'!M50</f>
        <v>4</v>
      </c>
      <c r="O73" t="str">
        <f>+'250923'!N50</f>
        <v>Once a month</v>
      </c>
      <c r="P73" t="str">
        <f>+'250923'!O50</f>
        <v>4</v>
      </c>
      <c r="Q73" t="str">
        <f>+'250923'!P50</f>
        <v>Once in the last six months</v>
      </c>
      <c r="R73" t="str">
        <f>+'250923'!Q50</f>
        <v>3</v>
      </c>
      <c r="S73" t="str">
        <f>+'250923'!V50</f>
        <v>Neutral</v>
      </c>
      <c r="T73" t="str">
        <f>+'250923'!W50</f>
        <v>3</v>
      </c>
      <c r="U73" t="str">
        <f>+'250923'!X50</f>
        <v>A big increase</v>
      </c>
      <c r="V73" t="str">
        <f>+'250923'!Y50</f>
        <v>4</v>
      </c>
      <c r="W73" t="str">
        <f>+'250923'!Z50</f>
        <v>If I get flooded, I won't get damaged</v>
      </c>
      <c r="X73" t="str">
        <f>+'250923'!AA50</f>
        <v>2</v>
      </c>
    </row>
    <row r="74" spans="2:24" x14ac:dyDescent="0.2">
      <c r="B74">
        <f>+'250923'!A51</f>
        <v>50</v>
      </c>
      <c r="C74" t="str">
        <f>+'250923'!B51</f>
        <v>True</v>
      </c>
      <c r="D74">
        <f>+'250923'!C51</f>
        <v>45923.260596215267</v>
      </c>
      <c r="E74" t="str">
        <f>+'250923'!D51</f>
        <v>Yes, I agree to voluntarily participate (thanks for your collaboration)!</v>
      </c>
      <c r="F74" t="str">
        <f>+'250923'!E51</f>
        <v>t8p4</v>
      </c>
      <c r="G74" t="str">
        <f>+'250923'!F51</f>
        <v>Yes, with some disruptions or damages</v>
      </c>
      <c r="H74" t="str">
        <f>+'250923'!G51</f>
        <v>4</v>
      </c>
      <c r="I74" t="str">
        <f>+'250923'!H51</f>
        <v>Once in the last year</v>
      </c>
      <c r="J74" t="str">
        <f>+'250923'!I51</f>
        <v>2</v>
      </c>
      <c r="K74" t="str">
        <f>+'250923'!J51</f>
        <v>Once a week</v>
      </c>
      <c r="L74" t="str">
        <f>+'250923'!K51</f>
        <v>5</v>
      </c>
      <c r="M74" t="str">
        <f>+'250923'!L51</f>
        <v>Once in the last six months</v>
      </c>
      <c r="N74" t="str">
        <f>+'250923'!M51</f>
        <v>3</v>
      </c>
      <c r="O74" t="str">
        <f>+'250923'!N51</f>
        <v>Once a week</v>
      </c>
      <c r="P74" t="str">
        <f>+'250923'!O51</f>
        <v>5</v>
      </c>
      <c r="Q74" t="str">
        <f>+'250923'!P51</f>
        <v>Once a week</v>
      </c>
      <c r="R74" t="str">
        <f>+'250923'!Q51</f>
        <v>5</v>
      </c>
      <c r="S74" t="str">
        <f>+'250923'!V51</f>
        <v>Unlikely</v>
      </c>
      <c r="T74" t="str">
        <f>+'250923'!W51</f>
        <v>2</v>
      </c>
      <c r="U74" t="str">
        <f>+'250923'!X51</f>
        <v>A moderate increase</v>
      </c>
      <c r="V74" t="str">
        <f>+'250923'!Y51</f>
        <v>3</v>
      </c>
      <c r="W74" t="str">
        <f>+'250923'!Z51</f>
        <v>If I get flooded, I won't get damaged</v>
      </c>
      <c r="X74" t="str">
        <f>+'250923'!AA51</f>
        <v>2</v>
      </c>
    </row>
    <row r="75" spans="2:24" x14ac:dyDescent="0.2">
      <c r="B75">
        <f>+'250923'!A52</f>
        <v>51</v>
      </c>
      <c r="C75" t="str">
        <f>+'250923'!B52</f>
        <v>True</v>
      </c>
      <c r="D75">
        <f>+'250923'!C52</f>
        <v>45923.261156701388</v>
      </c>
      <c r="E75" t="str">
        <f>+'250923'!D52</f>
        <v>Yes, I agree to voluntarily participate (thanks for your collaboration)!</v>
      </c>
      <c r="F75" t="str">
        <f>+'250923'!E52</f>
        <v>t7p2</v>
      </c>
      <c r="G75" t="str">
        <f>+'250923'!F52</f>
        <v>Yes, but without disruptions or damages</v>
      </c>
      <c r="H75" t="str">
        <f>+'250923'!G52</f>
        <v>2</v>
      </c>
      <c r="I75" t="str">
        <f>+'250923'!H52</f>
        <v>Once a month</v>
      </c>
      <c r="J75" t="str">
        <f>+'250923'!I52</f>
        <v>4</v>
      </c>
      <c r="K75" t="str">
        <f>+'250923'!J52</f>
        <v>Never</v>
      </c>
      <c r="L75" t="str">
        <f>+'250923'!K52</f>
        <v>1</v>
      </c>
      <c r="M75" t="str">
        <f>+'250923'!L52</f>
        <v>Once in the last six months</v>
      </c>
      <c r="N75" t="str">
        <f>+'250923'!M52</f>
        <v>3</v>
      </c>
      <c r="O75" t="str">
        <f>+'250923'!N52</f>
        <v>Once a month</v>
      </c>
      <c r="P75" t="str">
        <f>+'250923'!O52</f>
        <v>4</v>
      </c>
      <c r="Q75" t="str">
        <f>+'250923'!P52</f>
        <v>Once a month</v>
      </c>
      <c r="R75" t="str">
        <f>+'250923'!Q52</f>
        <v>4</v>
      </c>
      <c r="S75" t="str">
        <f>+'250923'!V52</f>
        <v>Likely</v>
      </c>
      <c r="T75" t="str">
        <f>+'250923'!W52</f>
        <v>4</v>
      </c>
      <c r="U75" t="str">
        <f>+'250923'!X52</f>
        <v>A big increase</v>
      </c>
      <c r="V75" t="str">
        <f>+'250923'!Y52</f>
        <v>4</v>
      </c>
      <c r="W75" t="str">
        <f>+'250923'!Z52</f>
        <v>I might suffer minor damage</v>
      </c>
      <c r="X75" t="str">
        <f>+'250923'!AA52</f>
        <v>3</v>
      </c>
    </row>
    <row r="76" spans="2:24" x14ac:dyDescent="0.2">
      <c r="B76">
        <f>+'250923'!A53</f>
        <v>52</v>
      </c>
      <c r="C76" t="str">
        <f>+'250923'!B53</f>
        <v>True</v>
      </c>
      <c r="D76">
        <f>+'250923'!C53</f>
        <v>45923.262569178252</v>
      </c>
      <c r="E76" t="str">
        <f>+'250923'!D53</f>
        <v>Yes, I agree to voluntarily participate (thanks for your collaboration)!</v>
      </c>
      <c r="F76" t="str">
        <f>+'250923'!E53</f>
        <v>t5p6</v>
      </c>
      <c r="G76" t="str">
        <f>+'250923'!F53</f>
        <v>Yes, with some disruptions or damages</v>
      </c>
      <c r="H76" t="str">
        <f>+'250923'!G53</f>
        <v>4</v>
      </c>
      <c r="I76" t="str">
        <f>+'250923'!H53</f>
        <v>Never</v>
      </c>
      <c r="J76" t="str">
        <f>+'250923'!I53</f>
        <v>1</v>
      </c>
      <c r="K76" t="str">
        <f>+'250923'!J53</f>
        <v>Once in the last six months</v>
      </c>
      <c r="L76" t="str">
        <f>+'250923'!K53</f>
        <v>3</v>
      </c>
      <c r="M76" t="str">
        <f>+'250923'!L53</f>
        <v>Never</v>
      </c>
      <c r="N76" t="str">
        <f>+'250923'!M53</f>
        <v>1</v>
      </c>
      <c r="O76" t="str">
        <f>+'250923'!N53</f>
        <v>Once in the last six months</v>
      </c>
      <c r="P76" t="str">
        <f>+'250923'!O53</f>
        <v>3</v>
      </c>
      <c r="Q76" t="str">
        <f>+'250923'!P53</f>
        <v>Once in the last six months</v>
      </c>
      <c r="R76" t="str">
        <f>+'250923'!Q53</f>
        <v>3</v>
      </c>
      <c r="S76" t="str">
        <f>+'250923'!V53</f>
        <v>Likely</v>
      </c>
      <c r="T76" t="str">
        <f>+'250923'!W53</f>
        <v>4</v>
      </c>
      <c r="U76" t="str">
        <f>+'250923'!X53</f>
        <v>A big increase</v>
      </c>
      <c r="V76" t="str">
        <f>+'250923'!Y53</f>
        <v>4</v>
      </c>
      <c r="W76" t="str">
        <f>+'250923'!Z53</f>
        <v>I will suffer some damage</v>
      </c>
      <c r="X76" t="str">
        <f>+'250923'!AA53</f>
        <v>4</v>
      </c>
    </row>
    <row r="77" spans="2:24" x14ac:dyDescent="0.2">
      <c r="B77">
        <f>+'240924'!A2</f>
        <v>1</v>
      </c>
      <c r="C77" t="str">
        <f>+'240924'!B2</f>
        <v>True</v>
      </c>
      <c r="D77">
        <f>+'240924'!C2</f>
        <v>45559.100164699077</v>
      </c>
      <c r="E77" t="str">
        <f>+'240924'!D2</f>
        <v>Yes, I agree to voluntarily participate in this game session study (thanks for your collaboration)!</v>
      </c>
      <c r="F77" t="str">
        <f>+'240924'!E2</f>
        <v>t3p6</v>
      </c>
      <c r="G77" t="str">
        <f>+'240924'!F2</f>
        <v>No, I do not have a flood experience</v>
      </c>
      <c r="H77" t="str">
        <f>+'240924'!G2</f>
        <v>1</v>
      </c>
      <c r="I77" t="str">
        <f>+'240924'!H2</f>
        <v>Never</v>
      </c>
      <c r="J77" t="str">
        <f>+'240924'!I2</f>
        <v>1</v>
      </c>
      <c r="K77" t="str">
        <f>+'240924'!J2</f>
        <v>Never</v>
      </c>
      <c r="L77" t="str">
        <f>+'240924'!K2</f>
        <v>1</v>
      </c>
      <c r="M77" t="str">
        <f>+'240924'!L2</f>
        <v>Never</v>
      </c>
      <c r="N77" t="str">
        <f>+'240924'!M2</f>
        <v>1</v>
      </c>
      <c r="O77" t="str">
        <f>+'240924'!N2</f>
        <v>Once in the last year</v>
      </c>
      <c r="P77" t="str">
        <f>+'240924'!O2</f>
        <v>2</v>
      </c>
      <c r="Q77" t="str">
        <f>+'240924'!P2</f>
        <v>Never</v>
      </c>
      <c r="R77" t="str">
        <f>+'240924'!Q2</f>
        <v>1</v>
      </c>
      <c r="S77" t="str">
        <f>+'240924'!R2</f>
        <v>Very unlikely</v>
      </c>
      <c r="T77" t="str">
        <f>+'240924'!S2</f>
        <v>1</v>
      </c>
      <c r="U77" t="str">
        <f>+'240924'!T2</f>
        <v>A big increase</v>
      </c>
      <c r="V77" t="str">
        <f>+'240924'!U2</f>
        <v>4</v>
      </c>
      <c r="W77" t="str">
        <f>+'240924'!V2</f>
        <v>I won't get flooded</v>
      </c>
      <c r="X77" t="str">
        <f>+'240924'!W2</f>
        <v>1</v>
      </c>
    </row>
    <row r="78" spans="2:24" x14ac:dyDescent="0.2">
      <c r="B78">
        <f>+'240924'!A3</f>
        <v>2</v>
      </c>
      <c r="C78" t="str">
        <f>+'240924'!B3</f>
        <v>True</v>
      </c>
      <c r="D78">
        <f>+'240924'!C3</f>
        <v>45559.100937581017</v>
      </c>
      <c r="E78" t="str">
        <f>+'240924'!D3</f>
        <v>Yes, I agree to voluntarily participate in this game session study (thanks for your collaboration)!</v>
      </c>
      <c r="F78" t="str">
        <f>+'240924'!E3</f>
        <v>t5p3</v>
      </c>
      <c r="G78" t="str">
        <f>+'240924'!F3</f>
        <v>No, I do not have a flood experience</v>
      </c>
      <c r="H78" t="str">
        <f>+'240924'!G3</f>
        <v>1</v>
      </c>
      <c r="I78" t="str">
        <f>+'240924'!H3</f>
        <v>Once in the last year</v>
      </c>
      <c r="J78" t="str">
        <f>+'240924'!I3</f>
        <v>2</v>
      </c>
      <c r="K78" t="str">
        <f>+'240924'!J3</f>
        <v>Once a month</v>
      </c>
      <c r="L78" t="str">
        <f>+'240924'!K3</f>
        <v>4</v>
      </c>
      <c r="M78" t="str">
        <f>+'240924'!L3</f>
        <v>Once in the last year</v>
      </c>
      <c r="N78" t="str">
        <f>+'240924'!M3</f>
        <v>2</v>
      </c>
      <c r="O78" t="str">
        <f>+'240924'!N3</f>
        <v>Once a week</v>
      </c>
      <c r="P78" t="str">
        <f>+'240924'!O3</f>
        <v>5</v>
      </c>
      <c r="Q78" t="str">
        <f>+'240924'!P3</f>
        <v>Once a month</v>
      </c>
      <c r="R78" t="str">
        <f>+'240924'!Q3</f>
        <v>4</v>
      </c>
      <c r="S78" t="str">
        <f>+'240924'!R3</f>
        <v>Unlikely</v>
      </c>
      <c r="T78" t="str">
        <f>+'240924'!S3</f>
        <v>2</v>
      </c>
      <c r="U78" t="str">
        <f>+'240924'!T3</f>
        <v>A moderate increase</v>
      </c>
      <c r="V78" t="str">
        <f>+'240924'!U3</f>
        <v>3</v>
      </c>
      <c r="W78" t="str">
        <f>+'240924'!V3</f>
        <v>I might suffer minor damage</v>
      </c>
      <c r="X78" t="str">
        <f>+'240924'!W3</f>
        <v>3</v>
      </c>
    </row>
    <row r="79" spans="2:24" x14ac:dyDescent="0.2">
      <c r="B79">
        <f>+'240924'!A4</f>
        <v>3</v>
      </c>
      <c r="C79" t="str">
        <f>+'240924'!B4</f>
        <v>True</v>
      </c>
      <c r="D79">
        <f>+'240924'!C4</f>
        <v>45559.101154571763</v>
      </c>
      <c r="E79" t="str">
        <f>+'240924'!D4</f>
        <v>Yes, I agree to voluntarily participate in this game session study (thanks for your collaboration)!</v>
      </c>
      <c r="F79" t="str">
        <f>+'240924'!E4</f>
        <v>t4p6</v>
      </c>
      <c r="G79" t="str">
        <f>+'240924'!F4</f>
        <v>No, I do not have a flood experience</v>
      </c>
      <c r="H79" t="str">
        <f>+'240924'!G4</f>
        <v>1</v>
      </c>
      <c r="I79" t="str">
        <f>+'240924'!H4</f>
        <v>Once in the last six months</v>
      </c>
      <c r="J79" t="str">
        <f>+'240924'!I4</f>
        <v>3</v>
      </c>
      <c r="K79" t="str">
        <f>+'240924'!J4</f>
        <v>Never</v>
      </c>
      <c r="L79" t="str">
        <f>+'240924'!K4</f>
        <v>1</v>
      </c>
      <c r="M79" t="str">
        <f>+'240924'!L4</f>
        <v>Once in the last six months</v>
      </c>
      <c r="N79" t="str">
        <f>+'240924'!M4</f>
        <v>3</v>
      </c>
      <c r="O79" t="str">
        <f>+'240924'!N4</f>
        <v>Once a month</v>
      </c>
      <c r="P79" t="str">
        <f>+'240924'!O4</f>
        <v>4</v>
      </c>
      <c r="Q79" t="str">
        <f>+'240924'!P4</f>
        <v>Once a week</v>
      </c>
      <c r="R79" t="str">
        <f>+'240924'!Q4</f>
        <v>5</v>
      </c>
      <c r="S79" t="str">
        <f>+'240924'!R4</f>
        <v>Likely</v>
      </c>
      <c r="T79" t="str">
        <f>+'240924'!S4</f>
        <v>4</v>
      </c>
      <c r="U79" t="str">
        <f>+'240924'!T4</f>
        <v>An extreme increase</v>
      </c>
      <c r="V79" t="str">
        <f>+'240924'!U4</f>
        <v>5</v>
      </c>
      <c r="W79" t="str">
        <f>+'240924'!V4</f>
        <v>I will suffer some damage</v>
      </c>
      <c r="X79" t="str">
        <f>+'240924'!W4</f>
        <v>4</v>
      </c>
    </row>
    <row r="80" spans="2:24" x14ac:dyDescent="0.2">
      <c r="B80">
        <f>+'240924'!A5</f>
        <v>4</v>
      </c>
      <c r="C80" t="str">
        <f>+'240924'!B5</f>
        <v>True</v>
      </c>
      <c r="D80">
        <f>+'240924'!C5</f>
        <v>45559.10137694444</v>
      </c>
      <c r="E80" t="str">
        <f>+'240924'!D5</f>
        <v>Yes, I agree to voluntarily participate in this game session study (thanks for your collaboration)!</v>
      </c>
      <c r="F80" t="str">
        <f>+'240924'!E5</f>
        <v>t2p6</v>
      </c>
      <c r="G80" t="str">
        <f>+'240924'!F5</f>
        <v>No, I do not have a flood experience</v>
      </c>
      <c r="H80" t="str">
        <f>+'240924'!G5</f>
        <v>1</v>
      </c>
      <c r="I80" t="str">
        <f>+'240924'!H5</f>
        <v>Never</v>
      </c>
      <c r="J80" t="str">
        <f>+'240924'!I5</f>
        <v>1</v>
      </c>
      <c r="K80" t="str">
        <f>+'240924'!J5</f>
        <v>Never</v>
      </c>
      <c r="L80" t="str">
        <f>+'240924'!K5</f>
        <v>1</v>
      </c>
      <c r="M80" t="str">
        <f>+'240924'!L5</f>
        <v>Never</v>
      </c>
      <c r="N80" t="str">
        <f>+'240924'!M5</f>
        <v>1</v>
      </c>
      <c r="O80" t="str">
        <f>+'240924'!N5</f>
        <v>Once in the last six months</v>
      </c>
      <c r="P80" t="str">
        <f>+'240924'!O5</f>
        <v>3</v>
      </c>
      <c r="Q80" t="str">
        <f>+'240924'!P5</f>
        <v>Once in the last year</v>
      </c>
      <c r="R80" t="str">
        <f>+'240924'!Q5</f>
        <v>2</v>
      </c>
      <c r="S80" t="str">
        <f>+'240924'!R5</f>
        <v>Very unlikely</v>
      </c>
      <c r="T80" t="str">
        <f>+'240924'!S5</f>
        <v>1</v>
      </c>
      <c r="U80" t="str">
        <f>+'240924'!T5</f>
        <v>A big increase</v>
      </c>
      <c r="V80" t="str">
        <f>+'240924'!U5</f>
        <v>4</v>
      </c>
      <c r="W80" t="str">
        <f>+'240924'!V5</f>
        <v>I might suffer minor damage</v>
      </c>
      <c r="X80" t="str">
        <f>+'240924'!W5</f>
        <v>3</v>
      </c>
    </row>
    <row r="81" spans="2:24" x14ac:dyDescent="0.2">
      <c r="B81">
        <f>+'240924'!A6</f>
        <v>5</v>
      </c>
      <c r="C81" t="str">
        <f>+'240924'!B6</f>
        <v>True</v>
      </c>
      <c r="D81">
        <f>+'240924'!C6</f>
        <v>45559.101619074077</v>
      </c>
      <c r="E81" t="str">
        <f>+'240924'!D6</f>
        <v>Yes, I agree to voluntarily participate in this game session study (thanks for your collaboration)!</v>
      </c>
      <c r="F81" t="str">
        <f>+'240924'!E6</f>
        <v>t2p8</v>
      </c>
      <c r="G81" t="str">
        <f>+'240924'!F6</f>
        <v>Yes, but without disruptions or damages</v>
      </c>
      <c r="H81" t="str">
        <f>+'240924'!G6</f>
        <v>2</v>
      </c>
      <c r="I81" t="str">
        <f>+'240924'!H6</f>
        <v>Never</v>
      </c>
      <c r="J81" t="str">
        <f>+'240924'!I6</f>
        <v>1</v>
      </c>
      <c r="K81" t="str">
        <f>+'240924'!J6</f>
        <v>Once in the last year</v>
      </c>
      <c r="L81" t="str">
        <f>+'240924'!K6</f>
        <v>2</v>
      </c>
      <c r="M81" t="str">
        <f>+'240924'!L6</f>
        <v>Never</v>
      </c>
      <c r="N81" t="str">
        <f>+'240924'!M6</f>
        <v>1</v>
      </c>
      <c r="O81" t="str">
        <f>+'240924'!N6</f>
        <v>Once in the last six months</v>
      </c>
      <c r="P81" t="str">
        <f>+'240924'!O6</f>
        <v>3</v>
      </c>
      <c r="Q81" t="str">
        <f>+'240924'!P6</f>
        <v>Never</v>
      </c>
      <c r="R81" t="str">
        <f>+'240924'!Q6</f>
        <v>1</v>
      </c>
      <c r="S81" t="str">
        <f>+'240924'!R6</f>
        <v>Unlikely</v>
      </c>
      <c r="T81" t="str">
        <f>+'240924'!S6</f>
        <v>2</v>
      </c>
      <c r="U81" t="str">
        <f>+'240924'!T6</f>
        <v>A moderate increase</v>
      </c>
      <c r="V81" t="str">
        <f>+'240924'!U6</f>
        <v>3</v>
      </c>
      <c r="W81" t="str">
        <f>+'240924'!V6</f>
        <v>If I get flooded, I won't get damaged</v>
      </c>
      <c r="X81" t="str">
        <f>+'240924'!W6</f>
        <v>2</v>
      </c>
    </row>
    <row r="82" spans="2:24" x14ac:dyDescent="0.2">
      <c r="B82">
        <f>+'240924'!A7</f>
        <v>6</v>
      </c>
      <c r="C82" t="str">
        <f>+'240924'!B7</f>
        <v>True</v>
      </c>
      <c r="D82">
        <f>+'240924'!C7</f>
        <v>45559.101784027778</v>
      </c>
      <c r="E82" t="str">
        <f>+'240924'!D7</f>
        <v>Yes, I agree to voluntarily participate in this game session study (thanks for your collaboration)!</v>
      </c>
      <c r="F82" t="str">
        <f>+'240924'!E7</f>
        <v>t4p8</v>
      </c>
      <c r="G82" t="str">
        <f>+'240924'!F7</f>
        <v>No, I do not have a flood experience</v>
      </c>
      <c r="H82" t="str">
        <f>+'240924'!G7</f>
        <v>1</v>
      </c>
      <c r="I82" t="str">
        <f>+'240924'!H7</f>
        <v>Never</v>
      </c>
      <c r="J82" t="str">
        <f>+'240924'!I7</f>
        <v>1</v>
      </c>
      <c r="K82" t="str">
        <f>+'240924'!J7</f>
        <v>Never</v>
      </c>
      <c r="L82" t="str">
        <f>+'240924'!K7</f>
        <v>1</v>
      </c>
      <c r="M82" t="str">
        <f>+'240924'!L7</f>
        <v>Never</v>
      </c>
      <c r="N82" t="str">
        <f>+'240924'!M7</f>
        <v>1</v>
      </c>
      <c r="O82" t="str">
        <f>+'240924'!N7</f>
        <v>Once a month</v>
      </c>
      <c r="P82" t="str">
        <f>+'240924'!O7</f>
        <v>4</v>
      </c>
      <c r="Q82" t="str">
        <f>+'240924'!P7</f>
        <v>Never</v>
      </c>
      <c r="R82" t="str">
        <f>+'240924'!Q7</f>
        <v>1</v>
      </c>
      <c r="S82" t="str">
        <f>+'240924'!R7</f>
        <v>Unlikely</v>
      </c>
      <c r="T82" t="str">
        <f>+'240924'!S7</f>
        <v>2</v>
      </c>
      <c r="U82" t="str">
        <f>+'240924'!T7</f>
        <v>An extreme increase</v>
      </c>
      <c r="V82" t="str">
        <f>+'240924'!U7</f>
        <v>5</v>
      </c>
      <c r="W82" t="str">
        <f>+'240924'!V7</f>
        <v>I will suffer some damage</v>
      </c>
      <c r="X82" t="str">
        <f>+'240924'!W7</f>
        <v>4</v>
      </c>
    </row>
    <row r="83" spans="2:24" x14ac:dyDescent="0.2">
      <c r="B83">
        <f>+'240924'!A8</f>
        <v>7</v>
      </c>
      <c r="C83" t="str">
        <f>+'240924'!B8</f>
        <v>True</v>
      </c>
      <c r="D83">
        <f>+'240924'!C8</f>
        <v>45559.101863518517</v>
      </c>
      <c r="E83" t="str">
        <f>+'240924'!D8</f>
        <v>Yes, I agree to voluntarily participate in this game session study (thanks for your collaboration)!</v>
      </c>
      <c r="F83" t="str">
        <f>+'240924'!E8</f>
        <v>t3p4</v>
      </c>
      <c r="G83" t="str">
        <f>+'240924'!F8</f>
        <v>No, I do not have a flood experience</v>
      </c>
      <c r="H83" t="str">
        <f>+'240924'!G8</f>
        <v>1</v>
      </c>
      <c r="I83" t="str">
        <f>+'240924'!H8</f>
        <v>Once in the last six months</v>
      </c>
      <c r="J83" t="str">
        <f>+'240924'!I8</f>
        <v>3</v>
      </c>
      <c r="K83" t="str">
        <f>+'240924'!J8</f>
        <v>Once in the last six months</v>
      </c>
      <c r="L83" t="str">
        <f>+'240924'!K8</f>
        <v>3</v>
      </c>
      <c r="M83" t="str">
        <f>+'240924'!L8</f>
        <v>Once in the last six months</v>
      </c>
      <c r="N83" t="str">
        <f>+'240924'!M8</f>
        <v>3</v>
      </c>
      <c r="O83" t="str">
        <f>+'240924'!N8</f>
        <v>Once a month</v>
      </c>
      <c r="P83" t="str">
        <f>+'240924'!O8</f>
        <v>4</v>
      </c>
      <c r="Q83" t="str">
        <f>+'240924'!P8</f>
        <v>Once a month</v>
      </c>
      <c r="R83" t="str">
        <f>+'240924'!Q8</f>
        <v>4</v>
      </c>
      <c r="S83" t="str">
        <f>+'240924'!R8</f>
        <v>Neutral</v>
      </c>
      <c r="T83" t="str">
        <f>+'240924'!S8</f>
        <v>3</v>
      </c>
      <c r="U83" t="str">
        <f>+'240924'!T8</f>
        <v>A big increase</v>
      </c>
      <c r="V83" t="str">
        <f>+'240924'!U8</f>
        <v>4</v>
      </c>
      <c r="W83" t="str">
        <f>+'240924'!V8</f>
        <v>I might suffer minor damage</v>
      </c>
      <c r="X83" t="str">
        <f>+'240924'!W8</f>
        <v>3</v>
      </c>
    </row>
    <row r="84" spans="2:24" x14ac:dyDescent="0.2">
      <c r="B84">
        <f>+'240924'!A9</f>
        <v>8</v>
      </c>
      <c r="C84" t="str">
        <f>+'240924'!B9</f>
        <v>True</v>
      </c>
      <c r="D84">
        <f>+'240924'!C9</f>
        <v>45559.101892060193</v>
      </c>
      <c r="E84" t="str">
        <f>+'240924'!D9</f>
        <v>Yes, I agree to voluntarily participate in this game session study (thanks for your collaboration)!</v>
      </c>
      <c r="F84" t="str">
        <f>+'240924'!E9</f>
        <v>t4p1</v>
      </c>
      <c r="G84" t="str">
        <f>+'240924'!F9</f>
        <v>No, I do not have a flood experience</v>
      </c>
      <c r="H84" t="str">
        <f>+'240924'!G9</f>
        <v>1</v>
      </c>
      <c r="I84" t="str">
        <f>+'240924'!H9</f>
        <v>Once in the last year</v>
      </c>
      <c r="J84" t="str">
        <f>+'240924'!I9</f>
        <v>2</v>
      </c>
      <c r="K84" t="str">
        <f>+'240924'!J9</f>
        <v>Once in the last year</v>
      </c>
      <c r="L84" t="str">
        <f>+'240924'!K9</f>
        <v>2</v>
      </c>
      <c r="M84" t="str">
        <f>+'240924'!L9</f>
        <v>Never</v>
      </c>
      <c r="N84" t="str">
        <f>+'240924'!M9</f>
        <v>1</v>
      </c>
      <c r="O84" t="str">
        <f>+'240924'!N9</f>
        <v>Never</v>
      </c>
      <c r="P84" t="str">
        <f>+'240924'!O9</f>
        <v>1</v>
      </c>
      <c r="Q84" t="str">
        <f>+'240924'!P9</f>
        <v>Once a month</v>
      </c>
      <c r="R84" t="str">
        <f>+'240924'!Q9</f>
        <v>4</v>
      </c>
      <c r="S84" t="str">
        <f>+'240924'!R9</f>
        <v>Unlikely</v>
      </c>
      <c r="T84" t="str">
        <f>+'240924'!S9</f>
        <v>2</v>
      </c>
      <c r="U84" t="str">
        <f>+'240924'!T9</f>
        <v>A moderate increase</v>
      </c>
      <c r="V84" t="str">
        <f>+'240924'!U9</f>
        <v>3</v>
      </c>
      <c r="W84" t="str">
        <f>+'240924'!V9</f>
        <v>I might suffer minor damage</v>
      </c>
      <c r="X84" t="str">
        <f>+'240924'!W9</f>
        <v>3</v>
      </c>
    </row>
    <row r="85" spans="2:24" x14ac:dyDescent="0.2">
      <c r="B85">
        <f>+'240924'!A10</f>
        <v>9</v>
      </c>
      <c r="C85" t="str">
        <f>+'240924'!B10</f>
        <v>True</v>
      </c>
      <c r="D85">
        <f>+'240924'!C10</f>
        <v>45559.102028402784</v>
      </c>
      <c r="E85" t="str">
        <f>+'240924'!D10</f>
        <v>Yes, I agree to voluntarily participate in this game session study (thanks for your collaboration)!</v>
      </c>
      <c r="F85" t="str">
        <f>+'240924'!E10</f>
        <v>t4p2</v>
      </c>
      <c r="G85" t="str">
        <f>+'240924'!F10</f>
        <v>No, I do not have a flood experience</v>
      </c>
      <c r="H85" t="str">
        <f>+'240924'!G10</f>
        <v>1</v>
      </c>
      <c r="I85" t="str">
        <f>+'240924'!H10</f>
        <v>Once in the last year</v>
      </c>
      <c r="J85" t="str">
        <f>+'240924'!I10</f>
        <v>2</v>
      </c>
      <c r="K85" t="str">
        <f>+'240924'!J10</f>
        <v>Never</v>
      </c>
      <c r="L85" t="str">
        <f>+'240924'!K10</f>
        <v>1</v>
      </c>
      <c r="M85" t="str">
        <f>+'240924'!L10</f>
        <v>Never</v>
      </c>
      <c r="N85" t="str">
        <f>+'240924'!M10</f>
        <v>1</v>
      </c>
      <c r="O85" t="str">
        <f>+'240924'!N10</f>
        <v>Once a month</v>
      </c>
      <c r="P85" t="str">
        <f>+'240924'!O10</f>
        <v>4</v>
      </c>
      <c r="Q85" t="str">
        <f>+'240924'!P10</f>
        <v>Never</v>
      </c>
      <c r="R85" t="str">
        <f>+'240924'!Q10</f>
        <v>1</v>
      </c>
      <c r="S85" t="str">
        <f>+'240924'!R10</f>
        <v>Unlikely</v>
      </c>
      <c r="T85" t="str">
        <f>+'240924'!S10</f>
        <v>2</v>
      </c>
      <c r="U85" t="str">
        <f>+'240924'!T10</f>
        <v>A big increase</v>
      </c>
      <c r="V85" t="str">
        <f>+'240924'!U10</f>
        <v>4</v>
      </c>
      <c r="W85" t="str">
        <f>+'240924'!V10</f>
        <v>I might suffer minor damage</v>
      </c>
      <c r="X85" t="str">
        <f>+'240924'!W10</f>
        <v>3</v>
      </c>
    </row>
    <row r="86" spans="2:24" x14ac:dyDescent="0.2">
      <c r="B86">
        <f>+'240924'!A11</f>
        <v>10</v>
      </c>
      <c r="C86" t="str">
        <f>+'240924'!B11</f>
        <v>True</v>
      </c>
      <c r="D86">
        <f>+'240924'!C11</f>
        <v>45559.10227614583</v>
      </c>
      <c r="E86" t="str">
        <f>+'240924'!D11</f>
        <v>Yes, I agree to voluntarily participate in this game session study (thanks for your collaboration)!</v>
      </c>
      <c r="F86" t="str">
        <f>+'240924'!E11</f>
        <v>t3p8</v>
      </c>
      <c r="G86" t="str">
        <f>+'240924'!F11</f>
        <v>Yes, but without disruptions or damages</v>
      </c>
      <c r="H86" t="str">
        <f>+'240924'!G11</f>
        <v>2</v>
      </c>
      <c r="I86" t="str">
        <f>+'240924'!H11</f>
        <v>Never</v>
      </c>
      <c r="J86" t="str">
        <f>+'240924'!I11</f>
        <v>1</v>
      </c>
      <c r="K86" t="str">
        <f>+'240924'!J11</f>
        <v>Once a month</v>
      </c>
      <c r="L86" t="str">
        <f>+'240924'!K11</f>
        <v>4</v>
      </c>
      <c r="M86" t="str">
        <f>+'240924'!L11</f>
        <v>Never</v>
      </c>
      <c r="N86" t="str">
        <f>+'240924'!M11</f>
        <v>1</v>
      </c>
      <c r="O86" t="str">
        <f>+'240924'!N11</f>
        <v>Once a month</v>
      </c>
      <c r="P86" t="str">
        <f>+'240924'!O11</f>
        <v>4</v>
      </c>
      <c r="Q86" t="str">
        <f>+'240924'!P11</f>
        <v>Once in the last six months</v>
      </c>
      <c r="R86" t="str">
        <f>+'240924'!Q11</f>
        <v>3</v>
      </c>
      <c r="S86" t="str">
        <f>+'240924'!R11</f>
        <v>Unlikely</v>
      </c>
      <c r="T86" t="str">
        <f>+'240924'!S11</f>
        <v>2</v>
      </c>
      <c r="U86" t="str">
        <f>+'240924'!T11</f>
        <v>A big increase</v>
      </c>
      <c r="V86" t="str">
        <f>+'240924'!U11</f>
        <v>4</v>
      </c>
      <c r="W86" t="str">
        <f>+'240924'!V11</f>
        <v>I might suffer minor damage</v>
      </c>
      <c r="X86" t="str">
        <f>+'240924'!W11</f>
        <v>3</v>
      </c>
    </row>
    <row r="87" spans="2:24" x14ac:dyDescent="0.2">
      <c r="B87">
        <f>+'240924'!A12</f>
        <v>11</v>
      </c>
      <c r="C87" t="str">
        <f>+'240924'!B12</f>
        <v>True</v>
      </c>
      <c r="D87">
        <f>+'240924'!C12</f>
        <v>45559.102388437503</v>
      </c>
      <c r="E87" t="str">
        <f>+'240924'!D12</f>
        <v>Yes, I agree to voluntarily participate in this game session study (thanks for your collaboration)!</v>
      </c>
      <c r="F87" t="str">
        <f>+'240924'!E12</f>
        <v>t4p5</v>
      </c>
      <c r="G87" t="str">
        <f>+'240924'!F12</f>
        <v>No, I do not have a flood experience</v>
      </c>
      <c r="H87" t="str">
        <f>+'240924'!G12</f>
        <v>1</v>
      </c>
      <c r="I87" t="str">
        <f>+'240924'!H12</f>
        <v>Never</v>
      </c>
      <c r="J87" t="str">
        <f>+'240924'!I12</f>
        <v>1</v>
      </c>
      <c r="K87" t="str">
        <f>+'240924'!J12</f>
        <v>Never</v>
      </c>
      <c r="L87" t="str">
        <f>+'240924'!K12</f>
        <v>1</v>
      </c>
      <c r="M87" t="str">
        <f>+'240924'!L12</f>
        <v>Never</v>
      </c>
      <c r="N87" t="str">
        <f>+'240924'!M12</f>
        <v>1</v>
      </c>
      <c r="O87" t="str">
        <f>+'240924'!N12</f>
        <v>Once in the last six months</v>
      </c>
      <c r="P87" t="str">
        <f>+'240924'!O12</f>
        <v>3</v>
      </c>
      <c r="Q87" t="str">
        <f>+'240924'!P12</f>
        <v>Once in the last six months</v>
      </c>
      <c r="R87" t="str">
        <f>+'240924'!Q12</f>
        <v>3</v>
      </c>
      <c r="S87" t="str">
        <f>+'240924'!R12</f>
        <v>Unlikely</v>
      </c>
      <c r="T87" t="str">
        <f>+'240924'!S12</f>
        <v>2</v>
      </c>
      <c r="U87" t="str">
        <f>+'240924'!T12</f>
        <v>A big increase</v>
      </c>
      <c r="V87" t="str">
        <f>+'240924'!U12</f>
        <v>4</v>
      </c>
      <c r="W87" t="str">
        <f>+'240924'!V12</f>
        <v>I might suffer minor damage</v>
      </c>
      <c r="X87" t="str">
        <f>+'240924'!W12</f>
        <v>3</v>
      </c>
    </row>
    <row r="88" spans="2:24" x14ac:dyDescent="0.2">
      <c r="B88">
        <f>+'240924'!A13</f>
        <v>12</v>
      </c>
      <c r="C88" t="str">
        <f>+'240924'!B13</f>
        <v>True</v>
      </c>
      <c r="D88">
        <f>+'240924'!C13</f>
        <v>45559.102407546292</v>
      </c>
      <c r="E88" t="str">
        <f>+'240924'!D13</f>
        <v>Yes, I agree to voluntarily participate in this game session study (thanks for your collaboration)!</v>
      </c>
      <c r="F88" t="str">
        <f>+'240924'!E13</f>
        <v>t2p2</v>
      </c>
      <c r="G88" t="str">
        <f>+'240924'!F13</f>
        <v>Yes, but without disruptions or damages</v>
      </c>
      <c r="H88" t="str">
        <f>+'240924'!G13</f>
        <v>2</v>
      </c>
      <c r="I88" t="str">
        <f>+'240924'!H13</f>
        <v>Never</v>
      </c>
      <c r="J88" t="str">
        <f>+'240924'!I13</f>
        <v>1</v>
      </c>
      <c r="K88" t="str">
        <f>+'240924'!J13</f>
        <v>Never</v>
      </c>
      <c r="L88" t="str">
        <f>+'240924'!K13</f>
        <v>1</v>
      </c>
      <c r="M88" t="str">
        <f>+'240924'!L13</f>
        <v>Once in the last year</v>
      </c>
      <c r="N88" t="str">
        <f>+'240924'!M13</f>
        <v>2</v>
      </c>
      <c r="O88" t="str">
        <f>+'240924'!N13</f>
        <v>Once in the last six months</v>
      </c>
      <c r="P88" t="str">
        <f>+'240924'!O13</f>
        <v>3</v>
      </c>
      <c r="Q88" t="str">
        <f>+'240924'!P13</f>
        <v>Once in the last six months</v>
      </c>
      <c r="R88" t="str">
        <f>+'240924'!Q13</f>
        <v>3</v>
      </c>
      <c r="S88" t="str">
        <f>+'240924'!R13</f>
        <v>Likely</v>
      </c>
      <c r="T88" t="str">
        <f>+'240924'!S13</f>
        <v>4</v>
      </c>
      <c r="U88" t="str">
        <f>+'240924'!T13</f>
        <v>A big increase</v>
      </c>
      <c r="V88" t="str">
        <f>+'240924'!U13</f>
        <v>4</v>
      </c>
      <c r="W88" t="str">
        <f>+'240924'!V13</f>
        <v>If I get flooded, I won't get damaged</v>
      </c>
      <c r="X88" t="str">
        <f>+'240924'!W13</f>
        <v>2</v>
      </c>
    </row>
    <row r="89" spans="2:24" x14ac:dyDescent="0.2">
      <c r="B89">
        <f>+'240924'!A14</f>
        <v>13</v>
      </c>
      <c r="C89" t="str">
        <f>+'240924'!B14</f>
        <v>True</v>
      </c>
      <c r="D89">
        <f>+'240924'!C14</f>
        <v>45559.102525879629</v>
      </c>
      <c r="E89" t="str">
        <f>+'240924'!D14</f>
        <v>Yes, I agree to voluntarily participate in this game session study (thanks for your collaboration)!</v>
      </c>
      <c r="F89" t="str">
        <f>+'240924'!E14</f>
        <v>t3p7</v>
      </c>
      <c r="G89" t="str">
        <f>+'240924'!F14</f>
        <v>Yes, with minor disruptions or damages</v>
      </c>
      <c r="H89" t="str">
        <f>+'240924'!G14</f>
        <v>3</v>
      </c>
      <c r="I89" t="str">
        <f>+'240924'!H14</f>
        <v>Once a month</v>
      </c>
      <c r="J89" t="str">
        <f>+'240924'!I14</f>
        <v>4</v>
      </c>
      <c r="K89" t="str">
        <f>+'240924'!J14</f>
        <v>Once a month</v>
      </c>
      <c r="L89" t="str">
        <f>+'240924'!K14</f>
        <v>4</v>
      </c>
      <c r="M89" t="str">
        <f>+'240924'!L14</f>
        <v>Once in the last year</v>
      </c>
      <c r="N89" t="str">
        <f>+'240924'!M14</f>
        <v>2</v>
      </c>
      <c r="O89" t="str">
        <f>+'240924'!N14</f>
        <v>Once a month</v>
      </c>
      <c r="P89" t="str">
        <f>+'240924'!O14</f>
        <v>4</v>
      </c>
      <c r="Q89" t="str">
        <f>+'240924'!P14</f>
        <v>Once a month</v>
      </c>
      <c r="R89" t="str">
        <f>+'240924'!Q14</f>
        <v>4</v>
      </c>
      <c r="S89" t="str">
        <f>+'240924'!R14</f>
        <v>Very likely</v>
      </c>
      <c r="T89" t="str">
        <f>+'240924'!S14</f>
        <v>5</v>
      </c>
      <c r="U89" t="str">
        <f>+'240924'!T14</f>
        <v>A moderate increase</v>
      </c>
      <c r="V89" t="str">
        <f>+'240924'!U14</f>
        <v>3</v>
      </c>
      <c r="W89" t="str">
        <f>+'240924'!V14</f>
        <v>I will suffer some damage</v>
      </c>
      <c r="X89" t="str">
        <f>+'240924'!W14</f>
        <v>4</v>
      </c>
    </row>
    <row r="90" spans="2:24" x14ac:dyDescent="0.2">
      <c r="B90">
        <f>+'240924'!A15</f>
        <v>14</v>
      </c>
      <c r="C90" t="str">
        <f>+'240924'!B15</f>
        <v>True</v>
      </c>
      <c r="D90">
        <f>+'240924'!C15</f>
        <v>45559.102546631941</v>
      </c>
      <c r="E90" t="str">
        <f>+'240924'!D15</f>
        <v>Yes, I agree to voluntarily participate in this game session study (thanks for your collaboration)!</v>
      </c>
      <c r="F90" t="str">
        <f>+'240924'!E15</f>
        <v>t3p5</v>
      </c>
      <c r="G90" t="str">
        <f>+'240924'!F15</f>
        <v>No, I do not have a flood experience</v>
      </c>
      <c r="H90" t="str">
        <f>+'240924'!G15</f>
        <v>1</v>
      </c>
      <c r="I90" t="str">
        <f>+'240924'!H15</f>
        <v>Once in the last six months</v>
      </c>
      <c r="J90" t="str">
        <f>+'240924'!I15</f>
        <v>3</v>
      </c>
      <c r="K90" t="str">
        <f>+'240924'!J15</f>
        <v>Once in the last six months</v>
      </c>
      <c r="L90" t="str">
        <f>+'240924'!K15</f>
        <v>3</v>
      </c>
      <c r="M90" t="str">
        <f>+'240924'!L15</f>
        <v>Once in the last six months</v>
      </c>
      <c r="N90" t="str">
        <f>+'240924'!M15</f>
        <v>3</v>
      </c>
      <c r="O90" t="str">
        <f>+'240924'!N15</f>
        <v>Once a week</v>
      </c>
      <c r="P90" t="str">
        <f>+'240924'!O15</f>
        <v>5</v>
      </c>
      <c r="Q90" t="str">
        <f>+'240924'!P15</f>
        <v>Once a month</v>
      </c>
      <c r="R90" t="str">
        <f>+'240924'!Q15</f>
        <v>4</v>
      </c>
      <c r="S90" t="str">
        <f>+'240924'!R15</f>
        <v>Neutral</v>
      </c>
      <c r="T90" t="str">
        <f>+'240924'!S15</f>
        <v>3</v>
      </c>
      <c r="U90" t="str">
        <f>+'240924'!T15</f>
        <v>A big increase</v>
      </c>
      <c r="V90" t="str">
        <f>+'240924'!U15</f>
        <v>4</v>
      </c>
      <c r="W90" t="str">
        <f>+'240924'!V15</f>
        <v>I will suffer some damage</v>
      </c>
      <c r="X90" t="str">
        <f>+'240924'!W15</f>
        <v>4</v>
      </c>
    </row>
    <row r="91" spans="2:24" x14ac:dyDescent="0.2">
      <c r="B91">
        <f>+'240924'!A16</f>
        <v>15</v>
      </c>
      <c r="C91" t="str">
        <f>+'240924'!B16</f>
        <v>True</v>
      </c>
      <c r="D91">
        <f>+'240924'!C16</f>
        <v>45559.102616782402</v>
      </c>
      <c r="E91" t="str">
        <f>+'240924'!D16</f>
        <v>Yes, I agree to voluntarily participate in this game session study (thanks for your collaboration)!</v>
      </c>
      <c r="F91" t="str">
        <f>+'240924'!E16</f>
        <v>t5p7</v>
      </c>
      <c r="G91" t="str">
        <f>+'240924'!F16</f>
        <v>No, I do not have a flood experience</v>
      </c>
      <c r="H91" t="str">
        <f>+'240924'!G16</f>
        <v>1</v>
      </c>
      <c r="I91" t="str">
        <f>+'240924'!H16</f>
        <v>Never</v>
      </c>
      <c r="J91" t="str">
        <f>+'240924'!I16</f>
        <v>1</v>
      </c>
      <c r="K91" t="str">
        <f>+'240924'!J16</f>
        <v>Once in the last six months</v>
      </c>
      <c r="L91" t="str">
        <f>+'240924'!K16</f>
        <v>3</v>
      </c>
      <c r="M91" t="str">
        <f>+'240924'!L16</f>
        <v>Never</v>
      </c>
      <c r="N91" t="str">
        <f>+'240924'!M16</f>
        <v>1</v>
      </c>
      <c r="O91" t="str">
        <f>+'240924'!N16</f>
        <v>Once in the last six months</v>
      </c>
      <c r="P91" t="str">
        <f>+'240924'!O16</f>
        <v>3</v>
      </c>
      <c r="Q91" t="str">
        <f>+'240924'!P16</f>
        <v>Once in the last six months</v>
      </c>
      <c r="R91" t="str">
        <f>+'240924'!Q16</f>
        <v>3</v>
      </c>
      <c r="S91" t="str">
        <f>+'240924'!R16</f>
        <v>Very unlikely</v>
      </c>
      <c r="T91" t="str">
        <f>+'240924'!S16</f>
        <v>1</v>
      </c>
      <c r="U91" t="str">
        <f>+'240924'!T16</f>
        <v>A little increase</v>
      </c>
      <c r="V91" t="str">
        <f>+'240924'!U16</f>
        <v>2</v>
      </c>
      <c r="W91" t="str">
        <f>+'240924'!V16</f>
        <v>I won't get flooded</v>
      </c>
      <c r="X91" t="str">
        <f>+'240924'!W16</f>
        <v>1</v>
      </c>
    </row>
    <row r="92" spans="2:24" x14ac:dyDescent="0.2">
      <c r="B92">
        <f>+'240924'!A17</f>
        <v>16</v>
      </c>
      <c r="C92" t="str">
        <f>+'240924'!B17</f>
        <v>True</v>
      </c>
      <c r="D92">
        <f>+'240924'!C17</f>
        <v>45559.102691446758</v>
      </c>
      <c r="E92" t="str">
        <f>+'240924'!D17</f>
        <v>Yes, I agree to voluntarily participate in this game session study (thanks for your collaboration)!</v>
      </c>
      <c r="F92" t="str">
        <f>+'240924'!E17</f>
        <v>t2p4</v>
      </c>
      <c r="G92" t="str">
        <f>+'240924'!F17</f>
        <v>No, I do not have a flood experience</v>
      </c>
      <c r="H92" t="str">
        <f>+'240924'!G17</f>
        <v>1</v>
      </c>
      <c r="I92" t="str">
        <f>+'240924'!H17</f>
        <v>Once in the last six months</v>
      </c>
      <c r="J92" t="str">
        <f>+'240924'!I17</f>
        <v>3</v>
      </c>
      <c r="K92" t="str">
        <f>+'240924'!J17</f>
        <v>Once a day</v>
      </c>
      <c r="L92" t="str">
        <f>+'240924'!K17</f>
        <v>6</v>
      </c>
      <c r="M92" t="str">
        <f>+'240924'!L17</f>
        <v>Never</v>
      </c>
      <c r="N92" t="str">
        <f>+'240924'!M17</f>
        <v>1</v>
      </c>
      <c r="O92" t="str">
        <f>+'240924'!N17</f>
        <v>Once in the last six months</v>
      </c>
      <c r="P92" t="str">
        <f>+'240924'!O17</f>
        <v>3</v>
      </c>
      <c r="Q92" t="str">
        <f>+'240924'!P17</f>
        <v>Once a month</v>
      </c>
      <c r="R92" t="str">
        <f>+'240924'!Q17</f>
        <v>4</v>
      </c>
      <c r="S92" t="str">
        <f>+'240924'!R17</f>
        <v>Likely</v>
      </c>
      <c r="T92" t="str">
        <f>+'240924'!S17</f>
        <v>4</v>
      </c>
      <c r="U92" t="str">
        <f>+'240924'!T17</f>
        <v>An extreme increase</v>
      </c>
      <c r="V92" t="str">
        <f>+'240924'!U17</f>
        <v>5</v>
      </c>
      <c r="W92" t="str">
        <f>+'240924'!V17</f>
        <v>I will suffer some damage</v>
      </c>
      <c r="X92" t="str">
        <f>+'240924'!W17</f>
        <v>4</v>
      </c>
    </row>
    <row r="93" spans="2:24" x14ac:dyDescent="0.2">
      <c r="B93">
        <f>+'240924'!A18</f>
        <v>17</v>
      </c>
      <c r="C93" t="str">
        <f>+'240924'!B18</f>
        <v>True</v>
      </c>
      <c r="D93">
        <f>+'240924'!C18</f>
        <v>45559.102952106477</v>
      </c>
      <c r="E93" t="str">
        <f>+'240924'!D18</f>
        <v>Yes, I agree to voluntarily participate in this game session study (thanks for your collaboration)!</v>
      </c>
      <c r="F93" t="str">
        <f>+'240924'!E18</f>
        <v>t2p5</v>
      </c>
      <c r="G93" t="str">
        <f>+'240924'!F18</f>
        <v>Yes, with minor disruptions or damages</v>
      </c>
      <c r="H93" t="str">
        <f>+'240924'!G18</f>
        <v>3</v>
      </c>
      <c r="I93" t="str">
        <f>+'240924'!H18</f>
        <v>Once in the last six months</v>
      </c>
      <c r="J93" t="str">
        <f>+'240924'!I18</f>
        <v>3</v>
      </c>
      <c r="K93" t="str">
        <f>+'240924'!J18</f>
        <v>Once a month</v>
      </c>
      <c r="L93" t="str">
        <f>+'240924'!K18</f>
        <v>4</v>
      </c>
      <c r="M93" t="str">
        <f>+'240924'!L18</f>
        <v>Once in the last year</v>
      </c>
      <c r="N93" t="str">
        <f>+'240924'!M18</f>
        <v>2</v>
      </c>
      <c r="O93" t="str">
        <f>+'240924'!N18</f>
        <v>Once a week</v>
      </c>
      <c r="P93" t="str">
        <f>+'240924'!O18</f>
        <v>5</v>
      </c>
      <c r="Q93" t="str">
        <f>+'240924'!P18</f>
        <v>Once a month</v>
      </c>
      <c r="R93" t="str">
        <f>+'240924'!Q18</f>
        <v>4</v>
      </c>
      <c r="S93" t="str">
        <f>+'240924'!R18</f>
        <v>Likely</v>
      </c>
      <c r="T93" t="str">
        <f>+'240924'!S18</f>
        <v>4</v>
      </c>
      <c r="U93" t="str">
        <f>+'240924'!T18</f>
        <v>A big increase</v>
      </c>
      <c r="V93" t="str">
        <f>+'240924'!U18</f>
        <v>4</v>
      </c>
      <c r="W93" t="str">
        <f>+'240924'!V18</f>
        <v>I might suffer minor damage</v>
      </c>
      <c r="X93" t="str">
        <f>+'240924'!W18</f>
        <v>3</v>
      </c>
    </row>
    <row r="94" spans="2:24" x14ac:dyDescent="0.2">
      <c r="B94">
        <f>+'240924'!A19</f>
        <v>18</v>
      </c>
      <c r="C94" t="str">
        <f>+'240924'!B19</f>
        <v>True</v>
      </c>
      <c r="D94">
        <f>+'240924'!C19</f>
        <v>45559.102962777783</v>
      </c>
      <c r="E94" t="str">
        <f>+'240924'!D19</f>
        <v>Yes, I agree to voluntarily participate in this game session study (thanks for your collaboration)!</v>
      </c>
      <c r="F94" t="str">
        <f>+'240924'!E19</f>
        <v>t2p1</v>
      </c>
      <c r="G94" t="str">
        <f>+'240924'!F19</f>
        <v>No, I do not have a flood experience</v>
      </c>
      <c r="H94" t="str">
        <f>+'240924'!G19</f>
        <v>1</v>
      </c>
      <c r="I94" t="str">
        <f>+'240924'!H19</f>
        <v>Never</v>
      </c>
      <c r="J94" t="str">
        <f>+'240924'!I19</f>
        <v>1</v>
      </c>
      <c r="K94" t="str">
        <f>+'240924'!J19</f>
        <v>Never</v>
      </c>
      <c r="L94" t="str">
        <f>+'240924'!K19</f>
        <v>1</v>
      </c>
      <c r="M94" t="str">
        <f>+'240924'!L19</f>
        <v>Never</v>
      </c>
      <c r="N94" t="str">
        <f>+'240924'!M19</f>
        <v>1</v>
      </c>
      <c r="O94" t="str">
        <f>+'240924'!N19</f>
        <v>Never</v>
      </c>
      <c r="P94" t="str">
        <f>+'240924'!O19</f>
        <v>1</v>
      </c>
      <c r="Q94" t="str">
        <f>+'240924'!P19</f>
        <v>Never</v>
      </c>
      <c r="R94" t="str">
        <f>+'240924'!Q19</f>
        <v>1</v>
      </c>
      <c r="S94" t="str">
        <f>+'240924'!R19</f>
        <v>Likely</v>
      </c>
      <c r="T94" t="str">
        <f>+'240924'!S19</f>
        <v>4</v>
      </c>
      <c r="U94" t="str">
        <f>+'240924'!T19</f>
        <v>An extreme increase</v>
      </c>
      <c r="V94" t="str">
        <f>+'240924'!U19</f>
        <v>5</v>
      </c>
      <c r="W94" t="str">
        <f>+'240924'!V19</f>
        <v>I might suffer minor damage</v>
      </c>
      <c r="X94" t="str">
        <f>+'240924'!W19</f>
        <v>3</v>
      </c>
    </row>
    <row r="95" spans="2:24" x14ac:dyDescent="0.2">
      <c r="B95">
        <f>+'240924'!A20</f>
        <v>19</v>
      </c>
      <c r="C95" t="str">
        <f>+'240924'!B20</f>
        <v>True</v>
      </c>
      <c r="D95">
        <f>+'240924'!C20</f>
        <v>45559.102964641213</v>
      </c>
      <c r="E95" t="str">
        <f>+'240924'!D20</f>
        <v>Yes, I agree to voluntarily participate in this game session study (thanks for your collaboration)!</v>
      </c>
      <c r="F95" t="str">
        <f>+'240924'!E20</f>
        <v>t5t8</v>
      </c>
      <c r="G95" t="str">
        <f>+'240924'!F20</f>
        <v>Yes, but without disruptions or damages</v>
      </c>
      <c r="H95" t="str">
        <f>+'240924'!G20</f>
        <v>2</v>
      </c>
      <c r="I95" t="str">
        <f>+'240924'!H20</f>
        <v>Once a month</v>
      </c>
      <c r="J95" t="str">
        <f>+'240924'!I20</f>
        <v>4</v>
      </c>
      <c r="K95" t="str">
        <f>+'240924'!J20</f>
        <v>Once in the last year</v>
      </c>
      <c r="L95" t="str">
        <f>+'240924'!K20</f>
        <v>2</v>
      </c>
      <c r="M95" t="str">
        <f>+'240924'!L20</f>
        <v>Once in the last year</v>
      </c>
      <c r="N95" t="str">
        <f>+'240924'!M20</f>
        <v>2</v>
      </c>
      <c r="O95" t="str">
        <f>+'240924'!N20</f>
        <v>Once a week</v>
      </c>
      <c r="P95" t="str">
        <f>+'240924'!O20</f>
        <v>5</v>
      </c>
      <c r="Q95" t="str">
        <f>+'240924'!P20</f>
        <v>Never</v>
      </c>
      <c r="R95" t="str">
        <f>+'240924'!Q20</f>
        <v>1</v>
      </c>
      <c r="S95" t="str">
        <f>+'240924'!R20</f>
        <v>Very unlikely</v>
      </c>
      <c r="T95" t="str">
        <f>+'240924'!S20</f>
        <v>1</v>
      </c>
      <c r="U95" t="str">
        <f>+'240924'!T20</f>
        <v>An extreme increase</v>
      </c>
      <c r="V95" t="str">
        <f>+'240924'!U20</f>
        <v>5</v>
      </c>
      <c r="W95" t="str">
        <f>+'240924'!V20</f>
        <v>I might suffer minor damage</v>
      </c>
      <c r="X95" t="str">
        <f>+'240924'!W20</f>
        <v>3</v>
      </c>
    </row>
    <row r="96" spans="2:24" x14ac:dyDescent="0.2">
      <c r="B96">
        <f>+'240924'!A21</f>
        <v>20</v>
      </c>
      <c r="C96" t="str">
        <f>+'240924'!B21</f>
        <v>True</v>
      </c>
      <c r="D96">
        <f>+'240924'!C21</f>
        <v>45559.102986921287</v>
      </c>
      <c r="E96" t="str">
        <f>+'240924'!D21</f>
        <v>Yes, I agree to voluntarily participate in this game session study (thanks for your collaboration)!</v>
      </c>
      <c r="F96" t="str">
        <f>+'240924'!E21</f>
        <v>t5p2</v>
      </c>
      <c r="G96" t="str">
        <f>+'240924'!F21</f>
        <v>No, I do not have a flood experience</v>
      </c>
      <c r="H96" t="str">
        <f>+'240924'!G21</f>
        <v>1</v>
      </c>
      <c r="I96" t="str">
        <f>+'240924'!H21</f>
        <v>Never</v>
      </c>
      <c r="J96" t="str">
        <f>+'240924'!I21</f>
        <v>1</v>
      </c>
      <c r="K96" t="str">
        <f>+'240924'!J21</f>
        <v>Once in the last year</v>
      </c>
      <c r="L96" t="str">
        <f>+'240924'!K21</f>
        <v>2</v>
      </c>
      <c r="M96" t="str">
        <f>+'240924'!L21</f>
        <v>Never</v>
      </c>
      <c r="N96" t="str">
        <f>+'240924'!M21</f>
        <v>1</v>
      </c>
      <c r="O96" t="str">
        <f>+'240924'!N21</f>
        <v>Once in the last year</v>
      </c>
      <c r="P96" t="str">
        <f>+'240924'!O21</f>
        <v>2</v>
      </c>
      <c r="Q96" t="str">
        <f>+'240924'!P21</f>
        <v>Once in the last year</v>
      </c>
      <c r="R96" t="str">
        <f>+'240924'!Q21</f>
        <v>2</v>
      </c>
      <c r="S96" t="str">
        <f>+'240924'!R21</f>
        <v>Very unlikely</v>
      </c>
      <c r="T96" t="str">
        <f>+'240924'!S21</f>
        <v>1</v>
      </c>
      <c r="U96" t="str">
        <f>+'240924'!T21</f>
        <v>A little increase</v>
      </c>
      <c r="V96" t="str">
        <f>+'240924'!U21</f>
        <v>2</v>
      </c>
      <c r="W96" t="str">
        <f>+'240924'!V21</f>
        <v>I won't get flooded</v>
      </c>
      <c r="X96" t="str">
        <f>+'240924'!W21</f>
        <v>1</v>
      </c>
    </row>
    <row r="97" spans="2:24" x14ac:dyDescent="0.2">
      <c r="B97">
        <f>+'240924'!A22</f>
        <v>21</v>
      </c>
      <c r="C97" t="str">
        <f>+'240924'!B22</f>
        <v>True</v>
      </c>
      <c r="D97">
        <f>+'240924'!C22</f>
        <v>45559.103155983801</v>
      </c>
      <c r="E97" t="str">
        <f>+'240924'!D22</f>
        <v>Yes, I agree to voluntarily participate in this game session study (thanks for your collaboration)!</v>
      </c>
      <c r="F97" t="str">
        <f>+'240924'!E22</f>
        <v>t2p3</v>
      </c>
      <c r="G97" t="str">
        <f>+'240924'!F22</f>
        <v>Yes, but without disruptions or damages</v>
      </c>
      <c r="H97" t="str">
        <f>+'240924'!G22</f>
        <v>2</v>
      </c>
      <c r="I97" t="str">
        <f>+'240924'!H22</f>
        <v>Once in the last year</v>
      </c>
      <c r="J97" t="str">
        <f>+'240924'!I22</f>
        <v>2</v>
      </c>
      <c r="K97" t="str">
        <f>+'240924'!J22</f>
        <v>Once a day</v>
      </c>
      <c r="L97" t="str">
        <f>+'240924'!K22</f>
        <v>6</v>
      </c>
      <c r="M97" t="str">
        <f>+'240924'!L22</f>
        <v>Never</v>
      </c>
      <c r="N97" t="str">
        <f>+'240924'!M22</f>
        <v>1</v>
      </c>
      <c r="O97" t="str">
        <f>+'240924'!N22</f>
        <v>Once a week</v>
      </c>
      <c r="P97" t="str">
        <f>+'240924'!O22</f>
        <v>5</v>
      </c>
      <c r="Q97" t="str">
        <f>+'240924'!P22</f>
        <v>Once a day</v>
      </c>
      <c r="R97" t="str">
        <f>+'240924'!Q22</f>
        <v>6</v>
      </c>
      <c r="S97" t="str">
        <f>+'240924'!R22</f>
        <v>Likely</v>
      </c>
      <c r="T97" t="str">
        <f>+'240924'!S22</f>
        <v>4</v>
      </c>
      <c r="U97" t="str">
        <f>+'240924'!T22</f>
        <v>An extreme increase</v>
      </c>
      <c r="V97" t="str">
        <f>+'240924'!U22</f>
        <v>5</v>
      </c>
      <c r="W97" t="str">
        <f>+'240924'!V22</f>
        <v>I might suffer minor damage</v>
      </c>
      <c r="X97" t="str">
        <f>+'240924'!W22</f>
        <v>3</v>
      </c>
    </row>
    <row r="98" spans="2:24" x14ac:dyDescent="0.2">
      <c r="B98">
        <f>+'240924'!A23</f>
        <v>22</v>
      </c>
      <c r="C98" t="str">
        <f>+'240924'!B23</f>
        <v>True</v>
      </c>
      <c r="D98">
        <f>+'240924'!C23</f>
        <v>45559.103181134247</v>
      </c>
      <c r="E98" t="str">
        <f>+'240924'!D23</f>
        <v>Yes, I agree to voluntarily participate in this game session study (thanks for your collaboration)!</v>
      </c>
      <c r="F98" t="str">
        <f>+'240924'!E23</f>
        <v>t1p6</v>
      </c>
      <c r="G98" t="str">
        <f>+'240924'!F23</f>
        <v>No, I do not have a flood experience</v>
      </c>
      <c r="H98" t="str">
        <f>+'240924'!G23</f>
        <v>1</v>
      </c>
      <c r="I98" t="str">
        <f>+'240924'!H23</f>
        <v>Once in the last year</v>
      </c>
      <c r="J98" t="str">
        <f>+'240924'!I23</f>
        <v>2</v>
      </c>
      <c r="K98" t="str">
        <f>+'240924'!J23</f>
        <v>Once a week</v>
      </c>
      <c r="L98" t="str">
        <f>+'240924'!K23</f>
        <v>5</v>
      </c>
      <c r="M98" t="str">
        <f>+'240924'!L23</f>
        <v>Never</v>
      </c>
      <c r="N98" t="str">
        <f>+'240924'!M23</f>
        <v>1</v>
      </c>
      <c r="O98" t="str">
        <f>+'240924'!N23</f>
        <v>Once in the last year</v>
      </c>
      <c r="P98" t="str">
        <f>+'240924'!O23</f>
        <v>2</v>
      </c>
      <c r="Q98" t="str">
        <f>+'240924'!P23</f>
        <v>Once in the last six months</v>
      </c>
      <c r="R98" t="str">
        <f>+'240924'!Q23</f>
        <v>3</v>
      </c>
      <c r="S98" t="str">
        <f>+'240924'!R23</f>
        <v>Unlikely</v>
      </c>
      <c r="T98" t="str">
        <f>+'240924'!S23</f>
        <v>2</v>
      </c>
      <c r="U98" t="str">
        <f>+'240924'!T23</f>
        <v>A little increase</v>
      </c>
      <c r="V98" t="str">
        <f>+'240924'!U23</f>
        <v>2</v>
      </c>
      <c r="W98" t="str">
        <f>+'240924'!V23</f>
        <v>I won't get flooded</v>
      </c>
      <c r="X98" t="str">
        <f>+'240924'!W23</f>
        <v>1</v>
      </c>
    </row>
    <row r="99" spans="2:24" x14ac:dyDescent="0.2">
      <c r="B99">
        <f>+'240924'!A24</f>
        <v>23</v>
      </c>
      <c r="C99" t="str">
        <f>+'240924'!B24</f>
        <v>True</v>
      </c>
      <c r="D99">
        <f>+'240924'!C24</f>
        <v>45559.103315150467</v>
      </c>
      <c r="E99" t="str">
        <f>+'240924'!D24</f>
        <v>Yes, I agree to voluntarily participate in this game session study (thanks for your collaboration)!</v>
      </c>
      <c r="F99" t="str">
        <f>+'240924'!E24</f>
        <v>t4p4</v>
      </c>
      <c r="G99" t="str">
        <f>+'240924'!F24</f>
        <v>No, I do not have a flood experience</v>
      </c>
      <c r="H99" t="str">
        <f>+'240924'!G24</f>
        <v>1</v>
      </c>
      <c r="I99" t="str">
        <f>+'240924'!H24</f>
        <v>Never</v>
      </c>
      <c r="J99" t="str">
        <f>+'240924'!I24</f>
        <v>1</v>
      </c>
      <c r="K99" t="str">
        <f>+'240924'!J24</f>
        <v>Never</v>
      </c>
      <c r="L99" t="str">
        <f>+'240924'!K24</f>
        <v>1</v>
      </c>
      <c r="M99" t="str">
        <f>+'240924'!L24</f>
        <v>Never</v>
      </c>
      <c r="N99" t="str">
        <f>+'240924'!M24</f>
        <v>1</v>
      </c>
      <c r="O99" t="str">
        <f>+'240924'!N24</f>
        <v>Once a month</v>
      </c>
      <c r="P99" t="str">
        <f>+'240924'!O24</f>
        <v>4</v>
      </c>
      <c r="Q99" t="str">
        <f>+'240924'!P24</f>
        <v>Once a month</v>
      </c>
      <c r="R99" t="str">
        <f>+'240924'!Q24</f>
        <v>4</v>
      </c>
      <c r="S99" t="str">
        <f>+'240924'!R24</f>
        <v>Very unlikely</v>
      </c>
      <c r="T99" t="str">
        <f>+'240924'!S24</f>
        <v>1</v>
      </c>
      <c r="U99" t="str">
        <f>+'240924'!T24</f>
        <v>A big increase</v>
      </c>
      <c r="V99" t="str">
        <f>+'240924'!U24</f>
        <v>4</v>
      </c>
      <c r="W99" t="str">
        <f>+'240924'!V24</f>
        <v>I won't get flooded</v>
      </c>
      <c r="X99" t="str">
        <f>+'240924'!W24</f>
        <v>1</v>
      </c>
    </row>
    <row r="100" spans="2:24" x14ac:dyDescent="0.2">
      <c r="B100">
        <f>+'240924'!A25</f>
        <v>24</v>
      </c>
      <c r="C100" t="str">
        <f>+'240924'!B25</f>
        <v>True</v>
      </c>
      <c r="D100">
        <f>+'240924'!C25</f>
        <v>45559.103396481492</v>
      </c>
      <c r="E100" t="str">
        <f>+'240924'!D25</f>
        <v>Yes, I agree to voluntarily participate in this game session study (thanks for your collaboration)!</v>
      </c>
      <c r="F100" t="str">
        <f>+'240924'!E25</f>
        <v>t4p7</v>
      </c>
      <c r="G100" t="str">
        <f>+'240924'!F25</f>
        <v>Yes, but without disruptions or damages</v>
      </c>
      <c r="H100" t="str">
        <f>+'240924'!G25</f>
        <v>2</v>
      </c>
      <c r="I100" t="str">
        <f>+'240924'!H25</f>
        <v>Once in the last six months</v>
      </c>
      <c r="J100" t="str">
        <f>+'240924'!I25</f>
        <v>3</v>
      </c>
      <c r="K100" t="str">
        <f>+'240924'!J25</f>
        <v>Once in the last six months</v>
      </c>
      <c r="L100" t="str">
        <f>+'240924'!K25</f>
        <v>3</v>
      </c>
      <c r="M100" t="str">
        <f>+'240924'!L25</f>
        <v>Once a month</v>
      </c>
      <c r="N100" t="str">
        <f>+'240924'!M25</f>
        <v>4</v>
      </c>
      <c r="O100" t="str">
        <f>+'240924'!N25</f>
        <v>Once a week</v>
      </c>
      <c r="P100" t="str">
        <f>+'240924'!O25</f>
        <v>5</v>
      </c>
      <c r="Q100" t="str">
        <f>+'240924'!P25</f>
        <v>Once a month</v>
      </c>
      <c r="R100" t="str">
        <f>+'240924'!Q25</f>
        <v>4</v>
      </c>
      <c r="S100" t="str">
        <f>+'240924'!R25</f>
        <v>Likely</v>
      </c>
      <c r="T100" t="str">
        <f>+'240924'!S25</f>
        <v>4</v>
      </c>
      <c r="U100" t="str">
        <f>+'240924'!T25</f>
        <v>An extreme increase</v>
      </c>
      <c r="V100" t="str">
        <f>+'240924'!U25</f>
        <v>5</v>
      </c>
      <c r="W100" t="str">
        <f>+'240924'!V25</f>
        <v>I will suffer some damage</v>
      </c>
      <c r="X100" t="str">
        <f>+'240924'!W25</f>
        <v>4</v>
      </c>
    </row>
    <row r="101" spans="2:24" x14ac:dyDescent="0.2">
      <c r="B101">
        <f>+'240924'!A26</f>
        <v>25</v>
      </c>
      <c r="C101" t="str">
        <f>+'240924'!B26</f>
        <v>True</v>
      </c>
      <c r="D101">
        <f>+'240924'!C26</f>
        <v>45559.103399328698</v>
      </c>
      <c r="E101" t="str">
        <f>+'240924'!D26</f>
        <v>Yes, I agree to voluntarily participate in this game session study (thanks for your collaboration)!</v>
      </c>
      <c r="F101" t="str">
        <f>+'240924'!E26</f>
        <v>t5p5</v>
      </c>
      <c r="G101" t="str">
        <f>+'240924'!F26</f>
        <v>No, I do not have a flood experience</v>
      </c>
      <c r="H101" t="str">
        <f>+'240924'!G26</f>
        <v>1</v>
      </c>
      <c r="I101" t="str">
        <f>+'240924'!H26</f>
        <v>Once in the last year</v>
      </c>
      <c r="J101" t="str">
        <f>+'240924'!I26</f>
        <v>2</v>
      </c>
      <c r="K101" t="str">
        <f>+'240924'!J26</f>
        <v>Once in the last year</v>
      </c>
      <c r="L101" t="str">
        <f>+'240924'!K26</f>
        <v>2</v>
      </c>
      <c r="M101" t="str">
        <f>+'240924'!L26</f>
        <v>Never</v>
      </c>
      <c r="N101" t="str">
        <f>+'240924'!M26</f>
        <v>1</v>
      </c>
      <c r="O101" t="str">
        <f>+'240924'!N26</f>
        <v>Once in the last six months</v>
      </c>
      <c r="P101" t="str">
        <f>+'240924'!O26</f>
        <v>3</v>
      </c>
      <c r="Q101" t="str">
        <f>+'240924'!P26</f>
        <v>Never</v>
      </c>
      <c r="R101" t="str">
        <f>+'240924'!Q26</f>
        <v>1</v>
      </c>
      <c r="S101" t="str">
        <f>+'240924'!R26</f>
        <v>Unlikely</v>
      </c>
      <c r="T101" t="str">
        <f>+'240924'!S26</f>
        <v>2</v>
      </c>
      <c r="U101" t="str">
        <f>+'240924'!T26</f>
        <v>A little increase</v>
      </c>
      <c r="V101" t="str">
        <f>+'240924'!U26</f>
        <v>2</v>
      </c>
      <c r="W101" t="str">
        <f>+'240924'!V26</f>
        <v>I might suffer minor damage</v>
      </c>
      <c r="X101" t="str">
        <f>+'240924'!W26</f>
        <v>3</v>
      </c>
    </row>
    <row r="102" spans="2:24" x14ac:dyDescent="0.2">
      <c r="B102">
        <f>+'240924'!A27</f>
        <v>26</v>
      </c>
      <c r="C102" t="str">
        <f>+'240924'!B27</f>
        <v>True</v>
      </c>
      <c r="D102">
        <f>+'240924'!C27</f>
        <v>45559.103431192118</v>
      </c>
      <c r="E102" t="str">
        <f>+'240924'!D27</f>
        <v>Yes, I agree to voluntarily participate in this game session study (thanks for your collaboration)!</v>
      </c>
      <c r="F102" t="str">
        <f>+'240924'!E27</f>
        <v>t1p7</v>
      </c>
      <c r="G102" t="str">
        <f>+'240924'!F27</f>
        <v>No, I do not have a flood experience</v>
      </c>
      <c r="H102" t="str">
        <f>+'240924'!G27</f>
        <v>1</v>
      </c>
      <c r="I102" t="str">
        <f>+'240924'!H27</f>
        <v>Once in the last year</v>
      </c>
      <c r="J102" t="str">
        <f>+'240924'!I27</f>
        <v>2</v>
      </c>
      <c r="K102" t="str">
        <f>+'240924'!J27</f>
        <v>Never</v>
      </c>
      <c r="L102" t="str">
        <f>+'240924'!K27</f>
        <v>1</v>
      </c>
      <c r="M102" t="str">
        <f>+'240924'!L27</f>
        <v>Once in the last six months</v>
      </c>
      <c r="N102" t="str">
        <f>+'240924'!M27</f>
        <v>3</v>
      </c>
      <c r="O102" t="str">
        <f>+'240924'!N27</f>
        <v>Once in the last six months</v>
      </c>
      <c r="P102" t="str">
        <f>+'240924'!O27</f>
        <v>3</v>
      </c>
      <c r="Q102" t="str">
        <f>+'240924'!P27</f>
        <v>Once in the last six months</v>
      </c>
      <c r="R102" t="str">
        <f>+'240924'!Q27</f>
        <v>3</v>
      </c>
      <c r="S102" t="str">
        <f>+'240924'!R27</f>
        <v>Likely</v>
      </c>
      <c r="T102" t="str">
        <f>+'240924'!S27</f>
        <v>4</v>
      </c>
      <c r="U102" t="str">
        <f>+'240924'!T27</f>
        <v>A big increase</v>
      </c>
      <c r="V102" t="str">
        <f>+'240924'!U27</f>
        <v>4</v>
      </c>
      <c r="W102" t="str">
        <f>+'240924'!V27</f>
        <v>If I get flooded, I won't get damaged</v>
      </c>
      <c r="X102" t="str">
        <f>+'240924'!W27</f>
        <v>2</v>
      </c>
    </row>
    <row r="103" spans="2:24" x14ac:dyDescent="0.2">
      <c r="B103">
        <f>+'240924'!A28</f>
        <v>27</v>
      </c>
      <c r="C103" t="str">
        <f>+'240924'!B28</f>
        <v>True</v>
      </c>
      <c r="D103">
        <f>+'240924'!C28</f>
        <v>45559.103761990737</v>
      </c>
      <c r="E103" t="str">
        <f>+'240924'!D28</f>
        <v>Yes, I agree to voluntarily participate in this game session study (thanks for your collaboration)!</v>
      </c>
      <c r="F103" t="str">
        <f>+'240924'!E28</f>
        <v>t5p5</v>
      </c>
      <c r="G103" t="str">
        <f>+'240924'!F28</f>
        <v>No, I do not have a flood experience</v>
      </c>
      <c r="H103" t="str">
        <f>+'240924'!G28</f>
        <v>1</v>
      </c>
      <c r="I103" t="str">
        <f>+'240924'!H28</f>
        <v>Never</v>
      </c>
      <c r="J103" t="str">
        <f>+'240924'!I28</f>
        <v>1</v>
      </c>
      <c r="K103" t="str">
        <f>+'240924'!J28</f>
        <v>Once in the last year</v>
      </c>
      <c r="L103" t="str">
        <f>+'240924'!K28</f>
        <v>2</v>
      </c>
      <c r="M103" t="str">
        <f>+'240924'!L28</f>
        <v>Never</v>
      </c>
      <c r="N103" t="str">
        <f>+'240924'!M28</f>
        <v>1</v>
      </c>
      <c r="O103" t="str">
        <f>+'240924'!N28</f>
        <v>Once in the last year</v>
      </c>
      <c r="P103" t="str">
        <f>+'240924'!O28</f>
        <v>2</v>
      </c>
      <c r="Q103" t="str">
        <f>+'240924'!P28</f>
        <v>Once in the last year</v>
      </c>
      <c r="R103" t="str">
        <f>+'240924'!Q28</f>
        <v>2</v>
      </c>
      <c r="S103" t="str">
        <f>+'240924'!R28</f>
        <v>Unlikely</v>
      </c>
      <c r="T103" t="str">
        <f>+'240924'!S28</f>
        <v>2</v>
      </c>
      <c r="U103" t="str">
        <f>+'240924'!T28</f>
        <v>A little increase</v>
      </c>
      <c r="V103" t="str">
        <f>+'240924'!U28</f>
        <v>2</v>
      </c>
      <c r="W103" t="str">
        <f>+'240924'!V28</f>
        <v>If I get flooded, I won't get damaged</v>
      </c>
      <c r="X103" t="str">
        <f>+'240924'!W28</f>
        <v>2</v>
      </c>
    </row>
    <row r="104" spans="2:24" x14ac:dyDescent="0.2">
      <c r="B104">
        <f>+'240924'!A29</f>
        <v>28</v>
      </c>
      <c r="C104" t="str">
        <f>+'240924'!B29</f>
        <v>True</v>
      </c>
      <c r="D104">
        <f>+'240924'!C29</f>
        <v>45559.103805127314</v>
      </c>
      <c r="E104" t="str">
        <f>+'240924'!D29</f>
        <v>Yes, I agree to voluntarily participate in this game session study (thanks for your collaboration)!</v>
      </c>
      <c r="F104" t="str">
        <f>+'240924'!E29</f>
        <v>t1p5</v>
      </c>
      <c r="G104" t="str">
        <f>+'240924'!F29</f>
        <v>No, I do not have a flood experience</v>
      </c>
      <c r="H104" t="str">
        <f>+'240924'!G29</f>
        <v>1</v>
      </c>
      <c r="I104" t="str">
        <f>+'240924'!H29</f>
        <v>Once in the last year</v>
      </c>
      <c r="J104" t="str">
        <f>+'240924'!I29</f>
        <v>2</v>
      </c>
      <c r="K104" t="str">
        <f>+'240924'!J29</f>
        <v>Once in the last year</v>
      </c>
      <c r="L104" t="str">
        <f>+'240924'!K29</f>
        <v>2</v>
      </c>
      <c r="M104" t="str">
        <f>+'240924'!L29</f>
        <v>Never</v>
      </c>
      <c r="N104" t="str">
        <f>+'240924'!M29</f>
        <v>1</v>
      </c>
      <c r="O104" t="str">
        <f>+'240924'!N29</f>
        <v>Once in the last year</v>
      </c>
      <c r="P104" t="str">
        <f>+'240924'!O29</f>
        <v>2</v>
      </c>
      <c r="Q104" t="str">
        <f>+'240924'!P29</f>
        <v>Once in the last year</v>
      </c>
      <c r="R104" t="str">
        <f>+'240924'!Q29</f>
        <v>2</v>
      </c>
      <c r="S104" t="str">
        <f>+'240924'!R29</f>
        <v>Very unlikely</v>
      </c>
      <c r="T104" t="str">
        <f>+'240924'!S29</f>
        <v>1</v>
      </c>
      <c r="U104" t="str">
        <f>+'240924'!T29</f>
        <v>A little increase</v>
      </c>
      <c r="V104" t="str">
        <f>+'240924'!U29</f>
        <v>2</v>
      </c>
      <c r="W104" t="str">
        <f>+'240924'!V29</f>
        <v>I won't get flooded</v>
      </c>
      <c r="X104" t="str">
        <f>+'240924'!W29</f>
        <v>1</v>
      </c>
    </row>
    <row r="105" spans="2:24" x14ac:dyDescent="0.2">
      <c r="B105">
        <f>+'240924'!A30</f>
        <v>29</v>
      </c>
      <c r="C105" t="str">
        <f>+'240924'!B30</f>
        <v>True</v>
      </c>
      <c r="D105">
        <f>+'240924'!C30</f>
        <v>45559.10386974537</v>
      </c>
      <c r="E105" t="str">
        <f>+'240924'!D30</f>
        <v>Yes, I agree to voluntarily participate in this game session study (thanks for your collaboration)!</v>
      </c>
      <c r="F105" t="str">
        <f>+'240924'!E30</f>
        <v>t4p3</v>
      </c>
      <c r="G105" t="str">
        <f>+'240924'!F30</f>
        <v>Yes, with serious disruptions or damages</v>
      </c>
      <c r="H105" t="str">
        <f>+'240924'!G30</f>
        <v>5</v>
      </c>
      <c r="I105" t="str">
        <f>+'240924'!H30</f>
        <v>Never</v>
      </c>
      <c r="J105" t="str">
        <f>+'240924'!I30</f>
        <v>1</v>
      </c>
      <c r="K105" t="str">
        <f>+'240924'!J30</f>
        <v>Once a month</v>
      </c>
      <c r="L105" t="str">
        <f>+'240924'!K30</f>
        <v>4</v>
      </c>
      <c r="M105" t="str">
        <f>+'240924'!L30</f>
        <v>Once in the last six months</v>
      </c>
      <c r="N105" t="str">
        <f>+'240924'!M30</f>
        <v>3</v>
      </c>
      <c r="O105" t="str">
        <f>+'240924'!N30</f>
        <v>Once a week</v>
      </c>
      <c r="P105" t="str">
        <f>+'240924'!O30</f>
        <v>5</v>
      </c>
      <c r="Q105" t="str">
        <f>+'240924'!P30</f>
        <v>Once a month</v>
      </c>
      <c r="R105" t="str">
        <f>+'240924'!Q30</f>
        <v>4</v>
      </c>
      <c r="S105" t="str">
        <f>+'240924'!R30</f>
        <v>Unlikely</v>
      </c>
      <c r="T105" t="str">
        <f>+'240924'!S30</f>
        <v>2</v>
      </c>
      <c r="U105" t="str">
        <f>+'240924'!T30</f>
        <v>A moderate increase</v>
      </c>
      <c r="V105" t="str">
        <f>+'240924'!U30</f>
        <v>3</v>
      </c>
      <c r="W105" t="str">
        <f>+'240924'!V30</f>
        <v>I will suffer some damage</v>
      </c>
      <c r="X105" t="str">
        <f>+'240924'!W30</f>
        <v>4</v>
      </c>
    </row>
    <row r="106" spans="2:24" x14ac:dyDescent="0.2">
      <c r="B106">
        <f>+'240924'!A31</f>
        <v>30</v>
      </c>
      <c r="C106" t="str">
        <f>+'240924'!B31</f>
        <v>True</v>
      </c>
      <c r="D106">
        <f>+'240924'!C31</f>
        <v>45559.103981064807</v>
      </c>
      <c r="E106" t="str">
        <f>+'240924'!D31</f>
        <v>Yes, I agree to voluntarily participate in this game session study (thanks for your collaboration)!</v>
      </c>
      <c r="F106" t="str">
        <f>+'240924'!E31</f>
        <v>t3p3</v>
      </c>
      <c r="G106" t="str">
        <f>+'240924'!F31</f>
        <v>No, I do not have a flood experience</v>
      </c>
      <c r="H106" t="str">
        <f>+'240924'!G31</f>
        <v>1</v>
      </c>
      <c r="I106" t="str">
        <f>+'240924'!H31</f>
        <v>Once in the last six months</v>
      </c>
      <c r="J106" t="str">
        <f>+'240924'!I31</f>
        <v>3</v>
      </c>
      <c r="K106" t="str">
        <f>+'240924'!J31</f>
        <v>Never</v>
      </c>
      <c r="L106" t="str">
        <f>+'240924'!K31</f>
        <v>1</v>
      </c>
      <c r="M106" t="str">
        <f>+'240924'!L31</f>
        <v>Never</v>
      </c>
      <c r="N106" t="str">
        <f>+'240924'!M31</f>
        <v>1</v>
      </c>
      <c r="O106" t="str">
        <f>+'240924'!N31</f>
        <v>Once a month</v>
      </c>
      <c r="P106" t="str">
        <f>+'240924'!O31</f>
        <v>4</v>
      </c>
      <c r="Q106" t="str">
        <f>+'240924'!P31</f>
        <v>Once a month</v>
      </c>
      <c r="R106" t="str">
        <f>+'240924'!Q31</f>
        <v>4</v>
      </c>
      <c r="S106" t="str">
        <f>+'240924'!R31</f>
        <v>Likely</v>
      </c>
      <c r="T106" t="str">
        <f>+'240924'!S31</f>
        <v>4</v>
      </c>
      <c r="U106" t="str">
        <f>+'240924'!T31</f>
        <v>An extreme increase</v>
      </c>
      <c r="V106" t="str">
        <f>+'240924'!U31</f>
        <v>5</v>
      </c>
      <c r="W106" t="str">
        <f>+'240924'!V31</f>
        <v>I might suffer minor damage</v>
      </c>
      <c r="X106" t="str">
        <f>+'240924'!W31</f>
        <v>3</v>
      </c>
    </row>
    <row r="107" spans="2:24" x14ac:dyDescent="0.2">
      <c r="B107">
        <f>+'240924'!A32</f>
        <v>31</v>
      </c>
      <c r="C107" t="str">
        <f>+'240924'!B32</f>
        <v>True</v>
      </c>
      <c r="D107">
        <f>+'240924'!C32</f>
        <v>45559.104280706008</v>
      </c>
      <c r="E107" t="str">
        <f>+'240924'!D32</f>
        <v>Yes, I agree to voluntarily participate in this game session study (thanks for your collaboration)!</v>
      </c>
      <c r="F107" t="str">
        <f>+'240924'!E32</f>
        <v>t3p2</v>
      </c>
      <c r="G107" t="str">
        <f>+'240924'!F32</f>
        <v>Yes, with minor disruptions or damages</v>
      </c>
      <c r="H107" t="str">
        <f>+'240924'!G32</f>
        <v>3</v>
      </c>
      <c r="I107" t="str">
        <f>+'240924'!H32</f>
        <v>Once in the last six months</v>
      </c>
      <c r="J107" t="str">
        <f>+'240924'!I32</f>
        <v>3</v>
      </c>
      <c r="K107" t="str">
        <f>+'240924'!J32</f>
        <v>Once a week</v>
      </c>
      <c r="L107" t="str">
        <f>+'240924'!K32</f>
        <v>5</v>
      </c>
      <c r="M107" t="str">
        <f>+'240924'!L32</f>
        <v>Once in the last year</v>
      </c>
      <c r="N107" t="str">
        <f>+'240924'!M32</f>
        <v>2</v>
      </c>
      <c r="O107" t="str">
        <f>+'240924'!N32</f>
        <v>Once in the last six months</v>
      </c>
      <c r="P107" t="str">
        <f>+'240924'!O32</f>
        <v>3</v>
      </c>
      <c r="Q107" t="str">
        <f>+'240924'!P32</f>
        <v>Once a month</v>
      </c>
      <c r="R107" t="str">
        <f>+'240924'!Q32</f>
        <v>4</v>
      </c>
      <c r="S107" t="str">
        <f>+'240924'!R32</f>
        <v>Unlikely</v>
      </c>
      <c r="T107" t="str">
        <f>+'240924'!S32</f>
        <v>2</v>
      </c>
      <c r="U107" t="str">
        <f>+'240924'!T32</f>
        <v>No increase at all</v>
      </c>
      <c r="V107" t="str">
        <f>+'240924'!U32</f>
        <v>1</v>
      </c>
      <c r="W107" t="str">
        <f>+'240924'!V32</f>
        <v>I won't get flooded</v>
      </c>
      <c r="X107" t="str">
        <f>+'240924'!W32</f>
        <v>1</v>
      </c>
    </row>
    <row r="108" spans="2:24" x14ac:dyDescent="0.2">
      <c r="B108">
        <f>+'240924'!A33</f>
        <v>32</v>
      </c>
      <c r="C108" t="str">
        <f>+'240924'!B33</f>
        <v>True</v>
      </c>
      <c r="D108">
        <f>+'240924'!C33</f>
        <v>45559.104399317133</v>
      </c>
      <c r="E108" t="str">
        <f>+'240924'!D33</f>
        <v>Yes, I agree to voluntarily participate in this game session study (thanks for your collaboration)!</v>
      </c>
      <c r="F108" t="str">
        <f>+'240924'!E33</f>
        <v>t1p3</v>
      </c>
      <c r="G108" t="str">
        <f>+'240924'!F33</f>
        <v>Yes, with minor disruptions or damages</v>
      </c>
      <c r="H108" t="str">
        <f>+'240924'!G33</f>
        <v>3</v>
      </c>
      <c r="I108" t="str">
        <f>+'240924'!H33</f>
        <v>Once a month</v>
      </c>
      <c r="J108" t="str">
        <f>+'240924'!I33</f>
        <v>4</v>
      </c>
      <c r="K108" t="str">
        <f>+'240924'!J33</f>
        <v>Once a week</v>
      </c>
      <c r="L108" t="str">
        <f>+'240924'!K33</f>
        <v>5</v>
      </c>
      <c r="M108" t="str">
        <f>+'240924'!L33</f>
        <v>Once a month</v>
      </c>
      <c r="N108" t="str">
        <f>+'240924'!M33</f>
        <v>4</v>
      </c>
      <c r="O108" t="str">
        <f>+'240924'!N33</f>
        <v>Once a day</v>
      </c>
      <c r="P108" t="str">
        <f>+'240924'!O33</f>
        <v>6</v>
      </c>
      <c r="Q108" t="str">
        <f>+'240924'!P33</f>
        <v>Once a day</v>
      </c>
      <c r="R108" t="str">
        <f>+'240924'!Q33</f>
        <v>6</v>
      </c>
      <c r="S108" t="str">
        <f>+'240924'!R33</f>
        <v>Likely</v>
      </c>
      <c r="T108" t="str">
        <f>+'240924'!S33</f>
        <v>4</v>
      </c>
      <c r="U108" t="str">
        <f>+'240924'!T33</f>
        <v>A big increase</v>
      </c>
      <c r="V108" t="str">
        <f>+'240924'!U33</f>
        <v>4</v>
      </c>
      <c r="W108" t="str">
        <f>+'240924'!V33</f>
        <v>I might suffer minor damage</v>
      </c>
      <c r="X108" t="str">
        <f>+'240924'!W33</f>
        <v>3</v>
      </c>
    </row>
    <row r="109" spans="2:24" x14ac:dyDescent="0.2">
      <c r="B109">
        <f>+'240924'!A34</f>
        <v>33</v>
      </c>
      <c r="C109" t="str">
        <f>+'240924'!B34</f>
        <v>True</v>
      </c>
      <c r="D109">
        <f>+'240924'!C34</f>
        <v>45559.104447187499</v>
      </c>
      <c r="E109" t="str">
        <f>+'240924'!D34</f>
        <v>Yes, I agree to voluntarily participate in this game session study (thanks for your collaboration)!</v>
      </c>
      <c r="F109" t="str">
        <f>+'240924'!E34</f>
        <v>t1p2</v>
      </c>
      <c r="G109" t="str">
        <f>+'240924'!F34</f>
        <v>No, I do not have a flood experience</v>
      </c>
      <c r="H109" t="str">
        <f>+'240924'!G34</f>
        <v>1</v>
      </c>
      <c r="I109" t="str">
        <f>+'240924'!H34</f>
        <v>Never</v>
      </c>
      <c r="J109" t="str">
        <f>+'240924'!I34</f>
        <v>1</v>
      </c>
      <c r="K109" t="str">
        <f>+'240924'!J34</f>
        <v>Never</v>
      </c>
      <c r="L109" t="str">
        <f>+'240924'!K34</f>
        <v>1</v>
      </c>
      <c r="M109" t="str">
        <f>+'240924'!L34</f>
        <v>Never</v>
      </c>
      <c r="N109" t="str">
        <f>+'240924'!M34</f>
        <v>1</v>
      </c>
      <c r="O109" t="str">
        <f>+'240924'!N34</f>
        <v>Once in the last year</v>
      </c>
      <c r="P109" t="str">
        <f>+'240924'!O34</f>
        <v>2</v>
      </c>
      <c r="Q109" t="str">
        <f>+'240924'!P34</f>
        <v>Never</v>
      </c>
      <c r="R109" t="str">
        <f>+'240924'!Q34</f>
        <v>1</v>
      </c>
      <c r="S109" t="str">
        <f>+'240924'!R34</f>
        <v>Likely</v>
      </c>
      <c r="T109" t="str">
        <f>+'240924'!S34</f>
        <v>4</v>
      </c>
      <c r="U109" t="str">
        <f>+'240924'!T34</f>
        <v>A big increase</v>
      </c>
      <c r="V109" t="str">
        <f>+'240924'!U34</f>
        <v>4</v>
      </c>
      <c r="W109" t="str">
        <f>+'240924'!V34</f>
        <v>If I get flooded, I won't get damaged</v>
      </c>
      <c r="X109" t="str">
        <f>+'240924'!W34</f>
        <v>2</v>
      </c>
    </row>
    <row r="110" spans="2:24" x14ac:dyDescent="0.2">
      <c r="B110">
        <f>+'240924'!A35</f>
        <v>34</v>
      </c>
      <c r="C110" t="str">
        <f>+'240924'!B35</f>
        <v>True</v>
      </c>
      <c r="D110">
        <f>+'240924'!C35</f>
        <v>45559.104549270844</v>
      </c>
      <c r="E110" t="str">
        <f>+'240924'!D35</f>
        <v>Yes, I agree to voluntarily participate in this game session study (thanks for your collaboration)!</v>
      </c>
      <c r="F110" t="str">
        <f>+'240924'!E35</f>
        <v>t5p4</v>
      </c>
      <c r="G110" t="str">
        <f>+'240924'!F35</f>
        <v>Yes, but without disruptions or damages</v>
      </c>
      <c r="H110" t="str">
        <f>+'240924'!G35</f>
        <v>2</v>
      </c>
      <c r="I110" t="str">
        <f>+'240924'!H35</f>
        <v>Never</v>
      </c>
      <c r="J110" t="str">
        <f>+'240924'!I35</f>
        <v>1</v>
      </c>
      <c r="K110" t="str">
        <f>+'240924'!J35</f>
        <v>Never</v>
      </c>
      <c r="L110" t="str">
        <f>+'240924'!K35</f>
        <v>1</v>
      </c>
      <c r="M110" t="str">
        <f>+'240924'!L35</f>
        <v>Never</v>
      </c>
      <c r="N110" t="str">
        <f>+'240924'!M35</f>
        <v>1</v>
      </c>
      <c r="O110" t="str">
        <f>+'240924'!N35</f>
        <v>Once in the last year</v>
      </c>
      <c r="P110" t="str">
        <f>+'240924'!O35</f>
        <v>2</v>
      </c>
      <c r="Q110" t="str">
        <f>+'240924'!P35</f>
        <v>Never</v>
      </c>
      <c r="R110" t="str">
        <f>+'240924'!Q35</f>
        <v>1</v>
      </c>
      <c r="S110" t="str">
        <f>+'240924'!R35</f>
        <v>Unlikely</v>
      </c>
      <c r="T110" t="str">
        <f>+'240924'!S35</f>
        <v>2</v>
      </c>
      <c r="U110" t="str">
        <f>+'240924'!T35</f>
        <v>A moderate increase</v>
      </c>
      <c r="V110" t="str">
        <f>+'240924'!U35</f>
        <v>3</v>
      </c>
      <c r="W110" t="str">
        <f>+'240924'!V35</f>
        <v>If I get flooded, I won't get damaged</v>
      </c>
      <c r="X110" t="str">
        <f>+'240924'!W35</f>
        <v>2</v>
      </c>
    </row>
    <row r="111" spans="2:24" x14ac:dyDescent="0.2">
      <c r="B111">
        <f>+'240924'!A36</f>
        <v>35</v>
      </c>
      <c r="C111" t="str">
        <f>+'240924'!B36</f>
        <v>True</v>
      </c>
      <c r="D111">
        <f>+'240924'!C36</f>
        <v>45559.104556076389</v>
      </c>
      <c r="E111" t="str">
        <f>+'240924'!D36</f>
        <v>Yes, I agree to voluntarily participate in this game session study (thanks for your collaboration)!</v>
      </c>
      <c r="F111" t="str">
        <f>+'240924'!E36</f>
        <v>t1p4</v>
      </c>
      <c r="G111" t="str">
        <f>+'240924'!F36</f>
        <v>No, I do not have a flood experience</v>
      </c>
      <c r="H111" t="str">
        <f>+'240924'!G36</f>
        <v>1</v>
      </c>
      <c r="I111" t="str">
        <f>+'240924'!H36</f>
        <v>Never</v>
      </c>
      <c r="J111" t="str">
        <f>+'240924'!I36</f>
        <v>1</v>
      </c>
      <c r="K111" t="str">
        <f>+'240924'!J36</f>
        <v>Never</v>
      </c>
      <c r="L111" t="str">
        <f>+'240924'!K36</f>
        <v>1</v>
      </c>
      <c r="M111" t="str">
        <f>+'240924'!L36</f>
        <v>Never</v>
      </c>
      <c r="N111" t="str">
        <f>+'240924'!M36</f>
        <v>1</v>
      </c>
      <c r="O111" t="str">
        <f>+'240924'!N36</f>
        <v>Once in the last six months</v>
      </c>
      <c r="P111" t="str">
        <f>+'240924'!O36</f>
        <v>3</v>
      </c>
      <c r="Q111" t="str">
        <f>+'240924'!P36</f>
        <v>Once in the last six months</v>
      </c>
      <c r="R111" t="str">
        <f>+'240924'!Q36</f>
        <v>3</v>
      </c>
      <c r="S111" t="str">
        <f>+'240924'!R36</f>
        <v>Neutral</v>
      </c>
      <c r="T111" t="str">
        <f>+'240924'!S36</f>
        <v>3</v>
      </c>
      <c r="U111" t="str">
        <f>+'240924'!T36</f>
        <v>A big increase</v>
      </c>
      <c r="V111" t="str">
        <f>+'240924'!U36</f>
        <v>4</v>
      </c>
      <c r="W111" t="str">
        <f>+'240924'!V36</f>
        <v>I might suffer minor damage</v>
      </c>
      <c r="X111" t="str">
        <f>+'240924'!W36</f>
        <v>3</v>
      </c>
    </row>
    <row r="112" spans="2:24" x14ac:dyDescent="0.2">
      <c r="B112">
        <f>+'240924'!A37</f>
        <v>36</v>
      </c>
      <c r="C112" t="str">
        <f>+'240924'!B37</f>
        <v>True</v>
      </c>
      <c r="D112">
        <f>+'240924'!C37</f>
        <v>45559.104617511577</v>
      </c>
      <c r="E112" t="str">
        <f>+'240924'!D37</f>
        <v>Yes, I agree to voluntarily participate in this game session study (thanks for your collaboration)!</v>
      </c>
      <c r="F112" t="str">
        <f>+'240924'!E37</f>
        <v>t1p1</v>
      </c>
      <c r="G112" t="str">
        <f>+'240924'!F37</f>
        <v>Yes, but without disruptions or damages</v>
      </c>
      <c r="H112" t="str">
        <f>+'240924'!G37</f>
        <v>2</v>
      </c>
      <c r="I112" t="str">
        <f>+'240924'!H37</f>
        <v>Never</v>
      </c>
      <c r="J112" t="str">
        <f>+'240924'!I37</f>
        <v>1</v>
      </c>
      <c r="K112" t="str">
        <f>+'240924'!J37</f>
        <v>Never</v>
      </c>
      <c r="L112" t="str">
        <f>+'240924'!K37</f>
        <v>1</v>
      </c>
      <c r="M112" t="str">
        <f>+'240924'!L37</f>
        <v>Never</v>
      </c>
      <c r="N112" t="str">
        <f>+'240924'!M37</f>
        <v>1</v>
      </c>
      <c r="O112" t="str">
        <f>+'240924'!N37</f>
        <v>Once in the last year</v>
      </c>
      <c r="P112" t="str">
        <f>+'240924'!O37</f>
        <v>2</v>
      </c>
      <c r="Q112" t="str">
        <f>+'240924'!P37</f>
        <v>Once in the last year</v>
      </c>
      <c r="R112" t="str">
        <f>+'240924'!Q37</f>
        <v>2</v>
      </c>
      <c r="S112" t="str">
        <f>+'240924'!R37</f>
        <v>Unlikely</v>
      </c>
      <c r="T112" t="str">
        <f>+'240924'!S37</f>
        <v>2</v>
      </c>
      <c r="U112" t="str">
        <f>+'240924'!T37</f>
        <v>A moderate increase</v>
      </c>
      <c r="V112" t="str">
        <f>+'240924'!U37</f>
        <v>3</v>
      </c>
      <c r="W112" t="str">
        <f>+'240924'!V37</f>
        <v>I will suffer some damage</v>
      </c>
      <c r="X112" t="str">
        <f>+'240924'!W37</f>
        <v>4</v>
      </c>
    </row>
    <row r="113" spans="2:24" x14ac:dyDescent="0.2">
      <c r="B113">
        <f>+'240924'!A38</f>
        <v>37</v>
      </c>
      <c r="C113" t="str">
        <f>+'240924'!B38</f>
        <v>True</v>
      </c>
      <c r="D113">
        <f>+'240924'!C38</f>
        <v>45559.104656076393</v>
      </c>
      <c r="E113" t="str">
        <f>+'240924'!D38</f>
        <v>Yes, I agree to voluntarily participate in this game session study (thanks for your collaboration)!</v>
      </c>
      <c r="F113" t="str">
        <f>+'240924'!E38</f>
        <v>t2p7</v>
      </c>
      <c r="G113" t="str">
        <f>+'240924'!F38</f>
        <v>Yes, with some disruptions or damages</v>
      </c>
      <c r="H113" t="str">
        <f>+'240924'!G38</f>
        <v>4</v>
      </c>
      <c r="I113" t="str">
        <f>+'240924'!H38</f>
        <v>Once in the last year</v>
      </c>
      <c r="J113" t="str">
        <f>+'240924'!I38</f>
        <v>2</v>
      </c>
      <c r="K113" t="str">
        <f>+'240924'!J38</f>
        <v>Once in the last year</v>
      </c>
      <c r="L113" t="str">
        <f>+'240924'!K38</f>
        <v>2</v>
      </c>
      <c r="M113" t="str">
        <f>+'240924'!L38</f>
        <v>Never</v>
      </c>
      <c r="N113" t="str">
        <f>+'240924'!M38</f>
        <v>1</v>
      </c>
      <c r="O113" t="str">
        <f>+'240924'!N38</f>
        <v>Once in the last six months</v>
      </c>
      <c r="P113" t="str">
        <f>+'240924'!O38</f>
        <v>3</v>
      </c>
      <c r="Q113" t="str">
        <f>+'240924'!P38</f>
        <v>Once in the last six months</v>
      </c>
      <c r="R113" t="str">
        <f>+'240924'!Q38</f>
        <v>3</v>
      </c>
      <c r="S113" t="str">
        <f>+'240924'!R38</f>
        <v>Neutral</v>
      </c>
      <c r="T113" t="str">
        <f>+'240924'!S38</f>
        <v>3</v>
      </c>
      <c r="U113" t="str">
        <f>+'240924'!T38</f>
        <v>A moderate increase</v>
      </c>
      <c r="V113" t="str">
        <f>+'240924'!U38</f>
        <v>3</v>
      </c>
      <c r="W113" t="str">
        <f>+'240924'!V38</f>
        <v>If I get flooded, I won't get damaged</v>
      </c>
      <c r="X113" t="str">
        <f>+'240924'!W38</f>
        <v>2</v>
      </c>
    </row>
    <row r="114" spans="2:24" x14ac:dyDescent="0.2">
      <c r="B114">
        <f>+'240924'!A39</f>
        <v>38</v>
      </c>
      <c r="C114" t="str">
        <f>+'240924'!B39</f>
        <v>True</v>
      </c>
      <c r="D114">
        <f>+'240924'!C39</f>
        <v>45559.104981076387</v>
      </c>
      <c r="E114" t="str">
        <f>+'240924'!D39</f>
        <v>Yes, I agree to voluntarily participate in this game session study (thanks for your collaboration)!</v>
      </c>
      <c r="F114" t="str">
        <f>+'240924'!E39</f>
        <v>t3p1</v>
      </c>
      <c r="G114" t="str">
        <f>+'240924'!F39</f>
        <v>Yes, with minor disruptions or damages</v>
      </c>
      <c r="H114" t="str">
        <f>+'240924'!G39</f>
        <v>3</v>
      </c>
      <c r="I114" t="str">
        <f>+'240924'!H39</f>
        <v>Once in the last year</v>
      </c>
      <c r="J114" t="str">
        <f>+'240924'!I39</f>
        <v>2</v>
      </c>
      <c r="K114" t="str">
        <f>+'240924'!J39</f>
        <v>Never</v>
      </c>
      <c r="L114" t="str">
        <f>+'240924'!K39</f>
        <v>1</v>
      </c>
      <c r="M114" t="str">
        <f>+'240924'!L39</f>
        <v>Once in the last year</v>
      </c>
      <c r="N114" t="str">
        <f>+'240924'!M39</f>
        <v>2</v>
      </c>
      <c r="O114" t="str">
        <f>+'240924'!N39</f>
        <v>Once in the last year</v>
      </c>
      <c r="P114" t="str">
        <f>+'240924'!O39</f>
        <v>2</v>
      </c>
      <c r="Q114" t="str">
        <f>+'240924'!P39</f>
        <v>Once in the last year</v>
      </c>
      <c r="R114" t="str">
        <f>+'240924'!Q39</f>
        <v>2</v>
      </c>
      <c r="S114" t="str">
        <f>+'240924'!R39</f>
        <v>Likely</v>
      </c>
      <c r="T114" t="str">
        <f>+'240924'!S39</f>
        <v>4</v>
      </c>
      <c r="U114" t="str">
        <f>+'240924'!T39</f>
        <v>An extreme increase</v>
      </c>
      <c r="V114" t="str">
        <f>+'240924'!U39</f>
        <v>5</v>
      </c>
      <c r="W114" t="str">
        <f>+'240924'!V39</f>
        <v>I might suffer minor damage</v>
      </c>
      <c r="X114" t="str">
        <f>+'240924'!W39</f>
        <v>3</v>
      </c>
    </row>
    <row r="115" spans="2:24" x14ac:dyDescent="0.2">
      <c r="B115">
        <f>+'240924'!A40</f>
        <v>39</v>
      </c>
      <c r="C115" t="str">
        <f>+'240924'!B40</f>
        <v>True</v>
      </c>
      <c r="D115">
        <f>+'240924'!C40</f>
        <v>45559.105632939812</v>
      </c>
      <c r="E115" t="str">
        <f>+'240924'!D40</f>
        <v>Yes, I agree to voluntarily participate in this game session study (thanks for your collaboration)!</v>
      </c>
      <c r="F115" t="str">
        <f>+'240924'!E40</f>
        <v>t5p1</v>
      </c>
      <c r="G115" t="str">
        <f>+'240924'!F40</f>
        <v>Yes, with minor disruptions or damages</v>
      </c>
      <c r="H115" t="str">
        <f>+'240924'!G40</f>
        <v>3</v>
      </c>
      <c r="I115" t="str">
        <f>+'240924'!H40</f>
        <v>Never</v>
      </c>
      <c r="J115" t="str">
        <f>+'240924'!I40</f>
        <v>1</v>
      </c>
      <c r="K115" t="str">
        <f>+'240924'!J40</f>
        <v>Once in the last year</v>
      </c>
      <c r="L115" t="str">
        <f>+'240924'!K40</f>
        <v>2</v>
      </c>
      <c r="M115" t="str">
        <f>+'240924'!L40</f>
        <v>Never</v>
      </c>
      <c r="N115" t="str">
        <f>+'240924'!M40</f>
        <v>1</v>
      </c>
      <c r="O115" t="str">
        <f>+'240924'!N40</f>
        <v>Once in the last year</v>
      </c>
      <c r="P115" t="str">
        <f>+'240924'!O40</f>
        <v>2</v>
      </c>
      <c r="Q115" t="str">
        <f>+'240924'!P40</f>
        <v>Never</v>
      </c>
      <c r="R115" t="str">
        <f>+'240924'!Q40</f>
        <v>1</v>
      </c>
      <c r="S115" t="str">
        <f>+'240924'!R40</f>
        <v>Likely</v>
      </c>
      <c r="T115" t="str">
        <f>+'240924'!S40</f>
        <v>4</v>
      </c>
      <c r="U115" t="str">
        <f>+'240924'!T40</f>
        <v>A little increase</v>
      </c>
      <c r="V115" t="str">
        <f>+'240924'!U40</f>
        <v>2</v>
      </c>
      <c r="W115" t="str">
        <f>+'240924'!V40</f>
        <v>I might suffer minor damage</v>
      </c>
      <c r="X115" t="str">
        <f>+'240924'!W40</f>
        <v>3</v>
      </c>
    </row>
    <row r="116" spans="2:24" x14ac:dyDescent="0.2">
      <c r="B116">
        <f>+'240924'!A41</f>
        <v>40</v>
      </c>
      <c r="C116" t="str">
        <f>+'240924'!B41</f>
        <v>True</v>
      </c>
      <c r="D116">
        <f>+'240924'!C41</f>
        <v>45559.262222233803</v>
      </c>
      <c r="E116" t="str">
        <f>+'240924'!D41</f>
        <v>Yes, I agree to voluntarily participate in this game session study (thanks for your collaboration)!</v>
      </c>
      <c r="F116" t="str">
        <f>+'240924'!E41</f>
        <v>t9p1</v>
      </c>
      <c r="G116" t="str">
        <f>+'240924'!F41</f>
        <v>Yes, but without disruptions or damages</v>
      </c>
      <c r="H116" t="str">
        <f>+'240924'!G41</f>
        <v>2</v>
      </c>
      <c r="I116" t="str">
        <f>+'240924'!H41</f>
        <v>Never</v>
      </c>
      <c r="J116" t="str">
        <f>+'240924'!I41</f>
        <v>1</v>
      </c>
      <c r="K116" t="str">
        <f>+'240924'!J41</f>
        <v>Once in the last year</v>
      </c>
      <c r="L116" t="str">
        <f>+'240924'!K41</f>
        <v>2</v>
      </c>
      <c r="M116" t="str">
        <f>+'240924'!L41</f>
        <v>Once in the last six months</v>
      </c>
      <c r="N116" t="str">
        <f>+'240924'!M41</f>
        <v>3</v>
      </c>
      <c r="O116" t="str">
        <f>+'240924'!N41</f>
        <v>Once a month</v>
      </c>
      <c r="P116" t="str">
        <f>+'240924'!O41</f>
        <v>4</v>
      </c>
      <c r="Q116" t="str">
        <f>+'240924'!P41</f>
        <v>Once a month</v>
      </c>
      <c r="R116" t="str">
        <f>+'240924'!Q41</f>
        <v>4</v>
      </c>
      <c r="S116" t="str">
        <f>+'240924'!R41</f>
        <v>Unlikely</v>
      </c>
      <c r="T116" t="str">
        <f>+'240924'!S41</f>
        <v>2</v>
      </c>
      <c r="U116" t="str">
        <f>+'240924'!T41</f>
        <v>A big increase</v>
      </c>
      <c r="V116" t="str">
        <f>+'240924'!U41</f>
        <v>4</v>
      </c>
      <c r="W116" t="str">
        <f>+'240924'!V41</f>
        <v>I might suffer minor damage</v>
      </c>
      <c r="X116" t="str">
        <f>+'240924'!W41</f>
        <v>3</v>
      </c>
    </row>
    <row r="117" spans="2:24" x14ac:dyDescent="0.2">
      <c r="B117">
        <f>+'240924'!A42</f>
        <v>41</v>
      </c>
      <c r="C117" t="str">
        <f>+'240924'!B42</f>
        <v>True</v>
      </c>
      <c r="D117">
        <f>+'240924'!C42</f>
        <v>45559.262562673612</v>
      </c>
      <c r="E117" t="str">
        <f>+'240924'!D42</f>
        <v>Yes, I agree to voluntarily participate in this game session study (thanks for your collaboration)!</v>
      </c>
      <c r="F117" t="str">
        <f>+'240924'!E42</f>
        <v>t7p8</v>
      </c>
      <c r="G117" t="str">
        <f>+'240924'!F42</f>
        <v>No, I do not have a flood experience</v>
      </c>
      <c r="H117" t="str">
        <f>+'240924'!G42</f>
        <v>1</v>
      </c>
      <c r="I117" t="str">
        <f>+'240924'!H42</f>
        <v>Once in the last year</v>
      </c>
      <c r="J117" t="str">
        <f>+'240924'!I42</f>
        <v>2</v>
      </c>
      <c r="K117" t="str">
        <f>+'240924'!J42</f>
        <v>Once a month</v>
      </c>
      <c r="L117" t="str">
        <f>+'240924'!K42</f>
        <v>4</v>
      </c>
      <c r="M117" t="str">
        <f>+'240924'!L42</f>
        <v>Never</v>
      </c>
      <c r="N117" t="str">
        <f>+'240924'!M42</f>
        <v>1</v>
      </c>
      <c r="O117" t="str">
        <f>+'240924'!N42</f>
        <v>Once a month</v>
      </c>
      <c r="P117" t="str">
        <f>+'240924'!O42</f>
        <v>4</v>
      </c>
      <c r="Q117" t="str">
        <f>+'240924'!P42</f>
        <v>Once a month</v>
      </c>
      <c r="R117" t="str">
        <f>+'240924'!Q42</f>
        <v>4</v>
      </c>
      <c r="S117" t="str">
        <f>+'240924'!R42</f>
        <v>Neutral</v>
      </c>
      <c r="T117" t="str">
        <f>+'240924'!S42</f>
        <v>3</v>
      </c>
      <c r="U117" t="str">
        <f>+'240924'!T42</f>
        <v>A moderate increase</v>
      </c>
      <c r="V117" t="str">
        <f>+'240924'!U42</f>
        <v>3</v>
      </c>
      <c r="W117" t="str">
        <f>+'240924'!V42</f>
        <v>I might suffer minor damage</v>
      </c>
      <c r="X117" t="str">
        <f>+'240924'!W42</f>
        <v>3</v>
      </c>
    </row>
    <row r="118" spans="2:24" x14ac:dyDescent="0.2">
      <c r="B118">
        <f>+'240924'!A43</f>
        <v>42</v>
      </c>
      <c r="C118" t="str">
        <f>+'240924'!B43</f>
        <v>True</v>
      </c>
      <c r="D118">
        <f>+'240924'!C43</f>
        <v>45559.262575729168</v>
      </c>
      <c r="E118" t="str">
        <f>+'240924'!D43</f>
        <v>Yes, I agree to voluntarily participate in this game session study (thanks for your collaboration)!</v>
      </c>
      <c r="F118" t="str">
        <f>+'240924'!E43</f>
        <v>t10p2</v>
      </c>
      <c r="G118" t="str">
        <f>+'240924'!F43</f>
        <v>No, I do not have a flood experience</v>
      </c>
      <c r="H118" t="str">
        <f>+'240924'!G43</f>
        <v>1</v>
      </c>
      <c r="I118" t="str">
        <f>+'240924'!H43</f>
        <v>Never</v>
      </c>
      <c r="J118" t="str">
        <f>+'240924'!I43</f>
        <v>1</v>
      </c>
      <c r="K118" t="str">
        <f>+'240924'!J43</f>
        <v>Never</v>
      </c>
      <c r="L118" t="str">
        <f>+'240924'!K43</f>
        <v>1</v>
      </c>
      <c r="M118" t="str">
        <f>+'240924'!L43</f>
        <v>Never</v>
      </c>
      <c r="N118" t="str">
        <f>+'240924'!M43</f>
        <v>1</v>
      </c>
      <c r="O118" t="str">
        <f>+'240924'!N43</f>
        <v>Never</v>
      </c>
      <c r="P118" t="str">
        <f>+'240924'!O43</f>
        <v>1</v>
      </c>
      <c r="Q118" t="str">
        <f>+'240924'!P43</f>
        <v>Never</v>
      </c>
      <c r="R118" t="str">
        <f>+'240924'!Q43</f>
        <v>1</v>
      </c>
      <c r="S118" t="str">
        <f>+'240924'!R43</f>
        <v>Unlikely</v>
      </c>
      <c r="T118" t="str">
        <f>+'240924'!S43</f>
        <v>2</v>
      </c>
      <c r="U118" t="str">
        <f>+'240924'!T43</f>
        <v>A big increase</v>
      </c>
      <c r="V118" t="str">
        <f>+'240924'!U43</f>
        <v>4</v>
      </c>
      <c r="W118" t="str">
        <f>+'240924'!V43</f>
        <v>I might suffer minor damage</v>
      </c>
      <c r="X118" t="str">
        <f>+'240924'!W43</f>
        <v>3</v>
      </c>
    </row>
    <row r="119" spans="2:24" x14ac:dyDescent="0.2">
      <c r="B119">
        <f>+'240924'!A44</f>
        <v>43</v>
      </c>
      <c r="C119" t="str">
        <f>+'240924'!B44</f>
        <v>True</v>
      </c>
      <c r="D119">
        <f>+'240924'!C44</f>
        <v>45559.262660474538</v>
      </c>
      <c r="E119" t="str">
        <f>+'240924'!D44</f>
        <v>Yes, I agree to voluntarily participate in this game session study (thanks for your collaboration)!</v>
      </c>
      <c r="F119" t="str">
        <f>+'240924'!E44</f>
        <v>t7p1</v>
      </c>
      <c r="G119" t="str">
        <f>+'240924'!F44</f>
        <v>No, I do not have a flood experience</v>
      </c>
      <c r="H119" t="str">
        <f>+'240924'!G44</f>
        <v>1</v>
      </c>
      <c r="I119" t="str">
        <f>+'240924'!H44</f>
        <v>Once in the last year</v>
      </c>
      <c r="J119" t="str">
        <f>+'240924'!I44</f>
        <v>2</v>
      </c>
      <c r="K119" t="str">
        <f>+'240924'!J44</f>
        <v>Once in the last year</v>
      </c>
      <c r="L119" t="str">
        <f>+'240924'!K44</f>
        <v>2</v>
      </c>
      <c r="M119" t="str">
        <f>+'240924'!L44</f>
        <v>Once in the last year</v>
      </c>
      <c r="N119" t="str">
        <f>+'240924'!M44</f>
        <v>2</v>
      </c>
      <c r="O119" t="str">
        <f>+'240924'!N44</f>
        <v>Once a month</v>
      </c>
      <c r="P119" t="str">
        <f>+'240924'!O44</f>
        <v>4</v>
      </c>
      <c r="Q119" t="str">
        <f>+'240924'!P44</f>
        <v>Once a month</v>
      </c>
      <c r="R119" t="str">
        <f>+'240924'!Q44</f>
        <v>4</v>
      </c>
      <c r="S119" t="str">
        <f>+'240924'!R44</f>
        <v>Unlikely</v>
      </c>
      <c r="T119" t="str">
        <f>+'240924'!S44</f>
        <v>2</v>
      </c>
      <c r="U119" t="str">
        <f>+'240924'!T44</f>
        <v>A little increase</v>
      </c>
      <c r="V119" t="str">
        <f>+'240924'!U44</f>
        <v>2</v>
      </c>
      <c r="W119" t="str">
        <f>+'240924'!V44</f>
        <v>I might suffer minor damage</v>
      </c>
      <c r="X119" t="str">
        <f>+'240924'!W44</f>
        <v>3</v>
      </c>
    </row>
    <row r="120" spans="2:24" x14ac:dyDescent="0.2">
      <c r="B120">
        <f>+'240924'!A45</f>
        <v>44</v>
      </c>
      <c r="C120" t="str">
        <f>+'240924'!B45</f>
        <v>True</v>
      </c>
      <c r="D120">
        <f>+'240924'!C45</f>
        <v>45559.262819004631</v>
      </c>
      <c r="E120" t="str">
        <f>+'240924'!D45</f>
        <v>Yes, I agree to voluntarily participate in this game session study (thanks for your collaboration)!</v>
      </c>
      <c r="F120" t="str">
        <f>+'240924'!E45</f>
        <v>t6p7</v>
      </c>
      <c r="G120" t="str">
        <f>+'240924'!F45</f>
        <v>No, I do not have a flood experience</v>
      </c>
      <c r="H120" t="str">
        <f>+'240924'!G45</f>
        <v>1</v>
      </c>
      <c r="I120" t="str">
        <f>+'240924'!H45</f>
        <v>Never</v>
      </c>
      <c r="J120" t="str">
        <f>+'240924'!I45</f>
        <v>1</v>
      </c>
      <c r="K120" t="str">
        <f>+'240924'!J45</f>
        <v>Never</v>
      </c>
      <c r="L120" t="str">
        <f>+'240924'!K45</f>
        <v>1</v>
      </c>
      <c r="M120" t="str">
        <f>+'240924'!L45</f>
        <v>Never</v>
      </c>
      <c r="N120" t="str">
        <f>+'240924'!M45</f>
        <v>1</v>
      </c>
      <c r="O120" t="str">
        <f>+'240924'!N45</f>
        <v>Once a month</v>
      </c>
      <c r="P120" t="str">
        <f>+'240924'!O45</f>
        <v>4</v>
      </c>
      <c r="Q120" t="str">
        <f>+'240924'!P45</f>
        <v>Once a month</v>
      </c>
      <c r="R120" t="str">
        <f>+'240924'!Q45</f>
        <v>4</v>
      </c>
      <c r="S120" t="str">
        <f>+'240924'!R45</f>
        <v>Unlikely</v>
      </c>
      <c r="T120" t="str">
        <f>+'240924'!S45</f>
        <v>2</v>
      </c>
      <c r="U120" t="str">
        <f>+'240924'!T45</f>
        <v>A big increase</v>
      </c>
      <c r="V120" t="str">
        <f>+'240924'!U45</f>
        <v>4</v>
      </c>
      <c r="W120" t="str">
        <f>+'240924'!V45</f>
        <v>I will get seriously damaged</v>
      </c>
      <c r="X120" t="str">
        <f>+'240924'!W45</f>
        <v>5</v>
      </c>
    </row>
    <row r="121" spans="2:24" x14ac:dyDescent="0.2">
      <c r="B121">
        <f>+'240924'!A46</f>
        <v>45</v>
      </c>
      <c r="C121" t="str">
        <f>+'240924'!B46</f>
        <v>True</v>
      </c>
      <c r="D121">
        <f>+'240924'!C46</f>
        <v>45559.26293809028</v>
      </c>
      <c r="E121" t="str">
        <f>+'240924'!D46</f>
        <v>Yes, I agree to voluntarily participate in this game session study (thanks for your collaboration)!</v>
      </c>
      <c r="F121" t="str">
        <f>+'240924'!E46</f>
        <v>t9p7</v>
      </c>
      <c r="G121" t="str">
        <f>+'240924'!F46</f>
        <v>No, I do not have a flood experience</v>
      </c>
      <c r="H121" t="str">
        <f>+'240924'!G46</f>
        <v>1</v>
      </c>
      <c r="I121" t="str">
        <f>+'240924'!H46</f>
        <v>Never</v>
      </c>
      <c r="J121" t="str">
        <f>+'240924'!I46</f>
        <v>1</v>
      </c>
      <c r="K121" t="str">
        <f>+'240924'!J46</f>
        <v>Once a day</v>
      </c>
      <c r="L121" t="str">
        <f>+'240924'!K46</f>
        <v>6</v>
      </c>
      <c r="M121" t="str">
        <f>+'240924'!L46</f>
        <v>Once in the last six months</v>
      </c>
      <c r="N121" t="str">
        <f>+'240924'!M46</f>
        <v>3</v>
      </c>
      <c r="O121" t="str">
        <f>+'240924'!N46</f>
        <v>Once a month</v>
      </c>
      <c r="P121" t="str">
        <f>+'240924'!O46</f>
        <v>4</v>
      </c>
      <c r="Q121" t="str">
        <f>+'240924'!P46</f>
        <v>Once in the last year</v>
      </c>
      <c r="R121" t="str">
        <f>+'240924'!Q46</f>
        <v>2</v>
      </c>
      <c r="S121" t="str">
        <f>+'240924'!R46</f>
        <v>Unlikely</v>
      </c>
      <c r="T121" t="str">
        <f>+'240924'!S46</f>
        <v>2</v>
      </c>
      <c r="U121" t="str">
        <f>+'240924'!T46</f>
        <v>A big increase</v>
      </c>
      <c r="V121" t="str">
        <f>+'240924'!U46</f>
        <v>4</v>
      </c>
      <c r="W121" t="str">
        <f>+'240924'!V46</f>
        <v>I might suffer minor damage</v>
      </c>
      <c r="X121" t="str">
        <f>+'240924'!W46</f>
        <v>3</v>
      </c>
    </row>
    <row r="122" spans="2:24" x14ac:dyDescent="0.2">
      <c r="B122">
        <f>+'240924'!A47</f>
        <v>46</v>
      </c>
      <c r="C122" t="str">
        <f>+'240924'!B47</f>
        <v>True</v>
      </c>
      <c r="D122">
        <f>+'240924'!C47</f>
        <v>45559.262968923613</v>
      </c>
      <c r="E122" t="str">
        <f>+'240924'!D47</f>
        <v>Yes, I agree to voluntarily participate in this game session study (thanks for your collaboration)!</v>
      </c>
      <c r="F122" t="str">
        <f>+'240924'!E47</f>
        <v>t10p1</v>
      </c>
      <c r="G122" t="str">
        <f>+'240924'!F47</f>
        <v>No, I do not have a flood experience</v>
      </c>
      <c r="H122" t="str">
        <f>+'240924'!G47</f>
        <v>1</v>
      </c>
      <c r="I122" t="str">
        <f>+'240924'!H47</f>
        <v>Once in the last six months</v>
      </c>
      <c r="J122" t="str">
        <f>+'240924'!I47</f>
        <v>3</v>
      </c>
      <c r="K122" t="str">
        <f>+'240924'!J47</f>
        <v>Never</v>
      </c>
      <c r="L122" t="str">
        <f>+'240924'!K47</f>
        <v>1</v>
      </c>
      <c r="M122" t="str">
        <f>+'240924'!L47</f>
        <v>Never</v>
      </c>
      <c r="N122" t="str">
        <f>+'240924'!M47</f>
        <v>1</v>
      </c>
      <c r="O122" t="str">
        <f>+'240924'!N47</f>
        <v>Once in the last six months</v>
      </c>
      <c r="P122" t="str">
        <f>+'240924'!O47</f>
        <v>3</v>
      </c>
      <c r="Q122" t="str">
        <f>+'240924'!P47</f>
        <v>Once in the last six months</v>
      </c>
      <c r="R122" t="str">
        <f>+'240924'!Q47</f>
        <v>3</v>
      </c>
      <c r="S122" t="str">
        <f>+'240924'!R47</f>
        <v>Neutral</v>
      </c>
      <c r="T122" t="str">
        <f>+'240924'!S47</f>
        <v>3</v>
      </c>
      <c r="U122" t="str">
        <f>+'240924'!T47</f>
        <v>A moderate increase</v>
      </c>
      <c r="V122" t="str">
        <f>+'240924'!U47</f>
        <v>3</v>
      </c>
      <c r="W122" t="str">
        <f>+'240924'!V47</f>
        <v>I won't get flooded</v>
      </c>
      <c r="X122" t="str">
        <f>+'240924'!W47</f>
        <v>1</v>
      </c>
    </row>
    <row r="123" spans="2:24" x14ac:dyDescent="0.2">
      <c r="B123">
        <f>+'240924'!A48</f>
        <v>47</v>
      </c>
      <c r="C123" t="str">
        <f>+'240924'!B48</f>
        <v>True</v>
      </c>
      <c r="D123">
        <f>+'240924'!C48</f>
        <v>45559.263040081023</v>
      </c>
      <c r="E123" t="str">
        <f>+'240924'!D48</f>
        <v>Yes, I agree to voluntarily participate in this game session study (thanks for your collaboration)!</v>
      </c>
      <c r="F123" t="str">
        <f>+'240924'!E48</f>
        <v>t7p4</v>
      </c>
      <c r="G123" t="str">
        <f>+'240924'!F48</f>
        <v>No, I do not have a flood experience</v>
      </c>
      <c r="H123" t="str">
        <f>+'240924'!G48</f>
        <v>1</v>
      </c>
      <c r="I123" t="str">
        <f>+'240924'!H48</f>
        <v>Never</v>
      </c>
      <c r="J123" t="str">
        <f>+'240924'!I48</f>
        <v>1</v>
      </c>
      <c r="K123" t="str">
        <f>+'240924'!J48</f>
        <v>Once in the last six months</v>
      </c>
      <c r="L123" t="str">
        <f>+'240924'!K48</f>
        <v>3</v>
      </c>
      <c r="M123" t="str">
        <f>+'240924'!L48</f>
        <v>Once in the last year</v>
      </c>
      <c r="N123" t="str">
        <f>+'240924'!M48</f>
        <v>2</v>
      </c>
      <c r="O123" t="str">
        <f>+'240924'!N48</f>
        <v>Once in the last six months</v>
      </c>
      <c r="P123" t="str">
        <f>+'240924'!O48</f>
        <v>3</v>
      </c>
      <c r="Q123" t="str">
        <f>+'240924'!P48</f>
        <v>Once in the last year</v>
      </c>
      <c r="R123" t="str">
        <f>+'240924'!Q48</f>
        <v>2</v>
      </c>
      <c r="S123" t="str">
        <f>+'240924'!R48</f>
        <v>Neutral</v>
      </c>
      <c r="T123" t="str">
        <f>+'240924'!S48</f>
        <v>3</v>
      </c>
      <c r="U123" t="str">
        <f>+'240924'!T48</f>
        <v>A moderate increase</v>
      </c>
      <c r="V123" t="str">
        <f>+'240924'!U48</f>
        <v>3</v>
      </c>
      <c r="W123" t="str">
        <f>+'240924'!V48</f>
        <v>I might suffer minor damage</v>
      </c>
      <c r="X123" t="str">
        <f>+'240924'!W48</f>
        <v>3</v>
      </c>
    </row>
    <row r="124" spans="2:24" x14ac:dyDescent="0.2">
      <c r="B124">
        <f>+'240924'!A49</f>
        <v>48</v>
      </c>
      <c r="C124" t="str">
        <f>+'240924'!B49</f>
        <v>True</v>
      </c>
      <c r="D124">
        <f>+'240924'!C49</f>
        <v>45559.263060324069</v>
      </c>
      <c r="E124" t="str">
        <f>+'240924'!D49</f>
        <v>Yes, I agree to voluntarily participate in this game session study (thanks for your collaboration)!</v>
      </c>
      <c r="F124" t="str">
        <f>+'240924'!E49</f>
        <v>t9p6</v>
      </c>
      <c r="G124" t="str">
        <f>+'240924'!F49</f>
        <v>No, I do not have a flood experience</v>
      </c>
      <c r="H124" t="str">
        <f>+'240924'!G49</f>
        <v>1</v>
      </c>
      <c r="I124" t="str">
        <f>+'240924'!H49</f>
        <v>Never</v>
      </c>
      <c r="J124" t="str">
        <f>+'240924'!I49</f>
        <v>1</v>
      </c>
      <c r="K124" t="str">
        <f>+'240924'!J49</f>
        <v>Once a week</v>
      </c>
      <c r="L124" t="str">
        <f>+'240924'!K49</f>
        <v>5</v>
      </c>
      <c r="M124" t="str">
        <f>+'240924'!L49</f>
        <v>Once a month</v>
      </c>
      <c r="N124" t="str">
        <f>+'240924'!M49</f>
        <v>4</v>
      </c>
      <c r="O124" t="str">
        <f>+'240924'!N49</f>
        <v>Once a month</v>
      </c>
      <c r="P124" t="str">
        <f>+'240924'!O49</f>
        <v>4</v>
      </c>
      <c r="Q124" t="str">
        <f>+'240924'!P49</f>
        <v>Once a month</v>
      </c>
      <c r="R124" t="str">
        <f>+'240924'!Q49</f>
        <v>4</v>
      </c>
      <c r="S124" t="str">
        <f>+'240924'!R49</f>
        <v>Neutral</v>
      </c>
      <c r="T124" t="str">
        <f>+'240924'!S49</f>
        <v>3</v>
      </c>
      <c r="U124" t="str">
        <f>+'240924'!T49</f>
        <v>A big increase</v>
      </c>
      <c r="V124" t="str">
        <f>+'240924'!U49</f>
        <v>4</v>
      </c>
      <c r="W124" t="str">
        <f>+'240924'!V49</f>
        <v>I might suffer minor damage</v>
      </c>
      <c r="X124" t="str">
        <f>+'240924'!W49</f>
        <v>3</v>
      </c>
    </row>
    <row r="125" spans="2:24" x14ac:dyDescent="0.2">
      <c r="B125">
        <f>+'240924'!A50</f>
        <v>49</v>
      </c>
      <c r="C125" t="str">
        <f>+'240924'!B50</f>
        <v>True</v>
      </c>
      <c r="D125">
        <f>+'240924'!C50</f>
        <v>45559.263198020839</v>
      </c>
      <c r="E125" t="str">
        <f>+'240924'!D50</f>
        <v>Yes, I agree to voluntarily participate in this game session study (thanks for your collaboration)!</v>
      </c>
      <c r="F125" t="str">
        <f>+'240924'!E50</f>
        <v>t7p6</v>
      </c>
      <c r="G125" t="str">
        <f>+'240924'!F50</f>
        <v>No, I do not have a flood experience</v>
      </c>
      <c r="H125" t="str">
        <f>+'240924'!G50</f>
        <v>1</v>
      </c>
      <c r="I125" t="str">
        <f>+'240924'!H50</f>
        <v>Never</v>
      </c>
      <c r="J125" t="str">
        <f>+'240924'!I50</f>
        <v>1</v>
      </c>
      <c r="K125" t="str">
        <f>+'240924'!J50</f>
        <v>Once in the last year</v>
      </c>
      <c r="L125" t="str">
        <f>+'240924'!K50</f>
        <v>2</v>
      </c>
      <c r="M125" t="str">
        <f>+'240924'!L50</f>
        <v>Never</v>
      </c>
      <c r="N125" t="str">
        <f>+'240924'!M50</f>
        <v>1</v>
      </c>
      <c r="O125" t="str">
        <f>+'240924'!N50</f>
        <v>Once in the last year</v>
      </c>
      <c r="P125" t="str">
        <f>+'240924'!O50</f>
        <v>2</v>
      </c>
      <c r="Q125" t="str">
        <f>+'240924'!P50</f>
        <v>Once in the last year</v>
      </c>
      <c r="R125" t="str">
        <f>+'240924'!Q50</f>
        <v>2</v>
      </c>
      <c r="S125" t="str">
        <f>+'240924'!R50</f>
        <v>Unlikely</v>
      </c>
      <c r="T125" t="str">
        <f>+'240924'!S50</f>
        <v>2</v>
      </c>
      <c r="U125" t="str">
        <f>+'240924'!T50</f>
        <v>A moderate increase</v>
      </c>
      <c r="V125" t="str">
        <f>+'240924'!U50</f>
        <v>3</v>
      </c>
      <c r="W125" t="str">
        <f>+'240924'!V50</f>
        <v>I won't get flooded</v>
      </c>
      <c r="X125" t="str">
        <f>+'240924'!W50</f>
        <v>1</v>
      </c>
    </row>
    <row r="126" spans="2:24" x14ac:dyDescent="0.2">
      <c r="B126">
        <f>+'240924'!A51</f>
        <v>50</v>
      </c>
      <c r="C126" t="str">
        <f>+'240924'!B51</f>
        <v>True</v>
      </c>
      <c r="D126">
        <f>+'240924'!C51</f>
        <v>45559.263217025473</v>
      </c>
      <c r="E126" t="str">
        <f>+'240924'!D51</f>
        <v>Yes, I agree to voluntarily participate in this game session study (thanks for your collaboration)!</v>
      </c>
      <c r="F126" t="str">
        <f>+'240924'!E51</f>
        <v>t6p6</v>
      </c>
      <c r="G126" t="str">
        <f>+'240924'!F51</f>
        <v>Yes, with minor disruptions or damages</v>
      </c>
      <c r="H126" t="str">
        <f>+'240924'!G51</f>
        <v>3</v>
      </c>
      <c r="I126" t="str">
        <f>+'240924'!H51</f>
        <v>Once in the last year</v>
      </c>
      <c r="J126" t="str">
        <f>+'240924'!I51</f>
        <v>2</v>
      </c>
      <c r="K126" t="str">
        <f>+'240924'!J51</f>
        <v>Never</v>
      </c>
      <c r="L126" t="str">
        <f>+'240924'!K51</f>
        <v>1</v>
      </c>
      <c r="M126" t="str">
        <f>+'240924'!L51</f>
        <v>Never</v>
      </c>
      <c r="N126" t="str">
        <f>+'240924'!M51</f>
        <v>1</v>
      </c>
      <c r="O126" t="str">
        <f>+'240924'!N51</f>
        <v>Once in the last year</v>
      </c>
      <c r="P126" t="str">
        <f>+'240924'!O51</f>
        <v>2</v>
      </c>
      <c r="Q126" t="str">
        <f>+'240924'!P51</f>
        <v>Once in the last year</v>
      </c>
      <c r="R126" t="str">
        <f>+'240924'!Q51</f>
        <v>2</v>
      </c>
      <c r="S126" t="str">
        <f>+'240924'!R51</f>
        <v>Very unlikely</v>
      </c>
      <c r="T126" t="str">
        <f>+'240924'!S51</f>
        <v>1</v>
      </c>
      <c r="U126" t="str">
        <f>+'240924'!T51</f>
        <v>A little increase</v>
      </c>
      <c r="V126" t="str">
        <f>+'240924'!U51</f>
        <v>2</v>
      </c>
      <c r="W126" t="str">
        <f>+'240924'!V51</f>
        <v>I won't get flooded</v>
      </c>
      <c r="X126" t="str">
        <f>+'240924'!W51</f>
        <v>1</v>
      </c>
    </row>
    <row r="127" spans="2:24" x14ac:dyDescent="0.2">
      <c r="B127">
        <f>+'240924'!A52</f>
        <v>51</v>
      </c>
      <c r="C127" t="str">
        <f>+'240924'!B52</f>
        <v>True</v>
      </c>
      <c r="D127">
        <f>+'240924'!C52</f>
        <v>45559.263252407407</v>
      </c>
      <c r="E127" t="str">
        <f>+'240924'!D52</f>
        <v>Yes, I agree to voluntarily participate in this game session study (thanks for your collaboration)!</v>
      </c>
      <c r="F127" t="str">
        <f>+'240924'!E52</f>
        <v>t7p3</v>
      </c>
      <c r="G127" t="str">
        <f>+'240924'!F52</f>
        <v>No, I do not have a flood experience</v>
      </c>
      <c r="H127" t="str">
        <f>+'240924'!G52</f>
        <v>1</v>
      </c>
      <c r="I127" t="str">
        <f>+'240924'!H52</f>
        <v>Never</v>
      </c>
      <c r="J127" t="str">
        <f>+'240924'!I52</f>
        <v>1</v>
      </c>
      <c r="K127" t="str">
        <f>+'240924'!J52</f>
        <v>Once a month</v>
      </c>
      <c r="L127" t="str">
        <f>+'240924'!K52</f>
        <v>4</v>
      </c>
      <c r="M127" t="str">
        <f>+'240924'!L52</f>
        <v>Once in the last year</v>
      </c>
      <c r="N127" t="str">
        <f>+'240924'!M52</f>
        <v>2</v>
      </c>
      <c r="O127" t="str">
        <f>+'240924'!N52</f>
        <v>Once a month</v>
      </c>
      <c r="P127" t="str">
        <f>+'240924'!O52</f>
        <v>4</v>
      </c>
      <c r="Q127" t="str">
        <f>+'240924'!P52</f>
        <v>Once in the last year</v>
      </c>
      <c r="R127" t="str">
        <f>+'240924'!Q52</f>
        <v>2</v>
      </c>
      <c r="S127" t="str">
        <f>+'240924'!R52</f>
        <v>Neutral</v>
      </c>
      <c r="T127" t="str">
        <f>+'240924'!S52</f>
        <v>3</v>
      </c>
      <c r="U127" t="str">
        <f>+'240924'!T52</f>
        <v>A big increase</v>
      </c>
      <c r="V127" t="str">
        <f>+'240924'!U52</f>
        <v>4</v>
      </c>
      <c r="W127" t="str">
        <f>+'240924'!V52</f>
        <v>I will suffer some damage</v>
      </c>
      <c r="X127" t="str">
        <f>+'240924'!W52</f>
        <v>4</v>
      </c>
    </row>
    <row r="128" spans="2:24" x14ac:dyDescent="0.2">
      <c r="B128">
        <f>+'240924'!A53</f>
        <v>52</v>
      </c>
      <c r="C128" t="str">
        <f>+'240924'!B53</f>
        <v>True</v>
      </c>
      <c r="D128">
        <f>+'240924'!C53</f>
        <v>45559.263591099538</v>
      </c>
      <c r="E128" t="str">
        <f>+'240924'!D53</f>
        <v>Yes, I agree to voluntarily participate in this game session study (thanks for your collaboration)!</v>
      </c>
      <c r="F128" t="str">
        <f>+'240924'!E53</f>
        <v>t8p7</v>
      </c>
      <c r="G128" t="str">
        <f>+'240924'!F53</f>
        <v>Yes, but without disruptions or damages</v>
      </c>
      <c r="H128" t="str">
        <f>+'240924'!G53</f>
        <v>2</v>
      </c>
      <c r="I128" t="str">
        <f>+'240924'!H53</f>
        <v>Never</v>
      </c>
      <c r="J128" t="str">
        <f>+'240924'!I53</f>
        <v>1</v>
      </c>
      <c r="K128" t="str">
        <f>+'240924'!J53</f>
        <v>Never</v>
      </c>
      <c r="L128" t="str">
        <f>+'240924'!K53</f>
        <v>1</v>
      </c>
      <c r="M128" t="str">
        <f>+'240924'!L53</f>
        <v>Never</v>
      </c>
      <c r="N128" t="str">
        <f>+'240924'!M53</f>
        <v>1</v>
      </c>
      <c r="O128" t="str">
        <f>+'240924'!N53</f>
        <v>Once in the last six months</v>
      </c>
      <c r="P128" t="str">
        <f>+'240924'!O53</f>
        <v>3</v>
      </c>
      <c r="Q128" t="str">
        <f>+'240924'!P53</f>
        <v>Once in the last year</v>
      </c>
      <c r="R128" t="str">
        <f>+'240924'!Q53</f>
        <v>2</v>
      </c>
      <c r="S128" t="str">
        <f>+'240924'!R53</f>
        <v>Likely</v>
      </c>
      <c r="T128" t="str">
        <f>+'240924'!S53</f>
        <v>4</v>
      </c>
      <c r="U128" t="str">
        <f>+'240924'!T53</f>
        <v>A big increase</v>
      </c>
      <c r="V128" t="str">
        <f>+'240924'!U53</f>
        <v>4</v>
      </c>
      <c r="W128" t="str">
        <f>+'240924'!V53</f>
        <v>I might suffer minor damage</v>
      </c>
      <c r="X128" t="str">
        <f>+'240924'!W53</f>
        <v>3</v>
      </c>
    </row>
    <row r="129" spans="2:24" x14ac:dyDescent="0.2">
      <c r="B129">
        <f>+'240924'!A54</f>
        <v>53</v>
      </c>
      <c r="C129" t="str">
        <f>+'240924'!B54</f>
        <v>True</v>
      </c>
      <c r="D129">
        <f>+'240924'!C54</f>
        <v>45559.263599745369</v>
      </c>
      <c r="E129" t="str">
        <f>+'240924'!D54</f>
        <v>Yes, I agree to voluntarily participate in this game session study (thanks for your collaboration)!</v>
      </c>
      <c r="F129" t="str">
        <f>+'240924'!E54</f>
        <v>t7p7</v>
      </c>
      <c r="G129" t="str">
        <f>+'240924'!F54</f>
        <v>No, I do not have a flood experience</v>
      </c>
      <c r="H129" t="str">
        <f>+'240924'!G54</f>
        <v>1</v>
      </c>
      <c r="I129" t="str">
        <f>+'240924'!H54</f>
        <v>Once a month</v>
      </c>
      <c r="J129" t="str">
        <f>+'240924'!I54</f>
        <v>4</v>
      </c>
      <c r="K129" t="str">
        <f>+'240924'!J54</f>
        <v>Never</v>
      </c>
      <c r="L129" t="str">
        <f>+'240924'!K54</f>
        <v>1</v>
      </c>
      <c r="M129" t="str">
        <f>+'240924'!L54</f>
        <v>Once a week</v>
      </c>
      <c r="N129" t="str">
        <f>+'240924'!M54</f>
        <v>5</v>
      </c>
      <c r="O129" t="str">
        <f>+'240924'!N54</f>
        <v>Once a week</v>
      </c>
      <c r="P129" t="str">
        <f>+'240924'!O54</f>
        <v>5</v>
      </c>
      <c r="Q129" t="str">
        <f>+'240924'!P54</f>
        <v>Once a week</v>
      </c>
      <c r="R129" t="str">
        <f>+'240924'!Q54</f>
        <v>5</v>
      </c>
      <c r="S129" t="str">
        <f>+'240924'!R54</f>
        <v>Very unlikely</v>
      </c>
      <c r="T129" t="str">
        <f>+'240924'!S54</f>
        <v>1</v>
      </c>
      <c r="U129" t="str">
        <f>+'240924'!T54</f>
        <v>A moderate increase</v>
      </c>
      <c r="V129" t="str">
        <f>+'240924'!U54</f>
        <v>3</v>
      </c>
      <c r="W129" t="str">
        <f>+'240924'!V54</f>
        <v>If I get flooded, I won't get damaged</v>
      </c>
      <c r="X129" t="str">
        <f>+'240924'!W54</f>
        <v>2</v>
      </c>
    </row>
    <row r="130" spans="2:24" x14ac:dyDescent="0.2">
      <c r="B130">
        <f>+'240924'!A55</f>
        <v>54</v>
      </c>
      <c r="C130" t="str">
        <f>+'240924'!B55</f>
        <v>True</v>
      </c>
      <c r="D130">
        <f>+'240924'!C55</f>
        <v>45559.263764976851</v>
      </c>
      <c r="E130" t="str">
        <f>+'240924'!D55</f>
        <v>Yes, I agree to voluntarily participate in this game session study (thanks for your collaboration)!</v>
      </c>
      <c r="F130" t="str">
        <f>+'240924'!E55</f>
        <v>t6p3</v>
      </c>
      <c r="G130" t="str">
        <f>+'240924'!F55</f>
        <v>No, I do not have a flood experience</v>
      </c>
      <c r="H130" t="str">
        <f>+'240924'!G55</f>
        <v>1</v>
      </c>
      <c r="I130" t="str">
        <f>+'240924'!H55</f>
        <v>Never</v>
      </c>
      <c r="J130" t="str">
        <f>+'240924'!I55</f>
        <v>1</v>
      </c>
      <c r="K130" t="str">
        <f>+'240924'!J55</f>
        <v>Never</v>
      </c>
      <c r="L130" t="str">
        <f>+'240924'!K55</f>
        <v>1</v>
      </c>
      <c r="M130" t="str">
        <f>+'240924'!L55</f>
        <v>Never</v>
      </c>
      <c r="N130" t="str">
        <f>+'240924'!M55</f>
        <v>1</v>
      </c>
      <c r="O130" t="str">
        <f>+'240924'!N55</f>
        <v>Never</v>
      </c>
      <c r="P130" t="str">
        <f>+'240924'!O55</f>
        <v>1</v>
      </c>
      <c r="Q130" t="str">
        <f>+'240924'!P55</f>
        <v>Never</v>
      </c>
      <c r="R130" t="str">
        <f>+'240924'!Q55</f>
        <v>1</v>
      </c>
      <c r="S130" t="str">
        <f>+'240924'!R55</f>
        <v>Very unlikely</v>
      </c>
      <c r="T130" t="str">
        <f>+'240924'!S55</f>
        <v>1</v>
      </c>
      <c r="U130" t="str">
        <f>+'240924'!T55</f>
        <v>A big increase</v>
      </c>
      <c r="V130" t="str">
        <f>+'240924'!U55</f>
        <v>4</v>
      </c>
      <c r="W130" t="str">
        <f>+'240924'!V55</f>
        <v>I won't get flooded</v>
      </c>
      <c r="X130" t="str">
        <f>+'240924'!W55</f>
        <v>1</v>
      </c>
    </row>
    <row r="131" spans="2:24" x14ac:dyDescent="0.2">
      <c r="B131">
        <f>+'240924'!A56</f>
        <v>55</v>
      </c>
      <c r="C131" t="str">
        <f>+'240924'!B56</f>
        <v>True</v>
      </c>
      <c r="D131">
        <f>+'240924'!C56</f>
        <v>45559.263848460643</v>
      </c>
      <c r="E131" t="str">
        <f>+'240924'!D56</f>
        <v>Yes, I agree to voluntarily participate in this game session study (thanks for your collaboration)!</v>
      </c>
      <c r="F131" t="str">
        <f>+'240924'!E56</f>
        <v>t7p5</v>
      </c>
      <c r="G131" t="str">
        <f>+'240924'!F56</f>
        <v>No, I do not have a flood experience</v>
      </c>
      <c r="H131" t="str">
        <f>+'240924'!G56</f>
        <v>1</v>
      </c>
      <c r="I131" t="str">
        <f>+'240924'!H56</f>
        <v>Once in the last six months</v>
      </c>
      <c r="J131" t="str">
        <f>+'240924'!I56</f>
        <v>3</v>
      </c>
      <c r="K131" t="str">
        <f>+'240924'!J56</f>
        <v>Once in the last six months</v>
      </c>
      <c r="L131" t="str">
        <f>+'240924'!K56</f>
        <v>3</v>
      </c>
      <c r="M131" t="str">
        <f>+'240924'!L56</f>
        <v>Once in the last six months</v>
      </c>
      <c r="N131" t="str">
        <f>+'240924'!M56</f>
        <v>3</v>
      </c>
      <c r="O131" t="str">
        <f>+'240924'!N56</f>
        <v>Once in the last six months</v>
      </c>
      <c r="P131" t="str">
        <f>+'240924'!O56</f>
        <v>3</v>
      </c>
      <c r="Q131" t="str">
        <f>+'240924'!P56</f>
        <v>Once in the last six months</v>
      </c>
      <c r="R131" t="str">
        <f>+'240924'!Q56</f>
        <v>3</v>
      </c>
      <c r="S131" t="str">
        <f>+'240924'!R56</f>
        <v>Unlikely</v>
      </c>
      <c r="T131" t="str">
        <f>+'240924'!S56</f>
        <v>2</v>
      </c>
      <c r="U131" t="str">
        <f>+'240924'!T56</f>
        <v>A little increase</v>
      </c>
      <c r="V131" t="str">
        <f>+'240924'!U56</f>
        <v>2</v>
      </c>
      <c r="W131" t="str">
        <f>+'240924'!V56</f>
        <v>I won't get flooded</v>
      </c>
      <c r="X131" t="str">
        <f>+'240924'!W56</f>
        <v>1</v>
      </c>
    </row>
    <row r="132" spans="2:24" x14ac:dyDescent="0.2">
      <c r="B132">
        <f>+'240924'!A57</f>
        <v>56</v>
      </c>
      <c r="C132" t="str">
        <f>+'240924'!B57</f>
        <v>True</v>
      </c>
      <c r="D132">
        <f>+'240924'!C57</f>
        <v>45559.263863738423</v>
      </c>
      <c r="E132" t="str">
        <f>+'240924'!D57</f>
        <v>Yes, I agree to voluntarily participate in this game session study (thanks for your collaboration)!</v>
      </c>
      <c r="F132" t="str">
        <f>+'240924'!E57</f>
        <v>t10p7</v>
      </c>
      <c r="G132" t="str">
        <f>+'240924'!F57</f>
        <v>Yes, with minor disruptions or damages</v>
      </c>
      <c r="H132" t="str">
        <f>+'240924'!G57</f>
        <v>3</v>
      </c>
      <c r="I132" t="str">
        <f>+'240924'!H57</f>
        <v>Once in the last six months</v>
      </c>
      <c r="J132" t="str">
        <f>+'240924'!I57</f>
        <v>3</v>
      </c>
      <c r="K132" t="str">
        <f>+'240924'!J57</f>
        <v>Once in the last six months</v>
      </c>
      <c r="L132" t="str">
        <f>+'240924'!K57</f>
        <v>3</v>
      </c>
      <c r="M132" t="str">
        <f>+'240924'!L57</f>
        <v>Once in the last six months</v>
      </c>
      <c r="N132" t="str">
        <f>+'240924'!M57</f>
        <v>3</v>
      </c>
      <c r="O132" t="str">
        <f>+'240924'!N57</f>
        <v>Once in the last six months</v>
      </c>
      <c r="P132" t="str">
        <f>+'240924'!O57</f>
        <v>3</v>
      </c>
      <c r="Q132" t="str">
        <f>+'240924'!P57</f>
        <v>Once in the last six months</v>
      </c>
      <c r="R132" t="str">
        <f>+'240924'!Q57</f>
        <v>3</v>
      </c>
      <c r="S132" t="str">
        <f>+'240924'!R57</f>
        <v>Likely</v>
      </c>
      <c r="T132" t="str">
        <f>+'240924'!S57</f>
        <v>4</v>
      </c>
      <c r="U132" t="str">
        <f>+'240924'!T57</f>
        <v>A big increase</v>
      </c>
      <c r="V132" t="str">
        <f>+'240924'!U57</f>
        <v>4</v>
      </c>
      <c r="W132" t="str">
        <f>+'240924'!V57</f>
        <v>I might suffer minor damage</v>
      </c>
      <c r="X132" t="str">
        <f>+'240924'!W57</f>
        <v>3</v>
      </c>
    </row>
    <row r="133" spans="2:24" x14ac:dyDescent="0.2">
      <c r="B133">
        <f>+'240924'!A58</f>
        <v>57</v>
      </c>
      <c r="C133" t="str">
        <f>+'240924'!B58</f>
        <v>True</v>
      </c>
      <c r="D133">
        <f>+'240924'!C58</f>
        <v>45559.263874525474</v>
      </c>
      <c r="E133" t="str">
        <f>+'240924'!D58</f>
        <v>Yes, I agree to voluntarily participate in this game session study (thanks for your collaboration)!</v>
      </c>
      <c r="F133" t="str">
        <f>+'240924'!E58</f>
        <v>t8p1</v>
      </c>
      <c r="G133" t="str">
        <f>+'240924'!F58</f>
        <v>No, I do not have a flood experience</v>
      </c>
      <c r="H133" t="str">
        <f>+'240924'!G58</f>
        <v>1</v>
      </c>
      <c r="I133" t="str">
        <f>+'240924'!H58</f>
        <v>Never</v>
      </c>
      <c r="J133" t="str">
        <f>+'240924'!I58</f>
        <v>1</v>
      </c>
      <c r="K133" t="str">
        <f>+'240924'!J58</f>
        <v>Once in the last six months</v>
      </c>
      <c r="L133" t="str">
        <f>+'240924'!K58</f>
        <v>3</v>
      </c>
      <c r="M133" t="str">
        <f>+'240924'!L58</f>
        <v>Once in the last year</v>
      </c>
      <c r="N133" t="str">
        <f>+'240924'!M58</f>
        <v>2</v>
      </c>
      <c r="O133" t="str">
        <f>+'240924'!N58</f>
        <v>Once in the last six months</v>
      </c>
      <c r="P133" t="str">
        <f>+'240924'!O58</f>
        <v>3</v>
      </c>
      <c r="Q133" t="str">
        <f>+'240924'!P58</f>
        <v>Once in the last year</v>
      </c>
      <c r="R133" t="str">
        <f>+'240924'!Q58</f>
        <v>2</v>
      </c>
      <c r="S133" t="str">
        <f>+'240924'!R58</f>
        <v>Neutral</v>
      </c>
      <c r="T133" t="str">
        <f>+'240924'!S58</f>
        <v>3</v>
      </c>
      <c r="U133" t="str">
        <f>+'240924'!T58</f>
        <v>An extreme increase</v>
      </c>
      <c r="V133" t="str">
        <f>+'240924'!U58</f>
        <v>5</v>
      </c>
      <c r="W133" t="str">
        <f>+'240924'!V58</f>
        <v>I will suffer some damage</v>
      </c>
      <c r="X133" t="str">
        <f>+'240924'!W58</f>
        <v>4</v>
      </c>
    </row>
    <row r="134" spans="2:24" x14ac:dyDescent="0.2">
      <c r="B134">
        <f>+'240924'!A59</f>
        <v>58</v>
      </c>
      <c r="C134" t="str">
        <f>+'240924'!B59</f>
        <v>True</v>
      </c>
      <c r="D134">
        <f>+'240924'!C59</f>
        <v>45559.263907349537</v>
      </c>
      <c r="E134" t="str">
        <f>+'240924'!D59</f>
        <v>Yes, I agree to voluntarily participate in this game session study (thanks for your collaboration)!</v>
      </c>
      <c r="F134" t="str">
        <f>+'240924'!E59</f>
        <v>t8p2</v>
      </c>
      <c r="G134" t="str">
        <f>+'240924'!F59</f>
        <v>Yes, but without disruptions or damages</v>
      </c>
      <c r="H134" t="str">
        <f>+'240924'!G59</f>
        <v>2</v>
      </c>
      <c r="I134" t="str">
        <f>+'240924'!H59</f>
        <v>Never</v>
      </c>
      <c r="J134" t="str">
        <f>+'240924'!I59</f>
        <v>1</v>
      </c>
      <c r="K134" t="str">
        <f>+'240924'!J59</f>
        <v>Once in the last six months</v>
      </c>
      <c r="L134" t="str">
        <f>+'240924'!K59</f>
        <v>3</v>
      </c>
      <c r="M134" t="str">
        <f>+'240924'!L59</f>
        <v>Once in the last year</v>
      </c>
      <c r="N134" t="str">
        <f>+'240924'!M59</f>
        <v>2</v>
      </c>
      <c r="O134" t="str">
        <f>+'240924'!N59</f>
        <v>Once a month</v>
      </c>
      <c r="P134" t="str">
        <f>+'240924'!O59</f>
        <v>4</v>
      </c>
      <c r="Q134" t="str">
        <f>+'240924'!P59</f>
        <v>Once a month</v>
      </c>
      <c r="R134" t="str">
        <f>+'240924'!Q59</f>
        <v>4</v>
      </c>
      <c r="S134" t="str">
        <f>+'240924'!R59</f>
        <v>Neutral</v>
      </c>
      <c r="T134" t="str">
        <f>+'240924'!S59</f>
        <v>3</v>
      </c>
      <c r="U134" t="str">
        <f>+'240924'!T59</f>
        <v>A big increase</v>
      </c>
      <c r="V134" t="str">
        <f>+'240924'!U59</f>
        <v>4</v>
      </c>
      <c r="W134" t="str">
        <f>+'240924'!V59</f>
        <v>I might suffer minor damage</v>
      </c>
      <c r="X134" t="str">
        <f>+'240924'!W59</f>
        <v>3</v>
      </c>
    </row>
    <row r="135" spans="2:24" x14ac:dyDescent="0.2">
      <c r="B135">
        <f>+'240924'!A60</f>
        <v>59</v>
      </c>
      <c r="C135" t="str">
        <f>+'240924'!B60</f>
        <v>True</v>
      </c>
      <c r="D135">
        <f>+'240924'!C60</f>
        <v>45559.263949687513</v>
      </c>
      <c r="E135" t="str">
        <f>+'240924'!D60</f>
        <v>Yes, I agree to voluntarily participate in this game session study (thanks for your collaboration)!</v>
      </c>
      <c r="F135" t="str">
        <f>+'240924'!E60</f>
        <v>t8p3</v>
      </c>
      <c r="G135" t="str">
        <f>+'240924'!F60</f>
        <v>No, I do not have a flood experience</v>
      </c>
      <c r="H135" t="str">
        <f>+'240924'!G60</f>
        <v>1</v>
      </c>
      <c r="I135" t="str">
        <f>+'240924'!H60</f>
        <v>Once in the last year</v>
      </c>
      <c r="J135" t="str">
        <f>+'240924'!I60</f>
        <v>2</v>
      </c>
      <c r="K135" t="str">
        <f>+'240924'!J60</f>
        <v>Once in the last year</v>
      </c>
      <c r="L135" t="str">
        <f>+'240924'!K60</f>
        <v>2</v>
      </c>
      <c r="M135" t="str">
        <f>+'240924'!L60</f>
        <v>Once in the last year</v>
      </c>
      <c r="N135" t="str">
        <f>+'240924'!M60</f>
        <v>2</v>
      </c>
      <c r="O135" t="str">
        <f>+'240924'!N60</f>
        <v>Once a month</v>
      </c>
      <c r="P135" t="str">
        <f>+'240924'!O60</f>
        <v>4</v>
      </c>
      <c r="Q135" t="str">
        <f>+'240924'!P60</f>
        <v>Once a month</v>
      </c>
      <c r="R135" t="str">
        <f>+'240924'!Q60</f>
        <v>4</v>
      </c>
      <c r="S135" t="str">
        <f>+'240924'!R60</f>
        <v>Unlikely</v>
      </c>
      <c r="T135" t="str">
        <f>+'240924'!S60</f>
        <v>2</v>
      </c>
      <c r="U135" t="str">
        <f>+'240924'!T60</f>
        <v>A moderate increase</v>
      </c>
      <c r="V135" t="str">
        <f>+'240924'!U60</f>
        <v>3</v>
      </c>
      <c r="W135" t="str">
        <f>+'240924'!V60</f>
        <v>I might suffer minor damage</v>
      </c>
      <c r="X135" t="str">
        <f>+'240924'!W60</f>
        <v>3</v>
      </c>
    </row>
    <row r="136" spans="2:24" x14ac:dyDescent="0.2">
      <c r="B136">
        <f>+'240924'!A61</f>
        <v>60</v>
      </c>
      <c r="C136" t="str">
        <f>+'240924'!B61</f>
        <v>True</v>
      </c>
      <c r="D136">
        <f>+'240924'!C61</f>
        <v>45559.263955312497</v>
      </c>
      <c r="E136" t="str">
        <f>+'240924'!D61</f>
        <v>Yes, I agree to voluntarily participate in this game session study (thanks for your collaboration)!</v>
      </c>
      <c r="F136" t="str">
        <f>+'240924'!E61</f>
        <v>t9p3</v>
      </c>
      <c r="G136" t="str">
        <f>+'240924'!F61</f>
        <v>No, I do not have a flood experience</v>
      </c>
      <c r="H136" t="str">
        <f>+'240924'!G61</f>
        <v>1</v>
      </c>
      <c r="I136" t="str">
        <f>+'240924'!H61</f>
        <v>Once in the last year</v>
      </c>
      <c r="J136" t="str">
        <f>+'240924'!I61</f>
        <v>2</v>
      </c>
      <c r="K136" t="str">
        <f>+'240924'!J61</f>
        <v>Never</v>
      </c>
      <c r="L136" t="str">
        <f>+'240924'!K61</f>
        <v>1</v>
      </c>
      <c r="M136" t="str">
        <f>+'240924'!L61</f>
        <v>Never</v>
      </c>
      <c r="N136" t="str">
        <f>+'240924'!M61</f>
        <v>1</v>
      </c>
      <c r="O136" t="str">
        <f>+'240924'!N61</f>
        <v>Once in the last year</v>
      </c>
      <c r="P136" t="str">
        <f>+'240924'!O61</f>
        <v>2</v>
      </c>
      <c r="Q136" t="str">
        <f>+'240924'!P61</f>
        <v>Never</v>
      </c>
      <c r="R136" t="str">
        <f>+'240924'!Q61</f>
        <v>1</v>
      </c>
      <c r="S136" t="str">
        <f>+'240924'!R61</f>
        <v>Very unlikely</v>
      </c>
      <c r="T136" t="str">
        <f>+'240924'!S61</f>
        <v>1</v>
      </c>
      <c r="U136" t="str">
        <f>+'240924'!T61</f>
        <v>A little increase</v>
      </c>
      <c r="V136" t="str">
        <f>+'240924'!U61</f>
        <v>2</v>
      </c>
      <c r="W136" t="str">
        <f>+'240924'!V61</f>
        <v>I won't get flooded</v>
      </c>
      <c r="X136" t="str">
        <f>+'240924'!W61</f>
        <v>1</v>
      </c>
    </row>
    <row r="137" spans="2:24" x14ac:dyDescent="0.2">
      <c r="B137">
        <f>+'240924'!A62</f>
        <v>61</v>
      </c>
      <c r="C137" t="str">
        <f>+'240924'!B62</f>
        <v>True</v>
      </c>
      <c r="D137">
        <f>+'240924'!C62</f>
        <v>45559.264018888891</v>
      </c>
      <c r="E137" t="str">
        <f>+'240924'!D62</f>
        <v>Yes, I agree to voluntarily participate in this game session study (thanks for your collaboration)!</v>
      </c>
      <c r="F137" t="str">
        <f>+'240924'!E62</f>
        <v>t8p6</v>
      </c>
      <c r="G137" t="str">
        <f>+'240924'!F62</f>
        <v>No, I do not have a flood experience</v>
      </c>
      <c r="H137" t="str">
        <f>+'240924'!G62</f>
        <v>1</v>
      </c>
      <c r="I137" t="str">
        <f>+'240924'!H62</f>
        <v>Once in the last six months</v>
      </c>
      <c r="J137" t="str">
        <f>+'240924'!I62</f>
        <v>3</v>
      </c>
      <c r="K137" t="str">
        <f>+'240924'!J62</f>
        <v>Once a month</v>
      </c>
      <c r="L137" t="str">
        <f>+'240924'!K62</f>
        <v>4</v>
      </c>
      <c r="M137" t="str">
        <f>+'240924'!L62</f>
        <v>Never</v>
      </c>
      <c r="N137" t="str">
        <f>+'240924'!M62</f>
        <v>1</v>
      </c>
      <c r="O137" t="str">
        <f>+'240924'!N62</f>
        <v>Once a month</v>
      </c>
      <c r="P137" t="str">
        <f>+'240924'!O62</f>
        <v>4</v>
      </c>
      <c r="Q137" t="str">
        <f>+'240924'!P62</f>
        <v>Once in the last year</v>
      </c>
      <c r="R137" t="str">
        <f>+'240924'!Q62</f>
        <v>2</v>
      </c>
      <c r="S137" t="str">
        <f>+'240924'!R62</f>
        <v>Very unlikely</v>
      </c>
      <c r="T137" t="str">
        <f>+'240924'!S62</f>
        <v>1</v>
      </c>
      <c r="U137" t="str">
        <f>+'240924'!T62</f>
        <v>A big increase</v>
      </c>
      <c r="V137" t="str">
        <f>+'240924'!U62</f>
        <v>4</v>
      </c>
      <c r="W137" t="str">
        <f>+'240924'!V62</f>
        <v>I will suffer some damage</v>
      </c>
      <c r="X137" t="str">
        <f>+'240924'!W62</f>
        <v>4</v>
      </c>
    </row>
    <row r="138" spans="2:24" x14ac:dyDescent="0.2">
      <c r="B138">
        <f>+'240924'!A63</f>
        <v>62</v>
      </c>
      <c r="C138" t="str">
        <f>+'240924'!B63</f>
        <v>True</v>
      </c>
      <c r="D138">
        <f>+'240924'!C63</f>
        <v>45559.264042870367</v>
      </c>
      <c r="E138" t="str">
        <f>+'240924'!D63</f>
        <v>Yes, I agree to voluntarily participate in this game session study (thanks for your collaboration)!</v>
      </c>
      <c r="F138" t="str">
        <f>+'240924'!E63</f>
        <v>t8p4</v>
      </c>
      <c r="G138" t="str">
        <f>+'240924'!F63</f>
        <v>No, I do not have a flood experience</v>
      </c>
      <c r="H138" t="str">
        <f>+'240924'!G63</f>
        <v>1</v>
      </c>
      <c r="I138" t="str">
        <f>+'240924'!H63</f>
        <v>Once in the last year</v>
      </c>
      <c r="J138" t="str">
        <f>+'240924'!I63</f>
        <v>2</v>
      </c>
      <c r="K138" t="str">
        <f>+'240924'!J63</f>
        <v>Once in the last six months</v>
      </c>
      <c r="L138" t="str">
        <f>+'240924'!K63</f>
        <v>3</v>
      </c>
      <c r="M138" t="str">
        <f>+'240924'!L63</f>
        <v>Never</v>
      </c>
      <c r="N138" t="str">
        <f>+'240924'!M63</f>
        <v>1</v>
      </c>
      <c r="O138" t="str">
        <f>+'240924'!N63</f>
        <v>Once a month</v>
      </c>
      <c r="P138" t="str">
        <f>+'240924'!O63</f>
        <v>4</v>
      </c>
      <c r="Q138" t="str">
        <f>+'240924'!P63</f>
        <v>Never</v>
      </c>
      <c r="R138" t="str">
        <f>+'240924'!Q63</f>
        <v>1</v>
      </c>
      <c r="S138" t="str">
        <f>+'240924'!R63</f>
        <v>Neutral</v>
      </c>
      <c r="T138" t="str">
        <f>+'240924'!S63</f>
        <v>3</v>
      </c>
      <c r="U138" t="str">
        <f>+'240924'!T63</f>
        <v>A big increase</v>
      </c>
      <c r="V138" t="str">
        <f>+'240924'!U63</f>
        <v>4</v>
      </c>
      <c r="W138" t="str">
        <f>+'240924'!V63</f>
        <v>I might suffer minor damage</v>
      </c>
      <c r="X138" t="str">
        <f>+'240924'!W63</f>
        <v>3</v>
      </c>
    </row>
    <row r="139" spans="2:24" x14ac:dyDescent="0.2">
      <c r="B139">
        <f>+'240924'!A64</f>
        <v>63</v>
      </c>
      <c r="C139" t="str">
        <f>+'240924'!B64</f>
        <v>True</v>
      </c>
      <c r="D139">
        <f>+'240924'!C64</f>
        <v>45559.264051053236</v>
      </c>
      <c r="E139" t="str">
        <f>+'240924'!D64</f>
        <v>Yes, I agree to voluntarily participate in this game session study (thanks for your collaboration)!</v>
      </c>
      <c r="F139" t="str">
        <f>+'240924'!E64</f>
        <v>t10p8</v>
      </c>
      <c r="G139" t="str">
        <f>+'240924'!F64</f>
        <v>Yes, but without disruptions or damages</v>
      </c>
      <c r="H139" t="str">
        <f>+'240924'!G64</f>
        <v>2</v>
      </c>
      <c r="I139" t="str">
        <f>+'240924'!H64</f>
        <v>Never</v>
      </c>
      <c r="J139" t="str">
        <f>+'240924'!I64</f>
        <v>1</v>
      </c>
      <c r="K139" t="str">
        <f>+'240924'!J64</f>
        <v>Never</v>
      </c>
      <c r="L139" t="str">
        <f>+'240924'!K64</f>
        <v>1</v>
      </c>
      <c r="M139" t="str">
        <f>+'240924'!L64</f>
        <v>Never</v>
      </c>
      <c r="N139" t="str">
        <f>+'240924'!M64</f>
        <v>1</v>
      </c>
      <c r="O139" t="str">
        <f>+'240924'!N64</f>
        <v>Never</v>
      </c>
      <c r="P139" t="str">
        <f>+'240924'!O64</f>
        <v>1</v>
      </c>
      <c r="Q139" t="str">
        <f>+'240924'!P64</f>
        <v>Never</v>
      </c>
      <c r="R139" t="str">
        <f>+'240924'!Q64</f>
        <v>1</v>
      </c>
      <c r="S139" t="str">
        <f>+'240924'!R64</f>
        <v>Neutral</v>
      </c>
      <c r="T139" t="str">
        <f>+'240924'!S64</f>
        <v>3</v>
      </c>
      <c r="U139" t="str">
        <f>+'240924'!T64</f>
        <v>A little increase</v>
      </c>
      <c r="V139" t="str">
        <f>+'240924'!U64</f>
        <v>2</v>
      </c>
      <c r="W139" t="str">
        <f>+'240924'!V64</f>
        <v>I might suffer minor damage</v>
      </c>
      <c r="X139" t="str">
        <f>+'240924'!W64</f>
        <v>3</v>
      </c>
    </row>
    <row r="140" spans="2:24" x14ac:dyDescent="0.2">
      <c r="B140">
        <f>+'240924'!A65</f>
        <v>64</v>
      </c>
      <c r="C140" t="str">
        <f>+'240924'!B65</f>
        <v>True</v>
      </c>
      <c r="D140">
        <f>+'240924'!C65</f>
        <v>45559.264087407413</v>
      </c>
      <c r="E140" t="str">
        <f>+'240924'!D65</f>
        <v>Yes, I agree to voluntarily participate in this game session study (thanks for your collaboration)!</v>
      </c>
      <c r="F140" t="str">
        <f>+'240924'!E65</f>
        <v>t7p2</v>
      </c>
      <c r="G140" t="str">
        <f>+'240924'!F65</f>
        <v>No, I do not have a flood experience</v>
      </c>
      <c r="H140" t="str">
        <f>+'240924'!G65</f>
        <v>1</v>
      </c>
      <c r="I140" t="str">
        <f>+'240924'!H65</f>
        <v>Once in the last year</v>
      </c>
      <c r="J140" t="str">
        <f>+'240924'!I65</f>
        <v>2</v>
      </c>
      <c r="K140" t="str">
        <f>+'240924'!J65</f>
        <v>Once in the last year</v>
      </c>
      <c r="L140" t="str">
        <f>+'240924'!K65</f>
        <v>2</v>
      </c>
      <c r="M140" t="str">
        <f>+'240924'!L65</f>
        <v>Never</v>
      </c>
      <c r="N140" t="str">
        <f>+'240924'!M65</f>
        <v>1</v>
      </c>
      <c r="O140" t="str">
        <f>+'240924'!N65</f>
        <v>Once in the last six months</v>
      </c>
      <c r="P140" t="str">
        <f>+'240924'!O65</f>
        <v>3</v>
      </c>
      <c r="Q140" t="str">
        <f>+'240924'!P65</f>
        <v>Once in the last six months</v>
      </c>
      <c r="R140" t="str">
        <f>+'240924'!Q65</f>
        <v>3</v>
      </c>
      <c r="S140" t="str">
        <f>+'240924'!R65</f>
        <v>Unlikely</v>
      </c>
      <c r="T140" t="str">
        <f>+'240924'!S65</f>
        <v>2</v>
      </c>
      <c r="U140" t="str">
        <f>+'240924'!T65</f>
        <v>A big increase</v>
      </c>
      <c r="V140" t="str">
        <f>+'240924'!U65</f>
        <v>4</v>
      </c>
      <c r="W140" t="str">
        <f>+'240924'!V65</f>
        <v>If I get flooded, I won't get damaged</v>
      </c>
      <c r="X140" t="str">
        <f>+'240924'!W65</f>
        <v>2</v>
      </c>
    </row>
    <row r="141" spans="2:24" x14ac:dyDescent="0.2">
      <c r="B141">
        <f>+'240924'!A66</f>
        <v>65</v>
      </c>
      <c r="C141" t="str">
        <f>+'240924'!B66</f>
        <v>True</v>
      </c>
      <c r="D141">
        <f>+'240924'!C66</f>
        <v>45559.264102546287</v>
      </c>
      <c r="E141" t="str">
        <f>+'240924'!D66</f>
        <v>Yes, I agree to voluntarily participate in this game session study (thanks for your collaboration)!</v>
      </c>
      <c r="F141" t="str">
        <f>+'240924'!E66</f>
        <v>t8p5</v>
      </c>
      <c r="G141" t="str">
        <f>+'240924'!F66</f>
        <v>No, I do not have a flood experience</v>
      </c>
      <c r="H141" t="str">
        <f>+'240924'!G66</f>
        <v>1</v>
      </c>
      <c r="I141" t="str">
        <f>+'240924'!H66</f>
        <v>Never</v>
      </c>
      <c r="J141" t="str">
        <f>+'240924'!I66</f>
        <v>1</v>
      </c>
      <c r="K141" t="str">
        <f>+'240924'!J66</f>
        <v>Once in the last year</v>
      </c>
      <c r="L141" t="str">
        <f>+'240924'!K66</f>
        <v>2</v>
      </c>
      <c r="M141" t="str">
        <f>+'240924'!L66</f>
        <v>Never</v>
      </c>
      <c r="N141" t="str">
        <f>+'240924'!M66</f>
        <v>1</v>
      </c>
      <c r="O141" t="str">
        <f>+'240924'!N66</f>
        <v>Once in the last six months</v>
      </c>
      <c r="P141" t="str">
        <f>+'240924'!O66</f>
        <v>3</v>
      </c>
      <c r="Q141" t="str">
        <f>+'240924'!P66</f>
        <v>Once in the last six months</v>
      </c>
      <c r="R141" t="str">
        <f>+'240924'!Q66</f>
        <v>3</v>
      </c>
      <c r="S141" t="str">
        <f>+'240924'!R66</f>
        <v>Unlikely</v>
      </c>
      <c r="T141" t="str">
        <f>+'240924'!S66</f>
        <v>2</v>
      </c>
      <c r="U141" t="str">
        <f>+'240924'!T66</f>
        <v>A moderate increase</v>
      </c>
      <c r="V141" t="str">
        <f>+'240924'!U66</f>
        <v>3</v>
      </c>
      <c r="W141" t="str">
        <f>+'240924'!V66</f>
        <v>I will get seriously damaged</v>
      </c>
      <c r="X141" t="str">
        <f>+'240924'!W66</f>
        <v>5</v>
      </c>
    </row>
    <row r="142" spans="2:24" x14ac:dyDescent="0.2">
      <c r="B142">
        <f>+'240924'!A67</f>
        <v>66</v>
      </c>
      <c r="C142" t="str">
        <f>+'240924'!B67</f>
        <v>True</v>
      </c>
      <c r="D142">
        <f>+'240924'!C67</f>
        <v>45559.264277187503</v>
      </c>
      <c r="E142" t="str">
        <f>+'240924'!D67</f>
        <v>Yes, I agree to voluntarily participate in this game session study (thanks for your collaboration)!</v>
      </c>
      <c r="F142" t="str">
        <f>+'240924'!E67</f>
        <v>t9p2</v>
      </c>
      <c r="G142" t="str">
        <f>+'240924'!F67</f>
        <v>Yes, but without disruptions or damages</v>
      </c>
      <c r="H142" t="str">
        <f>+'240924'!G67</f>
        <v>2</v>
      </c>
      <c r="I142" t="str">
        <f>+'240924'!H67</f>
        <v>Never</v>
      </c>
      <c r="J142" t="str">
        <f>+'240924'!I67</f>
        <v>1</v>
      </c>
      <c r="K142" t="str">
        <f>+'240924'!J67</f>
        <v>Never</v>
      </c>
      <c r="L142" t="str">
        <f>+'240924'!K67</f>
        <v>1</v>
      </c>
      <c r="M142" t="str">
        <f>+'240924'!L67</f>
        <v>Never</v>
      </c>
      <c r="N142" t="str">
        <f>+'240924'!M67</f>
        <v>1</v>
      </c>
      <c r="O142" t="str">
        <f>+'240924'!N67</f>
        <v>Once in the last six months</v>
      </c>
      <c r="P142" t="str">
        <f>+'240924'!O67</f>
        <v>3</v>
      </c>
      <c r="Q142" t="str">
        <f>+'240924'!P67</f>
        <v>Never</v>
      </c>
      <c r="R142" t="str">
        <f>+'240924'!Q67</f>
        <v>1</v>
      </c>
      <c r="S142" t="str">
        <f>+'240924'!R67</f>
        <v>Neutral</v>
      </c>
      <c r="T142" t="str">
        <f>+'240924'!S67</f>
        <v>3</v>
      </c>
      <c r="U142" t="str">
        <f>+'240924'!T67</f>
        <v>A big increase</v>
      </c>
      <c r="V142" t="str">
        <f>+'240924'!U67</f>
        <v>4</v>
      </c>
      <c r="W142" t="str">
        <f>+'240924'!V67</f>
        <v>I might suffer minor damage</v>
      </c>
      <c r="X142" t="str">
        <f>+'240924'!W67</f>
        <v>3</v>
      </c>
    </row>
    <row r="143" spans="2:24" x14ac:dyDescent="0.2">
      <c r="B143">
        <f>+'240924'!A68</f>
        <v>67</v>
      </c>
      <c r="C143" t="str">
        <f>+'240924'!B68</f>
        <v>True</v>
      </c>
      <c r="D143">
        <f>+'240924'!C68</f>
        <v>45559.264449467591</v>
      </c>
      <c r="E143" t="str">
        <f>+'240924'!D68</f>
        <v>Yes, I agree to voluntarily participate in this game session study (thanks for your collaboration)!</v>
      </c>
      <c r="F143" t="str">
        <f>+'240924'!E68</f>
        <v>t9p8</v>
      </c>
      <c r="G143" t="str">
        <f>+'240924'!F68</f>
        <v>No, I do not have a flood experience</v>
      </c>
      <c r="H143" t="str">
        <f>+'240924'!G68</f>
        <v>1</v>
      </c>
      <c r="I143" t="str">
        <f>+'240924'!H68</f>
        <v>Once in the last year</v>
      </c>
      <c r="J143" t="str">
        <f>+'240924'!I68</f>
        <v>2</v>
      </c>
      <c r="K143" t="str">
        <f>+'240924'!J68</f>
        <v>Once in the last year</v>
      </c>
      <c r="L143" t="str">
        <f>+'240924'!K68</f>
        <v>2</v>
      </c>
      <c r="M143" t="str">
        <f>+'240924'!L68</f>
        <v>Never</v>
      </c>
      <c r="N143" t="str">
        <f>+'240924'!M68</f>
        <v>1</v>
      </c>
      <c r="O143" t="str">
        <f>+'240924'!N68</f>
        <v>Once a month</v>
      </c>
      <c r="P143" t="str">
        <f>+'240924'!O68</f>
        <v>4</v>
      </c>
      <c r="Q143" t="str">
        <f>+'240924'!P68</f>
        <v>Once a month</v>
      </c>
      <c r="R143" t="str">
        <f>+'240924'!Q68</f>
        <v>4</v>
      </c>
      <c r="S143" t="str">
        <f>+'240924'!R68</f>
        <v>Likely</v>
      </c>
      <c r="T143" t="str">
        <f>+'240924'!S68</f>
        <v>4</v>
      </c>
      <c r="U143" t="str">
        <f>+'240924'!T68</f>
        <v>A moderate increase</v>
      </c>
      <c r="V143" t="str">
        <f>+'240924'!U68</f>
        <v>3</v>
      </c>
      <c r="W143" t="str">
        <f>+'240924'!V68</f>
        <v>I won't get flooded</v>
      </c>
      <c r="X143" t="str">
        <f>+'240924'!W68</f>
        <v>1</v>
      </c>
    </row>
    <row r="144" spans="2:24" x14ac:dyDescent="0.2">
      <c r="B144">
        <f>+'240924'!A69</f>
        <v>68</v>
      </c>
      <c r="C144" t="str">
        <f>+'240924'!B69</f>
        <v>True</v>
      </c>
      <c r="D144">
        <f>+'240924'!C69</f>
        <v>45559.264489201392</v>
      </c>
      <c r="E144" t="str">
        <f>+'240924'!D69</f>
        <v>Yes, I agree to voluntarily participate in this game session study (thanks for your collaboration)!</v>
      </c>
      <c r="F144" t="str">
        <f>+'240924'!E69</f>
        <v>t10p4</v>
      </c>
      <c r="G144" t="str">
        <f>+'240924'!F69</f>
        <v>Yes, with minor disruptions or damages</v>
      </c>
      <c r="H144" t="str">
        <f>+'240924'!G69</f>
        <v>3</v>
      </c>
      <c r="I144" t="str">
        <f>+'240924'!H69</f>
        <v>Once in the last six months</v>
      </c>
      <c r="J144" t="str">
        <f>+'240924'!I69</f>
        <v>3</v>
      </c>
      <c r="K144" t="str">
        <f>+'240924'!J69</f>
        <v>Once in the last year</v>
      </c>
      <c r="L144" t="str">
        <f>+'240924'!K69</f>
        <v>2</v>
      </c>
      <c r="M144" t="str">
        <f>+'240924'!L69</f>
        <v>Once in the last year</v>
      </c>
      <c r="N144" t="str">
        <f>+'240924'!M69</f>
        <v>2</v>
      </c>
      <c r="O144" t="str">
        <f>+'240924'!N69</f>
        <v>Once in the last six months</v>
      </c>
      <c r="P144" t="str">
        <f>+'240924'!O69</f>
        <v>3</v>
      </c>
      <c r="Q144" t="str">
        <f>+'240924'!P69</f>
        <v>Once in the last six months</v>
      </c>
      <c r="R144" t="str">
        <f>+'240924'!Q69</f>
        <v>3</v>
      </c>
      <c r="S144" t="str">
        <f>+'240924'!R69</f>
        <v>Likely</v>
      </c>
      <c r="T144" t="str">
        <f>+'240924'!S69</f>
        <v>4</v>
      </c>
      <c r="U144" t="str">
        <f>+'240924'!T69</f>
        <v>A big increase</v>
      </c>
      <c r="V144" t="str">
        <f>+'240924'!U69</f>
        <v>4</v>
      </c>
      <c r="W144" t="str">
        <f>+'240924'!V69</f>
        <v>I might suffer minor damage</v>
      </c>
      <c r="X144" t="str">
        <f>+'240924'!W69</f>
        <v>3</v>
      </c>
    </row>
    <row r="145" spans="2:24" x14ac:dyDescent="0.2">
      <c r="B145">
        <f>+'240924'!A70</f>
        <v>69</v>
      </c>
      <c r="C145" t="str">
        <f>+'240924'!B70</f>
        <v>True</v>
      </c>
      <c r="D145">
        <f>+'240924'!C70</f>
        <v>45559.264613611107</v>
      </c>
      <c r="E145" t="str">
        <f>+'240924'!D70</f>
        <v>Yes, I agree to voluntarily participate in this game session study (thanks for your collaboration)!</v>
      </c>
      <c r="F145" t="str">
        <f>+'240924'!E70</f>
        <v>t9p4</v>
      </c>
      <c r="G145" t="str">
        <f>+'240924'!F70</f>
        <v>No, I do not have a flood experience</v>
      </c>
      <c r="H145" t="str">
        <f>+'240924'!G70</f>
        <v>1</v>
      </c>
      <c r="I145" t="str">
        <f>+'240924'!H70</f>
        <v>Once in the last year</v>
      </c>
      <c r="J145" t="str">
        <f>+'240924'!I70</f>
        <v>2</v>
      </c>
      <c r="K145" t="str">
        <f>+'240924'!J70</f>
        <v>Once in the last six months</v>
      </c>
      <c r="L145" t="str">
        <f>+'240924'!K70</f>
        <v>3</v>
      </c>
      <c r="M145" t="str">
        <f>+'240924'!L70</f>
        <v>Once a month</v>
      </c>
      <c r="N145" t="str">
        <f>+'240924'!M70</f>
        <v>4</v>
      </c>
      <c r="O145" t="str">
        <f>+'240924'!N70</f>
        <v>Once a month</v>
      </c>
      <c r="P145" t="str">
        <f>+'240924'!O70</f>
        <v>4</v>
      </c>
      <c r="Q145" t="str">
        <f>+'240924'!P70</f>
        <v>Once a month</v>
      </c>
      <c r="R145" t="str">
        <f>+'240924'!Q70</f>
        <v>4</v>
      </c>
      <c r="S145" t="str">
        <f>+'240924'!R70</f>
        <v>Very likely</v>
      </c>
      <c r="T145" t="str">
        <f>+'240924'!S70</f>
        <v>5</v>
      </c>
      <c r="U145" t="str">
        <f>+'240924'!T70</f>
        <v>An extreme increase</v>
      </c>
      <c r="V145" t="str">
        <f>+'240924'!U70</f>
        <v>5</v>
      </c>
      <c r="W145" t="str">
        <f>+'240924'!V70</f>
        <v>I will suffer some damage</v>
      </c>
      <c r="X145" t="str">
        <f>+'240924'!W70</f>
        <v>4</v>
      </c>
    </row>
    <row r="146" spans="2:24" x14ac:dyDescent="0.2">
      <c r="B146">
        <f>+'240924'!A71</f>
        <v>70</v>
      </c>
      <c r="C146" t="str">
        <f>+'240924'!B71</f>
        <v>True</v>
      </c>
      <c r="D146">
        <f>+'240924'!C71</f>
        <v>45559.264650833327</v>
      </c>
      <c r="E146" t="str">
        <f>+'240924'!D71</f>
        <v>Yes, I agree to voluntarily participate in this game session study (thanks for your collaboration)!</v>
      </c>
      <c r="F146" t="str">
        <f>+'240924'!E71</f>
        <v>t10p5</v>
      </c>
      <c r="G146" t="str">
        <f>+'240924'!F71</f>
        <v>No, I do not have a flood experience</v>
      </c>
      <c r="H146" t="str">
        <f>+'240924'!G71</f>
        <v>1</v>
      </c>
      <c r="I146" t="str">
        <f>+'240924'!H71</f>
        <v>Once in the last year</v>
      </c>
      <c r="J146" t="str">
        <f>+'240924'!I71</f>
        <v>2</v>
      </c>
      <c r="K146" t="str">
        <f>+'240924'!J71</f>
        <v>Once in the last year</v>
      </c>
      <c r="L146" t="str">
        <f>+'240924'!K71</f>
        <v>2</v>
      </c>
      <c r="M146" t="str">
        <f>+'240924'!L71</f>
        <v>Never</v>
      </c>
      <c r="N146" t="str">
        <f>+'240924'!M71</f>
        <v>1</v>
      </c>
      <c r="O146" t="str">
        <f>+'240924'!N71</f>
        <v>Once in the last year</v>
      </c>
      <c r="P146" t="str">
        <f>+'240924'!O71</f>
        <v>2</v>
      </c>
      <c r="Q146" t="str">
        <f>+'240924'!P71</f>
        <v>Once in the last six months</v>
      </c>
      <c r="R146" t="str">
        <f>+'240924'!Q71</f>
        <v>3</v>
      </c>
      <c r="S146" t="str">
        <f>+'240924'!R71</f>
        <v>Unlikely</v>
      </c>
      <c r="T146" t="str">
        <f>+'240924'!S71</f>
        <v>2</v>
      </c>
      <c r="U146" t="str">
        <f>+'240924'!T71</f>
        <v>A little increase</v>
      </c>
      <c r="V146" t="str">
        <f>+'240924'!U71</f>
        <v>2</v>
      </c>
      <c r="W146" t="str">
        <f>+'240924'!V71</f>
        <v>I might suffer minor damage</v>
      </c>
      <c r="X146" t="str">
        <f>+'240924'!W71</f>
        <v>3</v>
      </c>
    </row>
    <row r="147" spans="2:24" x14ac:dyDescent="0.2">
      <c r="B147">
        <f>+'240924'!A72</f>
        <v>71</v>
      </c>
      <c r="C147" t="str">
        <f>+'240924'!B72</f>
        <v>True</v>
      </c>
      <c r="D147">
        <f>+'240924'!C72</f>
        <v>45559.264693518518</v>
      </c>
      <c r="E147" t="str">
        <f>+'240924'!D72</f>
        <v>Yes, I agree to voluntarily participate in this game session study (thanks for your collaboration)!</v>
      </c>
      <c r="F147" t="str">
        <f>+'240924'!E72</f>
        <v>t8p8</v>
      </c>
      <c r="G147" t="str">
        <f>+'240924'!F72</f>
        <v>No, I do not have a flood experience</v>
      </c>
      <c r="H147" t="str">
        <f>+'240924'!G72</f>
        <v>1</v>
      </c>
      <c r="I147" t="str">
        <f>+'240924'!H72</f>
        <v>Never</v>
      </c>
      <c r="J147" t="str">
        <f>+'240924'!I72</f>
        <v>1</v>
      </c>
      <c r="K147" t="str">
        <f>+'240924'!J72</f>
        <v>Never</v>
      </c>
      <c r="L147" t="str">
        <f>+'240924'!K72</f>
        <v>1</v>
      </c>
      <c r="M147" t="str">
        <f>+'240924'!L72</f>
        <v>Never</v>
      </c>
      <c r="N147" t="str">
        <f>+'240924'!M72</f>
        <v>1</v>
      </c>
      <c r="O147" t="str">
        <f>+'240924'!N72</f>
        <v>Once in the last six months</v>
      </c>
      <c r="P147" t="str">
        <f>+'240924'!O72</f>
        <v>3</v>
      </c>
      <c r="Q147" t="str">
        <f>+'240924'!P72</f>
        <v>Never</v>
      </c>
      <c r="R147" t="str">
        <f>+'240924'!Q72</f>
        <v>1</v>
      </c>
      <c r="S147" t="str">
        <f>+'240924'!R72</f>
        <v>Very unlikely</v>
      </c>
      <c r="T147" t="str">
        <f>+'240924'!S72</f>
        <v>1</v>
      </c>
      <c r="U147" t="str">
        <f>+'240924'!T72</f>
        <v>A little increase</v>
      </c>
      <c r="V147" t="str">
        <f>+'240924'!U72</f>
        <v>2</v>
      </c>
      <c r="W147" t="str">
        <f>+'240924'!V72</f>
        <v>If I get flooded, I won't get damaged</v>
      </c>
      <c r="X147" t="str">
        <f>+'240924'!W72</f>
        <v>2</v>
      </c>
    </row>
    <row r="148" spans="2:24" x14ac:dyDescent="0.2">
      <c r="B148">
        <f>+'240924'!A73</f>
        <v>72</v>
      </c>
      <c r="C148" t="str">
        <f>+'240924'!B73</f>
        <v>True</v>
      </c>
      <c r="D148">
        <f>+'240924'!C73</f>
        <v>45559.264804456019</v>
      </c>
      <c r="E148" t="str">
        <f>+'240924'!D73</f>
        <v>Yes, I agree to voluntarily participate in this game session study (thanks for your collaboration)!</v>
      </c>
      <c r="F148" t="str">
        <f>+'240924'!E73</f>
        <v>t6p5</v>
      </c>
      <c r="G148" t="str">
        <f>+'240924'!F73</f>
        <v>No, I do not have a flood experience</v>
      </c>
      <c r="H148" t="str">
        <f>+'240924'!G73</f>
        <v>1</v>
      </c>
      <c r="I148" t="str">
        <f>+'240924'!H73</f>
        <v>Never</v>
      </c>
      <c r="J148" t="str">
        <f>+'240924'!I73</f>
        <v>1</v>
      </c>
      <c r="K148" t="str">
        <f>+'240924'!J73</f>
        <v>Once in the last six months</v>
      </c>
      <c r="L148" t="str">
        <f>+'240924'!K73</f>
        <v>3</v>
      </c>
      <c r="M148" t="str">
        <f>+'240924'!L73</f>
        <v>Never</v>
      </c>
      <c r="N148" t="str">
        <f>+'240924'!M73</f>
        <v>1</v>
      </c>
      <c r="O148" t="str">
        <f>+'240924'!N73</f>
        <v>Once in the last six months</v>
      </c>
      <c r="P148" t="str">
        <f>+'240924'!O73</f>
        <v>3</v>
      </c>
      <c r="Q148" t="str">
        <f>+'240924'!P73</f>
        <v>Once in the last six months</v>
      </c>
      <c r="R148" t="str">
        <f>+'240924'!Q73</f>
        <v>3</v>
      </c>
      <c r="S148" t="str">
        <f>+'240924'!R73</f>
        <v>Neutral</v>
      </c>
      <c r="T148" t="str">
        <f>+'240924'!S73</f>
        <v>3</v>
      </c>
      <c r="U148" t="str">
        <f>+'240924'!T73</f>
        <v>A big increase</v>
      </c>
      <c r="V148" t="str">
        <f>+'240924'!U73</f>
        <v>4</v>
      </c>
      <c r="W148" t="str">
        <f>+'240924'!V73</f>
        <v>I will suffer some damage</v>
      </c>
      <c r="X148" t="str">
        <f>+'240924'!W73</f>
        <v>4</v>
      </c>
    </row>
    <row r="149" spans="2:24" x14ac:dyDescent="0.2">
      <c r="B149">
        <f>+'240924'!A74</f>
        <v>73</v>
      </c>
      <c r="C149" t="str">
        <f>+'240924'!B74</f>
        <v>True</v>
      </c>
      <c r="D149">
        <f>+'240924'!C74</f>
        <v>45559.264885069439</v>
      </c>
      <c r="E149" t="str">
        <f>+'240924'!D74</f>
        <v>Yes, I agree to voluntarily participate in this game session study (thanks for your collaboration)!</v>
      </c>
      <c r="F149" t="str">
        <f>+'240924'!E74</f>
        <v>t6p8</v>
      </c>
      <c r="G149" t="str">
        <f>+'240924'!F74</f>
        <v>Yes, but without disruptions or damages</v>
      </c>
      <c r="H149" t="str">
        <f>+'240924'!G74</f>
        <v>2</v>
      </c>
      <c r="I149" t="str">
        <f>+'240924'!H74</f>
        <v>Never</v>
      </c>
      <c r="J149" t="str">
        <f>+'240924'!I74</f>
        <v>1</v>
      </c>
      <c r="K149" t="str">
        <f>+'240924'!J74</f>
        <v>Never</v>
      </c>
      <c r="L149" t="str">
        <f>+'240924'!K74</f>
        <v>1</v>
      </c>
      <c r="M149" t="str">
        <f>+'240924'!L74</f>
        <v>Once in the last year</v>
      </c>
      <c r="N149" t="str">
        <f>+'240924'!M74</f>
        <v>2</v>
      </c>
      <c r="O149" t="str">
        <f>+'240924'!N74</f>
        <v>Never</v>
      </c>
      <c r="P149" t="str">
        <f>+'240924'!O74</f>
        <v>1</v>
      </c>
      <c r="Q149" t="str">
        <f>+'240924'!P74</f>
        <v>Never</v>
      </c>
      <c r="R149" t="str">
        <f>+'240924'!Q74</f>
        <v>1</v>
      </c>
      <c r="S149" t="str">
        <f>+'240924'!R74</f>
        <v>Unlikely</v>
      </c>
      <c r="T149" t="str">
        <f>+'240924'!S74</f>
        <v>2</v>
      </c>
      <c r="U149" t="str">
        <f>+'240924'!T74</f>
        <v>A little increase</v>
      </c>
      <c r="V149" t="str">
        <f>+'240924'!U74</f>
        <v>2</v>
      </c>
      <c r="W149" t="str">
        <f>+'240924'!V74</f>
        <v>If I get flooded, I won't get damaged</v>
      </c>
      <c r="X149" t="str">
        <f>+'240924'!W74</f>
        <v>2</v>
      </c>
    </row>
    <row r="150" spans="2:24" x14ac:dyDescent="0.2">
      <c r="B150">
        <f>+'240924'!A75</f>
        <v>74</v>
      </c>
      <c r="C150" t="str">
        <f>+'240924'!B75</f>
        <v>True</v>
      </c>
      <c r="D150">
        <f>+'240924'!C75</f>
        <v>45559.264980706022</v>
      </c>
      <c r="E150" t="str">
        <f>+'240924'!D75</f>
        <v>Yes, I agree to voluntarily participate in this game session study (thanks for your collaboration)!</v>
      </c>
      <c r="F150" t="str">
        <f>+'240924'!E75</f>
        <v>t6p2</v>
      </c>
      <c r="G150" t="str">
        <f>+'240924'!F75</f>
        <v>No, I do not have a flood experience</v>
      </c>
      <c r="H150" t="str">
        <f>+'240924'!G75</f>
        <v>1</v>
      </c>
      <c r="I150" t="str">
        <f>+'240924'!H75</f>
        <v>Once in the last six months</v>
      </c>
      <c r="J150" t="str">
        <f>+'240924'!I75</f>
        <v>3</v>
      </c>
      <c r="K150" t="str">
        <f>+'240924'!J75</f>
        <v>Once in the last six months</v>
      </c>
      <c r="L150" t="str">
        <f>+'240924'!K75</f>
        <v>3</v>
      </c>
      <c r="M150" t="str">
        <f>+'240924'!L75</f>
        <v>Never</v>
      </c>
      <c r="N150" t="str">
        <f>+'240924'!M75</f>
        <v>1</v>
      </c>
      <c r="O150" t="str">
        <f>+'240924'!N75</f>
        <v>Once in the last six months</v>
      </c>
      <c r="P150" t="str">
        <f>+'240924'!O75</f>
        <v>3</v>
      </c>
      <c r="Q150" t="str">
        <f>+'240924'!P75</f>
        <v>Once in the last six months</v>
      </c>
      <c r="R150" t="str">
        <f>+'240924'!Q75</f>
        <v>3</v>
      </c>
      <c r="S150" t="str">
        <f>+'240924'!R75</f>
        <v>Likely</v>
      </c>
      <c r="T150" t="str">
        <f>+'240924'!S75</f>
        <v>4</v>
      </c>
      <c r="U150" t="str">
        <f>+'240924'!T75</f>
        <v>A big increase</v>
      </c>
      <c r="V150" t="str">
        <f>+'240924'!U75</f>
        <v>4</v>
      </c>
      <c r="W150" t="str">
        <f>+'240924'!V75</f>
        <v>I will suffer some damage</v>
      </c>
      <c r="X150" t="str">
        <f>+'240924'!W75</f>
        <v>4</v>
      </c>
    </row>
    <row r="151" spans="2:24" x14ac:dyDescent="0.2">
      <c r="B151">
        <f>+'240924'!A76</f>
        <v>75</v>
      </c>
      <c r="C151" t="str">
        <f>+'240924'!B76</f>
        <v>True</v>
      </c>
      <c r="D151">
        <f>+'240924'!C76</f>
        <v>45559.265016770827</v>
      </c>
      <c r="E151" t="str">
        <f>+'240924'!D76</f>
        <v>Yes, I agree to voluntarily participate in this game session study (thanks for your collaboration)!</v>
      </c>
      <c r="F151" t="str">
        <f>+'240924'!E76</f>
        <v>t6p1</v>
      </c>
      <c r="G151" t="str">
        <f>+'240924'!F76</f>
        <v>No, I do not have a flood experience</v>
      </c>
      <c r="H151" t="str">
        <f>+'240924'!G76</f>
        <v>1</v>
      </c>
      <c r="I151" t="str">
        <f>+'240924'!H76</f>
        <v>Never</v>
      </c>
      <c r="J151" t="str">
        <f>+'240924'!I76</f>
        <v>1</v>
      </c>
      <c r="K151" t="str">
        <f>+'240924'!J76</f>
        <v>Never</v>
      </c>
      <c r="L151" t="str">
        <f>+'240924'!K76</f>
        <v>1</v>
      </c>
      <c r="M151" t="str">
        <f>+'240924'!L76</f>
        <v>Never</v>
      </c>
      <c r="N151" t="str">
        <f>+'240924'!M76</f>
        <v>1</v>
      </c>
      <c r="O151" t="str">
        <f>+'240924'!N76</f>
        <v>Never</v>
      </c>
      <c r="P151" t="str">
        <f>+'240924'!O76</f>
        <v>1</v>
      </c>
      <c r="Q151" t="str">
        <f>+'240924'!P76</f>
        <v>Never</v>
      </c>
      <c r="R151" t="str">
        <f>+'240924'!Q76</f>
        <v>1</v>
      </c>
      <c r="S151" t="str">
        <f>+'240924'!R76</f>
        <v>Unlikely</v>
      </c>
      <c r="T151" t="str">
        <f>+'240924'!S76</f>
        <v>2</v>
      </c>
      <c r="U151" t="str">
        <f>+'240924'!T76</f>
        <v>A big increase</v>
      </c>
      <c r="V151" t="str">
        <f>+'240924'!U76</f>
        <v>4</v>
      </c>
      <c r="W151" t="str">
        <f>+'240924'!V76</f>
        <v>I might suffer minor damage</v>
      </c>
      <c r="X151" t="str">
        <f>+'240924'!W76</f>
        <v>3</v>
      </c>
    </row>
    <row r="152" spans="2:24" x14ac:dyDescent="0.2">
      <c r="B152">
        <f>+'240924'!A77</f>
        <v>76</v>
      </c>
      <c r="C152" t="str">
        <f>+'240924'!B77</f>
        <v>True</v>
      </c>
      <c r="D152">
        <f>+'240924'!C77</f>
        <v>45559.265060358797</v>
      </c>
      <c r="E152" t="str">
        <f>+'240924'!D77</f>
        <v>Yes, I agree to voluntarily participate in this game session study (thanks for your collaboration)!</v>
      </c>
      <c r="F152" t="str">
        <f>+'240924'!E77</f>
        <v>t10p3</v>
      </c>
      <c r="G152" t="str">
        <f>+'240924'!F77</f>
        <v>No, I do not have a flood experience</v>
      </c>
      <c r="H152" t="str">
        <f>+'240924'!G77</f>
        <v>1</v>
      </c>
      <c r="I152" t="str">
        <f>+'240924'!H77</f>
        <v>Once a month</v>
      </c>
      <c r="J152" t="str">
        <f>+'240924'!I77</f>
        <v>4</v>
      </c>
      <c r="K152" t="str">
        <f>+'240924'!J77</f>
        <v>Once a month</v>
      </c>
      <c r="L152" t="str">
        <f>+'240924'!K77</f>
        <v>4</v>
      </c>
      <c r="M152" t="str">
        <f>+'240924'!L77</f>
        <v>Once in the last year</v>
      </c>
      <c r="N152" t="str">
        <f>+'240924'!M77</f>
        <v>2</v>
      </c>
      <c r="O152" t="str">
        <f>+'240924'!N77</f>
        <v>Once a week</v>
      </c>
      <c r="P152" t="str">
        <f>+'240924'!O77</f>
        <v>5</v>
      </c>
      <c r="Q152" t="str">
        <f>+'240924'!P77</f>
        <v>Once a week</v>
      </c>
      <c r="R152" t="str">
        <f>+'240924'!Q77</f>
        <v>5</v>
      </c>
      <c r="S152" t="str">
        <f>+'240924'!R77</f>
        <v>Neutral</v>
      </c>
      <c r="T152" t="str">
        <f>+'240924'!S77</f>
        <v>3</v>
      </c>
      <c r="U152" t="str">
        <f>+'240924'!T77</f>
        <v>A big increase</v>
      </c>
      <c r="V152" t="str">
        <f>+'240924'!U77</f>
        <v>4</v>
      </c>
      <c r="W152" t="str">
        <f>+'240924'!V77</f>
        <v>I will suffer some damage</v>
      </c>
      <c r="X152" t="str">
        <f>+'240924'!W77</f>
        <v>4</v>
      </c>
    </row>
    <row r="153" spans="2:24" x14ac:dyDescent="0.2">
      <c r="B153">
        <f>+'240924'!A78</f>
        <v>77</v>
      </c>
      <c r="C153" t="str">
        <f>+'240924'!B78</f>
        <v>True</v>
      </c>
      <c r="D153">
        <f>+'240924'!C78</f>
        <v>45559.265384479157</v>
      </c>
      <c r="E153" t="str">
        <f>+'240924'!D78</f>
        <v>Yes, I agree to voluntarily participate in this game session study (thanks for your collaboration)!</v>
      </c>
      <c r="F153" t="str">
        <f>+'240924'!E78</f>
        <v>t9p5</v>
      </c>
      <c r="G153" t="str">
        <f>+'240924'!F78</f>
        <v>No, I do not have a flood experience</v>
      </c>
      <c r="H153" t="str">
        <f>+'240924'!G78</f>
        <v>1</v>
      </c>
      <c r="I153" t="str">
        <f>+'240924'!H78</f>
        <v>Never</v>
      </c>
      <c r="J153" t="str">
        <f>+'240924'!I78</f>
        <v>1</v>
      </c>
      <c r="K153" t="str">
        <f>+'240924'!J78</f>
        <v>Once in the last year</v>
      </c>
      <c r="L153" t="str">
        <f>+'240924'!K78</f>
        <v>2</v>
      </c>
      <c r="M153" t="str">
        <f>+'240924'!L78</f>
        <v>Once in the last six months</v>
      </c>
      <c r="N153" t="str">
        <f>+'240924'!M78</f>
        <v>3</v>
      </c>
      <c r="O153" t="str">
        <f>+'240924'!N78</f>
        <v>Once a month</v>
      </c>
      <c r="P153" t="str">
        <f>+'240924'!O78</f>
        <v>4</v>
      </c>
      <c r="Q153" t="str">
        <f>+'240924'!P78</f>
        <v>Once a week</v>
      </c>
      <c r="R153" t="str">
        <f>+'240924'!Q78</f>
        <v>5</v>
      </c>
      <c r="S153" t="str">
        <f>+'240924'!R78</f>
        <v>Neutral</v>
      </c>
      <c r="T153" t="str">
        <f>+'240924'!S78</f>
        <v>3</v>
      </c>
      <c r="U153" t="str">
        <f>+'240924'!T78</f>
        <v>A big increase</v>
      </c>
      <c r="V153" t="str">
        <f>+'240924'!U78</f>
        <v>4</v>
      </c>
      <c r="W153" t="str">
        <f>+'240924'!V78</f>
        <v>I will suffer some damage</v>
      </c>
      <c r="X153" t="str">
        <f>+'240924'!W78</f>
        <v>4</v>
      </c>
    </row>
    <row r="154" spans="2:24" x14ac:dyDescent="0.2">
      <c r="B154">
        <f>+'240924'!A79</f>
        <v>78</v>
      </c>
      <c r="C154" t="str">
        <f>+'240924'!B79</f>
        <v>True</v>
      </c>
      <c r="D154">
        <f>+'240924'!C79</f>
        <v>45559.265940150457</v>
      </c>
      <c r="E154" t="str">
        <f>+'240924'!D79</f>
        <v>Yes, I agree to voluntarily participate in this game session study (thanks for your collaboration)!</v>
      </c>
      <c r="F154" t="str">
        <f>+'240924'!E79</f>
        <v>t6p4</v>
      </c>
      <c r="G154" t="str">
        <f>+'240924'!F79</f>
        <v>No, I do not have a flood experience</v>
      </c>
      <c r="H154" t="str">
        <f>+'240924'!G79</f>
        <v>1</v>
      </c>
      <c r="I154" t="str">
        <f>+'240924'!H79</f>
        <v>Never</v>
      </c>
      <c r="J154" t="str">
        <f>+'240924'!I79</f>
        <v>1</v>
      </c>
      <c r="K154" t="str">
        <f>+'240924'!J79</f>
        <v>Never</v>
      </c>
      <c r="L154" t="str">
        <f>+'240924'!K79</f>
        <v>1</v>
      </c>
      <c r="M154" t="str">
        <f>+'240924'!L79</f>
        <v>Never</v>
      </c>
      <c r="N154" t="str">
        <f>+'240924'!M79</f>
        <v>1</v>
      </c>
      <c r="O154" t="str">
        <f>+'240924'!N79</f>
        <v>Never</v>
      </c>
      <c r="P154" t="str">
        <f>+'240924'!O79</f>
        <v>1</v>
      </c>
      <c r="Q154" t="str">
        <f>+'240924'!P79</f>
        <v>Never</v>
      </c>
      <c r="R154" t="str">
        <f>+'240924'!Q79</f>
        <v>1</v>
      </c>
      <c r="S154" t="str">
        <f>+'240924'!R79</f>
        <v>Unlikely</v>
      </c>
      <c r="T154" t="str">
        <f>+'240924'!S79</f>
        <v>2</v>
      </c>
      <c r="U154" t="str">
        <f>+'240924'!T79</f>
        <v>A moderate increase</v>
      </c>
      <c r="V154" t="str">
        <f>+'240924'!U79</f>
        <v>3</v>
      </c>
      <c r="W154" t="str">
        <f>+'240924'!V79</f>
        <v>I will suffer some damage</v>
      </c>
      <c r="X154" t="str">
        <f>+'240924'!W79</f>
        <v>4</v>
      </c>
    </row>
    <row r="155" spans="2:24" x14ac:dyDescent="0.2">
      <c r="G155" t="str">
        <f>+Settings!$F$7</f>
        <v>1 = No, I do not have a flood experience</v>
      </c>
      <c r="H155">
        <f>+COUNTIF(H$2:H$154,1)</f>
        <v>102</v>
      </c>
      <c r="I155" t="str">
        <f>+Settings!$F$8</f>
        <v>1 = Never</v>
      </c>
      <c r="J155">
        <f>+COUNTIF(J$2:J$154,1)</f>
        <v>72</v>
      </c>
      <c r="K155" t="str">
        <f>+Settings!$F$8</f>
        <v>1 = Never</v>
      </c>
      <c r="L155">
        <f>+COUNTIF(L$2:L$154,1)</f>
        <v>43</v>
      </c>
      <c r="M155" t="str">
        <f>+Settings!$F$8</f>
        <v>1 = Never</v>
      </c>
      <c r="N155">
        <f>+COUNTIF(N$2:N$154,1)</f>
        <v>85</v>
      </c>
      <c r="O155" t="str">
        <f>+Settings!$F$8</f>
        <v>1 = Never</v>
      </c>
      <c r="P155">
        <f>+COUNTIF(P$2:P$154,1)</f>
        <v>14</v>
      </c>
      <c r="Q155" t="str">
        <f>+Settings!$F$8</f>
        <v>1 = Never</v>
      </c>
      <c r="R155">
        <f>+COUNTIF(R$2:R$154,1)</f>
        <v>38</v>
      </c>
      <c r="S155" t="str">
        <f>+Settings!$F$16</f>
        <v>1 = Very unlikely</v>
      </c>
      <c r="T155">
        <f>+COUNTIF(T$2:T$154,1)</f>
        <v>34</v>
      </c>
      <c r="U155" t="str">
        <f>+Settings!$F$17</f>
        <v>1 = No increase at all</v>
      </c>
      <c r="V155">
        <f>+COUNTIF(V$2:V$154,1)</f>
        <v>8</v>
      </c>
      <c r="W155" t="str">
        <f>+Settings!$F$18</f>
        <v>1 = I won't get flooded</v>
      </c>
      <c r="X155">
        <f>+COUNTIF(X$2:X$154,1)</f>
        <v>28</v>
      </c>
    </row>
    <row r="156" spans="2:24" x14ac:dyDescent="0.2">
      <c r="G156" t="str">
        <f>+Settings!$G$7</f>
        <v>2 = Yes, but without disruptions or damages</v>
      </c>
      <c r="H156">
        <f>+COUNTIF(H$2:H$154,2)</f>
        <v>21</v>
      </c>
      <c r="I156" t="str">
        <f>+Settings!$G$8</f>
        <v>2 = Once in the last year</v>
      </c>
      <c r="J156">
        <f>+COUNTIF(J$2:J$154,2)</f>
        <v>39</v>
      </c>
      <c r="K156" t="str">
        <f>+Settings!$G$8</f>
        <v>2 = Once in the last year</v>
      </c>
      <c r="L156">
        <f>+COUNTIF(L$2:L$154,2)</f>
        <v>41</v>
      </c>
      <c r="M156" t="str">
        <f>+Settings!$G$8</f>
        <v>2 = Once in the last year</v>
      </c>
      <c r="N156">
        <f>+COUNTIF(N$2:N$154,2)</f>
        <v>29</v>
      </c>
      <c r="O156" t="str">
        <f>+Settings!$G$8</f>
        <v>2 = Once in the last year</v>
      </c>
      <c r="P156">
        <f>+COUNTIF(P$2:P$154,2)</f>
        <v>28</v>
      </c>
      <c r="Q156" t="str">
        <f>+Settings!$G$8</f>
        <v>2 = Once in the last year</v>
      </c>
      <c r="R156">
        <f>+COUNTIF(R$2:R$154,2)</f>
        <v>27</v>
      </c>
      <c r="S156" t="str">
        <f>+Settings!$G$16</f>
        <v>2 = Unlikely</v>
      </c>
      <c r="T156">
        <f>+COUNTIF(T$2:T$154,2)</f>
        <v>48</v>
      </c>
      <c r="U156" t="str">
        <f>+Settings!$G$17</f>
        <v>2 = A little increase</v>
      </c>
      <c r="V156">
        <f>+COUNTIF(V$2:V$154,2)</f>
        <v>35</v>
      </c>
      <c r="W156" t="str">
        <f>+Settings!$G$18</f>
        <v>2 = If I get flooded, I won't get damaged</v>
      </c>
      <c r="X156">
        <f>+COUNTIF(X$2:X$154,2)</f>
        <v>23</v>
      </c>
    </row>
    <row r="157" spans="2:24" x14ac:dyDescent="0.2">
      <c r="G157" t="str">
        <f>+Settings!$H$7</f>
        <v>3 = Yes, with minor disruptions or damages</v>
      </c>
      <c r="H157">
        <f>+COUNTIF(H$2:H$154,3)</f>
        <v>17</v>
      </c>
      <c r="I157" t="str">
        <f>+Settings!$H$8</f>
        <v>3 = Once in the last six months</v>
      </c>
      <c r="J157">
        <f>+COUNTIF(J$2:J$154,3)</f>
        <v>28</v>
      </c>
      <c r="K157" t="str">
        <f>+Settings!$H$8</f>
        <v>3 = Once in the last six months</v>
      </c>
      <c r="L157">
        <f>+COUNTIF(L$2:L$154,3)</f>
        <v>28</v>
      </c>
      <c r="M157" t="str">
        <f>+Settings!$H$8</f>
        <v>3 = Once in the last six months</v>
      </c>
      <c r="N157">
        <f>+COUNTIF(N$2:N$154,3)</f>
        <v>25</v>
      </c>
      <c r="O157" t="str">
        <f>+Settings!$H$8</f>
        <v>3 = Once in the last six months</v>
      </c>
      <c r="P157">
        <f>+COUNTIF(P$2:P$154,3)</f>
        <v>48</v>
      </c>
      <c r="Q157" t="str">
        <f>+Settings!$H$8</f>
        <v>3 = Once in the last six months</v>
      </c>
      <c r="R157">
        <f>+COUNTIF(R$2:R$154,3)</f>
        <v>41</v>
      </c>
      <c r="S157" t="str">
        <f>+Settings!$H$16</f>
        <v>3 = Neutral</v>
      </c>
      <c r="T157">
        <f>+COUNTIF(T$2:T$154,3)</f>
        <v>29</v>
      </c>
      <c r="U157" t="str">
        <f>+Settings!$H$17</f>
        <v>3 = A moderate increase</v>
      </c>
      <c r="V157">
        <f>+COUNTIF(V$2:V$154,3)</f>
        <v>29</v>
      </c>
      <c r="W157" t="str">
        <f>+Settings!$H$18</f>
        <v>3 = I might suffer minor damage</v>
      </c>
      <c r="X157">
        <f>+COUNTIF(X$2:X$154,3)</f>
        <v>58</v>
      </c>
    </row>
    <row r="158" spans="2:24" x14ac:dyDescent="0.2">
      <c r="G158" t="str">
        <f>+Settings!$I$7</f>
        <v>4 = Yes, with some disruptions or damages</v>
      </c>
      <c r="H158">
        <f>+COUNTIF(H$2:H$154,4)</f>
        <v>9</v>
      </c>
      <c r="I158" t="str">
        <f>+Settings!$I$8</f>
        <v>4 = Once a month</v>
      </c>
      <c r="J158">
        <f>+COUNTIF(J$2:J$154,4)</f>
        <v>11</v>
      </c>
      <c r="K158" t="str">
        <f>+Settings!$I$8</f>
        <v>4 = Once a month</v>
      </c>
      <c r="L158">
        <f>+COUNTIF(L$2:L$154,4)</f>
        <v>17</v>
      </c>
      <c r="M158" t="str">
        <f>+Settings!$I$8</f>
        <v>4 = Once a month</v>
      </c>
      <c r="N158">
        <f>+COUNTIF(N$2:N$154,4)</f>
        <v>10</v>
      </c>
      <c r="O158" t="str">
        <f>+Settings!$I$8</f>
        <v>4 = Once a month</v>
      </c>
      <c r="P158">
        <f>+COUNTIF(P$2:P$154,4)</f>
        <v>39</v>
      </c>
      <c r="Q158" t="str">
        <f>+Settings!$I$8</f>
        <v>4 = Once a month</v>
      </c>
      <c r="R158">
        <f>+COUNTIF(R$2:R$154,4)</f>
        <v>28</v>
      </c>
      <c r="S158" t="str">
        <f>+Settings!$I$16</f>
        <v>4 = Likely</v>
      </c>
      <c r="T158">
        <f>+COUNTIF(T$2:T$154,4)</f>
        <v>38</v>
      </c>
      <c r="U158" t="str">
        <f>+Settings!$I$17</f>
        <v>4 = A big increase</v>
      </c>
      <c r="V158">
        <f>+COUNTIF(V$2:V$154,4)</f>
        <v>63</v>
      </c>
      <c r="W158" t="str">
        <f>+Settings!$I$18</f>
        <v>4 = I will suffer some damage</v>
      </c>
      <c r="X158">
        <f>+COUNTIF(X$2:X$154,4)</f>
        <v>37</v>
      </c>
    </row>
    <row r="159" spans="2:24" x14ac:dyDescent="0.2">
      <c r="G159" t="str">
        <f>+Settings!$J$7</f>
        <v>5 = Yes, with serious disruptions or damages</v>
      </c>
      <c r="H159">
        <f>+COUNTIF(H$2:H$154,5)</f>
        <v>3</v>
      </c>
      <c r="I159" t="str">
        <f>+Settings!$J$8</f>
        <v>5 = Once a week</v>
      </c>
      <c r="J159">
        <f>+COUNTIF(J$2:J$154,5)</f>
        <v>2</v>
      </c>
      <c r="K159" t="str">
        <f>+Settings!$J$8</f>
        <v>5 = Once a week</v>
      </c>
      <c r="L159">
        <f>+COUNTIF(L$2:L$154,5)</f>
        <v>11</v>
      </c>
      <c r="M159" t="str">
        <f>+Settings!$J$8</f>
        <v>5 = Once a week</v>
      </c>
      <c r="N159">
        <f>+COUNTIF(N$2:N$154,5)</f>
        <v>3</v>
      </c>
      <c r="O159" t="str">
        <f>+Settings!$J$8</f>
        <v>5 = Once a week</v>
      </c>
      <c r="P159">
        <f>+COUNTIF(P$2:P$154,5)</f>
        <v>14</v>
      </c>
      <c r="Q159" t="str">
        <f>+Settings!$J$8</f>
        <v>5 = Once a week</v>
      </c>
      <c r="R159">
        <f>+COUNTIF(R$2:R$154,5)</f>
        <v>9</v>
      </c>
      <c r="S159" t="str">
        <f>+Settings!$J$16</f>
        <v>5 = Very likely</v>
      </c>
      <c r="T159">
        <f>+COUNTIF(T$2:T$154,5)</f>
        <v>3</v>
      </c>
      <c r="U159" t="str">
        <f>+Settings!$J$17</f>
        <v>5 = An extreme increase</v>
      </c>
      <c r="V159">
        <f>+COUNTIF(V$2:V$154,5)</f>
        <v>17</v>
      </c>
      <c r="W159" t="str">
        <f>+Settings!$J$18</f>
        <v>5 = I will get seriously damaged</v>
      </c>
      <c r="X159">
        <f>+COUNTIF(X$2:X$154,5)</f>
        <v>6</v>
      </c>
    </row>
    <row r="160" spans="2:24" x14ac:dyDescent="0.2">
      <c r="I160" t="str">
        <f>+Settings!$K$8</f>
        <v>6 = Once a day</v>
      </c>
      <c r="J160">
        <f>+COUNTIF(J$2:J$24,6)</f>
        <v>0</v>
      </c>
      <c r="K160" t="str">
        <f>+Settings!$K$8</f>
        <v>6 = Once a day</v>
      </c>
      <c r="L160">
        <f>+COUNTIF(L$2:L$24,6)</f>
        <v>6</v>
      </c>
      <c r="M160" t="str">
        <f>+Settings!$K$8</f>
        <v>6 = Once a day</v>
      </c>
      <c r="N160">
        <f>+COUNTIF(N$2:N$24,6)</f>
        <v>0</v>
      </c>
      <c r="O160" t="str">
        <f>+Settings!$K$8</f>
        <v>6 = Once a day</v>
      </c>
      <c r="P160">
        <f>+COUNTIF(P$2:P$24,6)</f>
        <v>7</v>
      </c>
      <c r="Q160" t="str">
        <f>+Settings!$K$8</f>
        <v>6 = Once a day</v>
      </c>
      <c r="R160">
        <f>+COUNTIF(R$2:R$24,6)</f>
        <v>3</v>
      </c>
    </row>
    <row r="161" spans="7:28" x14ac:dyDescent="0.2">
      <c r="G161" s="7" t="s">
        <v>167</v>
      </c>
      <c r="H161" s="8" cm="1">
        <f t="array" ref="H161">+AVERAGE(VALUE(H$2:H$154))</f>
        <v>1.607843137254902</v>
      </c>
      <c r="I161" s="7" t="s">
        <v>167</v>
      </c>
      <c r="J161" s="8" cm="1">
        <f t="array" ref="J161">+AVERAGE(VALUE(J$2:J$154))</f>
        <v>1.8823529411764706</v>
      </c>
      <c r="K161" s="7" t="s">
        <v>167</v>
      </c>
      <c r="L161" s="8" cm="1">
        <f t="array" ref="L161">+AVERAGE(VALUE(L$2:L$154))</f>
        <v>2.6405228758169934</v>
      </c>
      <c r="M161" s="7" t="s">
        <v>167</v>
      </c>
      <c r="N161" s="8" cm="1">
        <f t="array" ref="N161">+AVERAGE(VALUE(N$2:N$154))</f>
        <v>1.7843137254901962</v>
      </c>
      <c r="O161" s="7" t="s">
        <v>167</v>
      </c>
      <c r="P161" s="8" cm="1">
        <f t="array" ref="P161">+AVERAGE(VALUE(P$2:P$154))</f>
        <v>3.2287581699346406</v>
      </c>
      <c r="Q161" s="7" t="s">
        <v>167</v>
      </c>
      <c r="R161" s="8" cm="1">
        <f t="array" ref="R161">+AVERAGE(VALUE(R$2:R$154))</f>
        <v>2.784313725490196</v>
      </c>
      <c r="S161" s="7" t="s">
        <v>167</v>
      </c>
      <c r="T161" s="8" cm="1">
        <f t="array" ref="T161">+AVERAGE(VALUE(T$2:T$154))</f>
        <v>2.5098039215686274</v>
      </c>
      <c r="U161" s="7" t="s">
        <v>167</v>
      </c>
      <c r="V161" s="8" cm="1">
        <f t="array" ref="V161">+AVERAGE(VALUE(V$2:V$154))</f>
        <v>3.2810457516339868</v>
      </c>
      <c r="W161" s="7" t="s">
        <v>167</v>
      </c>
      <c r="X161" s="8" cm="1">
        <f t="array" ref="X161">+AVERAGE(VALUE(X$2:X$154))</f>
        <v>2.784313725490196</v>
      </c>
      <c r="Y161" s="7"/>
      <c r="Z161" s="8"/>
      <c r="AA161" s="7"/>
      <c r="AB161" s="8"/>
    </row>
    <row r="162" spans="7:28" x14ac:dyDescent="0.2">
      <c r="G162" s="7" t="s">
        <v>168</v>
      </c>
      <c r="H162" s="8" cm="1">
        <f t="array" ref="H162">+MEDIAN(VALUE(H$2:H$154))</f>
        <v>1</v>
      </c>
      <c r="I162" s="7" t="s">
        <v>168</v>
      </c>
      <c r="J162" s="8" cm="1">
        <f t="array" ref="J162">+MEDIAN(VALUE(J$2:J$154))</f>
        <v>2</v>
      </c>
      <c r="K162" s="7" t="s">
        <v>168</v>
      </c>
      <c r="L162" s="8" cm="1">
        <f t="array" ref="L162">+MEDIAN(VALUE(L$2:L$154))</f>
        <v>2</v>
      </c>
      <c r="M162" s="7" t="s">
        <v>168</v>
      </c>
      <c r="N162" s="8" cm="1">
        <f t="array" ref="N162">+MEDIAN(VALUE(N$2:N$154))</f>
        <v>1</v>
      </c>
      <c r="O162" s="7" t="s">
        <v>168</v>
      </c>
      <c r="P162" s="8" cm="1">
        <f t="array" ref="P162">+MEDIAN(VALUE(P$2:P$154))</f>
        <v>3</v>
      </c>
      <c r="Q162" s="7" t="s">
        <v>168</v>
      </c>
      <c r="R162" s="8" cm="1">
        <f t="array" ref="R162">+MEDIAN(VALUE(R$2:R$154))</f>
        <v>3</v>
      </c>
      <c r="S162" s="7" t="s">
        <v>168</v>
      </c>
      <c r="T162" s="8" cm="1">
        <f t="array" ref="T162">+MEDIAN(VALUE(T$2:T$154))</f>
        <v>2</v>
      </c>
      <c r="U162" s="7" t="s">
        <v>168</v>
      </c>
      <c r="V162" s="8" cm="1">
        <f t="array" ref="V162">+MEDIAN(VALUE(V$2:V$154))</f>
        <v>4</v>
      </c>
      <c r="W162" s="7" t="s">
        <v>168</v>
      </c>
      <c r="X162" s="8" cm="1">
        <f t="array" ref="X162">+MEDIAN(VALUE(X$2:X$154))</f>
        <v>3</v>
      </c>
      <c r="Y162" s="7"/>
      <c r="AA162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3EA6F-824E-4E44-A989-78DAB71843D4}">
  <dimension ref="A1:E17"/>
  <sheetViews>
    <sheetView tabSelected="1" workbookViewId="0">
      <selection activeCell="G1" sqref="G1"/>
    </sheetView>
  </sheetViews>
  <sheetFormatPr baseColWidth="10" defaultColWidth="8.83203125" defaultRowHeight="15" x14ac:dyDescent="0.2"/>
  <cols>
    <col min="1" max="1" width="38.83203125" bestFit="1" customWidth="1"/>
    <col min="2" max="3" width="9.33203125" bestFit="1" customWidth="1"/>
  </cols>
  <sheetData>
    <row r="1" spans="1:5" x14ac:dyDescent="0.2">
      <c r="A1" s="1" t="s">
        <v>248</v>
      </c>
      <c r="B1" s="1">
        <v>251007</v>
      </c>
      <c r="C1" s="1">
        <v>250923</v>
      </c>
      <c r="D1" s="1">
        <v>240924</v>
      </c>
      <c r="E1" s="1" t="s">
        <v>247</v>
      </c>
    </row>
    <row r="2" spans="1:5" x14ac:dyDescent="0.2">
      <c r="A2" t="str">
        <f>+'251007'!F26</f>
        <v>1 = No, I do not have a flood experience</v>
      </c>
      <c r="B2">
        <f>+'251007'!G26</f>
        <v>14</v>
      </c>
      <c r="C2">
        <f>+'250923'!G55</f>
        <v>35</v>
      </c>
      <c r="D2">
        <f>+'240924'!G81</f>
        <v>53</v>
      </c>
      <c r="E2">
        <f>+all!H155</f>
        <v>102</v>
      </c>
    </row>
    <row r="3" spans="1:5" x14ac:dyDescent="0.2">
      <c r="A3" t="str">
        <f>+'251007'!F27</f>
        <v>2 = Yes, but without disruptions or damages</v>
      </c>
      <c r="B3">
        <f>+'251007'!G27</f>
        <v>1</v>
      </c>
      <c r="C3">
        <f>+'250923'!G56</f>
        <v>6</v>
      </c>
      <c r="D3">
        <f>+'240924'!G82</f>
        <v>14</v>
      </c>
      <c r="E3">
        <f>+all!H156</f>
        <v>21</v>
      </c>
    </row>
    <row r="4" spans="1:5" x14ac:dyDescent="0.2">
      <c r="A4" t="str">
        <f>+'251007'!F28</f>
        <v>3 = Yes, with minor disruptions or damages</v>
      </c>
      <c r="B4">
        <f>+'251007'!G28</f>
        <v>3</v>
      </c>
      <c r="C4">
        <f>+'250923'!G57</f>
        <v>5</v>
      </c>
      <c r="D4">
        <f>+'240924'!G83</f>
        <v>9</v>
      </c>
      <c r="E4">
        <f>+all!H157</f>
        <v>17</v>
      </c>
    </row>
    <row r="5" spans="1:5" x14ac:dyDescent="0.2">
      <c r="A5" t="str">
        <f>+'251007'!F29</f>
        <v>4 = Yes, with some disruptions or damages</v>
      </c>
      <c r="B5">
        <f>+'251007'!G29</f>
        <v>4</v>
      </c>
      <c r="C5">
        <f>+'250923'!G58</f>
        <v>4</v>
      </c>
      <c r="D5">
        <f>+'240924'!G84</f>
        <v>1</v>
      </c>
      <c r="E5">
        <f>+all!H158</f>
        <v>9</v>
      </c>
    </row>
    <row r="6" spans="1:5" x14ac:dyDescent="0.2">
      <c r="A6" t="str">
        <f>+'251007'!F30</f>
        <v>5 = Yes, with serious disruptions or damages</v>
      </c>
      <c r="B6">
        <f>+'251007'!G30</f>
        <v>1</v>
      </c>
      <c r="C6">
        <f>+'250923'!G59</f>
        <v>1</v>
      </c>
      <c r="D6">
        <f>+'240924'!G85</f>
        <v>1</v>
      </c>
      <c r="E6">
        <f>+all!H159</f>
        <v>3</v>
      </c>
    </row>
    <row r="7" spans="1:5" x14ac:dyDescent="0.2">
      <c r="A7" t="s">
        <v>222</v>
      </c>
      <c r="B7" s="8">
        <f>+'251007'!G32</f>
        <v>2</v>
      </c>
      <c r="C7" s="8">
        <f>+'250923'!G61</f>
        <v>1.6956521739130435</v>
      </c>
      <c r="D7" s="8">
        <f>+'240924'!G87</f>
        <v>1.3913043478260869</v>
      </c>
      <c r="E7" s="8">
        <f>+'240924'!G87</f>
        <v>1.3913043478260869</v>
      </c>
    </row>
    <row r="8" spans="1:5" x14ac:dyDescent="0.2">
      <c r="A8" t="s">
        <v>168</v>
      </c>
      <c r="B8" s="8">
        <f>+'251007'!G33</f>
        <v>3</v>
      </c>
      <c r="C8" s="8">
        <f>+'250923'!G62</f>
        <v>1</v>
      </c>
      <c r="D8">
        <f>+'240924'!G88</f>
        <v>1</v>
      </c>
      <c r="E8">
        <f>+'240924'!G88</f>
        <v>1</v>
      </c>
    </row>
    <row r="9" spans="1:5" x14ac:dyDescent="0.2">
      <c r="A9" s="1" t="str">
        <f>+'251007'!H1</f>
        <v>Q_Info_G$overnment</v>
      </c>
    </row>
    <row r="10" spans="1:5" x14ac:dyDescent="0.2">
      <c r="A10" t="str">
        <f>+'251007'!H26</f>
        <v>1 = Never</v>
      </c>
      <c r="B10">
        <f>+'251007'!I26</f>
        <v>5</v>
      </c>
    </row>
    <row r="11" spans="1:5" x14ac:dyDescent="0.2">
      <c r="A11" t="str">
        <f>+'251007'!H27</f>
        <v>2 = Once in the last year</v>
      </c>
      <c r="B11">
        <f>+'251007'!I27</f>
        <v>7</v>
      </c>
    </row>
    <row r="12" spans="1:5" x14ac:dyDescent="0.2">
      <c r="A12" t="str">
        <f>+'251007'!H28</f>
        <v>3 = Once in the last six months</v>
      </c>
      <c r="B12">
        <f>+'251007'!I28</f>
        <v>7</v>
      </c>
    </row>
    <row r="13" spans="1:5" x14ac:dyDescent="0.2">
      <c r="A13" t="str">
        <f>+'251007'!H29</f>
        <v>4 = Once a month</v>
      </c>
      <c r="B13">
        <f>+'251007'!I29</f>
        <v>2</v>
      </c>
    </row>
    <row r="14" spans="1:5" x14ac:dyDescent="0.2">
      <c r="A14" t="str">
        <f>+'251007'!H30</f>
        <v>5 = Once a week</v>
      </c>
      <c r="B14">
        <f>+'251007'!I30</f>
        <v>2</v>
      </c>
    </row>
    <row r="15" spans="1:5" x14ac:dyDescent="0.2">
      <c r="A15" t="str">
        <f>+'251007'!H31</f>
        <v>6 = Once a day</v>
      </c>
      <c r="B15">
        <f>+'251007'!I31</f>
        <v>0</v>
      </c>
    </row>
    <row r="16" spans="1:5" x14ac:dyDescent="0.2">
      <c r="A16" t="s">
        <v>222</v>
      </c>
      <c r="B16" s="8">
        <f>+'251007'!I32</f>
        <v>2.5217391304347827</v>
      </c>
    </row>
    <row r="17" spans="1:2" x14ac:dyDescent="0.2">
      <c r="A17" t="s">
        <v>168</v>
      </c>
      <c r="B17" s="9">
        <f>+'251007'!I33</f>
        <v>5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6</vt:i4>
      </vt:variant>
    </vt:vector>
  </HeadingPairs>
  <TitlesOfParts>
    <vt:vector size="6" baseType="lpstr">
      <vt:lpstr>251007</vt:lpstr>
      <vt:lpstr>250923</vt:lpstr>
      <vt:lpstr>240924</vt:lpstr>
      <vt:lpstr>Settings</vt:lpstr>
      <vt:lpstr>all</vt:lpstr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Juliette Cortes Arevalo</dc:creator>
  <cp:lastModifiedBy>Ines Dattatreya</cp:lastModifiedBy>
  <dcterms:created xsi:type="dcterms:W3CDTF">2025-11-21T04:28:51Z</dcterms:created>
  <dcterms:modified xsi:type="dcterms:W3CDTF">2026-01-24T09:26:14Z</dcterms:modified>
</cp:coreProperties>
</file>