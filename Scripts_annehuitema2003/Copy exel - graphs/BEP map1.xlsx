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xl/tables/table16.xml" ContentType="application/vnd.openxmlformats-officedocument.spreadsheetml.table+xml"/>
  <Override PartName="/xl/queryTables/queryTable16.xml" ContentType="application/vnd.openxmlformats-officedocument.spreadsheetml.queryTable+xml"/>
  <Override PartName="/xl/tables/table17.xml" ContentType="application/vnd.openxmlformats-officedocument.spreadsheetml.table+xml"/>
  <Override PartName="/xl/queryTables/queryTable17.xml" ContentType="application/vnd.openxmlformats-officedocument.spreadsheetml.queryTable+xml"/>
  <Override PartName="/xl/tables/table18.xml" ContentType="application/vnd.openxmlformats-officedocument.spreadsheetml.table+xml"/>
  <Override PartName="/xl/queryTables/queryTable18.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9.xml" ContentType="application/vnd.openxmlformats-officedocument.spreadsheetml.table+xml"/>
  <Override PartName="/xl/queryTables/queryTable19.xml" ContentType="application/vnd.openxmlformats-officedocument.spreadsheetml.queryTab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tables/table20.xml" ContentType="application/vnd.openxmlformats-officedocument.spreadsheetml.table+xml"/>
  <Override PartName="/xl/queryTables/queryTable20.xml" ContentType="application/vnd.openxmlformats-officedocument.spreadsheetml.queryTable+xml"/>
  <Override PartName="/xl/tables/table21.xml" ContentType="application/vnd.openxmlformats-officedocument.spreadsheetml.table+xml"/>
  <Override PartName="/xl/queryTables/queryTable21.xml" ContentType="application/vnd.openxmlformats-officedocument.spreadsheetml.queryTable+xml"/>
  <Override PartName="/xl/tables/table22.xml" ContentType="application/vnd.openxmlformats-officedocument.spreadsheetml.table+xml"/>
  <Override PartName="/xl/queryTables/queryTable22.xml" ContentType="application/vnd.openxmlformats-officedocument.spreadsheetml.queryTable+xml"/>
  <Override PartName="/xl/tables/table23.xml" ContentType="application/vnd.openxmlformats-officedocument.spreadsheetml.table+xml"/>
  <Override PartName="/xl/queryTables/queryTable23.xml" ContentType="application/vnd.openxmlformats-officedocument.spreadsheetml.queryTable+xml"/>
  <Override PartName="/xl/tables/table24.xml" ContentType="application/vnd.openxmlformats-officedocument.spreadsheetml.table+xml"/>
  <Override PartName="/xl/queryTables/queryTable24.xml" ContentType="application/vnd.openxmlformats-officedocument.spreadsheetml.queryTable+xml"/>
  <Override PartName="/xl/tables/table25.xml" ContentType="application/vnd.openxmlformats-officedocument.spreadsheetml.table+xml"/>
  <Override PartName="/xl/queryTables/queryTable25.xml" ContentType="application/vnd.openxmlformats-officedocument.spreadsheetml.queryTable+xml"/>
  <Override PartName="/xl/tables/table26.xml" ContentType="application/vnd.openxmlformats-officedocument.spreadsheetml.table+xml"/>
  <Override PartName="/xl/queryTables/queryTable26.xml" ContentType="application/vnd.openxmlformats-officedocument.spreadsheetml.queryTable+xml"/>
  <Override PartName="/xl/tables/table27.xml" ContentType="application/vnd.openxmlformats-officedocument.spreadsheetml.table+xml"/>
  <Override PartName="/xl/queryTables/queryTable27.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1a040831fc7e8278/Bureaublad/BEP/"/>
    </mc:Choice>
  </mc:AlternateContent>
  <xr:revisionPtr revIDLastSave="293" documentId="8_{A0B19C56-AAB5-4C06-A351-32E72CE23BDD}" xr6:coauthVersionLast="47" xr6:coauthVersionMax="47" xr10:uidLastSave="{8B9C2A66-538B-49ED-9675-95A0C9BEF233}"/>
  <bookViews>
    <workbookView xWindow="-108" yWindow="-108" windowWidth="23256" windowHeight="13896" firstSheet="19" activeTab="19" xr2:uid="{37D29E32-6E4C-4C8F-B85E-C46C1864DD7E}"/>
  </bookViews>
  <sheets>
    <sheet name="community" sheetId="28" r:id="rId1"/>
    <sheet name="gameversion" sheetId="27" r:id="rId2"/>
    <sheet name="gamesession" sheetId="26" r:id="rId3"/>
    <sheet name="group" sheetId="25" r:id="rId4"/>
    <sheet name="groupround" sheetId="24" r:id="rId5"/>
    <sheet name="groupstate" sheetId="23" r:id="rId6"/>
    <sheet name="house" sheetId="22" r:id="rId7"/>
    <sheet name="housegroup" sheetId="21" r:id="rId8"/>
    <sheet name="housetransaction" sheetId="20" r:id="rId9"/>
    <sheet name="initialhousemeasure" sheetId="19" r:id="rId10"/>
    <sheet name="measurecategory" sheetId="18" r:id="rId11"/>
    <sheet name="measuretype" sheetId="17" r:id="rId12"/>
    <sheet name="movingreason" sheetId="16" r:id="rId13"/>
    <sheet name="newseffects" sheetId="15" r:id="rId14"/>
    <sheet name="newsitem" sheetId="14" r:id="rId15"/>
    <sheet name="personalmeasure" sheetId="13" r:id="rId16"/>
    <sheet name="housemeasure" sheetId="12" r:id="rId17"/>
    <sheet name="player" sheetId="11" r:id="rId18"/>
    <sheet name="Blad2" sheetId="29" r:id="rId19"/>
    <sheet name="playerround" sheetId="10" r:id="rId20"/>
    <sheet name="playerstate" sheetId="9" r:id="rId21"/>
    <sheet name="questionitem" sheetId="8" r:id="rId22"/>
    <sheet name="question" sheetId="7" r:id="rId23"/>
    <sheet name="questionscore" sheetId="6" r:id="rId24"/>
    <sheet name="scenario" sheetId="5" r:id="rId25"/>
    <sheet name="scenarioparameters" sheetId="4" r:id="rId26"/>
    <sheet name="tax" sheetId="3" r:id="rId27"/>
    <sheet name="welfaretype" sheetId="2" r:id="rId28"/>
    <sheet name="Blad1" sheetId="1" r:id="rId29"/>
  </sheets>
  <definedNames>
    <definedName name="_xlchart.v1.0" hidden="1">playerround!$AS$5:$AS$120</definedName>
    <definedName name="_xlchart.v1.1" hidden="1">playerround!$J$1</definedName>
    <definedName name="_xlchart.v1.2" hidden="1">playerround!$J$5:$J$120</definedName>
    <definedName name="ExternalData_1" localSheetId="27" hidden="1">welfaretype!$A$1:$J$7</definedName>
    <definedName name="ExternalData_10" localSheetId="17" hidden="1">player!$A$1:$E$65</definedName>
    <definedName name="ExternalData_11" localSheetId="16" hidden="1">housemeasure!$A$1:$E$158</definedName>
    <definedName name="ExternalData_12" localSheetId="15" hidden="1">personalmeasure!$A$1:$C$185</definedName>
    <definedName name="ExternalData_13" localSheetId="14" hidden="1">newsitem!$A$1:$F$6</definedName>
    <definedName name="ExternalData_14" localSheetId="13" hidden="1">newseffects!$A$1:$O$3</definedName>
    <definedName name="ExternalData_15" localSheetId="12" hidden="1">movingreason!$A$1:$F$7</definedName>
    <definedName name="ExternalData_16" localSheetId="11" hidden="1">measuretype!$A$1:$S$10</definedName>
    <definedName name="ExternalData_17" localSheetId="10" hidden="1">measurecategory!$A$1:$F$4</definedName>
    <definedName name="ExternalData_18" localSheetId="9" hidden="1">initialhousemeasure!$A$1:$E$18</definedName>
    <definedName name="ExternalData_19" localSheetId="8" hidden="1">housetransaction!$A$1:$H$105</definedName>
    <definedName name="ExternalData_2" localSheetId="26" hidden="1">tax!$A$1:$F$10</definedName>
    <definedName name="ExternalData_20" localSheetId="7" hidden="1">housegroup!$A$1:$U$109</definedName>
    <definedName name="ExternalData_21" localSheetId="6" hidden="1">house!$A$1:$I$28</definedName>
    <definedName name="ExternalData_22" localSheetId="5" hidden="1">groupstate!$A$1:$E$201</definedName>
    <definedName name="ExternalData_23" localSheetId="4" hidden="1">groupround!$A$1:$G$21</definedName>
    <definedName name="ExternalData_24" localSheetId="3" hidden="1">group!$A$1:$F$9</definedName>
    <definedName name="ExternalData_25" localSheetId="2" hidden="1">gamesession!$A$1:$J$2</definedName>
    <definedName name="ExternalData_26" localSheetId="1" hidden="1">gameversion!$A$1:$D$2</definedName>
    <definedName name="ExternalData_27" localSheetId="0" hidden="1">'community'!$A$1:$F$4</definedName>
    <definedName name="ExternalData_3" localSheetId="25" hidden="1">scenarioparameters!$A$1:$Y$2</definedName>
    <definedName name="ExternalData_4" localSheetId="24" hidden="1">scenario!$A$1:$I$2</definedName>
    <definedName name="ExternalData_5" localSheetId="23" hidden="1">questionscore!$A$1:$E$193</definedName>
    <definedName name="ExternalData_6" localSheetId="22" hidden="1">question!$A$1:$I$3</definedName>
    <definedName name="ExternalData_7" localSheetId="21" hidden="1">questionitem!$A$1:$D$11</definedName>
    <definedName name="ExternalData_8" localSheetId="20" hidden="1">playerstate!$A$1:$E$1090</definedName>
    <definedName name="ExternalData_9" localSheetId="19" hidden="1">playerround!$A$1:$AR$121</definedName>
  </definedNames>
  <calcPr calcId="191029"/>
  <pivotCaches>
    <pivotCache cacheId="4" r:id="rId3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4" i="10" l="1"/>
  <c r="CA3" i="10"/>
  <c r="AS2" i="10"/>
  <c r="AT2" i="10"/>
  <c r="AT3" i="10"/>
  <c r="AT5" i="10"/>
  <c r="AT6" i="10"/>
  <c r="AT7" i="10"/>
  <c r="AT8" i="10"/>
  <c r="AT9" i="10"/>
  <c r="AT10" i="10"/>
  <c r="AT11" i="10"/>
  <c r="AT12" i="10"/>
  <c r="AT13" i="10"/>
  <c r="AT14" i="10"/>
  <c r="AT15" i="10"/>
  <c r="AT16" i="10"/>
  <c r="AT17" i="10"/>
  <c r="AT18" i="10"/>
  <c r="AT19" i="10"/>
  <c r="AT20" i="10"/>
  <c r="AT21" i="10"/>
  <c r="AT22" i="10"/>
  <c r="AT23" i="10"/>
  <c r="AT24" i="10"/>
  <c r="AT25" i="10"/>
  <c r="AT26" i="10"/>
  <c r="AT27" i="10"/>
  <c r="AT28" i="10"/>
  <c r="AT29" i="10"/>
  <c r="AT30" i="10"/>
  <c r="AT31" i="10"/>
  <c r="AT32" i="10"/>
  <c r="AT33" i="10"/>
  <c r="AT34" i="10"/>
  <c r="AT35" i="10"/>
  <c r="AT36" i="10"/>
  <c r="AT37" i="10"/>
  <c r="AT38" i="10"/>
  <c r="AT39" i="10"/>
  <c r="AT40" i="10"/>
  <c r="AT41" i="10"/>
  <c r="AT42" i="10"/>
  <c r="AT43" i="10"/>
  <c r="AT44" i="10"/>
  <c r="AT45" i="10"/>
  <c r="AT46" i="10"/>
  <c r="AT47" i="10"/>
  <c r="AT48" i="10"/>
  <c r="AT49" i="10"/>
  <c r="AT50" i="10"/>
  <c r="AT51" i="10"/>
  <c r="AT52" i="10"/>
  <c r="AT53" i="10"/>
  <c r="AT54" i="10"/>
  <c r="AT55" i="10"/>
  <c r="AT56" i="10"/>
  <c r="AT57" i="10"/>
  <c r="AT58" i="10"/>
  <c r="AT59" i="10"/>
  <c r="AT60" i="10"/>
  <c r="AT61" i="10"/>
  <c r="AT62" i="10"/>
  <c r="AT63" i="10"/>
  <c r="AT64" i="10"/>
  <c r="AT65" i="10"/>
  <c r="AT66" i="10"/>
  <c r="AT67" i="10"/>
  <c r="AT68" i="10"/>
  <c r="AT69" i="10"/>
  <c r="AT70" i="10"/>
  <c r="AT71" i="10"/>
  <c r="AT72" i="10"/>
  <c r="AT73" i="10"/>
  <c r="AT74" i="10"/>
  <c r="AT75" i="10"/>
  <c r="AT76" i="10"/>
  <c r="AT77" i="10"/>
  <c r="AT78" i="10"/>
  <c r="AT79" i="10"/>
  <c r="AT80" i="10"/>
  <c r="AT81" i="10"/>
  <c r="AT82" i="10"/>
  <c r="AT83" i="10"/>
  <c r="AT84" i="10"/>
  <c r="AT85" i="10"/>
  <c r="AT86" i="10"/>
  <c r="AT87" i="10"/>
  <c r="AT88" i="10"/>
  <c r="AT89" i="10"/>
  <c r="AT90" i="10"/>
  <c r="AT91" i="10"/>
  <c r="AT92" i="10"/>
  <c r="AT93" i="10"/>
  <c r="AT94" i="10"/>
  <c r="AT95" i="10"/>
  <c r="AT96" i="10"/>
  <c r="AT97" i="10"/>
  <c r="AT98" i="10"/>
  <c r="AT99" i="10"/>
  <c r="AT100" i="10"/>
  <c r="AT101" i="10"/>
  <c r="AT102" i="10"/>
  <c r="AT103" i="10"/>
  <c r="AT104" i="10"/>
  <c r="AT105" i="10"/>
  <c r="AT106" i="10"/>
  <c r="AT107" i="10"/>
  <c r="AT108" i="10"/>
  <c r="AT109" i="10"/>
  <c r="AT110" i="10"/>
  <c r="AT111" i="10"/>
  <c r="AT112" i="10"/>
  <c r="AT113" i="10"/>
  <c r="AT114" i="10"/>
  <c r="AT115" i="10"/>
  <c r="AT116" i="10"/>
  <c r="AT117" i="10"/>
  <c r="AT118" i="10"/>
  <c r="AT119" i="10"/>
  <c r="AT120" i="10"/>
  <c r="AT121" i="10"/>
  <c r="AV2" i="10"/>
  <c r="AV3" i="10"/>
  <c r="AV4" i="10"/>
  <c r="AV5" i="10"/>
  <c r="AV6" i="10"/>
  <c r="AV7" i="10"/>
  <c r="AV8" i="10"/>
  <c r="AV9" i="10"/>
  <c r="AV10" i="10"/>
  <c r="AV11" i="10"/>
  <c r="AV12" i="10"/>
  <c r="AV13" i="10"/>
  <c r="AV14" i="10"/>
  <c r="AV15" i="10"/>
  <c r="AV16" i="10"/>
  <c r="AV17" i="10"/>
  <c r="AV18" i="10"/>
  <c r="AV19" i="10"/>
  <c r="AV20" i="10"/>
  <c r="AV21" i="10"/>
  <c r="AV22" i="10"/>
  <c r="AV23" i="10"/>
  <c r="AV24" i="10"/>
  <c r="AV25" i="10"/>
  <c r="AV26" i="10"/>
  <c r="AV27" i="10"/>
  <c r="AV28" i="10"/>
  <c r="AV29" i="10"/>
  <c r="AV30" i="10"/>
  <c r="AV31" i="10"/>
  <c r="AV32" i="10"/>
  <c r="AV33" i="10"/>
  <c r="AV34" i="10"/>
  <c r="AV35" i="10"/>
  <c r="AV36" i="10"/>
  <c r="AV37" i="10"/>
  <c r="AV38" i="10"/>
  <c r="AV39" i="10"/>
  <c r="AV40" i="10"/>
  <c r="AV41" i="10"/>
  <c r="AV42" i="10"/>
  <c r="AV43" i="10"/>
  <c r="AV44" i="10"/>
  <c r="AV45" i="10"/>
  <c r="AV46" i="10"/>
  <c r="AV47" i="10"/>
  <c r="AV48" i="10"/>
  <c r="AV49" i="10"/>
  <c r="AV50" i="10"/>
  <c r="AV51" i="10"/>
  <c r="AV52" i="10"/>
  <c r="AV53" i="10"/>
  <c r="AV54" i="10"/>
  <c r="AV55" i="10"/>
  <c r="AV56" i="10"/>
  <c r="AV57" i="10"/>
  <c r="AV58" i="10"/>
  <c r="AV59" i="10"/>
  <c r="AV60" i="10"/>
  <c r="AV61" i="10"/>
  <c r="AV62" i="10"/>
  <c r="AV63" i="10"/>
  <c r="AV64" i="10"/>
  <c r="AV65" i="10"/>
  <c r="AV66" i="10"/>
  <c r="AV67" i="10"/>
  <c r="AV68" i="10"/>
  <c r="AV69" i="10"/>
  <c r="AV70" i="10"/>
  <c r="AV71" i="10"/>
  <c r="AV72" i="10"/>
  <c r="AV73" i="10"/>
  <c r="AV74" i="10"/>
  <c r="AV75" i="10"/>
  <c r="AV76" i="10"/>
  <c r="AV77" i="10"/>
  <c r="AV78" i="10"/>
  <c r="AV79" i="10"/>
  <c r="AV80" i="10"/>
  <c r="AV81" i="10"/>
  <c r="AV82" i="10"/>
  <c r="AV83" i="10"/>
  <c r="AV84" i="10"/>
  <c r="AV85" i="10"/>
  <c r="AV86" i="10"/>
  <c r="AV87" i="10"/>
  <c r="AV88" i="10"/>
  <c r="AV89" i="10"/>
  <c r="AV90" i="10"/>
  <c r="AV91" i="10"/>
  <c r="AV92" i="10"/>
  <c r="AV93" i="10"/>
  <c r="AV94" i="10"/>
  <c r="AV95" i="10"/>
  <c r="AV96" i="10"/>
  <c r="AV97" i="10"/>
  <c r="AV98" i="10"/>
  <c r="AV99" i="10"/>
  <c r="AV100" i="10"/>
  <c r="AV101" i="10"/>
  <c r="AV102" i="10"/>
  <c r="AV103" i="10"/>
  <c r="AV104" i="10"/>
  <c r="AV105" i="10"/>
  <c r="AV106" i="10"/>
  <c r="AV107" i="10"/>
  <c r="AV108" i="10"/>
  <c r="AV109" i="10"/>
  <c r="AV110" i="10"/>
  <c r="AV111" i="10"/>
  <c r="AV112" i="10"/>
  <c r="AV113" i="10"/>
  <c r="AV114" i="10"/>
  <c r="AV115" i="10"/>
  <c r="AV116" i="10"/>
  <c r="AV117" i="10"/>
  <c r="AV118" i="10"/>
  <c r="AV119" i="10"/>
  <c r="AV120" i="10"/>
  <c r="AV121" i="10"/>
  <c r="AU2" i="10"/>
  <c r="AU3" i="10"/>
  <c r="AU4" i="10"/>
  <c r="AU5" i="10"/>
  <c r="AU6" i="10"/>
  <c r="AU7" i="10"/>
  <c r="AU8" i="10"/>
  <c r="AU9" i="10"/>
  <c r="AU10" i="10"/>
  <c r="AU11" i="10"/>
  <c r="AU12" i="10"/>
  <c r="AU13" i="10"/>
  <c r="AU14" i="10"/>
  <c r="AU15" i="10"/>
  <c r="AU16" i="10"/>
  <c r="AU17" i="10"/>
  <c r="AU18" i="10"/>
  <c r="AU19" i="10"/>
  <c r="AU20" i="10"/>
  <c r="AU21" i="10"/>
  <c r="AU22" i="10"/>
  <c r="AU23" i="10"/>
  <c r="AU24" i="10"/>
  <c r="AU25" i="10"/>
  <c r="AU26" i="10"/>
  <c r="AU27" i="10"/>
  <c r="AU28" i="10"/>
  <c r="AU29" i="10"/>
  <c r="AU30" i="10"/>
  <c r="AU31" i="10"/>
  <c r="AU32" i="10"/>
  <c r="AU33" i="10"/>
  <c r="AU34" i="10"/>
  <c r="AU35" i="10"/>
  <c r="AU36" i="10"/>
  <c r="AU37" i="10"/>
  <c r="AU38" i="10"/>
  <c r="AU39" i="10"/>
  <c r="AU40" i="10"/>
  <c r="AU41" i="10"/>
  <c r="AU42" i="10"/>
  <c r="AU43" i="10"/>
  <c r="AU44" i="10"/>
  <c r="AU45" i="10"/>
  <c r="AU46" i="10"/>
  <c r="AU47" i="10"/>
  <c r="AU48" i="10"/>
  <c r="AU49" i="10"/>
  <c r="AU50" i="10"/>
  <c r="AU51" i="10"/>
  <c r="AU52" i="10"/>
  <c r="AU53" i="10"/>
  <c r="AU54" i="10"/>
  <c r="AU55" i="10"/>
  <c r="AU56" i="10"/>
  <c r="AU57" i="10"/>
  <c r="AU58" i="10"/>
  <c r="AU59" i="10"/>
  <c r="AU60" i="10"/>
  <c r="AU61" i="10"/>
  <c r="AU62" i="10"/>
  <c r="AU63" i="10"/>
  <c r="AU64" i="10"/>
  <c r="AU65" i="10"/>
  <c r="AU66" i="10"/>
  <c r="AU67" i="10"/>
  <c r="AU68" i="10"/>
  <c r="AU69" i="10"/>
  <c r="AU70" i="10"/>
  <c r="AU71" i="10"/>
  <c r="AU72" i="10"/>
  <c r="AU73" i="10"/>
  <c r="AU74" i="10"/>
  <c r="AU75" i="10"/>
  <c r="AU76" i="10"/>
  <c r="AU77" i="10"/>
  <c r="AU78" i="10"/>
  <c r="AU79" i="10"/>
  <c r="AU80" i="10"/>
  <c r="AU81" i="10"/>
  <c r="AU82" i="10"/>
  <c r="AU83" i="10"/>
  <c r="AU84" i="10"/>
  <c r="AU85" i="10"/>
  <c r="AU86" i="10"/>
  <c r="AU87" i="10"/>
  <c r="AU88" i="10"/>
  <c r="AU89" i="10"/>
  <c r="AU90" i="10"/>
  <c r="AU91" i="10"/>
  <c r="AU92" i="10"/>
  <c r="AU93" i="10"/>
  <c r="AU94" i="10"/>
  <c r="AU95" i="10"/>
  <c r="AU96" i="10"/>
  <c r="AU97" i="10"/>
  <c r="AU98" i="10"/>
  <c r="AU99" i="10"/>
  <c r="AU100" i="10"/>
  <c r="AU101" i="10"/>
  <c r="AU102" i="10"/>
  <c r="AU103" i="10"/>
  <c r="AU104" i="10"/>
  <c r="AU105" i="10"/>
  <c r="AU106" i="10"/>
  <c r="AU107" i="10"/>
  <c r="AU108" i="10"/>
  <c r="AU109" i="10"/>
  <c r="AU110" i="10"/>
  <c r="AU111" i="10"/>
  <c r="AU112" i="10"/>
  <c r="AU113" i="10"/>
  <c r="AU114" i="10"/>
  <c r="AU115" i="10"/>
  <c r="AU116" i="10"/>
  <c r="AU117" i="10"/>
  <c r="AU118" i="10"/>
  <c r="AU119" i="10"/>
  <c r="AU120" i="10"/>
  <c r="AU121" i="10"/>
  <c r="AS3" i="10"/>
  <c r="AS4" i="10"/>
  <c r="AS5" i="10"/>
  <c r="AS6" i="10"/>
  <c r="AS7" i="10"/>
  <c r="AS8" i="10"/>
  <c r="AS9" i="10"/>
  <c r="BS3" i="10" s="1"/>
  <c r="AS10" i="10"/>
  <c r="AS11" i="10"/>
  <c r="AS12" i="10"/>
  <c r="AS13" i="10"/>
  <c r="AS14" i="10"/>
  <c r="AS15" i="10"/>
  <c r="AS16" i="10"/>
  <c r="AS17" i="10"/>
  <c r="AS18" i="10"/>
  <c r="AS19" i="10"/>
  <c r="AS20" i="10"/>
  <c r="AS21" i="10"/>
  <c r="AS22" i="10"/>
  <c r="AS23" i="10"/>
  <c r="AS24" i="10"/>
  <c r="AS25" i="10"/>
  <c r="AS26" i="10"/>
  <c r="AS27" i="10"/>
  <c r="AS28" i="10"/>
  <c r="AS29" i="10"/>
  <c r="AS30" i="10"/>
  <c r="AS31" i="10"/>
  <c r="AS32" i="10"/>
  <c r="AS33" i="10"/>
  <c r="AS34" i="10"/>
  <c r="AS35" i="10"/>
  <c r="AS36" i="10"/>
  <c r="AS37" i="10"/>
  <c r="AS38" i="10"/>
  <c r="AS39" i="10"/>
  <c r="AS40" i="10"/>
  <c r="AS41" i="10"/>
  <c r="AS42" i="10"/>
  <c r="AS43" i="10"/>
  <c r="AS44" i="10"/>
  <c r="AS45" i="10"/>
  <c r="AS46" i="10"/>
  <c r="AS47" i="10"/>
  <c r="AS48" i="10"/>
  <c r="AS49" i="10"/>
  <c r="AS50" i="10"/>
  <c r="AS51" i="10"/>
  <c r="AS52" i="10"/>
  <c r="AS53" i="10"/>
  <c r="AS54" i="10"/>
  <c r="AS55" i="10"/>
  <c r="AS56" i="10"/>
  <c r="AS57" i="10"/>
  <c r="AS58" i="10"/>
  <c r="AS59" i="10"/>
  <c r="AS60" i="10"/>
  <c r="AS61" i="10"/>
  <c r="AS62" i="10"/>
  <c r="AS63" i="10"/>
  <c r="AS64" i="10"/>
  <c r="AS65" i="10"/>
  <c r="AS66" i="10"/>
  <c r="AS67" i="10"/>
  <c r="AS68" i="10"/>
  <c r="AS69" i="10"/>
  <c r="AS70" i="10"/>
  <c r="AS71" i="10"/>
  <c r="AS72" i="10"/>
  <c r="AS73" i="10"/>
  <c r="AS74" i="10"/>
  <c r="AS75" i="10"/>
  <c r="AS76" i="10"/>
  <c r="AS77" i="10"/>
  <c r="AS78" i="10"/>
  <c r="AS79" i="10"/>
  <c r="AS80" i="10"/>
  <c r="AS81" i="10"/>
  <c r="AS82" i="10"/>
  <c r="AS83" i="10"/>
  <c r="AS84" i="10"/>
  <c r="AS85" i="10"/>
  <c r="AS86" i="10"/>
  <c r="AS87" i="10"/>
  <c r="AS88" i="10"/>
  <c r="AS89" i="10"/>
  <c r="AS90" i="10"/>
  <c r="AS91" i="10"/>
  <c r="AS92" i="10"/>
  <c r="AS93" i="10"/>
  <c r="AS94" i="10"/>
  <c r="AS95" i="10"/>
  <c r="AS96" i="10"/>
  <c r="AS97" i="10"/>
  <c r="AS98" i="10"/>
  <c r="AS99" i="10"/>
  <c r="AS100" i="10"/>
  <c r="AS101" i="10"/>
  <c r="AS102" i="10"/>
  <c r="AS103" i="10"/>
  <c r="AS104" i="10"/>
  <c r="AS105" i="10"/>
  <c r="AS106" i="10"/>
  <c r="AS107" i="10"/>
  <c r="AS108" i="10"/>
  <c r="AS109" i="10"/>
  <c r="AS110" i="10"/>
  <c r="AS111" i="10"/>
  <c r="AS112" i="10"/>
  <c r="AS113" i="10"/>
  <c r="AS114" i="10"/>
  <c r="AS115" i="10"/>
  <c r="AS116" i="10"/>
  <c r="AS117" i="10"/>
  <c r="AS118" i="10"/>
  <c r="AS119" i="10"/>
  <c r="AS120" i="10"/>
  <c r="AS121" i="10"/>
  <c r="W3" i="21"/>
  <c r="V3" i="21"/>
  <c r="W2" i="21"/>
  <c r="W4" i="21"/>
  <c r="W5" i="21"/>
  <c r="W6" i="21"/>
  <c r="W7" i="21"/>
  <c r="W8" i="21"/>
  <c r="W9" i="21"/>
  <c r="W10" i="21"/>
  <c r="W11" i="21"/>
  <c r="W12" i="21"/>
  <c r="W13" i="21"/>
  <c r="W14" i="21"/>
  <c r="W15" i="21"/>
  <c r="W16" i="21"/>
  <c r="W17" i="21"/>
  <c r="W18" i="21"/>
  <c r="W19" i="21"/>
  <c r="W20" i="21"/>
  <c r="W21" i="21"/>
  <c r="W22" i="21"/>
  <c r="W23" i="21"/>
  <c r="W24" i="21"/>
  <c r="W25" i="21"/>
  <c r="W26" i="21"/>
  <c r="W27" i="21"/>
  <c r="W28" i="21"/>
  <c r="W29" i="21"/>
  <c r="W30" i="21"/>
  <c r="W31" i="21"/>
  <c r="W32" i="21"/>
  <c r="W33" i="21"/>
  <c r="W34" i="21"/>
  <c r="W35" i="21"/>
  <c r="W36" i="21"/>
  <c r="W37" i="21"/>
  <c r="W38" i="21"/>
  <c r="W39" i="21"/>
  <c r="W40" i="21"/>
  <c r="W41" i="21"/>
  <c r="W42" i="21"/>
  <c r="W43" i="21"/>
  <c r="W44" i="21"/>
  <c r="W45" i="21"/>
  <c r="W46" i="21"/>
  <c r="W47" i="21"/>
  <c r="W48" i="21"/>
  <c r="W49" i="21"/>
  <c r="W50" i="21"/>
  <c r="W51" i="21"/>
  <c r="W52" i="21"/>
  <c r="W53" i="21"/>
  <c r="W54" i="21"/>
  <c r="W55" i="21"/>
  <c r="W56" i="21"/>
  <c r="W57" i="21"/>
  <c r="W58" i="21"/>
  <c r="W59" i="21"/>
  <c r="W60" i="21"/>
  <c r="W61" i="21"/>
  <c r="W62" i="21"/>
  <c r="W63" i="21"/>
  <c r="W64" i="21"/>
  <c r="W65" i="21"/>
  <c r="W66" i="21"/>
  <c r="W67" i="21"/>
  <c r="W68" i="21"/>
  <c r="W69" i="21"/>
  <c r="W70" i="21"/>
  <c r="W71" i="21"/>
  <c r="W72" i="21"/>
  <c r="W73" i="21"/>
  <c r="W74" i="21"/>
  <c r="W75" i="21"/>
  <c r="W76" i="21"/>
  <c r="W77" i="21"/>
  <c r="W78" i="21"/>
  <c r="W79" i="21"/>
  <c r="W80" i="21"/>
  <c r="W81" i="21"/>
  <c r="W82" i="21"/>
  <c r="W83" i="21"/>
  <c r="W84" i="21"/>
  <c r="W85" i="21"/>
  <c r="W86" i="21"/>
  <c r="W87" i="21"/>
  <c r="W88" i="21"/>
  <c r="W89" i="21"/>
  <c r="W90" i="21"/>
  <c r="W91" i="21"/>
  <c r="W92" i="21"/>
  <c r="W93" i="21"/>
  <c r="W94" i="21"/>
  <c r="W95" i="21"/>
  <c r="W96" i="21"/>
  <c r="W97" i="21"/>
  <c r="W98" i="21"/>
  <c r="W99" i="21"/>
  <c r="W100" i="21"/>
  <c r="W101" i="21"/>
  <c r="W102" i="21"/>
  <c r="W103" i="21"/>
  <c r="W104" i="21"/>
  <c r="W105" i="21"/>
  <c r="W106" i="21"/>
  <c r="W107" i="21"/>
  <c r="W108" i="21"/>
  <c r="W109" i="21"/>
  <c r="V2" i="21"/>
  <c r="V4" i="21"/>
  <c r="V5" i="21"/>
  <c r="V6" i="21"/>
  <c r="V7" i="21"/>
  <c r="V8" i="21"/>
  <c r="V9" i="21"/>
  <c r="V10" i="21"/>
  <c r="V11" i="21"/>
  <c r="V12" i="21"/>
  <c r="V13" i="21"/>
  <c r="V14" i="21"/>
  <c r="V15" i="21"/>
  <c r="V16" i="21"/>
  <c r="V17" i="21"/>
  <c r="V18" i="21"/>
  <c r="V19" i="21"/>
  <c r="V20" i="21"/>
  <c r="V21" i="21"/>
  <c r="V22" i="21"/>
  <c r="V23" i="21"/>
  <c r="V24" i="21"/>
  <c r="V25" i="21"/>
  <c r="V26" i="21"/>
  <c r="V27" i="21"/>
  <c r="V28" i="21"/>
  <c r="V29" i="21"/>
  <c r="V30" i="21"/>
  <c r="V31" i="21"/>
  <c r="V32" i="21"/>
  <c r="V33" i="21"/>
  <c r="V34" i="21"/>
  <c r="V35" i="21"/>
  <c r="V36" i="21"/>
  <c r="V37" i="21"/>
  <c r="V38" i="21"/>
  <c r="V39" i="21"/>
  <c r="V40" i="21"/>
  <c r="V41" i="21"/>
  <c r="V42" i="21"/>
  <c r="V43" i="21"/>
  <c r="V44" i="21"/>
  <c r="V45" i="21"/>
  <c r="V46" i="21"/>
  <c r="V47" i="21"/>
  <c r="V48" i="21"/>
  <c r="V49" i="21"/>
  <c r="V50" i="21"/>
  <c r="V51" i="21"/>
  <c r="V52" i="21"/>
  <c r="V53" i="21"/>
  <c r="V54" i="21"/>
  <c r="V55" i="21"/>
  <c r="V56" i="21"/>
  <c r="V57" i="21"/>
  <c r="V58" i="21"/>
  <c r="V59" i="21"/>
  <c r="V60" i="21"/>
  <c r="V61" i="21"/>
  <c r="V62" i="21"/>
  <c r="V63" i="21"/>
  <c r="V64" i="21"/>
  <c r="V65" i="21"/>
  <c r="V66" i="21"/>
  <c r="V67" i="21"/>
  <c r="V68" i="21"/>
  <c r="V69" i="21"/>
  <c r="V70" i="21"/>
  <c r="V71" i="21"/>
  <c r="V72" i="21"/>
  <c r="V73" i="21"/>
  <c r="V74" i="21"/>
  <c r="V75" i="21"/>
  <c r="V76" i="21"/>
  <c r="V77" i="21"/>
  <c r="V78" i="21"/>
  <c r="V79" i="21"/>
  <c r="V80" i="21"/>
  <c r="V81" i="21"/>
  <c r="V82" i="21"/>
  <c r="V83" i="21"/>
  <c r="V84" i="21"/>
  <c r="V85" i="21"/>
  <c r="V86" i="21"/>
  <c r="V87" i="21"/>
  <c r="V88" i="21"/>
  <c r="V89" i="21"/>
  <c r="V90" i="21"/>
  <c r="V91" i="21"/>
  <c r="V92" i="21"/>
  <c r="V93" i="21"/>
  <c r="V94" i="21"/>
  <c r="V95" i="21"/>
  <c r="V96" i="21"/>
  <c r="V97" i="21"/>
  <c r="V98" i="21"/>
  <c r="V99" i="21"/>
  <c r="V100" i="21"/>
  <c r="V101" i="21"/>
  <c r="V102" i="21"/>
  <c r="V103" i="21"/>
  <c r="V104" i="21"/>
  <c r="V105" i="21"/>
  <c r="V106" i="21"/>
  <c r="V107" i="21"/>
  <c r="V108" i="21"/>
  <c r="V109" i="21"/>
  <c r="I2" i="24"/>
  <c r="I3" i="24"/>
  <c r="I4" i="24"/>
  <c r="I5" i="24"/>
  <c r="I6" i="24"/>
  <c r="I7" i="24"/>
  <c r="I8" i="24"/>
  <c r="I9" i="24"/>
  <c r="I10" i="24"/>
  <c r="I11" i="24"/>
  <c r="I12" i="24"/>
  <c r="I13" i="24"/>
  <c r="I14" i="24"/>
  <c r="I15" i="24"/>
  <c r="I16" i="24"/>
  <c r="I17" i="24"/>
  <c r="I18" i="24"/>
  <c r="I19" i="24"/>
  <c r="I20" i="24"/>
  <c r="I21" i="24"/>
  <c r="H2" i="24"/>
  <c r="H3" i="24"/>
  <c r="H4" i="24"/>
  <c r="H5" i="24"/>
  <c r="H6" i="24"/>
  <c r="H7" i="24"/>
  <c r="H8" i="24"/>
  <c r="H9" i="24"/>
  <c r="H10" i="24"/>
  <c r="H11" i="24"/>
  <c r="H12" i="24"/>
  <c r="H13" i="24"/>
  <c r="H14" i="24"/>
  <c r="H15" i="24"/>
  <c r="H16" i="24"/>
  <c r="H17" i="24"/>
  <c r="H18" i="24"/>
  <c r="H19" i="24"/>
  <c r="H20" i="24"/>
  <c r="H21" i="24"/>
  <c r="G2" i="25"/>
  <c r="G3" i="25"/>
  <c r="G4" i="25"/>
  <c r="G5" i="25"/>
  <c r="G6" i="25"/>
  <c r="G7" i="25"/>
  <c r="G8" i="25"/>
  <c r="G9" i="25"/>
  <c r="BS4" i="10" l="1"/>
  <c r="BS7" i="10"/>
  <c r="BS8" i="10"/>
  <c r="BS6" i="10"/>
  <c r="BS5" i="10"/>
  <c r="BP4" i="10"/>
  <c r="BO3" i="10"/>
  <c r="BW3" i="10" s="1"/>
  <c r="BN4" i="10"/>
  <c r="BN3" i="10"/>
  <c r="BV3" i="10" s="1"/>
  <c r="BR6" i="10"/>
  <c r="BR5" i="10"/>
  <c r="BZ5" i="10" s="1"/>
  <c r="BN8" i="10"/>
  <c r="BV8" i="10" s="1"/>
  <c r="BR4" i="10"/>
  <c r="BQ3" i="10"/>
  <c r="BY3" i="10" s="1"/>
  <c r="BN7" i="10"/>
  <c r="BN6" i="10"/>
  <c r="BV6" i="10" s="1"/>
  <c r="BQ8" i="10"/>
  <c r="BR7" i="10"/>
  <c r="BZ7" i="10" s="1"/>
  <c r="BN5" i="10"/>
  <c r="BQ7" i="10"/>
  <c r="BQ6" i="10"/>
  <c r="BP8" i="10"/>
  <c r="BO8" i="10"/>
  <c r="BO6" i="10"/>
  <c r="BO5" i="10"/>
  <c r="BP7" i="10"/>
  <c r="BP6" i="10"/>
  <c r="BQ5" i="10"/>
  <c r="BY5" i="10" s="1"/>
  <c r="BP3" i="10"/>
  <c r="BX3" i="10" s="1"/>
  <c r="BR3" i="10"/>
  <c r="BZ3" i="10" s="1"/>
  <c r="BP5" i="10"/>
  <c r="BX5" i="10" s="1"/>
  <c r="BQ4" i="10"/>
  <c r="BY4" i="10" s="1"/>
  <c r="BO7" i="10"/>
  <c r="BO4" i="10"/>
  <c r="BW4" i="10" s="1"/>
  <c r="BR8" i="10"/>
  <c r="BZ8" i="10" s="1"/>
  <c r="BV7" i="10" l="1"/>
  <c r="BZ4" i="10"/>
  <c r="BV4" i="10"/>
  <c r="BX7" i="10"/>
  <c r="BX4" i="10"/>
  <c r="BY7" i="10"/>
  <c r="BW5" i="10"/>
  <c r="BV5" i="10"/>
  <c r="CA5" i="10" s="1"/>
  <c r="BZ6" i="10"/>
  <c r="BW6" i="10"/>
  <c r="BW8" i="10"/>
  <c r="BX6" i="10"/>
  <c r="BX8" i="10"/>
  <c r="BY6" i="10"/>
  <c r="CA6" i="10"/>
  <c r="BW7" i="10"/>
  <c r="BY8" i="10"/>
  <c r="CA4" i="10"/>
  <c r="CA7" i="10" l="1"/>
  <c r="CA8"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00E8D4-B676-4F45-B927-ABFA2B594134}" keepAlive="1" name="Query - community" description="Verbinding maken met de query community in de werkmap." type="5" refreshedVersion="8" background="1" saveData="1">
    <dbPr connection="Provider=Microsoft.Mashup.OleDb.1;Data Source=$Workbook$;Location=community;Extended Properties=&quot;&quot;" command="SELECT * FROM [community]"/>
  </connection>
  <connection id="2" xr16:uid="{2654E5E0-9B0A-4D8D-912A-E5DF910B676F}" keepAlive="1" name="Query - gamesession" description="Verbinding maken met de query gamesession in de werkmap." type="5" refreshedVersion="8" background="1" saveData="1">
    <dbPr connection="Provider=Microsoft.Mashup.OleDb.1;Data Source=$Workbook$;Location=gamesession;Extended Properties=&quot;&quot;" command="SELECT * FROM [gamesession]"/>
  </connection>
  <connection id="3" xr16:uid="{0C6CD7EE-2471-4B44-B187-35937E45382B}" keepAlive="1" name="Query - gameversion" description="Verbinding maken met de query gameversion in de werkmap." type="5" refreshedVersion="8" background="1" saveData="1">
    <dbPr connection="Provider=Microsoft.Mashup.OleDb.1;Data Source=$Workbook$;Location=gameversion;Extended Properties=&quot;&quot;" command="SELECT * FROM [gameversion]"/>
  </connection>
  <connection id="4" xr16:uid="{7DD2388F-59C6-4287-B0E4-7DF4D564B545}" keepAlive="1" name="Query - group" description="Verbinding maken met de query group in de werkmap." type="5" refreshedVersion="8" background="1" saveData="1">
    <dbPr connection="Provider=Microsoft.Mashup.OleDb.1;Data Source=$Workbook$;Location=group;Extended Properties=&quot;&quot;" command="SELECT * FROM [group]"/>
  </connection>
  <connection id="5" xr16:uid="{CCDB720A-D098-4D61-81B4-7B834D50B9BD}" keepAlive="1" name="Query - groupround" description="Verbinding maken met de query groupround in de werkmap." type="5" refreshedVersion="8" background="1" saveData="1">
    <dbPr connection="Provider=Microsoft.Mashup.OleDb.1;Data Source=$Workbook$;Location=groupround;Extended Properties=&quot;&quot;" command="SELECT * FROM [groupround]"/>
  </connection>
  <connection id="6" xr16:uid="{BFF1F9BC-E452-4FE5-9123-53900BF765C7}" keepAlive="1" name="Query - groupstate" description="Verbinding maken met de query groupstate in de werkmap." type="5" refreshedVersion="8" background="1" saveData="1">
    <dbPr connection="Provider=Microsoft.Mashup.OleDb.1;Data Source=$Workbook$;Location=groupstate;Extended Properties=&quot;&quot;" command="SELECT * FROM [groupstate]"/>
  </connection>
  <connection id="7" xr16:uid="{D9BCD6EA-E0F0-4ADD-98DF-13D4C7A00255}" keepAlive="1" name="Query - house" description="Verbinding maken met de query house in de werkmap." type="5" refreshedVersion="8" background="1" saveData="1">
    <dbPr connection="Provider=Microsoft.Mashup.OleDb.1;Data Source=$Workbook$;Location=house;Extended Properties=&quot;&quot;" command="SELECT * FROM [house]"/>
  </connection>
  <connection id="8" xr16:uid="{24BB246F-EDB1-42AE-AB73-724CB76AFBDD}" keepAlive="1" name="Query - housegroup" description="Verbinding maken met de query housegroup in de werkmap." type="5" refreshedVersion="8" background="1" saveData="1">
    <dbPr connection="Provider=Microsoft.Mashup.OleDb.1;Data Source=$Workbook$;Location=housegroup;Extended Properties=&quot;&quot;" command="SELECT * FROM [housegroup]"/>
  </connection>
  <connection id="9" xr16:uid="{05DDF609-489B-4E2E-8E4B-4D09D4D62FE7}" keepAlive="1" name="Query - housemeasure" description="Verbinding maken met de query housemeasure in de werkmap." type="5" refreshedVersion="8" background="1" saveData="1">
    <dbPr connection="Provider=Microsoft.Mashup.OleDb.1;Data Source=$Workbook$;Location=housemeasure;Extended Properties=&quot;&quot;" command="SELECT * FROM [housemeasure]"/>
  </connection>
  <connection id="10" xr16:uid="{DD778EAF-AA3A-493D-8D2B-16C15015BF21}" keepAlive="1" name="Query - housetransaction" description="Verbinding maken met de query housetransaction in de werkmap." type="5" refreshedVersion="8" background="1" saveData="1">
    <dbPr connection="Provider=Microsoft.Mashup.OleDb.1;Data Source=$Workbook$;Location=housetransaction;Extended Properties=&quot;&quot;" command="SELECT * FROM [housetransaction]"/>
  </connection>
  <connection id="11" xr16:uid="{38B51658-0241-47CD-BDAD-39E5397D6D98}" keepAlive="1" name="Query - initialhousemeasure" description="Verbinding maken met de query initialhousemeasure in de werkmap." type="5" refreshedVersion="8" background="1" saveData="1">
    <dbPr connection="Provider=Microsoft.Mashup.OleDb.1;Data Source=$Workbook$;Location=initialhousemeasure;Extended Properties=&quot;&quot;" command="SELECT * FROM [initialhousemeasure]"/>
  </connection>
  <connection id="12" xr16:uid="{10049ABB-CD71-4F55-BFB7-C2C19C3B2208}" keepAlive="1" name="Query - measurecategory" description="Verbinding maken met de query measurecategory in de werkmap." type="5" refreshedVersion="8" background="1" saveData="1">
    <dbPr connection="Provider=Microsoft.Mashup.OleDb.1;Data Source=$Workbook$;Location=measurecategory;Extended Properties=&quot;&quot;" command="SELECT * FROM [measurecategory]"/>
  </connection>
  <connection id="13" xr16:uid="{07B1D7B3-AE86-4079-80B4-B0A57F13BCFB}" keepAlive="1" name="Query - measuretype" description="Verbinding maken met de query measuretype in de werkmap." type="5" refreshedVersion="8" background="1" saveData="1">
    <dbPr connection="Provider=Microsoft.Mashup.OleDb.1;Data Source=$Workbook$;Location=measuretype;Extended Properties=&quot;&quot;" command="SELECT * FROM [measuretype]"/>
  </connection>
  <connection id="14" xr16:uid="{02C64DFF-0812-4A1D-96F5-6D95776D7918}" keepAlive="1" name="Query - movingreason" description="Verbinding maken met de query movingreason in de werkmap." type="5" refreshedVersion="8" background="1" saveData="1">
    <dbPr connection="Provider=Microsoft.Mashup.OleDb.1;Data Source=$Workbook$;Location=movingreason;Extended Properties=&quot;&quot;" command="SELECT * FROM [movingreason]"/>
  </connection>
  <connection id="15" xr16:uid="{A9C3A9F6-756E-4DCA-98DD-34004506AA7E}" keepAlive="1" name="Query - newseffects" description="Verbinding maken met de query newseffects in de werkmap." type="5" refreshedVersion="8" background="1" saveData="1">
    <dbPr connection="Provider=Microsoft.Mashup.OleDb.1;Data Source=$Workbook$;Location=newseffects;Extended Properties=&quot;&quot;" command="SELECT * FROM [newseffects]"/>
  </connection>
  <connection id="16" xr16:uid="{97423651-3E53-458A-B90F-F9D2383C3C67}" keepAlive="1" name="Query - newsitem" description="Verbinding maken met de query newsitem in de werkmap." type="5" refreshedVersion="8" background="1" saveData="1">
    <dbPr connection="Provider=Microsoft.Mashup.OleDb.1;Data Source=$Workbook$;Location=newsitem;Extended Properties=&quot;&quot;" command="SELECT * FROM [newsitem]"/>
  </connection>
  <connection id="17" xr16:uid="{08A5F48C-2D28-4A38-A42F-B771B01EA847}" keepAlive="1" name="Query - personalmeasure" description="Verbinding maken met de query personalmeasure in de werkmap." type="5" refreshedVersion="8" background="1" saveData="1">
    <dbPr connection="Provider=Microsoft.Mashup.OleDb.1;Data Source=$Workbook$;Location=personalmeasure;Extended Properties=&quot;&quot;" command="SELECT * FROM [personalmeasure]"/>
  </connection>
  <connection id="18" xr16:uid="{2C29A55E-CBE4-4C6E-BF69-C9B5EB7EA074}" keepAlive="1" name="Query - player" description="Verbinding maken met de query player in de werkmap." type="5" refreshedVersion="8" background="1" saveData="1">
    <dbPr connection="Provider=Microsoft.Mashup.OleDb.1;Data Source=$Workbook$;Location=player;Extended Properties=&quot;&quot;" command="SELECT * FROM [player]"/>
  </connection>
  <connection id="19" xr16:uid="{73E3CD66-2F05-401A-8759-A803F352E473}" keepAlive="1" name="Query - playerround" description="Verbinding maken met de query playerround in de werkmap." type="5" refreshedVersion="8" background="1" saveData="1">
    <dbPr connection="Provider=Microsoft.Mashup.OleDb.1;Data Source=$Workbook$;Location=playerround;Extended Properties=&quot;&quot;" command="SELECT * FROM [playerround]"/>
  </connection>
  <connection id="20" xr16:uid="{F0976EFE-56DA-4868-B555-A7456DF33501}" keepAlive="1" name="Query - playerstate" description="Verbinding maken met de query playerstate in de werkmap." type="5" refreshedVersion="8" background="1" saveData="1">
    <dbPr connection="Provider=Microsoft.Mashup.OleDb.1;Data Source=$Workbook$;Location=playerstate;Extended Properties=&quot;&quot;" command="SELECT * FROM [playerstate]"/>
  </connection>
  <connection id="21" xr16:uid="{AFAA7F45-444C-4676-A43F-F9456663BF8D}" keepAlive="1" name="Query - question" description="Verbinding maken met de query question in de werkmap." type="5" refreshedVersion="8" background="1" saveData="1">
    <dbPr connection="Provider=Microsoft.Mashup.OleDb.1;Data Source=$Workbook$;Location=question;Extended Properties=&quot;&quot;" command="SELECT * FROM [question]"/>
  </connection>
  <connection id="22" xr16:uid="{4F646372-7466-4169-B0B6-450E0CDC9F63}" keepAlive="1" name="Query - questionitem" description="Verbinding maken met de query questionitem in de werkmap." type="5" refreshedVersion="8" background="1" saveData="1">
    <dbPr connection="Provider=Microsoft.Mashup.OleDb.1;Data Source=$Workbook$;Location=questionitem;Extended Properties=&quot;&quot;" command="SELECT * FROM [questionitem]"/>
  </connection>
  <connection id="23" xr16:uid="{4E2E14E2-EB03-4407-BBC1-FCDF4291A180}" keepAlive="1" name="Query - questionscore" description="Verbinding maken met de query questionscore in de werkmap." type="5" refreshedVersion="8" background="1" saveData="1">
    <dbPr connection="Provider=Microsoft.Mashup.OleDb.1;Data Source=$Workbook$;Location=questionscore;Extended Properties=&quot;&quot;" command="SELECT * FROM [questionscore]"/>
  </connection>
  <connection id="24" xr16:uid="{3D6C30DC-1164-43CE-B74D-EB83753AF8B8}" keepAlive="1" name="Query - scenario" description="Verbinding maken met de query scenario in de werkmap." type="5" refreshedVersion="8" background="1" saveData="1">
    <dbPr connection="Provider=Microsoft.Mashup.OleDb.1;Data Source=$Workbook$;Location=scenario;Extended Properties=&quot;&quot;" command="SELECT * FROM [scenario]"/>
  </connection>
  <connection id="25" xr16:uid="{D98D487A-64AC-481E-8170-B5B823CE01E7}" keepAlive="1" name="Query - scenarioparameters" description="Verbinding maken met de query scenarioparameters in de werkmap." type="5" refreshedVersion="8" background="1" saveData="1">
    <dbPr connection="Provider=Microsoft.Mashup.OleDb.1;Data Source=$Workbook$;Location=scenarioparameters;Extended Properties=&quot;&quot;" command="SELECT * FROM [scenarioparameters]"/>
  </connection>
  <connection id="26" xr16:uid="{0EBB7EA5-2384-44D9-BEBB-AC25C6F05AB5}" keepAlive="1" name="Query - tax" description="Verbinding maken met de query tax in de werkmap." type="5" refreshedVersion="8" background="1" saveData="1">
    <dbPr connection="Provider=Microsoft.Mashup.OleDb.1;Data Source=$Workbook$;Location=tax;Extended Properties=&quot;&quot;" command="SELECT * FROM [tax]"/>
  </connection>
  <connection id="27" xr16:uid="{E104F646-6374-40F9-A702-C1E193982E30}" keepAlive="1" name="Query - welfaretype" description="Verbinding maken met de query welfaretype in de werkmap." type="5" refreshedVersion="8" background="1" saveData="1">
    <dbPr connection="Provider=Microsoft.Mashup.OleDb.1;Data Source=$Workbook$;Location=welfaretype;Extended Properties=&quot;&quot;" command="SELECT * FROM [welfaretype]"/>
  </connection>
</connections>
</file>

<file path=xl/sharedStrings.xml><?xml version="1.0" encoding="utf-8"?>
<sst xmlns="http://schemas.openxmlformats.org/spreadsheetml/2006/main" count="4107" uniqueCount="506">
  <si>
    <t>id</t>
  </si>
  <si>
    <t>name</t>
  </si>
  <si>
    <t>initial_satisfaction</t>
  </si>
  <si>
    <t>initial_money</t>
  </si>
  <si>
    <t>maximum_mortgage</t>
  </si>
  <si>
    <t>living_costs</t>
  </si>
  <si>
    <t>round_income</t>
  </si>
  <si>
    <t>satisfaction_cost_per_point</t>
  </si>
  <si>
    <t>preferred_house_rating</t>
  </si>
  <si>
    <t>scenario_id</t>
  </si>
  <si>
    <t>Welfare 060=(50 +10 Income) +10 Living costs</t>
  </si>
  <si>
    <t>Welfare 075=(65 +10 Income) +10 Living costs+5sat</t>
  </si>
  <si>
    <t>Welfare 090=(80 +10 Income) +10 Living costs+5sat</t>
  </si>
  <si>
    <t>Welfare 110=(100 +10 Income) +10 Living costs+5sat</t>
  </si>
  <si>
    <t>Welfare 130=(120 +10 Income) +10 Living costs+5sat</t>
  </si>
  <si>
    <t>Welfare 190=(180 +10 Income) +10 Living costs+5sat</t>
  </si>
  <si>
    <t>minimum_inhabitants</t>
  </si>
  <si>
    <t>maximum_inhabitants</t>
  </si>
  <si>
    <t>tax_cost</t>
  </si>
  <si>
    <t>community_id</t>
  </si>
  <si>
    <t>Tax1-2</t>
  </si>
  <si>
    <t>Tax3</t>
  </si>
  <si>
    <t>Tax4-7</t>
  </si>
  <si>
    <t>Tax3-4</t>
  </si>
  <si>
    <t>Tax5-10</t>
  </si>
  <si>
    <t>pluvial_repair_costs_per_damage_point</t>
  </si>
  <si>
    <t>fluvial_repair_costs_per_damage_point</t>
  </si>
  <si>
    <t>pluvial_satisfaction_penalty_if_area_flooded</t>
  </si>
  <si>
    <t>pluvial_repair_costs_fixed</t>
  </si>
  <si>
    <t>fluvial_repair_costs_fixed</t>
  </si>
  <si>
    <t>fluvial_satisfaction_penalty_if_area_flooded</t>
  </si>
  <si>
    <t>pluvial_satisfaction_penalty_house_flooded_fixed</t>
  </si>
  <si>
    <t>fluvial_satisfaction_penalty_house_flooded_fixed</t>
  </si>
  <si>
    <t>pluvial_satisfaction_penalty_per_damage_point</t>
  </si>
  <si>
    <t>fluvial_satisfaction_penalty_per_damage_point</t>
  </si>
  <si>
    <t>satisfaction_debt_penalty</t>
  </si>
  <si>
    <t>satisfaction_house_rating_too_low_fixed</t>
  </si>
  <si>
    <t>satisfaction_house_rating_too_low_per_delta</t>
  </si>
  <si>
    <t>satisfaction_house_rating_per_round</t>
  </si>
  <si>
    <t>satisfaction_move_penalty</t>
  </si>
  <si>
    <t>mortgage_percentage</t>
  </si>
  <si>
    <t>allow_personal_satisfaction_neg</t>
  </si>
  <si>
    <t>allow_house_satisfaction_neg</t>
  </si>
  <si>
    <t>allow_total_satisfaction_neg</t>
  </si>
  <si>
    <t>highest_pluvial_score</t>
  </si>
  <si>
    <t>highest_fluvial_score</t>
  </si>
  <si>
    <t>news_discount_in_euros</t>
  </si>
  <si>
    <t>default_language_id</t>
  </si>
  <si>
    <t>Standard params EN</t>
  </si>
  <si>
    <t>information_amount</t>
  </si>
  <si>
    <t>minimum_players</t>
  </si>
  <si>
    <t>maximum_players</t>
  </si>
  <si>
    <t>highest_round_number</t>
  </si>
  <si>
    <t>scenarioparameters_id</t>
  </si>
  <si>
    <t>gameversion_id</t>
  </si>
  <si>
    <t>description</t>
  </si>
  <si>
    <t>With Info</t>
  </si>
  <si>
    <t/>
  </si>
  <si>
    <t>answer</t>
  </si>
  <si>
    <t>late_answer</t>
  </si>
  <si>
    <t>playerround_id</t>
  </si>
  <si>
    <t>question_id</t>
  </si>
  <si>
    <t>type</t>
  </si>
  <si>
    <t>question_number</t>
  </si>
  <si>
    <t>min_value</t>
  </si>
  <si>
    <t>max_value</t>
  </si>
  <si>
    <t>max_length</t>
  </si>
  <si>
    <t>SELECT</t>
  </si>
  <si>
    <t>Question 1.</t>
  </si>
  <si>
    <t>How do you judge the flooding risk of your house after the improvements you made?</t>
  </si>
  <si>
    <t>Question 2.</t>
  </si>
  <si>
    <t>How confident are you that the flood protection from the public measures in your community will protect your house against flooding?</t>
  </si>
  <si>
    <t>code</t>
  </si>
  <si>
    <t>I won't get flooded</t>
  </si>
  <si>
    <t>If I get flooded, I won't get damaged</t>
  </si>
  <si>
    <t>I might suffer minor damage</t>
  </si>
  <si>
    <t>I will suffer some damage</t>
  </si>
  <si>
    <t>I will get seriously damaged</t>
  </si>
  <si>
    <t>Absolutely not confident</t>
  </si>
  <si>
    <t>Not confident</t>
  </si>
  <si>
    <t>Inconclusive</t>
  </si>
  <si>
    <t>Somehow confident</t>
  </si>
  <si>
    <t>Absolutely confident</t>
  </si>
  <si>
    <t>timestamp</t>
  </si>
  <si>
    <t>player_state</t>
  </si>
  <si>
    <t>content</t>
  </si>
  <si>
    <t>LOGIN</t>
  </si>
  <si>
    <t>Round=0</t>
  </si>
  <si>
    <t>READ_BUDGET</t>
  </si>
  <si>
    <t>READ_NEWS</t>
  </si>
  <si>
    <t>VIEW_BUY_HOUSE</t>
  </si>
  <si>
    <t>BUY_HOUSE_WAIT</t>
  </si>
  <si>
    <t>BOUGHT_HOUSE</t>
  </si>
  <si>
    <t>Transaction=APPROVED_BUY
House=N07</t>
  </si>
  <si>
    <t>VIEW_TAXES</t>
  </si>
  <si>
    <t>VIEW_IMPROVEMENTS</t>
  </si>
  <si>
    <t>ANSWER_SURVEY</t>
  </si>
  <si>
    <t>SURVEY_COMPLETED</t>
  </si>
  <si>
    <t>VIEW_DAMAGE</t>
  </si>
  <si>
    <t>VIEW_SUMMARY</t>
  </si>
  <si>
    <t>VIEW_SELL_HOUSE</t>
  </si>
  <si>
    <t>STAY_HOUSE_WAIT</t>
  </si>
  <si>
    <t>STAYED_HOUSE</t>
  </si>
  <si>
    <t>Transaction=APPROVED_BUY
House=N04</t>
  </si>
  <si>
    <t>Transaction=APPROVED_BUY
House=U09</t>
  </si>
  <si>
    <t>SELL_HOUSE_WAIT</t>
  </si>
  <si>
    <t>Transaction=APPROVED_SELL</t>
  </si>
  <si>
    <t>Transaction=APPROVED_BUY
House=U08</t>
  </si>
  <si>
    <t>Transaction=APPROVED_BUY
House=D10</t>
  </si>
  <si>
    <t>Transaction=APPROVED_BUY
House=U05</t>
  </si>
  <si>
    <t>Transaction=APPROVED_BUY
House=N05</t>
  </si>
  <si>
    <t>Transaction=APPROVED_BUY
House=N03</t>
  </si>
  <si>
    <t>Transaction=APPROVED_BUY
House=D05</t>
  </si>
  <si>
    <t>Transaction=APPROVED_BUY
House=N06</t>
  </si>
  <si>
    <t>Transaction=APPROVED_BUY
House=D02</t>
  </si>
  <si>
    <t>Transaction=APPROVED_BUY
House=D08</t>
  </si>
  <si>
    <t>Transaction=APPROVED_BUY
House=D04</t>
  </si>
  <si>
    <t>Transaction=APPROVED_BUY
House=N02</t>
  </si>
  <si>
    <t>Transaction=APPROVED_BUY
House=U10</t>
  </si>
  <si>
    <t>create_time</t>
  </si>
  <si>
    <t>paid_debt</t>
  </si>
  <si>
    <t>mortgage_payment</t>
  </si>
  <si>
    <t>profit_sold_house</t>
  </si>
  <si>
    <t>spent_savings_for_buying_house</t>
  </si>
  <si>
    <t>cost_taxes</t>
  </si>
  <si>
    <t>cost_house_measures_bought</t>
  </si>
  <si>
    <t>cost_personal_measures_bought</t>
  </si>
  <si>
    <t>cost_fluvial_damage</t>
  </si>
  <si>
    <t>cost_pluvial_damage</t>
  </si>
  <si>
    <t>spendable_income</t>
  </si>
  <si>
    <t>satisfaction_house_rating_delta</t>
  </si>
  <si>
    <t>satisfaction_house_measures</t>
  </si>
  <si>
    <t>satisfaction_personal_measures</t>
  </si>
  <si>
    <t>satisfaction_fluvial_penalty</t>
  </si>
  <si>
    <t>satisfaction_pluvial_penalty</t>
  </si>
  <si>
    <t>satisfaction_total</t>
  </si>
  <si>
    <t>mortgage_house_start</t>
  </si>
  <si>
    <t>mortgage_left_start</t>
  </si>
  <si>
    <t>house_price_sold</t>
  </si>
  <si>
    <t>house_price_bought</t>
  </si>
  <si>
    <t>mortgage_house_end</t>
  </si>
  <si>
    <t>mortgage_left_end</t>
  </si>
  <si>
    <t>movingreason_id</t>
  </si>
  <si>
    <t>moving_reason_other</t>
  </si>
  <si>
    <t>pluvial_base_protection</t>
  </si>
  <si>
    <t>fluvial_base_protection</t>
  </si>
  <si>
    <t>pluvial_community_delta</t>
  </si>
  <si>
    <t>fluvial_community_delta</t>
  </si>
  <si>
    <t>pluvial_house_delta</t>
  </si>
  <si>
    <t>fluvial_house_delta</t>
  </si>
  <si>
    <t>player_id</t>
  </si>
  <si>
    <t>groupround_id</t>
  </si>
  <si>
    <t>start_housegroup_id</t>
  </si>
  <si>
    <t>final_housegroup_id</t>
  </si>
  <si>
    <t>active_transaction_id</t>
  </si>
  <si>
    <t>user_id</t>
  </si>
  <si>
    <t>group_id</t>
  </si>
  <si>
    <t>welfaretype_id</t>
  </si>
  <si>
    <t>t1p1</t>
  </si>
  <si>
    <t>t1p2</t>
  </si>
  <si>
    <t>t1p3</t>
  </si>
  <si>
    <t>t1p4</t>
  </si>
  <si>
    <t>t1p5</t>
  </si>
  <si>
    <t>t1p6</t>
  </si>
  <si>
    <t>t1p7</t>
  </si>
  <si>
    <t>t1p8</t>
  </si>
  <si>
    <t>t2p1</t>
  </si>
  <si>
    <t>t2p2</t>
  </si>
  <si>
    <t>t2p3</t>
  </si>
  <si>
    <t>t2p4</t>
  </si>
  <si>
    <t>t2p5</t>
  </si>
  <si>
    <t>t2p6</t>
  </si>
  <si>
    <t>t2p7</t>
  </si>
  <si>
    <t>t2p8</t>
  </si>
  <si>
    <t>t3p1</t>
  </si>
  <si>
    <t>t3p2</t>
  </si>
  <si>
    <t>t3p3</t>
  </si>
  <si>
    <t>t3p4</t>
  </si>
  <si>
    <t>t3p5</t>
  </si>
  <si>
    <t>t3p6</t>
  </si>
  <si>
    <t>t3p7</t>
  </si>
  <si>
    <t>t3p8</t>
  </si>
  <si>
    <t>t4p1</t>
  </si>
  <si>
    <t>t4p2</t>
  </si>
  <si>
    <t>t4p3</t>
  </si>
  <si>
    <t>t4p4</t>
  </si>
  <si>
    <t>t4p5</t>
  </si>
  <si>
    <t>t4p6</t>
  </si>
  <si>
    <t>t4p7</t>
  </si>
  <si>
    <t>t4p8</t>
  </si>
  <si>
    <t>t5p1</t>
  </si>
  <si>
    <t>t5p2</t>
  </si>
  <si>
    <t>t5p3</t>
  </si>
  <si>
    <t>t5p4</t>
  </si>
  <si>
    <t>t5p5</t>
  </si>
  <si>
    <t>t5p6</t>
  </si>
  <si>
    <t>t5p7</t>
  </si>
  <si>
    <t>t5p8</t>
  </si>
  <si>
    <t>t6p1</t>
  </si>
  <si>
    <t>t6p2</t>
  </si>
  <si>
    <t>t6p3</t>
  </si>
  <si>
    <t>t6p4</t>
  </si>
  <si>
    <t>t6p5</t>
  </si>
  <si>
    <t>t6p6</t>
  </si>
  <si>
    <t>t6p7</t>
  </si>
  <si>
    <t>t6p8</t>
  </si>
  <si>
    <t>t7p1</t>
  </si>
  <si>
    <t>t7p2</t>
  </si>
  <si>
    <t>t7p3</t>
  </si>
  <si>
    <t>t7p4</t>
  </si>
  <si>
    <t>t7p5</t>
  </si>
  <si>
    <t>t7p6</t>
  </si>
  <si>
    <t>t7p7</t>
  </si>
  <si>
    <t>t7p8</t>
  </si>
  <si>
    <t>t8p1</t>
  </si>
  <si>
    <t>t8p2</t>
  </si>
  <si>
    <t>t8p3</t>
  </si>
  <si>
    <t>t8p4</t>
  </si>
  <si>
    <t>t8p5</t>
  </si>
  <si>
    <t>t8p6</t>
  </si>
  <si>
    <t>t8p7</t>
  </si>
  <si>
    <t>t8p8</t>
  </si>
  <si>
    <t>bought_in_round</t>
  </si>
  <si>
    <t>measuretype_id</t>
  </si>
  <si>
    <t>housegroup_id</t>
  </si>
  <si>
    <t>used_in_round</t>
  </si>
  <si>
    <t>summary</t>
  </si>
  <si>
    <t>round_number</t>
  </si>
  <si>
    <t>0: General Introduction</t>
  </si>
  <si>
    <t>The aim of the game is to achieve the highest satisfaction possible by increasing satisfaction with the game choices you make or the remaining spendable income at the end of the game._x000D_
While playing, you will learn which choices helped you to protect your house and yourself, given the assigned budget and expectations.</t>
  </si>
  <si>
    <t>The aim of the game is to achieve the highest satisfaction possible with the game choices you make or the remaining spendable income at the end of the game. While playing, you will learn which choices helped you to protect your house and yourself, given the assigned budget and expectations. Check at the top of your screen that you are in the right table, and player code._x000D_
_x000D_
At the top, you will also see that every player starts with a satisfaction score and a spendable income that differs per player. When logging in, the savings/debt are the spendable income. When the facilitator starts a new round, the spendable income changes by the round income minus the living costs that come every round but differ per player._x000D_
_x000D_
Has anyone in your family recently bought a house? Likewise, in your budget and expectations dropdown, you will see the fixed maximum house mortgage you can afford. Your house expectations translated on a rating from 1 to 10. Take one-minute to check your budget and expectations along with the spendable income and satisfaction scores calculations. Ask questions to the facilitator.</t>
  </si>
  <si>
    <t>1: Introduction</t>
  </si>
  <si>
    <t>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penalty.</t>
  </si>
  <si>
    <t>Where we move on the game map? There are three communities, each is a housing area. Diketown and Unbesvillage has each 10 houses. Natucity has only 7 houses because it has more nature. Not all houses are available to buy at the moment. What do you know about each community? *Natucity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pentalty*_x000D_
_x000D_
When more than one player wants the same house, players bid without knowing each other's bid. The higher bid wins. The other player choose among the remaining houses. You can move now and in the last round when new houses become available again. You can always improve your house rating when making house improvements. A house rating below the desired one has only one-satisfaction penalty now. Instead, a one-point satisfaction penalty applies every round you are in debt.</t>
  </si>
  <si>
    <t>2: Flood damages explanation reminder</t>
  </si>
  <si>
    <t>For river floods, house damage =  (Community river protection + house river protection) - flood level of the 12-dice throw.  _x000D_
_x000D_
For rain floods, House damage =  (Community rain protection + house rain protection) - flood level of the 10-dice throw.  _x000D_
_x000D_
For flood due to river, you pay 4k per damage point deficit and get as much satisfaction as a penalty. An extra satisfaction penalty applies because of the damages in the community. _x000D_
_x000D_
For flood due to rain, you pay one-point damage (4k) and one-point satisfaction penalty regardless of the protection deficit.</t>
  </si>
  <si>
    <t>Any questions on how to calculate the flood damage? *For river floods, house damage =  (Community river protection + house river protection) - flood level of the 12-dice throw.  _x000D_
_x000D_
For rain floods, House damage =  (Community rain protection + house rain protection) - flood level of the 10-dice throw.  _x000D_
_x000D_
For flood due to river, you pay 4k per damage point deficit and get as much satisfaction as a penalty. An extra satisfaction penalty applies because of the damages in the community. _x000D_
_x000D_
For flood due to rain, you pay one-point damage (4k) and one-point satisfaction penalty regardless of the protection deficit._x000D_
*</t>
  </si>
  <si>
    <t>3: Climate change</t>
  </si>
  <si>
    <t>Climate change lowers protection levels of all communities by -1 for the river and -2 for the rain protection.</t>
  </si>
  <si>
    <t>More rain on the way: More heavy rainfall over the next years will result in more floodings. *Climate change lowers protection levels of all communities by -1 for the river and -2 for the rain protection.</t>
  </si>
  <si>
    <t>4: Taxes Naturcity +5k</t>
  </si>
  <si>
    <t>*The taxes of Natucity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</si>
  <si>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Nature enhance water quality, reduce air pollution, and conserve natural habitats. This, in turn, results in human well-being and biodiversity benefits. However, due to the increasing demand in such areas, the municipality had to increase the taxes to maintain the area. The municipality used the taxes to improve the area._x000D_
_x000D_
*The taxes of the Natucity area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</si>
  <si>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house_discount_round1</t>
  </si>
  <si>
    <t>house_discount_round2</t>
  </si>
  <si>
    <t>house_discount_round3</t>
  </si>
  <si>
    <t>house_discount_effect_pluvial</t>
  </si>
  <si>
    <t>house_discount_effect_fluvial</t>
  </si>
  <si>
    <t>house_discount_community</t>
  </si>
  <si>
    <t>pluvial_protection_change</t>
  </si>
  <si>
    <t>fluvial_protection_change</t>
  </si>
  <si>
    <t>tax_change</t>
  </si>
  <si>
    <t>satisfaction_living_bonus</t>
  </si>
  <si>
    <t>satisfaction_move_change</t>
  </si>
  <si>
    <t>newsitem_id</t>
  </si>
  <si>
    <t>More rain</t>
  </si>
  <si>
    <t>Taxes + bonus protection and satisfaction</t>
  </si>
  <si>
    <t>sequence_number</t>
  </si>
  <si>
    <t>key</t>
  </si>
  <si>
    <t>reason_text</t>
  </si>
  <si>
    <t>is_other</t>
  </si>
  <si>
    <t>1. House lookout</t>
  </si>
  <si>
    <t>Like the house lookout</t>
  </si>
  <si>
    <t>2. Satisfaction</t>
  </si>
  <si>
    <t>Increase house satisfaction rating</t>
  </si>
  <si>
    <t>3. Area protection</t>
  </si>
  <si>
    <t>Relocate to a better protected area</t>
  </si>
  <si>
    <t>4. House protection</t>
  </si>
  <si>
    <t>Get a house with better flood protection measures</t>
  </si>
  <si>
    <t>5. Decrease expenses</t>
  </si>
  <si>
    <t>Decrease house-related expenses</t>
  </si>
  <si>
    <t>6. Other</t>
  </si>
  <si>
    <t>Other</t>
  </si>
  <si>
    <t>short_alias</t>
  </si>
  <si>
    <t>cost_absolute</t>
  </si>
  <si>
    <t>cost_percentage_income</t>
  </si>
  <si>
    <t>cost_percentage_house</t>
  </si>
  <si>
    <t>satisfaction_delta_once</t>
  </si>
  <si>
    <t>satisfaction_delta_permanent</t>
  </si>
  <si>
    <t>pluvial_protection_delta</t>
  </si>
  <si>
    <t>fluvial_protection_delta</t>
  </si>
  <si>
    <t>house_value_delta_abs</t>
  </si>
  <si>
    <t>house_value_delta_perc</t>
  </si>
  <si>
    <t>valid_one_round</t>
  </si>
  <si>
    <t>valid_until_used</t>
  </si>
  <si>
    <t>house_measure</t>
  </si>
  <si>
    <t>measurecategory_id</t>
  </si>
  <si>
    <t>category_sequence_nr</t>
  </si>
  <si>
    <t>priority</t>
  </si>
  <si>
    <t>Green garden</t>
  </si>
  <si>
    <t>Green Garden with open pavement</t>
  </si>
  <si>
    <t>Creating a green garden space can help your garden soak up more water during long periods of rain. This can help in, e.g., urban areas.</t>
  </si>
  <si>
    <t>Self-activating wall</t>
  </si>
  <si>
    <t>Self-activating flood wall</t>
  </si>
  <si>
    <t>Install steel walls which will automatically rise when a flood is detected. This will shut the water out of your house.</t>
  </si>
  <si>
    <t>Underground rainbarrel</t>
  </si>
  <si>
    <t>Rain barrels are typically connected to gutter downspouts and collect the runoff from roofs. You can use this stored water for uses such as watering the garden, washing your car or flushing your toilet.</t>
  </si>
  <si>
    <t>Waterproof walls, floors</t>
  </si>
  <si>
    <t>Waterproof walls and floors</t>
  </si>
  <si>
    <t>Choose walling and floors that are not easily damaged by water and will protect the structure underneath. If a flood does happen, this will lessen the damage the water does.</t>
  </si>
  <si>
    <t>Sandbags</t>
  </si>
  <si>
    <t>When a flood is happening, you can use these sandbags to protect your doors and house. It is a cheaper alternative, but they cannot be used again once they are used.</t>
  </si>
  <si>
    <t>Modest house renovations</t>
  </si>
  <si>
    <t>Small renovations to the house, such as painting, flooring, carpets.</t>
  </si>
  <si>
    <t>Structural house changes</t>
  </si>
  <si>
    <t>Large renovation to your house,_x000D_
like adding a room or balcony</t>
  </si>
  <si>
    <t>Personal improvements</t>
  </si>
  <si>
    <t>Trip, studying, etc.</t>
  </si>
  <si>
    <t>Flood insurance</t>
  </si>
  <si>
    <t>Insurance for river and rain flooding.</t>
  </si>
  <si>
    <t>explanation</t>
  </si>
  <si>
    <t>sequence_nr</t>
  </si>
  <si>
    <t>Flood adaptation</t>
  </si>
  <si>
    <t>(costs are the same for all players)</t>
  </si>
  <si>
    <t>These are measures related to the house the player is living in.</t>
  </si>
  <si>
    <t>Satisfaction measures</t>
  </si>
  <si>
    <t>Insurance measures</t>
  </si>
  <si>
    <t>Insurance for both flood and rain damage.</t>
  </si>
  <si>
    <t>house_id</t>
  </si>
  <si>
    <t>N02 steel walls</t>
  </si>
  <si>
    <t>N03 Flood wall</t>
  </si>
  <si>
    <t>N03 Rain Barrel</t>
  </si>
  <si>
    <t>N06 sandbags</t>
  </si>
  <si>
    <t>D06 water resist</t>
  </si>
  <si>
    <t>D06 flood wall</t>
  </si>
  <si>
    <t>D07 flood wall</t>
  </si>
  <si>
    <t>D07 water resist</t>
  </si>
  <si>
    <t>D08 Green Garden</t>
  </si>
  <si>
    <t>D08 Waterproof walls</t>
  </si>
  <si>
    <t>U02 flood wall</t>
  </si>
  <si>
    <t>U03 green garden</t>
  </si>
  <si>
    <t>U03 flood wall</t>
  </si>
  <si>
    <t>U06 sandbags</t>
  </si>
  <si>
    <t>U07 flood wall</t>
  </si>
  <si>
    <t>U07 walls floors</t>
  </si>
  <si>
    <t>U08 ground level</t>
  </si>
  <si>
    <t>price</t>
  </si>
  <si>
    <t>comment</t>
  </si>
  <si>
    <t>transaction_status</t>
  </si>
  <si>
    <t>APPROVED_BUY</t>
  </si>
  <si>
    <t>APPROVED_STAY</t>
  </si>
  <si>
    <t>APPROVED_SELL</t>
  </si>
  <si>
    <t>REJECTED_BUY</t>
  </si>
  <si>
    <t>REJECTED_SELL</t>
  </si>
  <si>
    <t>address</t>
  </si>
  <si>
    <t>rating</t>
  </si>
  <si>
    <t>original_price</t>
  </si>
  <si>
    <t>damage_reduction</t>
  </si>
  <si>
    <t>market_value</t>
  </si>
  <si>
    <t>last_sold_price</t>
  </si>
  <si>
    <t>house_satisfaction</t>
  </si>
  <si>
    <t>status</t>
  </si>
  <si>
    <t>fluvial_house_protection</t>
  </si>
  <si>
    <t>pluvial_house_protection</t>
  </si>
  <si>
    <t>last_round_comm_fluvial</t>
  </si>
  <si>
    <t>last_round_comm_pluvial</t>
  </si>
  <si>
    <t>last_round_house_fluvial</t>
  </si>
  <si>
    <t>last_round_house_pluvial</t>
  </si>
  <si>
    <t>owner_id</t>
  </si>
  <si>
    <t>N01</t>
  </si>
  <si>
    <t>Stickroad 17</t>
  </si>
  <si>
    <t>NOT_AVAILABLE</t>
  </si>
  <si>
    <t>N04</t>
  </si>
  <si>
    <t xml:space="preserve">Twiglane 8_x000D_
</t>
  </si>
  <si>
    <t>OCCUPIED</t>
  </si>
  <si>
    <t>N05</t>
  </si>
  <si>
    <t>Twiglane 5</t>
  </si>
  <si>
    <t>AVAILABLE</t>
  </si>
  <si>
    <t>N07</t>
  </si>
  <si>
    <t xml:space="preserve">Leafstreet 26_x000D_
</t>
  </si>
  <si>
    <t>D01</t>
  </si>
  <si>
    <t xml:space="preserve">Stonelane 13_x000D_
</t>
  </si>
  <si>
    <t>D02</t>
  </si>
  <si>
    <t>Stonelane 11</t>
  </si>
  <si>
    <t>D04</t>
  </si>
  <si>
    <t xml:space="preserve">Steelstreet 22_x000D_
</t>
  </si>
  <si>
    <t>D05</t>
  </si>
  <si>
    <t xml:space="preserve">Steelstreet 20_x000D_
</t>
  </si>
  <si>
    <t>D09</t>
  </si>
  <si>
    <t>Brickroad 4</t>
  </si>
  <si>
    <t>D10</t>
  </si>
  <si>
    <t xml:space="preserve">Brickroad 6_x000D_
</t>
  </si>
  <si>
    <t>U01</t>
  </si>
  <si>
    <t xml:space="preserve">Woolstreet 33_x000D_
</t>
  </si>
  <si>
    <t>U04</t>
  </si>
  <si>
    <t xml:space="preserve">Grassroad 54_x000D_
</t>
  </si>
  <si>
    <t>U05</t>
  </si>
  <si>
    <t>Grassroad 52</t>
  </si>
  <si>
    <t>U09</t>
  </si>
  <si>
    <t>Twiglane 44</t>
  </si>
  <si>
    <t>U10</t>
  </si>
  <si>
    <t>Twiglane 48</t>
  </si>
  <si>
    <t>N02</t>
  </si>
  <si>
    <t>Twiglane 7</t>
  </si>
  <si>
    <t>N03</t>
  </si>
  <si>
    <t xml:space="preserve">Stickroad 21_x000D_
_x000D_
</t>
  </si>
  <si>
    <t>N06</t>
  </si>
  <si>
    <t>Leafstreet 28</t>
  </si>
  <si>
    <t>D03</t>
  </si>
  <si>
    <t>Stonelane 15</t>
  </si>
  <si>
    <t>D06</t>
  </si>
  <si>
    <t>Steelstreet 25</t>
  </si>
  <si>
    <t>D07</t>
  </si>
  <si>
    <t xml:space="preserve">Steelstreet 23_x000D_
_x000D_
</t>
  </si>
  <si>
    <t>D08</t>
  </si>
  <si>
    <t xml:space="preserve">Brickroad 8_x000D_
_x000D_
</t>
  </si>
  <si>
    <t>U02</t>
  </si>
  <si>
    <t>Woolstreet 37</t>
  </si>
  <si>
    <t>U03</t>
  </si>
  <si>
    <t xml:space="preserve">Woolstreet 35_x000D_
_x000D_
</t>
  </si>
  <si>
    <t>U06</t>
  </si>
  <si>
    <t>Grassroad 51</t>
  </si>
  <si>
    <t>U07</t>
  </si>
  <si>
    <t>Grassroad 53</t>
  </si>
  <si>
    <t>U08</t>
  </si>
  <si>
    <t>Twiglane 46</t>
  </si>
  <si>
    <t>available_round</t>
  </si>
  <si>
    <t>initial_pluvial_protection</t>
  </si>
  <si>
    <t>initial_fluvial_protection</t>
  </si>
  <si>
    <t>group_state</t>
  </si>
  <si>
    <t>NEW_ROUND</t>
  </si>
  <si>
    <t>Round=1</t>
  </si>
  <si>
    <t>ANNOUNCE_NEWS</t>
  </si>
  <si>
    <t>SHOW_HOUSES_BUY</t>
  </si>
  <si>
    <t>ALLOW_BUYING</t>
  </si>
  <si>
    <t>BUYING_FINISHED</t>
  </si>
  <si>
    <t>SHOW_TAXES</t>
  </si>
  <si>
    <t>ALLOW_IMPROVEMENTS</t>
  </si>
  <si>
    <t>SHOW_SURVEY</t>
  </si>
  <si>
    <t>ROLLED_DICE</t>
  </si>
  <si>
    <t>Fluvial=9
Pluvial=6</t>
  </si>
  <si>
    <t>SHOW_SUMMARY</t>
  </si>
  <si>
    <t>Round=2</t>
  </si>
  <si>
    <t>SHOW_HOUSES_SELL</t>
  </si>
  <si>
    <t>ALLOW_SELLING</t>
  </si>
  <si>
    <t>Fluvial=6
Pluvial=1</t>
  </si>
  <si>
    <t>Round=3</t>
  </si>
  <si>
    <t>Round=4</t>
  </si>
  <si>
    <t>Fluvial=6
Pluvial=8</t>
  </si>
  <si>
    <t>Fluvial=2
Pluvial=2</t>
  </si>
  <si>
    <t>Fluvial=9
Pluvial=10</t>
  </si>
  <si>
    <t>Fluvial=3
Pluvial=5</t>
  </si>
  <si>
    <t>Fluvial=5
Pluvial=1</t>
  </si>
  <si>
    <t>Fluvial=8
Pluvial=7</t>
  </si>
  <si>
    <t>Fluvial=4
Pluvial=6</t>
  </si>
  <si>
    <t>Fluvial=6
Pluvial=4</t>
  </si>
  <si>
    <t>Fluvial=7
Pluvial=9</t>
  </si>
  <si>
    <t>Fluvial=7
Pluvial=4</t>
  </si>
  <si>
    <t>Fluvial=7
Pluvial=7</t>
  </si>
  <si>
    <t>Fluvial=4
Pluvial=1</t>
  </si>
  <si>
    <t>pluvial_flood_intensity</t>
  </si>
  <si>
    <t>fluvial_flood_intensity</t>
  </si>
  <si>
    <t>password</t>
  </si>
  <si>
    <t>gamesession_id</t>
  </si>
  <si>
    <t>facilitator_id</t>
  </si>
  <si>
    <t>Table1</t>
  </si>
  <si>
    <t>WWM</t>
  </si>
  <si>
    <t>Table2</t>
  </si>
  <si>
    <t>Table3</t>
  </si>
  <si>
    <t>Table4</t>
  </si>
  <si>
    <t>Table5</t>
  </si>
  <si>
    <t>Table6</t>
  </si>
  <si>
    <t>Table7</t>
  </si>
  <si>
    <t>Table8</t>
  </si>
  <si>
    <t>location</t>
  </si>
  <si>
    <t>date</t>
  </si>
  <si>
    <t>start_time</t>
  </si>
  <si>
    <t>end_time</t>
  </si>
  <si>
    <t>251007_VerzekeraarsMasterClass</t>
  </si>
  <si>
    <t>IA</t>
  </si>
  <si>
    <t>languagegroup_id</t>
  </si>
  <si>
    <t>Game Version 2025-09 English</t>
  </si>
  <si>
    <t>Board: Lowered flood protection from round 1 onward._x000D_
Adjusted news messages._x000D_
_x000D_
Welfares: 065, 080, 095, 115, 135, 195. Increase initial satisfaction._x000D_
Houses_x000D_
U09, U05, D09, D02, N05 available in R1_x000D_
U02, D06, D03, N06 available in R4_x000D_
N02 &amp; U07, removed water pump so -1 in rainfall protection._x000D_
D06, instead of installing a water pump, self-activating flood wall and water-resistant walls &amp; floors_x000D_
Measures: _x000D_
Remove water pump installation_x000D_
Water-resistant walls &amp; underground rain barrel 15Euro. Self-activating flood wall 20k._x000D_
Adjusted price of flood insurance and protection for both rain and river._x000D_
Session_x000D_
2509 EPA_x000D_
2510 Insurances</t>
  </si>
  <si>
    <t>capacity</t>
  </si>
  <si>
    <t>fluvial_protection</t>
  </si>
  <si>
    <t>pluvial_protection</t>
  </si>
  <si>
    <t>Naturcity</t>
  </si>
  <si>
    <t>Dyketown</t>
  </si>
  <si>
    <t>Unbesvillage</t>
  </si>
  <si>
    <t xml:space="preserve">Added gamesession_name </t>
  </si>
  <si>
    <t>Added group_name</t>
  </si>
  <si>
    <t>Added group_gamesession_name</t>
  </si>
  <si>
    <t>Added player_code</t>
  </si>
  <si>
    <t>Added group_gamesessions_name</t>
  </si>
  <si>
    <t>Added playerround groupround_housegroup_code</t>
  </si>
  <si>
    <t>Added playerround housegroup_last_sold_price</t>
  </si>
  <si>
    <t>Added playerround_roundincome</t>
  </si>
  <si>
    <t>Added_Player_Welfaretype</t>
  </si>
  <si>
    <t>Added_groupround_roundnumber</t>
  </si>
  <si>
    <t>Som van cost_house_measures_bought</t>
  </si>
  <si>
    <t>Som van Added_Player_Welfaretype</t>
  </si>
  <si>
    <t>Added_Mortgage_Savingsspent</t>
  </si>
  <si>
    <t>Added_Cost_RainRIverDamage</t>
  </si>
  <si>
    <t>Welfare type</t>
  </si>
  <si>
    <t>Mortgage</t>
  </si>
  <si>
    <t>Debt</t>
  </si>
  <si>
    <t xml:space="preserve">Personal </t>
  </si>
  <si>
    <t xml:space="preserve">House </t>
  </si>
  <si>
    <t>Damage</t>
  </si>
  <si>
    <t xml:space="preserve">Income </t>
  </si>
  <si>
    <t>Mortgage_Pct</t>
  </si>
  <si>
    <t>Dept_PCt</t>
  </si>
  <si>
    <t>Personal_Pct</t>
  </si>
  <si>
    <t>House_Pct</t>
  </si>
  <si>
    <t>Damage_Pct</t>
  </si>
  <si>
    <t>Overig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</si>
</sst>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0" fontId="1" fillId="0" borderId="0" xfId="0" applyFont="1"/>
    <xf numFmtId="0" fontId="0" fillId="0" borderId="0" xfId="0" applyAlignment="1">
      <alignment wrapText="1"/>
    </xf>
  </cellXfs>
  <cellStyles count="1">
    <cellStyle name="Standaard" xfId="0" builtinId="0"/>
  </cellStyles>
  <dxfs count="6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yyyy\ hh:mm"/>
    </dxf>
    <dxf>
      <numFmt numFmtId="0" formatCode="General"/>
    </dxf>
    <dxf>
      <numFmt numFmtId="0" formatCode="General"/>
    </dxf>
    <dxf>
      <numFmt numFmtId="0" formatCode="General"/>
    </dxf>
    <dxf>
      <numFmt numFmtId="27" formatCode="d/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yyyy\ hh:mm"/>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onnections" Target="connections.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1.xml"/><Relationship Id="rId35"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pivotSource>
    <c:name>[BEP map1.xlsx]Blad2!Draaitabel1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Blad2!$A$3</c:f>
              <c:strCache>
                <c:ptCount val="1"/>
                <c:pt idx="0">
                  <c:v>Som van cost_house_measures_bought</c:v>
                </c:pt>
              </c:strCache>
            </c:strRef>
          </c:tx>
          <c:spPr>
            <a:solidFill>
              <a:schemeClr val="accent1"/>
            </a:solidFill>
            <a:ln>
              <a:noFill/>
            </a:ln>
            <a:effectLst/>
          </c:spPr>
          <c:invertIfNegative val="0"/>
          <c:cat>
            <c:strRef>
              <c:f>Blad2!$A$4</c:f>
              <c:strCache>
                <c:ptCount val="1"/>
                <c:pt idx="0">
                  <c:v>Totaal</c:v>
                </c:pt>
              </c:strCache>
            </c:strRef>
          </c:cat>
          <c:val>
            <c:numRef>
              <c:f>Blad2!$A$4</c:f>
              <c:numCache>
                <c:formatCode>General</c:formatCode>
                <c:ptCount val="1"/>
                <c:pt idx="0">
                  <c:v>592000</c:v>
                </c:pt>
              </c:numCache>
            </c:numRef>
          </c:val>
          <c:extLst>
            <c:ext xmlns:c16="http://schemas.microsoft.com/office/drawing/2014/chart" uri="{C3380CC4-5D6E-409C-BE32-E72D297353CC}">
              <c16:uniqueId val="{00000000-5435-4AA0-B4EE-EA9E50B3B205}"/>
            </c:ext>
          </c:extLst>
        </c:ser>
        <c:ser>
          <c:idx val="1"/>
          <c:order val="1"/>
          <c:tx>
            <c:strRef>
              <c:f>Blad2!$B$3</c:f>
              <c:strCache>
                <c:ptCount val="1"/>
                <c:pt idx="0">
                  <c:v>Som van Added_Player_Welfaretype</c:v>
                </c:pt>
              </c:strCache>
            </c:strRef>
          </c:tx>
          <c:spPr>
            <a:solidFill>
              <a:schemeClr val="accent2"/>
            </a:solidFill>
            <a:ln>
              <a:noFill/>
            </a:ln>
            <a:effectLst/>
          </c:spPr>
          <c:invertIfNegative val="0"/>
          <c:cat>
            <c:strRef>
              <c:f>Blad2!$A$4</c:f>
              <c:strCache>
                <c:ptCount val="1"/>
                <c:pt idx="0">
                  <c:v>Totaal</c:v>
                </c:pt>
              </c:strCache>
            </c:strRef>
          </c:cat>
          <c:val>
            <c:numRef>
              <c:f>Blad2!$B$4</c:f>
              <c:numCache>
                <c:formatCode>General</c:formatCode>
                <c:ptCount val="1"/>
                <c:pt idx="0">
                  <c:v>15060</c:v>
                </c:pt>
              </c:numCache>
            </c:numRef>
          </c:val>
          <c:extLst>
            <c:ext xmlns:c16="http://schemas.microsoft.com/office/drawing/2014/chart" uri="{C3380CC4-5D6E-409C-BE32-E72D297353CC}">
              <c16:uniqueId val="{00000002-5435-4AA0-B4EE-EA9E50B3B205}"/>
            </c:ext>
          </c:extLst>
        </c:ser>
        <c:dLbls>
          <c:showLegendKey val="0"/>
          <c:showVal val="0"/>
          <c:showCatName val="0"/>
          <c:showSerName val="0"/>
          <c:showPercent val="0"/>
          <c:showBubbleSize val="0"/>
        </c:dLbls>
        <c:gapWidth val="219"/>
        <c:overlap val="-27"/>
        <c:axId val="413275471"/>
        <c:axId val="413273071"/>
      </c:barChart>
      <c:catAx>
        <c:axId val="41327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413273071"/>
        <c:crosses val="autoZero"/>
        <c:auto val="1"/>
        <c:lblAlgn val="ctr"/>
        <c:lblOffset val="100"/>
        <c:noMultiLvlLbl val="0"/>
      </c:catAx>
      <c:valAx>
        <c:axId val="413273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41327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barChart>
        <c:barDir val="col"/>
        <c:grouping val="percentStacked"/>
        <c:varyColors val="0"/>
        <c:ser>
          <c:idx val="0"/>
          <c:order val="0"/>
          <c:tx>
            <c:strRef>
              <c:f>playerround!$BV$2</c:f>
              <c:strCache>
                <c:ptCount val="1"/>
                <c:pt idx="0">
                  <c:v>Mortgage_Pct</c:v>
                </c:pt>
              </c:strCache>
            </c:strRef>
          </c:tx>
          <c:spPr>
            <a:solidFill>
              <a:schemeClr val="accent1"/>
            </a:solidFill>
            <a:ln>
              <a:noFill/>
            </a:ln>
            <a:effectLst/>
          </c:spPr>
          <c:invertIfNegative val="0"/>
          <c:cat>
            <c:numRef>
              <c:f>playerround!$BU$3:$BU$8</c:f>
              <c:numCache>
                <c:formatCode>General</c:formatCode>
                <c:ptCount val="6"/>
                <c:pt idx="0">
                  <c:v>123</c:v>
                </c:pt>
                <c:pt idx="1">
                  <c:v>124</c:v>
                </c:pt>
                <c:pt idx="2">
                  <c:v>125</c:v>
                </c:pt>
                <c:pt idx="3">
                  <c:v>126</c:v>
                </c:pt>
                <c:pt idx="4">
                  <c:v>127</c:v>
                </c:pt>
                <c:pt idx="5">
                  <c:v>128</c:v>
                </c:pt>
              </c:numCache>
            </c:numRef>
          </c:cat>
          <c:val>
            <c:numRef>
              <c:f>playerround!$BV$3:$BV$8</c:f>
              <c:numCache>
                <c:formatCode>General</c:formatCode>
                <c:ptCount val="6"/>
                <c:pt idx="0">
                  <c:v>9.4166666666666662E-2</c:v>
                </c:pt>
                <c:pt idx="1">
                  <c:v>0.104</c:v>
                </c:pt>
                <c:pt idx="2">
                  <c:v>8.9444444444444438E-2</c:v>
                </c:pt>
                <c:pt idx="3">
                  <c:v>0.11363636363636363</c:v>
                </c:pt>
                <c:pt idx="4">
                  <c:v>9.6153846153846159E-2</c:v>
                </c:pt>
                <c:pt idx="5">
                  <c:v>9.3157894736842106E-2</c:v>
                </c:pt>
              </c:numCache>
            </c:numRef>
          </c:val>
          <c:extLst>
            <c:ext xmlns:c16="http://schemas.microsoft.com/office/drawing/2014/chart" uri="{C3380CC4-5D6E-409C-BE32-E72D297353CC}">
              <c16:uniqueId val="{00000000-700A-4858-B537-2EBF9ACA9A3A}"/>
            </c:ext>
          </c:extLst>
        </c:ser>
        <c:ser>
          <c:idx val="1"/>
          <c:order val="1"/>
          <c:tx>
            <c:strRef>
              <c:f>playerround!$BW$2</c:f>
              <c:strCache>
                <c:ptCount val="1"/>
                <c:pt idx="0">
                  <c:v>Dept_PCt</c:v>
                </c:pt>
              </c:strCache>
            </c:strRef>
          </c:tx>
          <c:spPr>
            <a:solidFill>
              <a:schemeClr val="accent2"/>
            </a:solidFill>
            <a:ln>
              <a:noFill/>
            </a:ln>
            <a:effectLst/>
          </c:spPr>
          <c:invertIfNegative val="0"/>
          <c:cat>
            <c:numRef>
              <c:f>playerround!$BU$3:$BU$8</c:f>
              <c:numCache>
                <c:formatCode>General</c:formatCode>
                <c:ptCount val="6"/>
                <c:pt idx="0">
                  <c:v>123</c:v>
                </c:pt>
                <c:pt idx="1">
                  <c:v>124</c:v>
                </c:pt>
                <c:pt idx="2">
                  <c:v>125</c:v>
                </c:pt>
                <c:pt idx="3">
                  <c:v>126</c:v>
                </c:pt>
                <c:pt idx="4">
                  <c:v>127</c:v>
                </c:pt>
                <c:pt idx="5">
                  <c:v>128</c:v>
                </c:pt>
              </c:numCache>
            </c:numRef>
          </c:cat>
          <c:val>
            <c:numRef>
              <c:f>playerround!$BW$3:$BW$8</c:f>
              <c:numCache>
                <c:formatCode>General</c:formatCode>
                <c:ptCount val="6"/>
                <c:pt idx="0">
                  <c:v>4.3666666666666666E-2</c:v>
                </c:pt>
                <c:pt idx="1">
                  <c:v>1.555E-2</c:v>
                </c:pt>
                <c:pt idx="2">
                  <c:v>1.15E-2</c:v>
                </c:pt>
                <c:pt idx="3">
                  <c:v>0</c:v>
                </c:pt>
                <c:pt idx="4">
                  <c:v>0</c:v>
                </c:pt>
                <c:pt idx="5">
                  <c:v>0</c:v>
                </c:pt>
              </c:numCache>
            </c:numRef>
          </c:val>
          <c:extLst>
            <c:ext xmlns:c16="http://schemas.microsoft.com/office/drawing/2014/chart" uri="{C3380CC4-5D6E-409C-BE32-E72D297353CC}">
              <c16:uniqueId val="{00000001-700A-4858-B537-2EBF9ACA9A3A}"/>
            </c:ext>
          </c:extLst>
        </c:ser>
        <c:ser>
          <c:idx val="2"/>
          <c:order val="2"/>
          <c:tx>
            <c:strRef>
              <c:f>playerround!$BX$2</c:f>
              <c:strCache>
                <c:ptCount val="1"/>
                <c:pt idx="0">
                  <c:v>Personal_Pct</c:v>
                </c:pt>
              </c:strCache>
            </c:strRef>
          </c:tx>
          <c:spPr>
            <a:solidFill>
              <a:schemeClr val="accent3"/>
            </a:solidFill>
            <a:ln>
              <a:noFill/>
            </a:ln>
            <a:effectLst/>
          </c:spPr>
          <c:invertIfNegative val="0"/>
          <c:cat>
            <c:numRef>
              <c:f>playerround!$BU$3:$BU$8</c:f>
              <c:numCache>
                <c:formatCode>General</c:formatCode>
                <c:ptCount val="6"/>
                <c:pt idx="0">
                  <c:v>123</c:v>
                </c:pt>
                <c:pt idx="1">
                  <c:v>124</c:v>
                </c:pt>
                <c:pt idx="2">
                  <c:v>125</c:v>
                </c:pt>
                <c:pt idx="3">
                  <c:v>126</c:v>
                </c:pt>
                <c:pt idx="4">
                  <c:v>127</c:v>
                </c:pt>
                <c:pt idx="5">
                  <c:v>128</c:v>
                </c:pt>
              </c:numCache>
            </c:numRef>
          </c:cat>
          <c:val>
            <c:numRef>
              <c:f>playerround!$BX$3:$BX$8</c:f>
              <c:numCache>
                <c:formatCode>General</c:formatCode>
                <c:ptCount val="6"/>
                <c:pt idx="0">
                  <c:v>2.7208333333333334E-2</c:v>
                </c:pt>
                <c:pt idx="1">
                  <c:v>3.9116666666666668E-2</c:v>
                </c:pt>
                <c:pt idx="2">
                  <c:v>5.0194444444444444E-2</c:v>
                </c:pt>
                <c:pt idx="3">
                  <c:v>7.2943181818181824E-2</c:v>
                </c:pt>
                <c:pt idx="4">
                  <c:v>0.10182692307692308</c:v>
                </c:pt>
                <c:pt idx="5">
                  <c:v>9.5703947368421055E-2</c:v>
                </c:pt>
              </c:numCache>
            </c:numRef>
          </c:val>
          <c:extLst>
            <c:ext xmlns:c16="http://schemas.microsoft.com/office/drawing/2014/chart" uri="{C3380CC4-5D6E-409C-BE32-E72D297353CC}">
              <c16:uniqueId val="{00000002-700A-4858-B537-2EBF9ACA9A3A}"/>
            </c:ext>
          </c:extLst>
        </c:ser>
        <c:ser>
          <c:idx val="3"/>
          <c:order val="3"/>
          <c:tx>
            <c:strRef>
              <c:f>playerround!$BY$2</c:f>
              <c:strCache>
                <c:ptCount val="1"/>
                <c:pt idx="0">
                  <c:v>House_Pct</c:v>
                </c:pt>
              </c:strCache>
            </c:strRef>
          </c:tx>
          <c:spPr>
            <a:solidFill>
              <a:schemeClr val="accent4"/>
            </a:solidFill>
            <a:ln>
              <a:noFill/>
            </a:ln>
            <a:effectLst/>
          </c:spPr>
          <c:invertIfNegative val="0"/>
          <c:cat>
            <c:numRef>
              <c:f>playerround!$BU$3:$BU$8</c:f>
              <c:numCache>
                <c:formatCode>General</c:formatCode>
                <c:ptCount val="6"/>
                <c:pt idx="0">
                  <c:v>123</c:v>
                </c:pt>
                <c:pt idx="1">
                  <c:v>124</c:v>
                </c:pt>
                <c:pt idx="2">
                  <c:v>125</c:v>
                </c:pt>
                <c:pt idx="3">
                  <c:v>126</c:v>
                </c:pt>
                <c:pt idx="4">
                  <c:v>127</c:v>
                </c:pt>
                <c:pt idx="5">
                  <c:v>128</c:v>
                </c:pt>
              </c:numCache>
            </c:numRef>
          </c:cat>
          <c:val>
            <c:numRef>
              <c:f>playerround!$BY$3:$BY$8</c:f>
              <c:numCache>
                <c:formatCode>General</c:formatCode>
                <c:ptCount val="6"/>
                <c:pt idx="0">
                  <c:v>4.4166666666666667E-2</c:v>
                </c:pt>
                <c:pt idx="1">
                  <c:v>4.4666666666666667E-2</c:v>
                </c:pt>
                <c:pt idx="2">
                  <c:v>4.7222222222222221E-2</c:v>
                </c:pt>
                <c:pt idx="3">
                  <c:v>5.0909090909090911E-2</c:v>
                </c:pt>
                <c:pt idx="4">
                  <c:v>5.0384615384615382E-2</c:v>
                </c:pt>
                <c:pt idx="5">
                  <c:v>3.7894736842105266E-2</c:v>
                </c:pt>
              </c:numCache>
            </c:numRef>
          </c:val>
          <c:extLst>
            <c:ext xmlns:c16="http://schemas.microsoft.com/office/drawing/2014/chart" uri="{C3380CC4-5D6E-409C-BE32-E72D297353CC}">
              <c16:uniqueId val="{00000003-700A-4858-B537-2EBF9ACA9A3A}"/>
            </c:ext>
          </c:extLst>
        </c:ser>
        <c:ser>
          <c:idx val="4"/>
          <c:order val="4"/>
          <c:tx>
            <c:strRef>
              <c:f>playerround!$BZ$2</c:f>
              <c:strCache>
                <c:ptCount val="1"/>
                <c:pt idx="0">
                  <c:v>Damage_Pct</c:v>
                </c:pt>
              </c:strCache>
            </c:strRef>
          </c:tx>
          <c:spPr>
            <a:solidFill>
              <a:schemeClr val="accent5"/>
            </a:solidFill>
            <a:ln>
              <a:noFill/>
            </a:ln>
            <a:effectLst/>
          </c:spPr>
          <c:invertIfNegative val="0"/>
          <c:cat>
            <c:numRef>
              <c:f>playerround!$BU$3:$BU$8</c:f>
              <c:numCache>
                <c:formatCode>General</c:formatCode>
                <c:ptCount val="6"/>
                <c:pt idx="0">
                  <c:v>123</c:v>
                </c:pt>
                <c:pt idx="1">
                  <c:v>124</c:v>
                </c:pt>
                <c:pt idx="2">
                  <c:v>125</c:v>
                </c:pt>
                <c:pt idx="3">
                  <c:v>126</c:v>
                </c:pt>
                <c:pt idx="4">
                  <c:v>127</c:v>
                </c:pt>
                <c:pt idx="5">
                  <c:v>128</c:v>
                </c:pt>
              </c:numCache>
            </c:numRef>
          </c:cat>
          <c:val>
            <c:numRef>
              <c:f>playerround!$BZ$3:$BZ$8</c:f>
              <c:numCache>
                <c:formatCode>General</c:formatCode>
                <c:ptCount val="6"/>
                <c:pt idx="0">
                  <c:v>0.04</c:v>
                </c:pt>
                <c:pt idx="1">
                  <c:v>2.1333333333333333E-2</c:v>
                </c:pt>
                <c:pt idx="2">
                  <c:v>1.3333333333333334E-2</c:v>
                </c:pt>
                <c:pt idx="3">
                  <c:v>5.454545454545455E-3</c:v>
                </c:pt>
                <c:pt idx="4">
                  <c:v>3.0769230769230769E-3</c:v>
                </c:pt>
                <c:pt idx="5">
                  <c:v>3.1578947368421052E-3</c:v>
                </c:pt>
              </c:numCache>
            </c:numRef>
          </c:val>
          <c:extLst>
            <c:ext xmlns:c16="http://schemas.microsoft.com/office/drawing/2014/chart" uri="{C3380CC4-5D6E-409C-BE32-E72D297353CC}">
              <c16:uniqueId val="{00000004-700A-4858-B537-2EBF9ACA9A3A}"/>
            </c:ext>
          </c:extLst>
        </c:ser>
        <c:ser>
          <c:idx val="5"/>
          <c:order val="5"/>
          <c:tx>
            <c:strRef>
              <c:f>playerround!$CA$2</c:f>
              <c:strCache>
                <c:ptCount val="1"/>
                <c:pt idx="0">
                  <c:v>Overig</c:v>
                </c:pt>
              </c:strCache>
            </c:strRef>
          </c:tx>
          <c:spPr>
            <a:solidFill>
              <a:schemeClr val="accent6"/>
            </a:solidFill>
            <a:ln>
              <a:noFill/>
            </a:ln>
            <a:effectLst/>
          </c:spPr>
          <c:invertIfNegative val="0"/>
          <c:cat>
            <c:numRef>
              <c:f>playerround!$BU$3:$BU$8</c:f>
              <c:numCache>
                <c:formatCode>General</c:formatCode>
                <c:ptCount val="6"/>
                <c:pt idx="0">
                  <c:v>123</c:v>
                </c:pt>
                <c:pt idx="1">
                  <c:v>124</c:v>
                </c:pt>
                <c:pt idx="2">
                  <c:v>125</c:v>
                </c:pt>
                <c:pt idx="3">
                  <c:v>126</c:v>
                </c:pt>
                <c:pt idx="4">
                  <c:v>127</c:v>
                </c:pt>
                <c:pt idx="5">
                  <c:v>128</c:v>
                </c:pt>
              </c:numCache>
            </c:numRef>
          </c:cat>
          <c:val>
            <c:numRef>
              <c:f>playerround!$CA$3:$CA$8</c:f>
              <c:numCache>
                <c:formatCode>General</c:formatCode>
                <c:ptCount val="6"/>
                <c:pt idx="0">
                  <c:v>0.75079166666666663</c:v>
                </c:pt>
                <c:pt idx="1">
                  <c:v>0.77533333333333332</c:v>
                </c:pt>
                <c:pt idx="2">
                  <c:v>0.78830555555555559</c:v>
                </c:pt>
                <c:pt idx="3">
                  <c:v>0.75705681818181814</c:v>
                </c:pt>
                <c:pt idx="4">
                  <c:v>0.74855769230769231</c:v>
                </c:pt>
                <c:pt idx="5">
                  <c:v>0.77008552631578953</c:v>
                </c:pt>
              </c:numCache>
            </c:numRef>
          </c:val>
          <c:extLst>
            <c:ext xmlns:c16="http://schemas.microsoft.com/office/drawing/2014/chart" uri="{C3380CC4-5D6E-409C-BE32-E72D297353CC}">
              <c16:uniqueId val="{00000005-700A-4858-B537-2EBF9ACA9A3A}"/>
            </c:ext>
          </c:extLst>
        </c:ser>
        <c:dLbls>
          <c:showLegendKey val="0"/>
          <c:showVal val="0"/>
          <c:showCatName val="0"/>
          <c:showSerName val="0"/>
          <c:showPercent val="0"/>
          <c:showBubbleSize val="0"/>
        </c:dLbls>
        <c:gapWidth val="150"/>
        <c:overlap val="100"/>
        <c:axId val="348278543"/>
        <c:axId val="348279023"/>
      </c:barChart>
      <c:catAx>
        <c:axId val="34827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348279023"/>
        <c:crosses val="autoZero"/>
        <c:auto val="1"/>
        <c:lblAlgn val="ctr"/>
        <c:lblOffset val="100"/>
        <c:noMultiLvlLbl val="0"/>
      </c:catAx>
      <c:valAx>
        <c:axId val="348279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348278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100%</a:t>
            </a:r>
            <a:r>
              <a:rPr lang="nl-NL" baseline="0"/>
              <a:t> bar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barChart>
        <c:barDir val="col"/>
        <c:grouping val="percentStacked"/>
        <c:varyColors val="0"/>
        <c:ser>
          <c:idx val="0"/>
          <c:order val="0"/>
          <c:tx>
            <c:strRef>
              <c:f>playerround!$BN$2</c:f>
              <c:strCache>
                <c:ptCount val="1"/>
                <c:pt idx="0">
                  <c:v>Mortgage</c:v>
                </c:pt>
              </c:strCache>
            </c:strRef>
          </c:tx>
          <c:spPr>
            <a:solidFill>
              <a:schemeClr val="accent1"/>
            </a:solidFill>
            <a:ln>
              <a:noFill/>
            </a:ln>
            <a:effectLst/>
          </c:spPr>
          <c:invertIfNegative val="0"/>
          <c:cat>
            <c:numRef>
              <c:f>playerround!$BM$3:$BM$8</c:f>
              <c:numCache>
                <c:formatCode>General</c:formatCode>
                <c:ptCount val="6"/>
                <c:pt idx="0">
                  <c:v>123</c:v>
                </c:pt>
                <c:pt idx="1">
                  <c:v>124</c:v>
                </c:pt>
                <c:pt idx="2">
                  <c:v>125</c:v>
                </c:pt>
                <c:pt idx="3">
                  <c:v>126</c:v>
                </c:pt>
                <c:pt idx="4">
                  <c:v>127</c:v>
                </c:pt>
                <c:pt idx="5">
                  <c:v>128</c:v>
                </c:pt>
              </c:numCache>
            </c:numRef>
          </c:cat>
          <c:val>
            <c:numRef>
              <c:f>playerround!$BN$3:$BN$8</c:f>
              <c:numCache>
                <c:formatCode>General</c:formatCode>
                <c:ptCount val="6"/>
                <c:pt idx="0">
                  <c:v>113000</c:v>
                </c:pt>
                <c:pt idx="1">
                  <c:v>156000</c:v>
                </c:pt>
                <c:pt idx="2">
                  <c:v>161000</c:v>
                </c:pt>
                <c:pt idx="3">
                  <c:v>250000</c:v>
                </c:pt>
                <c:pt idx="4">
                  <c:v>250000</c:v>
                </c:pt>
                <c:pt idx="5">
                  <c:v>354000</c:v>
                </c:pt>
              </c:numCache>
            </c:numRef>
          </c:val>
          <c:extLst>
            <c:ext xmlns:c16="http://schemas.microsoft.com/office/drawing/2014/chart" uri="{C3380CC4-5D6E-409C-BE32-E72D297353CC}">
              <c16:uniqueId val="{00000000-1415-4C10-B4B8-A24C5EA44BCD}"/>
            </c:ext>
          </c:extLst>
        </c:ser>
        <c:ser>
          <c:idx val="1"/>
          <c:order val="1"/>
          <c:tx>
            <c:strRef>
              <c:f>playerround!$BO$2</c:f>
              <c:strCache>
                <c:ptCount val="1"/>
                <c:pt idx="0">
                  <c:v>Debt</c:v>
                </c:pt>
              </c:strCache>
            </c:strRef>
          </c:tx>
          <c:spPr>
            <a:solidFill>
              <a:schemeClr val="accent2"/>
            </a:solidFill>
            <a:ln>
              <a:noFill/>
            </a:ln>
            <a:effectLst/>
          </c:spPr>
          <c:invertIfNegative val="0"/>
          <c:cat>
            <c:numRef>
              <c:f>playerround!$BM$3:$BM$8</c:f>
              <c:numCache>
                <c:formatCode>General</c:formatCode>
                <c:ptCount val="6"/>
                <c:pt idx="0">
                  <c:v>123</c:v>
                </c:pt>
                <c:pt idx="1">
                  <c:v>124</c:v>
                </c:pt>
                <c:pt idx="2">
                  <c:v>125</c:v>
                </c:pt>
                <c:pt idx="3">
                  <c:v>126</c:v>
                </c:pt>
                <c:pt idx="4">
                  <c:v>127</c:v>
                </c:pt>
                <c:pt idx="5">
                  <c:v>128</c:v>
                </c:pt>
              </c:numCache>
            </c:numRef>
          </c:cat>
          <c:val>
            <c:numRef>
              <c:f>playerround!$BO$3:$BO$8</c:f>
              <c:numCache>
                <c:formatCode>General</c:formatCode>
                <c:ptCount val="6"/>
                <c:pt idx="0">
                  <c:v>52400</c:v>
                </c:pt>
                <c:pt idx="1">
                  <c:v>23325</c:v>
                </c:pt>
                <c:pt idx="2">
                  <c:v>20700</c:v>
                </c:pt>
                <c:pt idx="3">
                  <c:v>0</c:v>
                </c:pt>
                <c:pt idx="4">
                  <c:v>0</c:v>
                </c:pt>
                <c:pt idx="5">
                  <c:v>0</c:v>
                </c:pt>
              </c:numCache>
            </c:numRef>
          </c:val>
          <c:extLst>
            <c:ext xmlns:c16="http://schemas.microsoft.com/office/drawing/2014/chart" uri="{C3380CC4-5D6E-409C-BE32-E72D297353CC}">
              <c16:uniqueId val="{00000001-1415-4C10-B4B8-A24C5EA44BCD}"/>
            </c:ext>
          </c:extLst>
        </c:ser>
        <c:ser>
          <c:idx val="2"/>
          <c:order val="2"/>
          <c:tx>
            <c:strRef>
              <c:f>playerround!$BP$2</c:f>
              <c:strCache>
                <c:ptCount val="1"/>
                <c:pt idx="0">
                  <c:v>Personal </c:v>
                </c:pt>
              </c:strCache>
            </c:strRef>
          </c:tx>
          <c:spPr>
            <a:solidFill>
              <a:schemeClr val="accent3"/>
            </a:solidFill>
            <a:ln>
              <a:noFill/>
            </a:ln>
            <a:effectLst/>
          </c:spPr>
          <c:invertIfNegative val="0"/>
          <c:cat>
            <c:numRef>
              <c:f>playerround!$BM$3:$BM$8</c:f>
              <c:numCache>
                <c:formatCode>General</c:formatCode>
                <c:ptCount val="6"/>
                <c:pt idx="0">
                  <c:v>123</c:v>
                </c:pt>
                <c:pt idx="1">
                  <c:v>124</c:v>
                </c:pt>
                <c:pt idx="2">
                  <c:v>125</c:v>
                </c:pt>
                <c:pt idx="3">
                  <c:v>126</c:v>
                </c:pt>
                <c:pt idx="4">
                  <c:v>127</c:v>
                </c:pt>
                <c:pt idx="5">
                  <c:v>128</c:v>
                </c:pt>
              </c:numCache>
            </c:numRef>
          </c:cat>
          <c:val>
            <c:numRef>
              <c:f>playerround!$BP$3:$BP$8</c:f>
              <c:numCache>
                <c:formatCode>General</c:formatCode>
                <c:ptCount val="6"/>
                <c:pt idx="0">
                  <c:v>32650</c:v>
                </c:pt>
                <c:pt idx="1">
                  <c:v>58675</c:v>
                </c:pt>
                <c:pt idx="2">
                  <c:v>90350</c:v>
                </c:pt>
                <c:pt idx="3">
                  <c:v>160475</c:v>
                </c:pt>
                <c:pt idx="4">
                  <c:v>264750</c:v>
                </c:pt>
                <c:pt idx="5">
                  <c:v>363675</c:v>
                </c:pt>
              </c:numCache>
            </c:numRef>
          </c:val>
          <c:extLst>
            <c:ext xmlns:c16="http://schemas.microsoft.com/office/drawing/2014/chart" uri="{C3380CC4-5D6E-409C-BE32-E72D297353CC}">
              <c16:uniqueId val="{00000002-1415-4C10-B4B8-A24C5EA44BCD}"/>
            </c:ext>
          </c:extLst>
        </c:ser>
        <c:ser>
          <c:idx val="3"/>
          <c:order val="3"/>
          <c:tx>
            <c:strRef>
              <c:f>playerround!$BQ$2</c:f>
              <c:strCache>
                <c:ptCount val="1"/>
                <c:pt idx="0">
                  <c:v>House </c:v>
                </c:pt>
              </c:strCache>
            </c:strRef>
          </c:tx>
          <c:spPr>
            <a:solidFill>
              <a:schemeClr val="accent4"/>
            </a:solidFill>
            <a:ln>
              <a:noFill/>
            </a:ln>
            <a:effectLst/>
          </c:spPr>
          <c:invertIfNegative val="0"/>
          <c:cat>
            <c:numRef>
              <c:f>playerround!$BM$3:$BM$8</c:f>
              <c:numCache>
                <c:formatCode>General</c:formatCode>
                <c:ptCount val="6"/>
                <c:pt idx="0">
                  <c:v>123</c:v>
                </c:pt>
                <c:pt idx="1">
                  <c:v>124</c:v>
                </c:pt>
                <c:pt idx="2">
                  <c:v>125</c:v>
                </c:pt>
                <c:pt idx="3">
                  <c:v>126</c:v>
                </c:pt>
                <c:pt idx="4">
                  <c:v>127</c:v>
                </c:pt>
                <c:pt idx="5">
                  <c:v>128</c:v>
                </c:pt>
              </c:numCache>
            </c:numRef>
          </c:cat>
          <c:val>
            <c:numRef>
              <c:f>playerround!$BQ$3:$BQ$8</c:f>
              <c:numCache>
                <c:formatCode>General</c:formatCode>
                <c:ptCount val="6"/>
                <c:pt idx="0">
                  <c:v>53000</c:v>
                </c:pt>
                <c:pt idx="1">
                  <c:v>67000</c:v>
                </c:pt>
                <c:pt idx="2">
                  <c:v>85000</c:v>
                </c:pt>
                <c:pt idx="3">
                  <c:v>112000</c:v>
                </c:pt>
                <c:pt idx="4">
                  <c:v>131000</c:v>
                </c:pt>
                <c:pt idx="5">
                  <c:v>144000</c:v>
                </c:pt>
              </c:numCache>
            </c:numRef>
          </c:val>
          <c:extLst>
            <c:ext xmlns:c16="http://schemas.microsoft.com/office/drawing/2014/chart" uri="{C3380CC4-5D6E-409C-BE32-E72D297353CC}">
              <c16:uniqueId val="{00000003-1415-4C10-B4B8-A24C5EA44BCD}"/>
            </c:ext>
          </c:extLst>
        </c:ser>
        <c:ser>
          <c:idx val="4"/>
          <c:order val="4"/>
          <c:tx>
            <c:strRef>
              <c:f>playerround!$BR$2</c:f>
              <c:strCache>
                <c:ptCount val="1"/>
                <c:pt idx="0">
                  <c:v>Damage</c:v>
                </c:pt>
              </c:strCache>
            </c:strRef>
          </c:tx>
          <c:spPr>
            <a:solidFill>
              <a:schemeClr val="accent5"/>
            </a:solidFill>
            <a:ln>
              <a:noFill/>
            </a:ln>
            <a:effectLst/>
          </c:spPr>
          <c:invertIfNegative val="0"/>
          <c:cat>
            <c:numRef>
              <c:f>playerround!$BM$3:$BM$8</c:f>
              <c:numCache>
                <c:formatCode>General</c:formatCode>
                <c:ptCount val="6"/>
                <c:pt idx="0">
                  <c:v>123</c:v>
                </c:pt>
                <c:pt idx="1">
                  <c:v>124</c:v>
                </c:pt>
                <c:pt idx="2">
                  <c:v>125</c:v>
                </c:pt>
                <c:pt idx="3">
                  <c:v>126</c:v>
                </c:pt>
                <c:pt idx="4">
                  <c:v>127</c:v>
                </c:pt>
                <c:pt idx="5">
                  <c:v>128</c:v>
                </c:pt>
              </c:numCache>
            </c:numRef>
          </c:cat>
          <c:val>
            <c:numRef>
              <c:f>playerround!$BR$3:$BR$8</c:f>
              <c:numCache>
                <c:formatCode>General</c:formatCode>
                <c:ptCount val="6"/>
                <c:pt idx="0">
                  <c:v>48000</c:v>
                </c:pt>
                <c:pt idx="1">
                  <c:v>32000</c:v>
                </c:pt>
                <c:pt idx="2">
                  <c:v>24000</c:v>
                </c:pt>
                <c:pt idx="3">
                  <c:v>12000</c:v>
                </c:pt>
                <c:pt idx="4">
                  <c:v>8000</c:v>
                </c:pt>
                <c:pt idx="5">
                  <c:v>12000</c:v>
                </c:pt>
              </c:numCache>
            </c:numRef>
          </c:val>
          <c:extLst>
            <c:ext xmlns:c16="http://schemas.microsoft.com/office/drawing/2014/chart" uri="{C3380CC4-5D6E-409C-BE32-E72D297353CC}">
              <c16:uniqueId val="{00000004-1415-4C10-B4B8-A24C5EA44BCD}"/>
            </c:ext>
          </c:extLst>
        </c:ser>
        <c:dLbls>
          <c:showLegendKey val="0"/>
          <c:showVal val="0"/>
          <c:showCatName val="0"/>
          <c:showSerName val="0"/>
          <c:showPercent val="0"/>
          <c:showBubbleSize val="0"/>
        </c:dLbls>
        <c:gapWidth val="150"/>
        <c:overlap val="100"/>
        <c:axId val="793315712"/>
        <c:axId val="793317632"/>
      </c:barChart>
      <c:catAx>
        <c:axId val="79331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793317632"/>
        <c:crosses val="autoZero"/>
        <c:auto val="1"/>
        <c:lblAlgn val="ctr"/>
        <c:lblOffset val="100"/>
        <c:noMultiLvlLbl val="0"/>
      </c:catAx>
      <c:valAx>
        <c:axId val="7933176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793315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boxWhisker" uniqueId="{00000002-B6DD-4844-AABD-57A75984C397}">
          <cx:tx>
            <cx:txData>
              <cx:f>_xlchart.v1.1</cx:f>
              <cx:v>cost_house_measures_bought</cx:v>
            </cx:txData>
          </cx:tx>
          <cx:dataId val="0"/>
          <cx:layoutPr>
            <cx:statistics quartileMethod="exclusive"/>
          </cx:layoutPr>
        </cx:series>
      </cx:plotAreaRegion>
      <cx:axis id="0">
        <cx:catScaling gapWidth="1"/>
        <cx:title>
          <cx:tx>
            <cx:txData>
              <cx:v>Welfare type</cx:v>
            </cx:txData>
          </cx:tx>
          <cx:txPr>
            <a:bodyPr spcFirstLastPara="1" vertOverflow="ellipsis" horzOverflow="overflow" wrap="square" lIns="0" tIns="0" rIns="0" bIns="0" anchor="ctr" anchorCtr="1"/>
            <a:lstStyle/>
            <a:p>
              <a:pPr algn="ctr" rtl="0">
                <a:defRPr/>
              </a:pPr>
              <a:r>
                <a:rPr lang="nl-NL" sz="900" b="0" i="0" u="none" strike="noStrike" baseline="0">
                  <a:solidFill>
                    <a:sysClr val="windowText" lastClr="000000">
                      <a:lumMod val="65000"/>
                      <a:lumOff val="35000"/>
                    </a:sysClr>
                  </a:solidFill>
                  <a:latin typeface="Aptos Narrow" panose="02110004020202020204"/>
                </a:rPr>
                <a:t>Welfare type</a:t>
              </a:r>
            </a:p>
          </cx:txPr>
        </cx:title>
        <cx:tickLabels/>
      </cx:axis>
      <cx:axis id="1">
        <cx:valScaling/>
        <cx:title>
          <cx:tx>
            <cx:txData>
              <cx:v>Cost of measures bought</cx:v>
            </cx:txData>
          </cx:tx>
          <cx:txPr>
            <a:bodyPr spcFirstLastPara="1" vertOverflow="ellipsis" horzOverflow="overflow" wrap="square" lIns="0" tIns="0" rIns="0" bIns="0" anchor="ctr" anchorCtr="1"/>
            <a:lstStyle/>
            <a:p>
              <a:pPr algn="ctr" rtl="0">
                <a:defRPr/>
              </a:pPr>
              <a:r>
                <a:rPr lang="nl-NL" sz="900" b="0" i="0" u="none" strike="noStrike" baseline="0">
                  <a:solidFill>
                    <a:sysClr val="windowText" lastClr="000000">
                      <a:lumMod val="65000"/>
                      <a:lumOff val="35000"/>
                    </a:sysClr>
                  </a:solidFill>
                  <a:latin typeface="Aptos Narrow" panose="02110004020202020204"/>
                </a:rPr>
                <a:t>Cost of measures bought</a:t>
              </a:r>
            </a:p>
          </cx:txPr>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4</xdr:col>
      <xdr:colOff>541020</xdr:colOff>
      <xdr:row>8</xdr:row>
      <xdr:rowOff>125730</xdr:rowOff>
    </xdr:from>
    <xdr:to>
      <xdr:col>12</xdr:col>
      <xdr:colOff>236220</xdr:colOff>
      <xdr:row>23</xdr:row>
      <xdr:rowOff>125730</xdr:rowOff>
    </xdr:to>
    <xdr:graphicFrame macro="">
      <xdr:nvGraphicFramePr>
        <xdr:cNvPr id="2" name="Grafiek 1">
          <a:extLst>
            <a:ext uri="{FF2B5EF4-FFF2-40B4-BE49-F238E27FC236}">
              <a16:creationId xmlns:a16="http://schemas.microsoft.com/office/drawing/2014/main" id="{AE318CFB-78F6-5486-FD2E-005B8C7E1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54</xdr:col>
      <xdr:colOff>381000</xdr:colOff>
      <xdr:row>88</xdr:row>
      <xdr:rowOff>58616</xdr:rowOff>
    </xdr:from>
    <xdr:to>
      <xdr:col>72</xdr:col>
      <xdr:colOff>556847</xdr:colOff>
      <xdr:row>143</xdr:row>
      <xdr:rowOff>13739</xdr:rowOff>
    </xdr:to>
    <mc:AlternateContent xmlns:mc="http://schemas.openxmlformats.org/markup-compatibility/2006">
      <mc:Choice xmlns:cx1="http://schemas.microsoft.com/office/drawing/2015/9/8/chartex" Requires="cx1">
        <xdr:graphicFrame macro="">
          <xdr:nvGraphicFramePr>
            <xdr:cNvPr id="5" name="Grafiek 4">
              <a:extLst>
                <a:ext uri="{FF2B5EF4-FFF2-40B4-BE49-F238E27FC236}">
                  <a16:creationId xmlns:a16="http://schemas.microsoft.com/office/drawing/2014/main" id="{BC703320-5D61-46E4-E77F-EEDF5F24C3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5620880" y="16517816"/>
              <a:ext cx="12306887" cy="10013523"/>
            </a:xfrm>
            <a:prstGeom prst="rect">
              <a:avLst/>
            </a:prstGeom>
            <a:solidFill>
              <a:prstClr val="white"/>
            </a:solidFill>
            <a:ln w="1">
              <a:solidFill>
                <a:prstClr val="green"/>
              </a:solidFill>
            </a:ln>
          </xdr:spPr>
          <xdr:txBody>
            <a:bodyPr vertOverflow="clip" horzOverflow="clip"/>
            <a:lstStyle/>
            <a:p>
              <a:r>
                <a:rPr lang="nl-NL" sz="1100"/>
                <a:t>Deze grafiek is niet beschikbaar in uw versie van Excel.
Als u deze vorm bewerkt of deze werkmap opslaat in een andere bestandsindeling, wordt de grafiek onherstelbaar beschadigd.</a:t>
              </a:r>
            </a:p>
          </xdr:txBody>
        </xdr:sp>
      </mc:Fallback>
    </mc:AlternateContent>
    <xdr:clientData/>
  </xdr:twoCellAnchor>
  <xdr:twoCellAnchor>
    <xdr:from>
      <xdr:col>74</xdr:col>
      <xdr:colOff>473838</xdr:colOff>
      <xdr:row>58</xdr:row>
      <xdr:rowOff>146892</xdr:rowOff>
    </xdr:from>
    <xdr:to>
      <xdr:col>83</xdr:col>
      <xdr:colOff>78263</xdr:colOff>
      <xdr:row>78</xdr:row>
      <xdr:rowOff>146892</xdr:rowOff>
    </xdr:to>
    <xdr:graphicFrame macro="">
      <xdr:nvGraphicFramePr>
        <xdr:cNvPr id="8" name="Grafiek 7">
          <a:extLst>
            <a:ext uri="{FF2B5EF4-FFF2-40B4-BE49-F238E27FC236}">
              <a16:creationId xmlns:a16="http://schemas.microsoft.com/office/drawing/2014/main" id="{747DF3BD-68F7-9A75-484B-8D9F302076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62</xdr:col>
      <xdr:colOff>542694</xdr:colOff>
      <xdr:row>58</xdr:row>
      <xdr:rowOff>128530</xdr:rowOff>
    </xdr:from>
    <xdr:to>
      <xdr:col>71</xdr:col>
      <xdr:colOff>165366</xdr:colOff>
      <xdr:row>78</xdr:row>
      <xdr:rowOff>128530</xdr:rowOff>
    </xdr:to>
    <xdr:graphicFrame macro="">
      <xdr:nvGraphicFramePr>
        <xdr:cNvPr id="9" name="Grafiek 8">
          <a:extLst>
            <a:ext uri="{FF2B5EF4-FFF2-40B4-BE49-F238E27FC236}">
              <a16:creationId xmlns:a16="http://schemas.microsoft.com/office/drawing/2014/main" id="{AF9A921B-C6B9-C91F-AEF2-3C6DEB9813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e Sophia Huitema" refreshedDate="45974.429953819446" createdVersion="8" refreshedVersion="8" minRefreshableVersion="3" recordCount="121" xr:uid="{9CF8E0CE-B880-4254-9B37-0C8956AC701E}">
  <cacheSource type="worksheet">
    <worksheetSource ref="A1:AT1048576" sheet="playerround"/>
  </cacheSource>
  <cacheFields count="46">
    <cacheField name="id" numFmtId="0">
      <sharedItems containsString="0" containsBlank="1" containsNumber="1" containsInteger="1" minValue="1321" maxValue="1440"/>
    </cacheField>
    <cacheField name="create_time" numFmtId="0">
      <sharedItems containsNonDate="0" containsDate="1" containsString="0" containsBlank="1" minDate="2025-10-07T11:30:49" maxDate="2025-10-07T14:21:17"/>
    </cacheField>
    <cacheField name="round_income" numFmtId="0">
      <sharedItems containsString="0" containsBlank="1" containsNumber="1" containsInteger="1" minValue="60000" maxValue="190000"/>
    </cacheField>
    <cacheField name="living_costs" numFmtId="0">
      <sharedItems containsString="0" containsBlank="1" containsNumber="1" containsInteger="1" minValue="30000" maxValue="115000"/>
    </cacheField>
    <cacheField name="paid_debt" numFmtId="0">
      <sharedItems containsString="0" containsBlank="1" containsNumber="1" containsInteger="1" minValue="0" maxValue="16250"/>
    </cacheField>
    <cacheField name="mortgage_payment" numFmtId="0">
      <sharedItems containsString="0" containsBlank="1" containsNumber="1" containsInteger="1" minValue="0" maxValue="30000"/>
    </cacheField>
    <cacheField name="profit_sold_house" numFmtId="0">
      <sharedItems containsString="0" containsBlank="1" containsNumber="1" containsInteger="1" minValue="0" maxValue="82000"/>
    </cacheField>
    <cacheField name="spent_savings_for_buying_house" numFmtId="0">
      <sharedItems containsString="0" containsBlank="1" containsNumber="1" containsInteger="1" minValue="0" maxValue="125000"/>
    </cacheField>
    <cacheField name="cost_taxes" numFmtId="0">
      <sharedItems containsString="0" containsBlank="1" containsNumber="1" containsInteger="1" minValue="0" maxValue="25000"/>
    </cacheField>
    <cacheField name="cost_house_measures_bought" numFmtId="0">
      <sharedItems containsString="0" containsBlank="1" containsNumber="1" containsInteger="1" minValue="0" maxValue="32000"/>
    </cacheField>
    <cacheField name="cost_personal_measures_bought" numFmtId="0">
      <sharedItems containsString="0" containsBlank="1" containsNumber="1" containsInteger="1" minValue="0" maxValue="38000"/>
    </cacheField>
    <cacheField name="cost_fluvial_damage" numFmtId="0">
      <sharedItems containsString="0" containsBlank="1" containsNumber="1" containsInteger="1" minValue="0" maxValue="12000"/>
    </cacheField>
    <cacheField name="cost_pluvial_damage" numFmtId="0">
      <sharedItems containsString="0" containsBlank="1" containsNumber="1" containsInteger="1" minValue="0" maxValue="4000"/>
    </cacheField>
    <cacheField name="spendable_income" numFmtId="0">
      <sharedItems containsString="0" containsBlank="1" containsNumber="1" containsInteger="1" minValue="-17250" maxValue="132200"/>
    </cacheField>
    <cacheField name="satisfaction_move_penalty" numFmtId="0">
      <sharedItems containsString="0" containsBlank="1" containsNumber="1" containsInteger="1" minValue="0" maxValue="1"/>
    </cacheField>
    <cacheField name="satisfaction_house_rating_delta" numFmtId="0">
      <sharedItems containsString="0" containsBlank="1" containsNumber="1" containsInteger="1" minValue="-4" maxValue="1"/>
    </cacheField>
    <cacheField name="satisfaction_house_measures" numFmtId="0">
      <sharedItems containsString="0" containsBlank="1" containsNumber="1" containsInteger="1" minValue="0" maxValue="3"/>
    </cacheField>
    <cacheField name="satisfaction_personal_measures" numFmtId="0">
      <sharedItems containsString="0" containsBlank="1" containsNumber="1" containsInteger="1" minValue="0" maxValue="4"/>
    </cacheField>
    <cacheField name="satisfaction_fluvial_penalty" numFmtId="0">
      <sharedItems containsString="0" containsBlank="1" containsNumber="1" containsInteger="1" minValue="0" maxValue="4"/>
    </cacheField>
    <cacheField name="satisfaction_pluvial_penalty" numFmtId="0">
      <sharedItems containsString="0" containsBlank="1" containsNumber="1" containsInteger="1" minValue="0" maxValue="1"/>
    </cacheField>
    <cacheField name="satisfaction_debt_penalty" numFmtId="0">
      <sharedItems containsString="0" containsBlank="1" containsNumber="1" containsInteger="1" minValue="0" maxValue="1"/>
    </cacheField>
    <cacheField name="satisfaction_total" numFmtId="0">
      <sharedItems containsString="0" containsBlank="1" containsNumber="1" containsInteger="1" minValue="-6" maxValue="25"/>
    </cacheField>
    <cacheField name="preferred_house_rating" numFmtId="0">
      <sharedItems containsString="0" containsBlank="1" containsNumber="1" containsInteger="1" minValue="3" maxValue="8"/>
    </cacheField>
    <cacheField name="maximum_mortgage" numFmtId="0">
      <sharedItems containsString="0" containsBlank="1" containsNumber="1" containsInteger="1" minValue="80000" maxValue="300000"/>
    </cacheField>
    <cacheField name="mortgage_house_start" numFmtId="0">
      <sharedItems containsString="0" containsBlank="1" containsNumber="1" containsInteger="1" minValue="0" maxValue="300000"/>
    </cacheField>
    <cacheField name="mortgage_left_start" numFmtId="0">
      <sharedItems containsString="0" containsBlank="1" containsNumber="1" containsInteger="1" minValue="0" maxValue="270000"/>
    </cacheField>
    <cacheField name="house_price_sold" numFmtId="0">
      <sharedItems containsString="0" containsBlank="1" containsNumber="1" containsInteger="1" minValue="0" maxValue="200000"/>
    </cacheField>
    <cacheField name="house_price_bought" numFmtId="0">
      <sharedItems containsString="0" containsBlank="1" containsNumber="1" containsInteger="1" minValue="0" maxValue="425000"/>
    </cacheField>
    <cacheField name="mortgage_house_end" numFmtId="0">
      <sharedItems containsString="0" containsBlank="1" containsNumber="1" containsInteger="1" minValue="0" maxValue="300000"/>
    </cacheField>
    <cacheField name="mortgage_left_end" numFmtId="0">
      <sharedItems containsString="0" containsBlank="1" containsNumber="1" containsInteger="1" minValue="0" maxValue="270000"/>
    </cacheField>
    <cacheField name="movingreason_id" numFmtId="0">
      <sharedItems containsString="0" containsBlank="1" containsNumber="1" containsInteger="1" minValue="33" maxValue="36"/>
    </cacheField>
    <cacheField name="moving_reason_other" numFmtId="0">
      <sharedItems containsBlank="1"/>
    </cacheField>
    <cacheField name="pluvial_base_protection" numFmtId="0">
      <sharedItems containsString="0" containsBlank="1" containsNumber="1" containsInteger="1" minValue="0" maxValue="6"/>
    </cacheField>
    <cacheField name="fluvial_base_protection" numFmtId="0">
      <sharedItems containsString="0" containsBlank="1" containsNumber="1" containsInteger="1" minValue="0" maxValue="9"/>
    </cacheField>
    <cacheField name="pluvial_community_delta" numFmtId="0">
      <sharedItems containsString="0" containsBlank="1" containsNumber="1" containsInteger="1" minValue="-2" maxValue="0"/>
    </cacheField>
    <cacheField name="fluvial_community_delta" numFmtId="0">
      <sharedItems containsString="0" containsBlank="1" containsNumber="1" containsInteger="1" minValue="-1" maxValue="0"/>
    </cacheField>
    <cacheField name="pluvial_house_delta" numFmtId="0">
      <sharedItems containsString="0" containsBlank="1" containsNumber="1" containsInteger="1" minValue="0" maxValue="5"/>
    </cacheField>
    <cacheField name="fluvial_house_delta" numFmtId="0">
      <sharedItems containsString="0" containsBlank="1" containsNumber="1" containsInteger="1" minValue="0" maxValue="4"/>
    </cacheField>
    <cacheField name="player_state" numFmtId="0">
      <sharedItems containsBlank="1"/>
    </cacheField>
    <cacheField name="player_id" numFmtId="0">
      <sharedItems containsString="0" containsBlank="1" containsNumber="1" containsInteger="1" minValue="698" maxValue="727"/>
    </cacheField>
    <cacheField name="groupround_id" numFmtId="0">
      <sharedItems containsString="0" containsBlank="1" containsNumber="1" containsInteger="1" minValue="318" maxValue="337"/>
    </cacheField>
    <cacheField name="start_housegroup_id" numFmtId="0">
      <sharedItems containsString="0" containsBlank="1" containsNumber="1" containsInteger="1" minValue="1566" maxValue="1623"/>
    </cacheField>
    <cacheField name="final_housegroup_id" numFmtId="0">
      <sharedItems containsString="0" containsBlank="1" containsNumber="1" containsInteger="1" minValue="1566" maxValue="1663"/>
    </cacheField>
    <cacheField name="active_transaction_id" numFmtId="0">
      <sharedItems containsBlank="1"/>
    </cacheField>
    <cacheField name="Added_Player_Welfaretype" numFmtId="0">
      <sharedItems containsString="0" containsBlank="1" containsNumber="1" containsInteger="1" minValue="123" maxValue="128"/>
    </cacheField>
    <cacheField name="Added_groupround_roundnumber" numFmtId="0">
      <sharedItems containsString="0" containsBlank="1" containsNumber="1" containsInteger="1" minValue="0" maxValue="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
  <r>
    <n v="1321"/>
    <d v="2025-10-07T11:30:49"/>
    <n v="75000"/>
    <n v="40000"/>
    <n v="0"/>
    <n v="0"/>
    <n v="0"/>
    <n v="0"/>
    <n v="0"/>
    <n v="0"/>
    <n v="0"/>
    <n v="0"/>
    <n v="0"/>
    <n v="5000"/>
    <n v="0"/>
    <n v="0"/>
    <n v="0"/>
    <n v="0"/>
    <n v="0"/>
    <n v="0"/>
    <n v="0"/>
    <n v="5"/>
    <n v="4"/>
    <n v="110000"/>
    <n v="0"/>
    <n v="0"/>
    <n v="0"/>
    <n v="0"/>
    <n v="0"/>
    <n v="0"/>
    <m/>
    <s v=""/>
    <n v="0"/>
    <n v="0"/>
    <n v="0"/>
    <n v="0"/>
    <n v="0"/>
    <n v="0"/>
    <s v="LOGIN"/>
    <n v="698"/>
    <n v="318"/>
    <m/>
    <m/>
    <s v=""/>
    <n v="124"/>
    <n v="0"/>
  </r>
  <r>
    <n v="1365"/>
    <d v="2025-10-07T11:30:49"/>
    <n v="75000"/>
    <n v="40000"/>
    <n v="0"/>
    <n v="10000"/>
    <n v="0"/>
    <n v="0"/>
    <n v="15000"/>
    <n v="6000"/>
    <n v="7000"/>
    <n v="0"/>
    <n v="0"/>
    <n v="2000"/>
    <n v="0"/>
    <n v="-1"/>
    <n v="1"/>
    <n v="2"/>
    <n v="0"/>
    <n v="0"/>
    <n v="0"/>
    <n v="7"/>
    <n v="4"/>
    <n v="110000"/>
    <n v="0"/>
    <n v="0"/>
    <n v="0"/>
    <n v="100000"/>
    <n v="100000"/>
    <n v="90000"/>
    <m/>
    <s v=""/>
    <n v="6"/>
    <n v="9"/>
    <n v="0"/>
    <n v="0"/>
    <n v="2"/>
    <n v="1"/>
    <s v="VIEW_SUMMARY"/>
    <n v="698"/>
    <n v="325"/>
    <m/>
    <n v="1613"/>
    <s v=""/>
    <n v="124"/>
    <n v="1"/>
  </r>
  <r>
    <n v="1382"/>
    <d v="2025-10-07T11:30:49"/>
    <n v="75000"/>
    <n v="40000"/>
    <n v="0"/>
    <n v="10000"/>
    <n v="0"/>
    <n v="0"/>
    <n v="15000"/>
    <n v="0"/>
    <n v="9500"/>
    <n v="0"/>
    <n v="0"/>
    <n v="2500"/>
    <n v="0"/>
    <n v="0"/>
    <n v="0"/>
    <n v="3"/>
    <n v="0"/>
    <n v="0"/>
    <n v="0"/>
    <n v="10"/>
    <n v="4"/>
    <n v="110000"/>
    <n v="100000"/>
    <n v="90000"/>
    <n v="0"/>
    <n v="0"/>
    <n v="100000"/>
    <n v="80000"/>
    <m/>
    <s v=""/>
    <n v="6"/>
    <n v="9"/>
    <n v="0"/>
    <n v="0"/>
    <n v="2"/>
    <n v="1"/>
    <s v="VIEW_SUMMARY"/>
    <n v="698"/>
    <n v="328"/>
    <n v="1613"/>
    <n v="1613"/>
    <s v=""/>
    <n v="124"/>
    <n v="2"/>
  </r>
  <r>
    <n v="1407"/>
    <d v="2025-10-07T11:30:49"/>
    <n v="75000"/>
    <n v="40000"/>
    <n v="0"/>
    <n v="10000"/>
    <n v="0"/>
    <n v="0"/>
    <n v="15000"/>
    <n v="0"/>
    <n v="10750"/>
    <n v="0"/>
    <n v="0"/>
    <n v="1750"/>
    <n v="0"/>
    <n v="0"/>
    <n v="0"/>
    <n v="3"/>
    <n v="0"/>
    <n v="0"/>
    <n v="0"/>
    <n v="13"/>
    <n v="4"/>
    <n v="110000"/>
    <n v="100000"/>
    <n v="80000"/>
    <n v="0"/>
    <n v="0"/>
    <n v="100000"/>
    <n v="70000"/>
    <m/>
    <s v=""/>
    <n v="6"/>
    <n v="9"/>
    <n v="-2"/>
    <n v="-1"/>
    <n v="2"/>
    <n v="1"/>
    <s v="VIEW_SUMMARY"/>
    <n v="698"/>
    <n v="332"/>
    <n v="1613"/>
    <n v="1613"/>
    <s v=""/>
    <n v="124"/>
    <n v="3"/>
  </r>
  <r>
    <n v="1428"/>
    <d v="2025-10-07T11:30:49"/>
    <n v="75000"/>
    <n v="40000"/>
    <n v="0"/>
    <n v="10000"/>
    <n v="0"/>
    <n v="0"/>
    <n v="20000"/>
    <n v="1000"/>
    <n v="5000"/>
    <n v="0"/>
    <n v="4000"/>
    <n v="-3250"/>
    <n v="0"/>
    <n v="0"/>
    <n v="0"/>
    <n v="2"/>
    <n v="0"/>
    <n v="1"/>
    <n v="0"/>
    <n v="16"/>
    <n v="4"/>
    <n v="110000"/>
    <n v="100000"/>
    <n v="70000"/>
    <n v="0"/>
    <n v="0"/>
    <n v="100000"/>
    <n v="60000"/>
    <m/>
    <s v=""/>
    <n v="6"/>
    <n v="9"/>
    <n v="-2"/>
    <n v="-1"/>
    <n v="1"/>
    <n v="1"/>
    <s v="VIEW_SUMMARY"/>
    <n v="698"/>
    <n v="336"/>
    <n v="1613"/>
    <n v="1613"/>
    <s v=""/>
    <n v="124"/>
    <n v="4"/>
  </r>
  <r>
    <n v="1358"/>
    <d v="2025-10-07T14:20:02"/>
    <n v="110000"/>
    <n v="60000"/>
    <n v="0"/>
    <n v="0"/>
    <n v="0"/>
    <n v="0"/>
    <n v="0"/>
    <n v="0"/>
    <n v="0"/>
    <n v="0"/>
    <n v="0"/>
    <n v="30000"/>
    <n v="0"/>
    <n v="0"/>
    <n v="0"/>
    <n v="0"/>
    <n v="0"/>
    <n v="0"/>
    <n v="0"/>
    <n v="5"/>
    <n v="6"/>
    <n v="170000"/>
    <n v="0"/>
    <n v="0"/>
    <n v="0"/>
    <n v="0"/>
    <n v="0"/>
    <n v="0"/>
    <m/>
    <s v=""/>
    <n v="0"/>
    <n v="0"/>
    <n v="0"/>
    <n v="0"/>
    <n v="0"/>
    <n v="0"/>
    <s v="LOGIN"/>
    <n v="699"/>
    <n v="318"/>
    <m/>
    <m/>
    <s v=""/>
    <n v="126"/>
    <n v="0"/>
  </r>
  <r>
    <n v="1366"/>
    <d v="2025-10-07T14:20:02"/>
    <n v="110000"/>
    <n v="60000"/>
    <n v="0"/>
    <n v="17000"/>
    <n v="0"/>
    <n v="30000"/>
    <n v="15000"/>
    <n v="6000"/>
    <n v="5000"/>
    <n v="0"/>
    <n v="0"/>
    <n v="7000"/>
    <n v="0"/>
    <n v="0"/>
    <n v="1"/>
    <n v="1"/>
    <n v="0"/>
    <n v="0"/>
    <n v="0"/>
    <n v="7"/>
    <n v="6"/>
    <n v="170000"/>
    <n v="0"/>
    <n v="0"/>
    <n v="0"/>
    <n v="200000"/>
    <n v="170000"/>
    <n v="153000"/>
    <m/>
    <s v=""/>
    <n v="6"/>
    <n v="9"/>
    <n v="0"/>
    <n v="0"/>
    <n v="1"/>
    <n v="0"/>
    <s v="VIEW_SUMMARY"/>
    <n v="699"/>
    <n v="325"/>
    <m/>
    <n v="1611"/>
    <s v=""/>
    <n v="126"/>
    <n v="1"/>
  </r>
  <r>
    <n v="1381"/>
    <d v="2025-10-07T14:20:02"/>
    <n v="110000"/>
    <n v="60000"/>
    <n v="0"/>
    <n v="17000"/>
    <n v="0"/>
    <n v="0"/>
    <n v="15000"/>
    <n v="8000"/>
    <n v="15000"/>
    <n v="0"/>
    <n v="0"/>
    <n v="2000"/>
    <n v="0"/>
    <n v="0"/>
    <n v="1"/>
    <n v="3"/>
    <n v="0"/>
    <n v="0"/>
    <n v="0"/>
    <n v="11"/>
    <n v="6"/>
    <n v="170000"/>
    <n v="170000"/>
    <n v="153000"/>
    <n v="0"/>
    <n v="0"/>
    <n v="170000"/>
    <n v="136000"/>
    <m/>
    <s v=""/>
    <n v="6"/>
    <n v="9"/>
    <n v="0"/>
    <n v="0"/>
    <n v="2"/>
    <n v="1"/>
    <s v="VIEW_SUMMARY"/>
    <n v="699"/>
    <n v="328"/>
    <n v="1611"/>
    <n v="1611"/>
    <s v=""/>
    <n v="126"/>
    <n v="2"/>
  </r>
  <r>
    <n v="1406"/>
    <d v="2025-10-07T14:20:02"/>
    <n v="110000"/>
    <n v="60000"/>
    <n v="0"/>
    <n v="17000"/>
    <n v="0"/>
    <n v="0"/>
    <n v="15000"/>
    <n v="9000"/>
    <n v="10000"/>
    <n v="0"/>
    <n v="0"/>
    <n v="1000"/>
    <n v="0"/>
    <n v="0"/>
    <n v="1"/>
    <n v="2"/>
    <n v="0"/>
    <n v="0"/>
    <n v="0"/>
    <n v="14"/>
    <n v="6"/>
    <n v="170000"/>
    <n v="170000"/>
    <n v="136000"/>
    <n v="0"/>
    <n v="0"/>
    <n v="170000"/>
    <n v="119000"/>
    <m/>
    <s v=""/>
    <n v="6"/>
    <n v="9"/>
    <n v="-2"/>
    <n v="-1"/>
    <n v="3"/>
    <n v="2"/>
    <s v="VIEW_SUMMARY"/>
    <n v="699"/>
    <n v="332"/>
    <n v="1611"/>
    <n v="1611"/>
    <s v=""/>
    <n v="126"/>
    <n v="3"/>
  </r>
  <r>
    <n v="1429"/>
    <d v="2025-10-07T14:20:02"/>
    <n v="110000"/>
    <n v="60000"/>
    <n v="0"/>
    <n v="17000"/>
    <n v="0"/>
    <n v="0"/>
    <n v="20000"/>
    <n v="0"/>
    <n v="14000"/>
    <n v="0"/>
    <n v="0"/>
    <n v="0"/>
    <n v="0"/>
    <n v="0"/>
    <n v="0"/>
    <n v="2"/>
    <n v="0"/>
    <n v="0"/>
    <n v="0"/>
    <n v="18"/>
    <n v="6"/>
    <n v="170000"/>
    <n v="170000"/>
    <n v="119000"/>
    <n v="0"/>
    <n v="0"/>
    <n v="170000"/>
    <n v="102000"/>
    <m/>
    <s v=""/>
    <n v="6"/>
    <n v="9"/>
    <n v="-2"/>
    <n v="-1"/>
    <n v="4"/>
    <n v="3"/>
    <s v="VIEW_SUMMARY"/>
    <n v="699"/>
    <n v="336"/>
    <n v="1611"/>
    <n v="1611"/>
    <s v=""/>
    <n v="126"/>
    <n v="4"/>
  </r>
  <r>
    <n v="1362"/>
    <d v="2025-10-07T14:21:17"/>
    <n v="60000"/>
    <n v="30000"/>
    <n v="0"/>
    <n v="0"/>
    <n v="0"/>
    <n v="0"/>
    <n v="0"/>
    <n v="0"/>
    <n v="0"/>
    <n v="0"/>
    <n v="0"/>
    <n v="0"/>
    <n v="0"/>
    <n v="0"/>
    <n v="0"/>
    <n v="0"/>
    <n v="0"/>
    <n v="0"/>
    <n v="0"/>
    <n v="5"/>
    <n v="3"/>
    <n v="80000"/>
    <n v="0"/>
    <n v="0"/>
    <n v="0"/>
    <n v="0"/>
    <n v="0"/>
    <n v="0"/>
    <m/>
    <s v=""/>
    <n v="0"/>
    <n v="0"/>
    <n v="0"/>
    <n v="0"/>
    <n v="0"/>
    <n v="0"/>
    <s v="LOGIN"/>
    <n v="700"/>
    <n v="318"/>
    <m/>
    <m/>
    <s v=""/>
    <n v="123"/>
    <n v="0"/>
  </r>
  <r>
    <n v="1368"/>
    <d v="2025-10-07T14:21:17"/>
    <n v="60000"/>
    <n v="30000"/>
    <n v="0"/>
    <n v="7000"/>
    <n v="0"/>
    <n v="0"/>
    <n v="20000"/>
    <n v="1000"/>
    <n v="1400"/>
    <n v="8000"/>
    <n v="0"/>
    <n v="-7400"/>
    <n v="0"/>
    <n v="-1"/>
    <n v="0"/>
    <n v="0"/>
    <n v="3"/>
    <n v="0"/>
    <n v="0"/>
    <n v="1"/>
    <n v="3"/>
    <n v="80000"/>
    <n v="0"/>
    <n v="0"/>
    <n v="0"/>
    <n v="70000"/>
    <n v="70000"/>
    <n v="63000"/>
    <m/>
    <s v=""/>
    <n v="6"/>
    <n v="6"/>
    <n v="0"/>
    <n v="0"/>
    <n v="1"/>
    <n v="1"/>
    <s v="VIEW_SUMMARY"/>
    <n v="700"/>
    <n v="325"/>
    <m/>
    <n v="1623"/>
    <s v=""/>
    <n v="123"/>
    <n v="1"/>
  </r>
  <r>
    <n v="1383"/>
    <d v="2025-10-07T14:21:17"/>
    <n v="60000"/>
    <n v="30000"/>
    <n v="7400"/>
    <n v="7000"/>
    <n v="0"/>
    <n v="0"/>
    <n v="20000"/>
    <n v="0"/>
    <n v="0"/>
    <n v="0"/>
    <n v="0"/>
    <n v="-4400"/>
    <n v="0"/>
    <n v="0"/>
    <n v="0"/>
    <n v="0"/>
    <n v="0"/>
    <n v="0"/>
    <n v="1"/>
    <n v="0"/>
    <n v="3"/>
    <n v="80000"/>
    <n v="70000"/>
    <n v="63000"/>
    <n v="0"/>
    <n v="0"/>
    <n v="70000"/>
    <n v="56000"/>
    <m/>
    <s v=""/>
    <n v="6"/>
    <n v="6"/>
    <n v="0"/>
    <n v="0"/>
    <n v="0"/>
    <n v="0"/>
    <s v="VIEW_SUMMARY"/>
    <n v="700"/>
    <n v="328"/>
    <n v="1623"/>
    <n v="1623"/>
    <s v=""/>
    <n v="123"/>
    <n v="2"/>
  </r>
  <r>
    <n v="1405"/>
    <d v="2025-10-07T14:21:17"/>
    <n v="60000"/>
    <n v="30000"/>
    <n v="4400"/>
    <n v="7000"/>
    <n v="0"/>
    <n v="0"/>
    <n v="20000"/>
    <n v="0"/>
    <n v="0"/>
    <n v="4000"/>
    <n v="0"/>
    <n v="-5400"/>
    <n v="0"/>
    <n v="0"/>
    <n v="0"/>
    <n v="0"/>
    <n v="2"/>
    <n v="0"/>
    <n v="1"/>
    <n v="-3"/>
    <n v="3"/>
    <n v="80000"/>
    <n v="70000"/>
    <n v="56000"/>
    <n v="0"/>
    <n v="0"/>
    <n v="70000"/>
    <n v="49000"/>
    <m/>
    <s v=""/>
    <n v="6"/>
    <n v="6"/>
    <n v="-2"/>
    <n v="-1"/>
    <n v="0"/>
    <n v="0"/>
    <s v="VIEW_SUMMARY"/>
    <n v="700"/>
    <n v="332"/>
    <n v="1623"/>
    <n v="1623"/>
    <s v=""/>
    <n v="123"/>
    <n v="3"/>
  </r>
  <r>
    <n v="1432"/>
    <d v="2025-10-07T14:21:17"/>
    <n v="60000"/>
    <n v="30000"/>
    <n v="5400"/>
    <n v="7000"/>
    <n v="51000"/>
    <n v="0"/>
    <n v="20000"/>
    <n v="10000"/>
    <n v="6500"/>
    <n v="0"/>
    <n v="4000"/>
    <n v="28100"/>
    <n v="1"/>
    <n v="-1"/>
    <n v="0"/>
    <n v="3"/>
    <n v="1"/>
    <n v="1"/>
    <n v="1"/>
    <n v="-5"/>
    <n v="3"/>
    <n v="80000"/>
    <n v="70000"/>
    <n v="49000"/>
    <n v="100000"/>
    <n v="70000"/>
    <n v="70000"/>
    <n v="63000"/>
    <n v="35"/>
    <s v=""/>
    <n v="6"/>
    <n v="6"/>
    <n v="-2"/>
    <n v="-1"/>
    <n v="2"/>
    <n v="2"/>
    <s v="VIEW_SUMMARY"/>
    <n v="700"/>
    <n v="336"/>
    <n v="1623"/>
    <n v="1660"/>
    <s v=""/>
    <n v="123"/>
    <n v="4"/>
  </r>
  <r>
    <n v="1360"/>
    <d v="2025-10-07T14:20:34"/>
    <n v="90000"/>
    <n v="50000"/>
    <n v="0"/>
    <n v="0"/>
    <n v="0"/>
    <n v="0"/>
    <n v="0"/>
    <n v="0"/>
    <n v="0"/>
    <n v="0"/>
    <n v="0"/>
    <n v="15000"/>
    <n v="0"/>
    <n v="0"/>
    <n v="0"/>
    <n v="0"/>
    <n v="0"/>
    <n v="0"/>
    <n v="0"/>
    <n v="5"/>
    <n v="5"/>
    <n v="130000"/>
    <n v="0"/>
    <n v="0"/>
    <n v="0"/>
    <n v="0"/>
    <n v="0"/>
    <n v="0"/>
    <m/>
    <s v=""/>
    <n v="0"/>
    <n v="0"/>
    <n v="0"/>
    <n v="0"/>
    <n v="0"/>
    <n v="0"/>
    <s v="LOGIN"/>
    <n v="701"/>
    <n v="318"/>
    <m/>
    <m/>
    <s v=""/>
    <n v="125"/>
    <n v="0"/>
  </r>
  <r>
    <n v="1363"/>
    <d v="2025-10-07T14:20:34"/>
    <n v="90000"/>
    <n v="50000"/>
    <n v="0"/>
    <n v="8000"/>
    <n v="0"/>
    <n v="0"/>
    <n v="20000"/>
    <n v="14000"/>
    <n v="6000"/>
    <n v="0"/>
    <n v="0"/>
    <n v="7000"/>
    <n v="0"/>
    <n v="-3"/>
    <n v="2"/>
    <n v="3"/>
    <n v="0"/>
    <n v="0"/>
    <n v="0"/>
    <n v="7"/>
    <n v="5"/>
    <n v="130000"/>
    <n v="0"/>
    <n v="0"/>
    <n v="0"/>
    <n v="80000"/>
    <n v="80000"/>
    <n v="72000"/>
    <m/>
    <s v=""/>
    <n v="4"/>
    <n v="9"/>
    <n v="0"/>
    <n v="0"/>
    <n v="2"/>
    <n v="0"/>
    <s v="VIEW_SUMMARY"/>
    <n v="701"/>
    <n v="325"/>
    <m/>
    <n v="1619"/>
    <s v=""/>
    <n v="125"/>
    <n v="1"/>
  </r>
  <r>
    <n v="1385"/>
    <d v="2025-10-07T14:20:34"/>
    <n v="90000"/>
    <n v="50000"/>
    <n v="0"/>
    <n v="8000"/>
    <n v="0"/>
    <n v="0"/>
    <n v="20000"/>
    <n v="0"/>
    <n v="8500"/>
    <n v="0"/>
    <n v="0"/>
    <n v="10500"/>
    <n v="0"/>
    <n v="0"/>
    <n v="0"/>
    <n v="3"/>
    <n v="0"/>
    <n v="0"/>
    <n v="0"/>
    <n v="10"/>
    <n v="5"/>
    <n v="130000"/>
    <n v="80000"/>
    <n v="72000"/>
    <n v="0"/>
    <n v="0"/>
    <n v="80000"/>
    <n v="64000"/>
    <m/>
    <s v=""/>
    <n v="4"/>
    <n v="9"/>
    <n v="0"/>
    <n v="0"/>
    <n v="2"/>
    <n v="0"/>
    <s v="VIEW_SUMMARY"/>
    <n v="701"/>
    <n v="328"/>
    <n v="1619"/>
    <n v="1619"/>
    <s v=""/>
    <n v="125"/>
    <n v="2"/>
  </r>
  <r>
    <n v="1409"/>
    <d v="2025-10-07T14:20:34"/>
    <n v="90000"/>
    <n v="50000"/>
    <n v="0"/>
    <n v="8000"/>
    <n v="0"/>
    <n v="0"/>
    <n v="20000"/>
    <n v="0"/>
    <n v="6000"/>
    <n v="0"/>
    <n v="0"/>
    <n v="16500"/>
    <n v="0"/>
    <n v="0"/>
    <n v="0"/>
    <n v="3"/>
    <n v="0"/>
    <n v="0"/>
    <n v="0"/>
    <n v="13"/>
    <n v="5"/>
    <n v="130000"/>
    <n v="80000"/>
    <n v="64000"/>
    <n v="0"/>
    <n v="0"/>
    <n v="80000"/>
    <n v="56000"/>
    <m/>
    <s v=""/>
    <n v="4"/>
    <n v="9"/>
    <n v="-2"/>
    <n v="-1"/>
    <n v="2"/>
    <n v="0"/>
    <s v="VIEW_SUMMARY"/>
    <n v="701"/>
    <n v="332"/>
    <n v="1619"/>
    <n v="1619"/>
    <s v=""/>
    <n v="125"/>
    <n v="3"/>
  </r>
  <r>
    <n v="1430"/>
    <d v="2025-10-07T14:20:34"/>
    <n v="90000"/>
    <n v="50000"/>
    <n v="0"/>
    <n v="8000"/>
    <n v="0"/>
    <n v="0"/>
    <n v="20000"/>
    <n v="0"/>
    <n v="6100"/>
    <n v="0"/>
    <n v="4000"/>
    <n v="18400"/>
    <n v="0"/>
    <n v="0"/>
    <n v="0"/>
    <n v="1"/>
    <n v="0"/>
    <n v="1"/>
    <n v="0"/>
    <n v="13"/>
    <n v="5"/>
    <n v="130000"/>
    <n v="80000"/>
    <n v="56000"/>
    <n v="0"/>
    <n v="0"/>
    <n v="80000"/>
    <n v="48000"/>
    <m/>
    <s v=""/>
    <n v="4"/>
    <n v="9"/>
    <n v="-2"/>
    <n v="-1"/>
    <n v="3"/>
    <n v="1"/>
    <s v="VIEW_SUMMARY"/>
    <n v="701"/>
    <n v="336"/>
    <n v="1619"/>
    <n v="1619"/>
    <s v=""/>
    <n v="125"/>
    <n v="4"/>
  </r>
  <r>
    <n v="1361"/>
    <d v="2025-10-07T14:20:53"/>
    <n v="130000"/>
    <n v="75000"/>
    <n v="0"/>
    <n v="0"/>
    <n v="0"/>
    <n v="0"/>
    <n v="0"/>
    <n v="0"/>
    <n v="0"/>
    <n v="0"/>
    <n v="0"/>
    <n v="50000"/>
    <n v="0"/>
    <n v="0"/>
    <n v="0"/>
    <n v="0"/>
    <n v="0"/>
    <n v="0"/>
    <n v="0"/>
    <n v="5"/>
    <n v="7"/>
    <n v="200000"/>
    <n v="0"/>
    <n v="0"/>
    <n v="0"/>
    <n v="0"/>
    <n v="0"/>
    <n v="0"/>
    <m/>
    <s v=""/>
    <n v="0"/>
    <n v="0"/>
    <n v="0"/>
    <n v="0"/>
    <n v="0"/>
    <n v="0"/>
    <s v="LOGIN"/>
    <n v="702"/>
    <n v="318"/>
    <m/>
    <m/>
    <s v=""/>
    <n v="127"/>
    <n v="0"/>
  </r>
  <r>
    <n v="1364"/>
    <d v="2025-10-07T14:20:53"/>
    <n v="130000"/>
    <n v="75000"/>
    <n v="0"/>
    <n v="12500"/>
    <n v="0"/>
    <n v="0"/>
    <n v="20000"/>
    <n v="22000"/>
    <n v="8750"/>
    <n v="4000"/>
    <n v="0"/>
    <n v="37750"/>
    <n v="0"/>
    <n v="-3"/>
    <n v="3"/>
    <n v="2"/>
    <n v="2"/>
    <n v="0"/>
    <n v="0"/>
    <n v="5"/>
    <n v="7"/>
    <n v="200000"/>
    <n v="0"/>
    <n v="0"/>
    <n v="0"/>
    <n v="125000"/>
    <n v="125000"/>
    <n v="112500"/>
    <m/>
    <s v=""/>
    <n v="6"/>
    <n v="6"/>
    <n v="0"/>
    <n v="0"/>
    <n v="4"/>
    <n v="2"/>
    <s v="VIEW_SUMMARY"/>
    <n v="702"/>
    <n v="325"/>
    <m/>
    <n v="1622"/>
    <s v=""/>
    <n v="127"/>
    <n v="1"/>
  </r>
  <r>
    <n v="1384"/>
    <d v="2025-10-07T14:20:53"/>
    <n v="130000"/>
    <n v="75000"/>
    <n v="0"/>
    <n v="12500"/>
    <n v="0"/>
    <n v="0"/>
    <n v="20000"/>
    <n v="10000"/>
    <n v="15250"/>
    <n v="0"/>
    <n v="0"/>
    <n v="35000"/>
    <n v="0"/>
    <n v="0"/>
    <n v="0"/>
    <n v="3"/>
    <n v="0"/>
    <n v="0"/>
    <n v="0"/>
    <n v="8"/>
    <n v="7"/>
    <n v="200000"/>
    <n v="125000"/>
    <n v="112500"/>
    <n v="0"/>
    <n v="0"/>
    <n v="125000"/>
    <n v="100000"/>
    <m/>
    <s v=""/>
    <n v="6"/>
    <n v="6"/>
    <n v="0"/>
    <n v="0"/>
    <n v="5"/>
    <n v="3"/>
    <s v="VIEW_SUMMARY"/>
    <n v="702"/>
    <n v="328"/>
    <n v="1622"/>
    <n v="1622"/>
    <s v=""/>
    <n v="127"/>
    <n v="2"/>
  </r>
  <r>
    <n v="1408"/>
    <d v="2025-10-07T14:20:53"/>
    <n v="130000"/>
    <n v="75000"/>
    <n v="0"/>
    <n v="12500"/>
    <n v="0"/>
    <n v="0"/>
    <n v="20000"/>
    <n v="0"/>
    <n v="18375"/>
    <n v="0"/>
    <n v="0"/>
    <n v="39125"/>
    <n v="0"/>
    <n v="0"/>
    <n v="0"/>
    <n v="4"/>
    <n v="1"/>
    <n v="0"/>
    <n v="0"/>
    <n v="11"/>
    <n v="7"/>
    <n v="200000"/>
    <n v="125000"/>
    <n v="100000"/>
    <n v="0"/>
    <n v="0"/>
    <n v="125000"/>
    <n v="87500"/>
    <m/>
    <s v=""/>
    <n v="6"/>
    <n v="6"/>
    <n v="-2"/>
    <n v="-1"/>
    <n v="5"/>
    <n v="3"/>
    <s v="VIEW_SUMMARY"/>
    <n v="702"/>
    <n v="332"/>
    <n v="1622"/>
    <n v="1622"/>
    <s v=""/>
    <n v="127"/>
    <n v="3"/>
  </r>
  <r>
    <n v="1431"/>
    <d v="2025-10-07T14:20:53"/>
    <n v="130000"/>
    <n v="75000"/>
    <n v="0"/>
    <n v="12500"/>
    <n v="0"/>
    <n v="0"/>
    <n v="20000"/>
    <n v="0"/>
    <n v="18375"/>
    <n v="0"/>
    <n v="0"/>
    <n v="43250"/>
    <n v="0"/>
    <n v="0"/>
    <n v="0"/>
    <n v="4"/>
    <n v="1"/>
    <n v="0"/>
    <n v="0"/>
    <n v="14"/>
    <n v="7"/>
    <n v="200000"/>
    <n v="125000"/>
    <n v="87500"/>
    <n v="0"/>
    <n v="0"/>
    <n v="125000"/>
    <n v="75000"/>
    <m/>
    <s v=""/>
    <n v="6"/>
    <n v="6"/>
    <n v="-2"/>
    <n v="-1"/>
    <n v="5"/>
    <n v="3"/>
    <s v="VIEW_SUMMARY"/>
    <n v="702"/>
    <n v="336"/>
    <n v="1622"/>
    <n v="1622"/>
    <s v=""/>
    <n v="127"/>
    <n v="4"/>
  </r>
  <r>
    <n v="1359"/>
    <d v="2025-10-07T14:20:17"/>
    <n v="190000"/>
    <n v="115000"/>
    <n v="0"/>
    <n v="0"/>
    <n v="0"/>
    <n v="0"/>
    <n v="0"/>
    <n v="0"/>
    <n v="0"/>
    <n v="0"/>
    <n v="0"/>
    <n v="80000"/>
    <n v="0"/>
    <n v="0"/>
    <n v="0"/>
    <n v="0"/>
    <n v="0"/>
    <n v="0"/>
    <n v="0"/>
    <n v="5"/>
    <n v="8"/>
    <n v="300000"/>
    <n v="0"/>
    <n v="0"/>
    <n v="0"/>
    <n v="0"/>
    <n v="0"/>
    <n v="0"/>
    <m/>
    <s v=""/>
    <n v="0"/>
    <n v="0"/>
    <n v="0"/>
    <n v="0"/>
    <n v="0"/>
    <n v="0"/>
    <s v="LOGIN"/>
    <n v="703"/>
    <n v="318"/>
    <m/>
    <m/>
    <s v=""/>
    <n v="128"/>
    <n v="0"/>
  </r>
  <r>
    <n v="1367"/>
    <d v="2025-10-07T14:20:17"/>
    <n v="190000"/>
    <n v="115000"/>
    <n v="0"/>
    <n v="20000"/>
    <n v="0"/>
    <n v="0"/>
    <n v="15000"/>
    <n v="10000"/>
    <n v="24500"/>
    <n v="0"/>
    <n v="0"/>
    <n v="85500"/>
    <n v="0"/>
    <n v="-2"/>
    <n v="0"/>
    <n v="4"/>
    <n v="0"/>
    <n v="0"/>
    <n v="0"/>
    <n v="7"/>
    <n v="8"/>
    <n v="300000"/>
    <n v="0"/>
    <n v="0"/>
    <n v="0"/>
    <n v="200000"/>
    <n v="200000"/>
    <n v="180000"/>
    <m/>
    <s v=""/>
    <n v="6"/>
    <n v="9"/>
    <n v="0"/>
    <n v="0"/>
    <n v="1"/>
    <n v="1"/>
    <s v="VIEW_SUMMARY"/>
    <n v="703"/>
    <n v="325"/>
    <m/>
    <n v="1612"/>
    <s v=""/>
    <n v="128"/>
    <n v="1"/>
  </r>
  <r>
    <n v="1386"/>
    <d v="2025-10-07T14:20:17"/>
    <n v="190000"/>
    <n v="115000"/>
    <n v="0"/>
    <n v="20000"/>
    <n v="0"/>
    <n v="0"/>
    <n v="15000"/>
    <n v="22000"/>
    <n v="24500"/>
    <n v="0"/>
    <n v="0"/>
    <n v="79000"/>
    <n v="0"/>
    <n v="0"/>
    <n v="3"/>
    <n v="4"/>
    <n v="0"/>
    <n v="0"/>
    <n v="0"/>
    <n v="14"/>
    <n v="8"/>
    <n v="300000"/>
    <n v="200000"/>
    <n v="180000"/>
    <n v="0"/>
    <n v="0"/>
    <n v="200000"/>
    <n v="160000"/>
    <m/>
    <s v=""/>
    <n v="6"/>
    <n v="9"/>
    <n v="0"/>
    <n v="0"/>
    <n v="4"/>
    <n v="2"/>
    <s v="VIEW_SUMMARY"/>
    <n v="703"/>
    <n v="328"/>
    <n v="1612"/>
    <n v="1612"/>
    <s v=""/>
    <n v="128"/>
    <n v="2"/>
  </r>
  <r>
    <n v="1410"/>
    <d v="2025-10-07T14:20:17"/>
    <n v="190000"/>
    <n v="115000"/>
    <n v="0"/>
    <n v="20000"/>
    <n v="0"/>
    <n v="0"/>
    <n v="15000"/>
    <n v="0"/>
    <n v="24500"/>
    <n v="0"/>
    <n v="0"/>
    <n v="94500"/>
    <n v="0"/>
    <n v="0"/>
    <n v="0"/>
    <n v="4"/>
    <n v="0"/>
    <n v="0"/>
    <n v="0"/>
    <n v="18"/>
    <n v="8"/>
    <n v="300000"/>
    <n v="200000"/>
    <n v="160000"/>
    <n v="0"/>
    <n v="0"/>
    <n v="200000"/>
    <n v="140000"/>
    <m/>
    <s v=""/>
    <n v="6"/>
    <n v="9"/>
    <n v="-2"/>
    <n v="-1"/>
    <n v="4"/>
    <n v="2"/>
    <s v="VIEW_SUMMARY"/>
    <n v="703"/>
    <n v="332"/>
    <n v="1612"/>
    <n v="1612"/>
    <s v=""/>
    <n v="128"/>
    <n v="3"/>
  </r>
  <r>
    <n v="1433"/>
    <d v="2025-10-07T14:20:17"/>
    <n v="190000"/>
    <n v="115000"/>
    <n v="0"/>
    <n v="30000"/>
    <n v="60000"/>
    <n v="125000"/>
    <n v="20000"/>
    <n v="14000"/>
    <n v="31875"/>
    <n v="0"/>
    <n v="0"/>
    <n v="8625"/>
    <n v="1"/>
    <n v="1"/>
    <n v="2"/>
    <n v="3"/>
    <n v="0"/>
    <n v="0"/>
    <n v="0"/>
    <n v="25"/>
    <n v="8"/>
    <n v="300000"/>
    <n v="200000"/>
    <n v="140000"/>
    <n v="200000"/>
    <n v="425000"/>
    <n v="300000"/>
    <n v="270000"/>
    <n v="33"/>
    <s v=""/>
    <n v="6"/>
    <n v="9"/>
    <n v="-2"/>
    <n v="-1"/>
    <n v="4"/>
    <n v="2"/>
    <s v="VIEW_DAMAGE"/>
    <n v="703"/>
    <n v="336"/>
    <n v="1612"/>
    <n v="1650"/>
    <s v=""/>
    <n v="128"/>
    <n v="4"/>
  </r>
  <r>
    <n v="1323"/>
    <d v="2025-10-07T13:53:02"/>
    <n v="75000"/>
    <n v="40000"/>
    <n v="0"/>
    <n v="0"/>
    <n v="0"/>
    <n v="0"/>
    <n v="0"/>
    <n v="0"/>
    <n v="0"/>
    <n v="0"/>
    <n v="0"/>
    <n v="5000"/>
    <n v="0"/>
    <n v="0"/>
    <n v="0"/>
    <n v="0"/>
    <n v="0"/>
    <n v="0"/>
    <n v="0"/>
    <n v="5"/>
    <n v="4"/>
    <n v="110000"/>
    <n v="0"/>
    <n v="0"/>
    <n v="0"/>
    <n v="0"/>
    <n v="0"/>
    <n v="0"/>
    <m/>
    <s v=""/>
    <n v="0"/>
    <n v="0"/>
    <n v="0"/>
    <n v="0"/>
    <n v="0"/>
    <n v="0"/>
    <s v="LOGIN"/>
    <n v="706"/>
    <n v="321"/>
    <m/>
    <m/>
    <s v=""/>
    <n v="124"/>
    <n v="0"/>
  </r>
  <r>
    <n v="1352"/>
    <d v="2025-10-07T13:53:02"/>
    <n v="75000"/>
    <n v="40000"/>
    <n v="0"/>
    <n v="8000"/>
    <n v="0"/>
    <n v="0"/>
    <n v="15000"/>
    <n v="8000"/>
    <n v="1600"/>
    <n v="0"/>
    <n v="0"/>
    <n v="7400"/>
    <n v="0"/>
    <n v="-2"/>
    <n v="1"/>
    <n v="0"/>
    <n v="0"/>
    <n v="0"/>
    <n v="0"/>
    <n v="4"/>
    <n v="4"/>
    <n v="110000"/>
    <n v="0"/>
    <n v="0"/>
    <n v="0"/>
    <n v="80000"/>
    <n v="80000"/>
    <n v="72000"/>
    <m/>
    <s v=""/>
    <n v="4"/>
    <n v="9"/>
    <n v="0"/>
    <n v="0"/>
    <n v="2"/>
    <n v="2"/>
    <s v="VIEW_SUMMARY"/>
    <n v="706"/>
    <n v="324"/>
    <m/>
    <n v="1604"/>
    <s v=""/>
    <n v="124"/>
    <n v="1"/>
  </r>
  <r>
    <n v="1392"/>
    <d v="2025-10-07T13:53:02"/>
    <n v="75000"/>
    <n v="40000"/>
    <n v="0"/>
    <n v="8000"/>
    <n v="0"/>
    <n v="0"/>
    <n v="15000"/>
    <n v="14000"/>
    <n v="1600"/>
    <n v="0"/>
    <n v="4000"/>
    <n v="-200"/>
    <n v="0"/>
    <n v="0"/>
    <n v="2"/>
    <n v="0"/>
    <n v="0"/>
    <n v="1"/>
    <n v="0"/>
    <n v="5"/>
    <n v="4"/>
    <n v="110000"/>
    <n v="80000"/>
    <n v="72000"/>
    <n v="0"/>
    <n v="0"/>
    <n v="80000"/>
    <n v="64000"/>
    <m/>
    <s v=""/>
    <n v="4"/>
    <n v="9"/>
    <n v="0"/>
    <n v="0"/>
    <n v="4"/>
    <n v="2"/>
    <s v="VIEW_SUMMARY"/>
    <n v="706"/>
    <n v="329"/>
    <n v="1604"/>
    <n v="1604"/>
    <s v=""/>
    <n v="124"/>
    <n v="2"/>
  </r>
  <r>
    <n v="1420"/>
    <d v="2025-10-07T13:53:02"/>
    <n v="75000"/>
    <n v="40000"/>
    <n v="200"/>
    <n v="8000"/>
    <n v="0"/>
    <n v="0"/>
    <n v="15000"/>
    <n v="10000"/>
    <n v="1600"/>
    <n v="0"/>
    <n v="0"/>
    <n v="200"/>
    <n v="0"/>
    <n v="0"/>
    <n v="0"/>
    <n v="0"/>
    <n v="0"/>
    <n v="0"/>
    <n v="1"/>
    <n v="4"/>
    <n v="4"/>
    <n v="110000"/>
    <n v="80000"/>
    <n v="64000"/>
    <n v="0"/>
    <n v="0"/>
    <n v="80000"/>
    <n v="56000"/>
    <m/>
    <s v=""/>
    <n v="4"/>
    <n v="9"/>
    <n v="-2"/>
    <n v="-1"/>
    <n v="5"/>
    <n v="3"/>
    <s v="VIEW_SUMMARY"/>
    <n v="706"/>
    <n v="334"/>
    <n v="1604"/>
    <n v="1604"/>
    <s v=""/>
    <n v="124"/>
    <n v="3"/>
  </r>
  <r>
    <n v="1440"/>
    <d v="2025-10-07T13:53:02"/>
    <n v="75000"/>
    <n v="40000"/>
    <n v="0"/>
    <n v="8000"/>
    <n v="0"/>
    <n v="0"/>
    <n v="20000"/>
    <n v="1000"/>
    <n v="6000"/>
    <n v="0"/>
    <n v="0"/>
    <n v="200"/>
    <n v="0"/>
    <n v="0"/>
    <n v="0"/>
    <n v="3"/>
    <n v="0"/>
    <n v="0"/>
    <n v="0"/>
    <n v="7"/>
    <n v="4"/>
    <n v="110000"/>
    <n v="80000"/>
    <n v="56000"/>
    <n v="0"/>
    <n v="0"/>
    <n v="80000"/>
    <n v="48000"/>
    <m/>
    <s v=""/>
    <n v="4"/>
    <n v="9"/>
    <n v="-2"/>
    <n v="-1"/>
    <n v="4"/>
    <n v="3"/>
    <s v="VIEW_SUMMARY"/>
    <n v="706"/>
    <n v="337"/>
    <n v="1604"/>
    <n v="1604"/>
    <s v=""/>
    <n v="124"/>
    <n v="4"/>
  </r>
  <r>
    <n v="1333"/>
    <d v="2025-10-07T13:58:56"/>
    <n v="110000"/>
    <n v="60000"/>
    <n v="0"/>
    <n v="0"/>
    <n v="0"/>
    <n v="0"/>
    <n v="0"/>
    <n v="0"/>
    <n v="0"/>
    <n v="0"/>
    <n v="0"/>
    <n v="30000"/>
    <n v="0"/>
    <n v="0"/>
    <n v="0"/>
    <n v="0"/>
    <n v="0"/>
    <n v="0"/>
    <n v="0"/>
    <n v="5"/>
    <n v="6"/>
    <n v="170000"/>
    <n v="0"/>
    <n v="0"/>
    <n v="0"/>
    <n v="0"/>
    <n v="0"/>
    <n v="0"/>
    <m/>
    <s v=""/>
    <n v="0"/>
    <n v="0"/>
    <n v="0"/>
    <n v="0"/>
    <n v="0"/>
    <n v="0"/>
    <s v="LOGIN"/>
    <n v="707"/>
    <n v="321"/>
    <m/>
    <m/>
    <s v=""/>
    <n v="126"/>
    <n v="0"/>
  </r>
  <r>
    <n v="1355"/>
    <d v="2025-10-07T13:58:56"/>
    <n v="110000"/>
    <n v="60000"/>
    <n v="0"/>
    <n v="17000"/>
    <n v="0"/>
    <n v="30000"/>
    <n v="20000"/>
    <n v="7000"/>
    <n v="0"/>
    <n v="0"/>
    <n v="0"/>
    <n v="6000"/>
    <n v="0"/>
    <n v="0"/>
    <n v="1"/>
    <n v="0"/>
    <n v="0"/>
    <n v="0"/>
    <n v="0"/>
    <n v="6"/>
    <n v="6"/>
    <n v="170000"/>
    <n v="0"/>
    <n v="0"/>
    <n v="0"/>
    <n v="200000"/>
    <n v="170000"/>
    <n v="153000"/>
    <m/>
    <s v=""/>
    <n v="6"/>
    <n v="9"/>
    <n v="0"/>
    <n v="0"/>
    <n v="1"/>
    <n v="1"/>
    <s v="VIEW_SUMMARY"/>
    <n v="707"/>
    <n v="324"/>
    <m/>
    <n v="1596"/>
    <s v=""/>
    <n v="126"/>
    <n v="1"/>
  </r>
  <r>
    <n v="1389"/>
    <d v="2025-10-07T13:58:56"/>
    <n v="110000"/>
    <n v="60000"/>
    <n v="0"/>
    <n v="17000"/>
    <n v="0"/>
    <n v="0"/>
    <n v="20000"/>
    <n v="8000"/>
    <n v="0"/>
    <n v="0"/>
    <n v="4000"/>
    <n v="7000"/>
    <n v="0"/>
    <n v="0"/>
    <n v="1"/>
    <n v="0"/>
    <n v="0"/>
    <n v="1"/>
    <n v="0"/>
    <n v="6"/>
    <n v="6"/>
    <n v="170000"/>
    <n v="170000"/>
    <n v="153000"/>
    <n v="0"/>
    <n v="0"/>
    <n v="170000"/>
    <n v="136000"/>
    <m/>
    <s v=""/>
    <n v="6"/>
    <n v="9"/>
    <n v="0"/>
    <n v="0"/>
    <n v="2"/>
    <n v="2"/>
    <s v="VIEW_SUMMARY"/>
    <n v="707"/>
    <n v="329"/>
    <n v="1596"/>
    <n v="1596"/>
    <s v=""/>
    <n v="126"/>
    <n v="2"/>
  </r>
  <r>
    <n v="1422"/>
    <d v="2025-10-07T13:58:56"/>
    <n v="110000"/>
    <n v="60000"/>
    <n v="0"/>
    <n v="17000"/>
    <n v="0"/>
    <n v="0"/>
    <n v="20000"/>
    <n v="18000"/>
    <n v="0"/>
    <n v="0"/>
    <n v="0"/>
    <n v="2000"/>
    <n v="0"/>
    <n v="0"/>
    <n v="1"/>
    <n v="0"/>
    <n v="0"/>
    <n v="0"/>
    <n v="0"/>
    <n v="7"/>
    <n v="6"/>
    <n v="170000"/>
    <n v="170000"/>
    <n v="136000"/>
    <n v="0"/>
    <n v="0"/>
    <n v="170000"/>
    <n v="119000"/>
    <m/>
    <s v=""/>
    <n v="6"/>
    <n v="9"/>
    <n v="-2"/>
    <n v="-1"/>
    <n v="4"/>
    <n v="3"/>
    <s v="VIEW_SUMMARY"/>
    <n v="707"/>
    <n v="334"/>
    <n v="1596"/>
    <n v="1596"/>
    <s v=""/>
    <n v="126"/>
    <n v="3"/>
  </r>
  <r>
    <n v="1437"/>
    <d v="2025-10-07T13:58:56"/>
    <n v="110000"/>
    <n v="60000"/>
    <n v="0"/>
    <n v="17000"/>
    <n v="0"/>
    <n v="0"/>
    <n v="20000"/>
    <n v="0"/>
    <n v="15000"/>
    <n v="0"/>
    <n v="0"/>
    <n v="0"/>
    <n v="0"/>
    <n v="0"/>
    <n v="0"/>
    <n v="3"/>
    <n v="0"/>
    <n v="0"/>
    <n v="0"/>
    <n v="12"/>
    <n v="6"/>
    <n v="170000"/>
    <n v="170000"/>
    <n v="119000"/>
    <n v="0"/>
    <n v="0"/>
    <n v="170000"/>
    <n v="102000"/>
    <m/>
    <s v=""/>
    <n v="6"/>
    <n v="9"/>
    <n v="-2"/>
    <n v="-1"/>
    <n v="4"/>
    <n v="3"/>
    <s v="VIEW_SUMMARY"/>
    <n v="707"/>
    <n v="337"/>
    <n v="1596"/>
    <n v="1596"/>
    <s v=""/>
    <n v="126"/>
    <n v="4"/>
  </r>
  <r>
    <n v="1334"/>
    <d v="2025-10-07T13:59:16"/>
    <n v="60000"/>
    <n v="30000"/>
    <n v="0"/>
    <n v="0"/>
    <n v="0"/>
    <n v="0"/>
    <n v="0"/>
    <n v="0"/>
    <n v="0"/>
    <n v="0"/>
    <n v="0"/>
    <n v="0"/>
    <n v="0"/>
    <n v="0"/>
    <n v="0"/>
    <n v="0"/>
    <n v="0"/>
    <n v="0"/>
    <n v="0"/>
    <n v="5"/>
    <n v="3"/>
    <n v="80000"/>
    <n v="0"/>
    <n v="0"/>
    <n v="0"/>
    <n v="0"/>
    <n v="0"/>
    <n v="0"/>
    <m/>
    <s v=""/>
    <n v="0"/>
    <n v="0"/>
    <n v="0"/>
    <n v="0"/>
    <n v="0"/>
    <n v="0"/>
    <s v="LOGIN"/>
    <n v="708"/>
    <n v="321"/>
    <m/>
    <m/>
    <s v=""/>
    <n v="123"/>
    <n v="0"/>
  </r>
  <r>
    <n v="1356"/>
    <d v="2025-10-07T13:59:16"/>
    <n v="60000"/>
    <n v="30000"/>
    <n v="0"/>
    <n v="7000"/>
    <n v="0"/>
    <n v="0"/>
    <n v="20000"/>
    <n v="0"/>
    <n v="1750"/>
    <n v="0"/>
    <n v="0"/>
    <n v="1250"/>
    <n v="0"/>
    <n v="-1"/>
    <n v="0"/>
    <n v="1"/>
    <n v="0"/>
    <n v="0"/>
    <n v="0"/>
    <n v="5"/>
    <n v="3"/>
    <n v="80000"/>
    <n v="0"/>
    <n v="0"/>
    <n v="0"/>
    <n v="70000"/>
    <n v="70000"/>
    <n v="63000"/>
    <m/>
    <s v=""/>
    <n v="6"/>
    <n v="6"/>
    <n v="0"/>
    <n v="0"/>
    <n v="0"/>
    <n v="0"/>
    <s v="VIEW_SUMMARY"/>
    <n v="708"/>
    <n v="324"/>
    <m/>
    <n v="1608"/>
    <s v=""/>
    <n v="123"/>
    <n v="1"/>
  </r>
  <r>
    <n v="1391"/>
    <d v="2025-10-07T13:59:16"/>
    <n v="60000"/>
    <n v="30000"/>
    <n v="0"/>
    <n v="7000"/>
    <n v="0"/>
    <n v="0"/>
    <n v="20000"/>
    <n v="0"/>
    <n v="3500"/>
    <n v="12000"/>
    <n v="4000"/>
    <n v="-15250"/>
    <n v="0"/>
    <n v="0"/>
    <n v="0"/>
    <n v="2"/>
    <n v="4"/>
    <n v="1"/>
    <n v="0"/>
    <n v="2"/>
    <n v="3"/>
    <n v="80000"/>
    <n v="70000"/>
    <n v="63000"/>
    <n v="0"/>
    <n v="0"/>
    <n v="70000"/>
    <n v="56000"/>
    <m/>
    <s v=""/>
    <n v="6"/>
    <n v="6"/>
    <n v="0"/>
    <n v="0"/>
    <n v="0"/>
    <n v="0"/>
    <s v="VIEW_SUMMARY"/>
    <n v="708"/>
    <n v="329"/>
    <n v="1608"/>
    <n v="1608"/>
    <s v=""/>
    <n v="123"/>
    <n v="2"/>
  </r>
  <r>
    <n v="1419"/>
    <d v="2025-10-07T13:59:16"/>
    <n v="60000"/>
    <n v="30000"/>
    <n v="15250"/>
    <n v="7000"/>
    <n v="0"/>
    <n v="0"/>
    <n v="20000"/>
    <n v="0"/>
    <n v="0"/>
    <n v="0"/>
    <n v="4000"/>
    <n v="-16250"/>
    <n v="0"/>
    <n v="0"/>
    <n v="0"/>
    <n v="0"/>
    <n v="0"/>
    <n v="1"/>
    <n v="1"/>
    <n v="0"/>
    <n v="3"/>
    <n v="80000"/>
    <n v="70000"/>
    <n v="56000"/>
    <n v="0"/>
    <n v="0"/>
    <n v="70000"/>
    <n v="49000"/>
    <m/>
    <s v=""/>
    <n v="6"/>
    <n v="6"/>
    <n v="-2"/>
    <n v="-1"/>
    <n v="0"/>
    <n v="0"/>
    <s v="VIEW_SUMMARY"/>
    <n v="708"/>
    <n v="334"/>
    <n v="1608"/>
    <n v="1608"/>
    <s v=""/>
    <n v="123"/>
    <n v="3"/>
  </r>
  <r>
    <n v="1436"/>
    <d v="2025-10-07T13:59:16"/>
    <n v="60000"/>
    <n v="30000"/>
    <n v="16250"/>
    <n v="7000"/>
    <n v="0"/>
    <n v="0"/>
    <n v="20000"/>
    <n v="0"/>
    <n v="0"/>
    <n v="0"/>
    <n v="4000"/>
    <n v="-17250"/>
    <n v="0"/>
    <n v="0"/>
    <n v="0"/>
    <n v="0"/>
    <n v="0"/>
    <n v="1"/>
    <n v="1"/>
    <n v="-2"/>
    <n v="3"/>
    <n v="80000"/>
    <n v="70000"/>
    <n v="49000"/>
    <n v="0"/>
    <n v="0"/>
    <n v="70000"/>
    <n v="42000"/>
    <m/>
    <s v=""/>
    <n v="6"/>
    <n v="6"/>
    <n v="-2"/>
    <n v="-1"/>
    <n v="0"/>
    <n v="0"/>
    <s v="VIEW_SUMMARY"/>
    <n v="708"/>
    <n v="337"/>
    <n v="1608"/>
    <n v="1608"/>
    <s v=""/>
    <n v="123"/>
    <n v="4"/>
  </r>
  <r>
    <n v="1336"/>
    <d v="2025-10-07T14:16:55"/>
    <n v="90000"/>
    <n v="50000"/>
    <n v="0"/>
    <n v="0"/>
    <n v="0"/>
    <n v="0"/>
    <n v="0"/>
    <n v="0"/>
    <n v="0"/>
    <n v="0"/>
    <n v="0"/>
    <n v="15000"/>
    <n v="0"/>
    <n v="0"/>
    <n v="0"/>
    <n v="0"/>
    <n v="0"/>
    <n v="0"/>
    <n v="0"/>
    <n v="5"/>
    <n v="5"/>
    <n v="130000"/>
    <n v="0"/>
    <n v="0"/>
    <n v="0"/>
    <n v="0"/>
    <n v="0"/>
    <n v="0"/>
    <m/>
    <s v=""/>
    <n v="0"/>
    <n v="0"/>
    <n v="0"/>
    <n v="0"/>
    <n v="0"/>
    <n v="0"/>
    <s v="LOGIN"/>
    <n v="709"/>
    <n v="321"/>
    <m/>
    <m/>
    <s v=""/>
    <n v="125"/>
    <n v="0"/>
  </r>
  <r>
    <n v="1351"/>
    <d v="2025-10-07T14:16:55"/>
    <n v="90000"/>
    <n v="50000"/>
    <n v="0"/>
    <n v="13000"/>
    <n v="0"/>
    <n v="30000"/>
    <n v="15000"/>
    <n v="0"/>
    <n v="0"/>
    <n v="0"/>
    <n v="0"/>
    <n v="-3000"/>
    <n v="0"/>
    <n v="0"/>
    <n v="0"/>
    <n v="0"/>
    <n v="0"/>
    <n v="0"/>
    <n v="0"/>
    <n v="5"/>
    <n v="5"/>
    <n v="130000"/>
    <n v="0"/>
    <n v="0"/>
    <n v="0"/>
    <n v="160000"/>
    <n v="130000"/>
    <n v="117000"/>
    <m/>
    <s v=""/>
    <n v="4"/>
    <n v="9"/>
    <n v="0"/>
    <n v="0"/>
    <n v="0"/>
    <n v="0"/>
    <s v="VIEW_SUMMARY"/>
    <n v="709"/>
    <n v="324"/>
    <m/>
    <n v="1602"/>
    <s v=""/>
    <n v="125"/>
    <n v="1"/>
  </r>
  <r>
    <n v="1390"/>
    <d v="2025-10-07T14:16:55"/>
    <n v="90000"/>
    <n v="50000"/>
    <n v="3000"/>
    <n v="13000"/>
    <n v="0"/>
    <n v="0"/>
    <n v="15000"/>
    <n v="0"/>
    <n v="7700"/>
    <n v="0"/>
    <n v="4000"/>
    <n v="-2700"/>
    <n v="0"/>
    <n v="0"/>
    <n v="0"/>
    <n v="1"/>
    <n v="0"/>
    <n v="1"/>
    <n v="1"/>
    <n v="4"/>
    <n v="5"/>
    <n v="130000"/>
    <n v="130000"/>
    <n v="117000"/>
    <n v="0"/>
    <n v="0"/>
    <n v="130000"/>
    <n v="104000"/>
    <m/>
    <s v=""/>
    <n v="4"/>
    <n v="9"/>
    <n v="0"/>
    <n v="0"/>
    <n v="1"/>
    <n v="1"/>
    <s v="VIEW_SUMMARY"/>
    <n v="709"/>
    <n v="329"/>
    <n v="1602"/>
    <n v="1602"/>
    <s v=""/>
    <n v="125"/>
    <n v="2"/>
  </r>
  <r>
    <n v="1421"/>
    <d v="2025-10-07T14:16:55"/>
    <n v="90000"/>
    <n v="50000"/>
    <n v="2700"/>
    <n v="13000"/>
    <n v="0"/>
    <n v="0"/>
    <n v="15000"/>
    <n v="0"/>
    <n v="0"/>
    <n v="0"/>
    <n v="4000"/>
    <n v="5300"/>
    <n v="0"/>
    <n v="0"/>
    <n v="0"/>
    <n v="0"/>
    <n v="0"/>
    <n v="1"/>
    <n v="1"/>
    <n v="2"/>
    <n v="5"/>
    <n v="130000"/>
    <n v="130000"/>
    <n v="104000"/>
    <n v="0"/>
    <n v="0"/>
    <n v="130000"/>
    <n v="91000"/>
    <m/>
    <s v=""/>
    <n v="4"/>
    <n v="9"/>
    <n v="-2"/>
    <n v="-1"/>
    <n v="0"/>
    <n v="0"/>
    <s v="VIEW_SUMMARY"/>
    <n v="709"/>
    <n v="334"/>
    <n v="1602"/>
    <n v="1602"/>
    <s v=""/>
    <n v="125"/>
    <n v="3"/>
  </r>
  <r>
    <n v="1439"/>
    <d v="2025-10-07T14:16:55"/>
    <n v="90000"/>
    <n v="50000"/>
    <n v="0"/>
    <n v="10000"/>
    <n v="69000"/>
    <n v="0"/>
    <n v="20000"/>
    <n v="32000"/>
    <n v="14000"/>
    <n v="0"/>
    <n v="0"/>
    <n v="38300"/>
    <n v="1"/>
    <n v="-2"/>
    <n v="3"/>
    <n v="4"/>
    <n v="0"/>
    <n v="0"/>
    <n v="0"/>
    <n v="10"/>
    <n v="5"/>
    <n v="130000"/>
    <n v="130000"/>
    <n v="91000"/>
    <n v="160000"/>
    <n v="100000"/>
    <n v="100000"/>
    <n v="90000"/>
    <n v="36"/>
    <s v=""/>
    <n v="6"/>
    <n v="9"/>
    <n v="-2"/>
    <n v="-1"/>
    <n v="5"/>
    <n v="4"/>
    <s v="VIEW_SUMMARY"/>
    <n v="709"/>
    <n v="337"/>
    <n v="1602"/>
    <n v="1663"/>
    <s v=""/>
    <n v="125"/>
    <n v="4"/>
  </r>
  <r>
    <n v="1346"/>
    <d v="2025-10-07T14:18:05"/>
    <n v="130000"/>
    <n v="75000"/>
    <n v="0"/>
    <n v="0"/>
    <n v="0"/>
    <n v="0"/>
    <n v="0"/>
    <n v="0"/>
    <n v="0"/>
    <n v="0"/>
    <n v="0"/>
    <n v="50000"/>
    <n v="0"/>
    <n v="0"/>
    <n v="0"/>
    <n v="0"/>
    <n v="0"/>
    <n v="0"/>
    <n v="0"/>
    <n v="5"/>
    <n v="7"/>
    <n v="200000"/>
    <n v="0"/>
    <n v="0"/>
    <n v="0"/>
    <n v="0"/>
    <n v="0"/>
    <n v="0"/>
    <m/>
    <s v=""/>
    <n v="0"/>
    <n v="0"/>
    <n v="0"/>
    <n v="0"/>
    <n v="0"/>
    <n v="0"/>
    <s v="LOGIN"/>
    <n v="710"/>
    <n v="321"/>
    <m/>
    <m/>
    <s v=""/>
    <n v="127"/>
    <n v="0"/>
  </r>
  <r>
    <n v="1353"/>
    <d v="2025-10-07T14:18:05"/>
    <n v="130000"/>
    <n v="75000"/>
    <n v="0"/>
    <n v="20000"/>
    <n v="0"/>
    <n v="0"/>
    <n v="20000"/>
    <n v="9000"/>
    <n v="14000"/>
    <n v="0"/>
    <n v="0"/>
    <n v="42000"/>
    <n v="0"/>
    <n v="-1"/>
    <n v="1"/>
    <n v="2"/>
    <n v="0"/>
    <n v="0"/>
    <n v="0"/>
    <n v="7"/>
    <n v="7"/>
    <n v="200000"/>
    <n v="0"/>
    <n v="0"/>
    <n v="0"/>
    <n v="200000"/>
    <n v="200000"/>
    <n v="180000"/>
    <m/>
    <s v=""/>
    <n v="6"/>
    <n v="9"/>
    <n v="0"/>
    <n v="0"/>
    <n v="2"/>
    <n v="2"/>
    <s v="VIEW_SUMMARY"/>
    <n v="710"/>
    <n v="324"/>
    <m/>
    <n v="1597"/>
    <s v=""/>
    <n v="127"/>
    <n v="1"/>
  </r>
  <r>
    <n v="1388"/>
    <d v="2025-10-07T14:18:05"/>
    <n v="130000"/>
    <n v="75000"/>
    <n v="0"/>
    <n v="20000"/>
    <n v="0"/>
    <n v="0"/>
    <n v="20000"/>
    <n v="24000"/>
    <n v="14000"/>
    <n v="0"/>
    <n v="0"/>
    <n v="19000"/>
    <n v="0"/>
    <n v="0"/>
    <n v="2"/>
    <n v="2"/>
    <n v="0"/>
    <n v="0"/>
    <n v="0"/>
    <n v="11"/>
    <n v="7"/>
    <n v="200000"/>
    <n v="200000"/>
    <n v="180000"/>
    <n v="0"/>
    <n v="0"/>
    <n v="200000"/>
    <n v="160000"/>
    <m/>
    <s v=""/>
    <n v="6"/>
    <n v="9"/>
    <n v="0"/>
    <n v="0"/>
    <n v="5"/>
    <n v="4"/>
    <s v="VIEW_SUMMARY"/>
    <n v="710"/>
    <n v="329"/>
    <n v="1597"/>
    <n v="1597"/>
    <s v=""/>
    <n v="127"/>
    <n v="2"/>
  </r>
  <r>
    <n v="1417"/>
    <d v="2025-10-07T14:18:05"/>
    <n v="130000"/>
    <n v="75000"/>
    <n v="0"/>
    <n v="20000"/>
    <n v="0"/>
    <n v="0"/>
    <n v="20000"/>
    <n v="0"/>
    <n v="25500"/>
    <n v="0"/>
    <n v="0"/>
    <n v="8500"/>
    <n v="0"/>
    <n v="0"/>
    <n v="0"/>
    <n v="4"/>
    <n v="0"/>
    <n v="0"/>
    <n v="0"/>
    <n v="15"/>
    <n v="7"/>
    <n v="200000"/>
    <n v="200000"/>
    <n v="160000"/>
    <n v="0"/>
    <n v="0"/>
    <n v="200000"/>
    <n v="140000"/>
    <m/>
    <s v=""/>
    <n v="6"/>
    <n v="9"/>
    <n v="-2"/>
    <n v="-1"/>
    <n v="5"/>
    <n v="4"/>
    <s v="VIEW_SUMMARY"/>
    <n v="710"/>
    <n v="334"/>
    <n v="1597"/>
    <n v="1597"/>
    <s v=""/>
    <n v="127"/>
    <n v="3"/>
  </r>
  <r>
    <n v="1438"/>
    <d v="2025-10-07T14:18:05"/>
    <n v="130000"/>
    <n v="75000"/>
    <n v="0"/>
    <n v="20000"/>
    <n v="0"/>
    <n v="0"/>
    <n v="20000"/>
    <n v="0"/>
    <n v="19000"/>
    <n v="0"/>
    <n v="0"/>
    <n v="4500"/>
    <n v="0"/>
    <n v="0"/>
    <n v="0"/>
    <n v="3"/>
    <n v="0"/>
    <n v="0"/>
    <n v="0"/>
    <n v="20"/>
    <n v="7"/>
    <n v="200000"/>
    <n v="200000"/>
    <n v="140000"/>
    <n v="0"/>
    <n v="0"/>
    <n v="200000"/>
    <n v="120000"/>
    <m/>
    <s v=""/>
    <n v="6"/>
    <n v="9"/>
    <n v="-2"/>
    <n v="-1"/>
    <n v="5"/>
    <n v="4"/>
    <s v="VIEW_SUMMARY"/>
    <n v="710"/>
    <n v="337"/>
    <n v="1597"/>
    <n v="1597"/>
    <s v=""/>
    <n v="127"/>
    <n v="4"/>
  </r>
  <r>
    <n v="1322"/>
    <d v="2025-10-07T13:52:09"/>
    <n v="190000"/>
    <n v="115000"/>
    <n v="0"/>
    <n v="0"/>
    <n v="0"/>
    <n v="0"/>
    <n v="0"/>
    <n v="0"/>
    <n v="0"/>
    <n v="0"/>
    <n v="0"/>
    <n v="80000"/>
    <n v="0"/>
    <n v="0"/>
    <n v="0"/>
    <n v="0"/>
    <n v="0"/>
    <n v="0"/>
    <n v="0"/>
    <n v="5"/>
    <n v="8"/>
    <n v="300000"/>
    <n v="0"/>
    <n v="0"/>
    <n v="0"/>
    <n v="0"/>
    <n v="0"/>
    <n v="0"/>
    <m/>
    <s v=""/>
    <n v="0"/>
    <n v="0"/>
    <n v="0"/>
    <n v="0"/>
    <n v="0"/>
    <n v="0"/>
    <s v="LOGIN"/>
    <n v="711"/>
    <n v="321"/>
    <m/>
    <m/>
    <s v=""/>
    <n v="128"/>
    <n v="0"/>
  </r>
  <r>
    <n v="1354"/>
    <d v="2025-10-07T13:52:09"/>
    <n v="190000"/>
    <n v="115000"/>
    <n v="0"/>
    <n v="30000"/>
    <n v="0"/>
    <n v="0"/>
    <n v="15000"/>
    <n v="14000"/>
    <n v="30500"/>
    <n v="0"/>
    <n v="0"/>
    <n v="65500"/>
    <n v="0"/>
    <n v="0"/>
    <n v="2"/>
    <n v="3"/>
    <n v="0"/>
    <n v="0"/>
    <n v="0"/>
    <n v="10"/>
    <n v="8"/>
    <n v="300000"/>
    <n v="0"/>
    <n v="0"/>
    <n v="0"/>
    <n v="300000"/>
    <n v="300000"/>
    <n v="270000"/>
    <m/>
    <s v=""/>
    <n v="4"/>
    <n v="9"/>
    <n v="0"/>
    <n v="0"/>
    <n v="3"/>
    <n v="1"/>
    <s v="VIEW_SUMMARY"/>
    <n v="711"/>
    <n v="324"/>
    <m/>
    <n v="1600"/>
    <s v=""/>
    <n v="128"/>
    <n v="1"/>
  </r>
  <r>
    <n v="1387"/>
    <d v="2025-10-07T13:52:09"/>
    <n v="190000"/>
    <n v="115000"/>
    <n v="0"/>
    <n v="30000"/>
    <n v="0"/>
    <n v="0"/>
    <n v="15000"/>
    <n v="0"/>
    <n v="15500"/>
    <n v="0"/>
    <n v="4000"/>
    <n v="76000"/>
    <n v="0"/>
    <n v="0"/>
    <n v="0"/>
    <n v="1"/>
    <n v="0"/>
    <n v="1"/>
    <n v="0"/>
    <n v="10"/>
    <n v="8"/>
    <n v="300000"/>
    <n v="300000"/>
    <n v="270000"/>
    <n v="0"/>
    <n v="0"/>
    <n v="300000"/>
    <n v="240000"/>
    <m/>
    <s v=""/>
    <n v="4"/>
    <n v="9"/>
    <n v="0"/>
    <n v="0"/>
    <n v="3"/>
    <n v="1"/>
    <s v="VIEW_SUMMARY"/>
    <n v="711"/>
    <n v="329"/>
    <n v="1600"/>
    <n v="1600"/>
    <s v=""/>
    <n v="128"/>
    <n v="2"/>
  </r>
  <r>
    <n v="1418"/>
    <d v="2025-10-07T13:52:09"/>
    <n v="190000"/>
    <n v="115000"/>
    <n v="0"/>
    <n v="30000"/>
    <n v="0"/>
    <n v="0"/>
    <n v="15000"/>
    <n v="19000"/>
    <n v="30500"/>
    <n v="0"/>
    <n v="0"/>
    <n v="56500"/>
    <n v="0"/>
    <n v="0"/>
    <n v="1"/>
    <n v="3"/>
    <n v="0"/>
    <n v="0"/>
    <n v="0"/>
    <n v="14"/>
    <n v="8"/>
    <n v="300000"/>
    <n v="300000"/>
    <n v="240000"/>
    <n v="0"/>
    <n v="0"/>
    <n v="300000"/>
    <n v="210000"/>
    <m/>
    <s v=""/>
    <n v="4"/>
    <n v="9"/>
    <n v="-2"/>
    <n v="-1"/>
    <n v="5"/>
    <n v="4"/>
    <s v="VIEW_SUMMARY"/>
    <n v="711"/>
    <n v="334"/>
    <n v="1600"/>
    <n v="1600"/>
    <s v=""/>
    <n v="128"/>
    <n v="3"/>
  </r>
  <r>
    <n v="1435"/>
    <d v="2025-10-07T13:52:09"/>
    <n v="190000"/>
    <n v="115000"/>
    <n v="0"/>
    <n v="30000"/>
    <n v="0"/>
    <n v="0"/>
    <n v="20000"/>
    <n v="0"/>
    <n v="38000"/>
    <n v="0"/>
    <n v="0"/>
    <n v="43500"/>
    <n v="0"/>
    <n v="0"/>
    <n v="0"/>
    <n v="4"/>
    <n v="0"/>
    <n v="0"/>
    <n v="0"/>
    <n v="18"/>
    <n v="8"/>
    <n v="300000"/>
    <n v="300000"/>
    <n v="210000"/>
    <n v="0"/>
    <n v="0"/>
    <n v="300000"/>
    <n v="180000"/>
    <m/>
    <s v=""/>
    <n v="4"/>
    <n v="9"/>
    <n v="-2"/>
    <n v="-1"/>
    <n v="5"/>
    <n v="4"/>
    <s v="VIEW_SUMMARY"/>
    <n v="711"/>
    <n v="337"/>
    <n v="1600"/>
    <n v="1600"/>
    <s v=""/>
    <n v="128"/>
    <n v="4"/>
  </r>
  <r>
    <n v="1332"/>
    <d v="2025-10-07T13:56:39"/>
    <n v="75000"/>
    <n v="40000"/>
    <n v="0"/>
    <n v="0"/>
    <n v="0"/>
    <n v="0"/>
    <n v="0"/>
    <n v="0"/>
    <n v="0"/>
    <n v="0"/>
    <n v="0"/>
    <n v="5000"/>
    <n v="0"/>
    <n v="0"/>
    <n v="0"/>
    <n v="0"/>
    <n v="0"/>
    <n v="0"/>
    <n v="0"/>
    <n v="5"/>
    <n v="4"/>
    <n v="110000"/>
    <n v="0"/>
    <n v="0"/>
    <n v="0"/>
    <n v="0"/>
    <n v="0"/>
    <n v="0"/>
    <m/>
    <s v=""/>
    <n v="0"/>
    <n v="0"/>
    <n v="0"/>
    <n v="0"/>
    <n v="0"/>
    <n v="0"/>
    <s v="LOGIN"/>
    <n v="714"/>
    <n v="319"/>
    <m/>
    <m/>
    <s v=""/>
    <n v="124"/>
    <n v="0"/>
  </r>
  <r>
    <n v="1339"/>
    <d v="2025-10-07T13:56:39"/>
    <n v="75000"/>
    <n v="40000"/>
    <n v="0"/>
    <n v="10000"/>
    <n v="0"/>
    <n v="0"/>
    <n v="15000"/>
    <n v="0"/>
    <n v="5000"/>
    <n v="0"/>
    <n v="0"/>
    <n v="10000"/>
    <n v="0"/>
    <n v="-1"/>
    <n v="0"/>
    <n v="2"/>
    <n v="0"/>
    <n v="0"/>
    <n v="0"/>
    <n v="6"/>
    <n v="4"/>
    <n v="110000"/>
    <n v="0"/>
    <n v="0"/>
    <n v="0"/>
    <n v="100000"/>
    <n v="100000"/>
    <n v="90000"/>
    <m/>
    <s v=""/>
    <n v="6"/>
    <n v="9"/>
    <n v="0"/>
    <n v="0"/>
    <n v="0"/>
    <n v="0"/>
    <s v="VIEW_SUMMARY"/>
    <n v="714"/>
    <n v="322"/>
    <m/>
    <n v="1568"/>
    <s v=""/>
    <n v="124"/>
    <n v="1"/>
  </r>
  <r>
    <n v="1376"/>
    <d v="2025-10-07T13:56:39"/>
    <n v="75000"/>
    <n v="40000"/>
    <n v="0"/>
    <n v="10000"/>
    <n v="0"/>
    <n v="0"/>
    <n v="15000"/>
    <n v="9000"/>
    <n v="0"/>
    <n v="0"/>
    <n v="0"/>
    <n v="11000"/>
    <n v="0"/>
    <n v="0"/>
    <n v="1"/>
    <n v="0"/>
    <n v="0"/>
    <n v="0"/>
    <n v="0"/>
    <n v="7"/>
    <n v="4"/>
    <n v="110000"/>
    <n v="100000"/>
    <n v="90000"/>
    <n v="0"/>
    <n v="0"/>
    <n v="100000"/>
    <n v="80000"/>
    <m/>
    <s v=""/>
    <n v="6"/>
    <n v="9"/>
    <n v="0"/>
    <n v="0"/>
    <n v="1"/>
    <n v="1"/>
    <s v="VIEW_SUMMARY"/>
    <n v="714"/>
    <n v="326"/>
    <n v="1568"/>
    <n v="1568"/>
    <s v=""/>
    <n v="124"/>
    <n v="2"/>
  </r>
  <r>
    <n v="1402"/>
    <d v="2025-10-07T13:56:39"/>
    <n v="75000"/>
    <n v="40000"/>
    <n v="0"/>
    <n v="10000"/>
    <n v="0"/>
    <n v="0"/>
    <n v="15000"/>
    <n v="18000"/>
    <n v="0"/>
    <n v="0"/>
    <n v="0"/>
    <n v="3000"/>
    <n v="0"/>
    <n v="0"/>
    <n v="1"/>
    <n v="0"/>
    <n v="0"/>
    <n v="0"/>
    <n v="0"/>
    <n v="8"/>
    <n v="4"/>
    <n v="110000"/>
    <n v="100000"/>
    <n v="80000"/>
    <n v="0"/>
    <n v="0"/>
    <n v="100000"/>
    <n v="60000"/>
    <m/>
    <s v=""/>
    <n v="6"/>
    <n v="9"/>
    <n v="-2"/>
    <n v="-1"/>
    <n v="3"/>
    <n v="3"/>
    <s v="VIEW_SUMMARY"/>
    <n v="714"/>
    <n v="331"/>
    <n v="1568"/>
    <n v="1568"/>
    <s v=""/>
    <n v="124"/>
    <n v="3"/>
  </r>
  <r>
    <n v="1425"/>
    <d v="2025-10-07T13:56:39"/>
    <n v="75000"/>
    <n v="40000"/>
    <n v="0"/>
    <n v="10000"/>
    <n v="0"/>
    <n v="0"/>
    <n v="20000"/>
    <n v="0"/>
    <n v="7500"/>
    <n v="0"/>
    <n v="0"/>
    <n v="500"/>
    <n v="0"/>
    <n v="0"/>
    <n v="0"/>
    <n v="3"/>
    <n v="0"/>
    <n v="0"/>
    <n v="0"/>
    <n v="13"/>
    <n v="4"/>
    <n v="110000"/>
    <n v="100000"/>
    <n v="60000"/>
    <n v="0"/>
    <n v="0"/>
    <n v="100000"/>
    <n v="50000"/>
    <m/>
    <s v=""/>
    <n v="6"/>
    <n v="9"/>
    <n v="-2"/>
    <n v="-1"/>
    <n v="3"/>
    <n v="3"/>
    <s v="VIEW_DAMAGE"/>
    <n v="714"/>
    <n v="335"/>
    <n v="1568"/>
    <n v="1568"/>
    <s v=""/>
    <n v="124"/>
    <n v="4"/>
  </r>
  <r>
    <n v="1325"/>
    <d v="2025-10-07T13:53:52"/>
    <n v="110000"/>
    <n v="60000"/>
    <n v="0"/>
    <n v="0"/>
    <n v="0"/>
    <n v="0"/>
    <n v="0"/>
    <n v="0"/>
    <n v="0"/>
    <n v="0"/>
    <n v="0"/>
    <n v="30000"/>
    <n v="0"/>
    <n v="0"/>
    <n v="0"/>
    <n v="0"/>
    <n v="0"/>
    <n v="0"/>
    <n v="0"/>
    <n v="5"/>
    <n v="6"/>
    <n v="170000"/>
    <n v="0"/>
    <n v="0"/>
    <n v="0"/>
    <n v="0"/>
    <n v="0"/>
    <n v="0"/>
    <m/>
    <s v=""/>
    <n v="0"/>
    <n v="0"/>
    <n v="0"/>
    <n v="0"/>
    <n v="0"/>
    <n v="0"/>
    <s v="LOGIN"/>
    <n v="715"/>
    <n v="319"/>
    <m/>
    <m/>
    <s v=""/>
    <n v="126"/>
    <n v="0"/>
  </r>
  <r>
    <n v="1342"/>
    <d v="2025-10-07T13:53:52"/>
    <n v="110000"/>
    <n v="60000"/>
    <n v="0"/>
    <n v="12500"/>
    <n v="0"/>
    <n v="0"/>
    <n v="20000"/>
    <n v="22000"/>
    <n v="9375"/>
    <n v="0"/>
    <n v="0"/>
    <n v="16125"/>
    <n v="0"/>
    <n v="-2"/>
    <n v="3"/>
    <n v="3"/>
    <n v="0"/>
    <n v="0"/>
    <n v="0"/>
    <n v="9"/>
    <n v="6"/>
    <n v="170000"/>
    <n v="0"/>
    <n v="0"/>
    <n v="0"/>
    <n v="125000"/>
    <n v="125000"/>
    <n v="112500"/>
    <m/>
    <s v=""/>
    <n v="6"/>
    <n v="6"/>
    <n v="0"/>
    <n v="0"/>
    <n v="3"/>
    <n v="1"/>
    <s v="VIEW_SUMMARY"/>
    <n v="715"/>
    <n v="322"/>
    <m/>
    <n v="1577"/>
    <s v=""/>
    <n v="126"/>
    <n v="1"/>
  </r>
  <r>
    <n v="1370"/>
    <d v="2025-10-07T13:53:52"/>
    <n v="110000"/>
    <n v="60000"/>
    <n v="0"/>
    <n v="12500"/>
    <n v="0"/>
    <n v="0"/>
    <n v="20000"/>
    <n v="11000"/>
    <n v="8750"/>
    <n v="0"/>
    <n v="0"/>
    <n v="13875"/>
    <n v="0"/>
    <n v="0"/>
    <n v="0"/>
    <n v="2"/>
    <n v="1"/>
    <n v="0"/>
    <n v="0"/>
    <n v="10"/>
    <n v="6"/>
    <n v="170000"/>
    <n v="125000"/>
    <n v="112500"/>
    <n v="0"/>
    <n v="0"/>
    <n v="125000"/>
    <n v="100000"/>
    <m/>
    <s v=""/>
    <n v="6"/>
    <n v="6"/>
    <n v="0"/>
    <n v="0"/>
    <n v="5"/>
    <n v="4"/>
    <s v="VIEW_SUMMARY"/>
    <n v="715"/>
    <n v="326"/>
    <n v="1577"/>
    <n v="1577"/>
    <s v=""/>
    <n v="126"/>
    <n v="2"/>
  </r>
  <r>
    <n v="1404"/>
    <d v="2025-10-07T13:53:52"/>
    <n v="110000"/>
    <n v="60000"/>
    <n v="0"/>
    <n v="12500"/>
    <n v="0"/>
    <n v="0"/>
    <n v="20000"/>
    <n v="0"/>
    <n v="17375"/>
    <n v="0"/>
    <n v="0"/>
    <n v="14000"/>
    <n v="0"/>
    <n v="0"/>
    <n v="0"/>
    <n v="4"/>
    <n v="0"/>
    <n v="0"/>
    <n v="0"/>
    <n v="14"/>
    <n v="6"/>
    <n v="170000"/>
    <n v="125000"/>
    <n v="100000"/>
    <n v="0"/>
    <n v="0"/>
    <n v="125000"/>
    <n v="75000"/>
    <m/>
    <s v=""/>
    <n v="6"/>
    <n v="6"/>
    <n v="-2"/>
    <n v="-1"/>
    <n v="5"/>
    <n v="4"/>
    <s v="VIEW_SUMMARY"/>
    <n v="715"/>
    <n v="331"/>
    <n v="1577"/>
    <n v="1577"/>
    <s v=""/>
    <n v="126"/>
    <n v="3"/>
  </r>
  <r>
    <n v="1424"/>
    <d v="2025-10-07T13:53:52"/>
    <n v="110000"/>
    <n v="60000"/>
    <n v="0"/>
    <n v="12500"/>
    <n v="0"/>
    <n v="0"/>
    <n v="20000"/>
    <n v="0"/>
    <n v="17375"/>
    <n v="0"/>
    <n v="0"/>
    <n v="14125"/>
    <n v="0"/>
    <n v="0"/>
    <n v="0"/>
    <n v="4"/>
    <n v="1"/>
    <n v="0"/>
    <n v="0"/>
    <n v="17"/>
    <n v="6"/>
    <n v="170000"/>
    <n v="125000"/>
    <n v="75000"/>
    <n v="0"/>
    <n v="0"/>
    <n v="125000"/>
    <n v="62500"/>
    <m/>
    <s v=""/>
    <n v="6"/>
    <n v="6"/>
    <n v="-2"/>
    <n v="-1"/>
    <n v="5"/>
    <n v="4"/>
    <s v="VIEW_SUMMARY"/>
    <n v="715"/>
    <n v="335"/>
    <n v="1577"/>
    <n v="1577"/>
    <s v=""/>
    <n v="126"/>
    <n v="4"/>
  </r>
  <r>
    <n v="1337"/>
    <d v="2025-10-07T14:17:01"/>
    <n v="60000"/>
    <n v="30000"/>
    <n v="0"/>
    <n v="0"/>
    <n v="0"/>
    <n v="0"/>
    <n v="0"/>
    <n v="0"/>
    <n v="0"/>
    <n v="0"/>
    <n v="0"/>
    <n v="0"/>
    <n v="0"/>
    <n v="0"/>
    <n v="0"/>
    <n v="0"/>
    <n v="0"/>
    <n v="0"/>
    <n v="0"/>
    <n v="5"/>
    <n v="3"/>
    <n v="80000"/>
    <n v="0"/>
    <n v="0"/>
    <n v="0"/>
    <n v="0"/>
    <n v="0"/>
    <n v="0"/>
    <m/>
    <s v=""/>
    <n v="0"/>
    <n v="0"/>
    <n v="0"/>
    <n v="0"/>
    <n v="0"/>
    <n v="0"/>
    <s v="LOGIN"/>
    <n v="716"/>
    <n v="319"/>
    <m/>
    <m/>
    <s v=""/>
    <n v="123"/>
    <n v="0"/>
  </r>
  <r>
    <n v="1341"/>
    <d v="2025-10-07T14:17:01"/>
    <n v="60000"/>
    <n v="30000"/>
    <n v="0"/>
    <n v="7000"/>
    <n v="0"/>
    <n v="0"/>
    <n v="20000"/>
    <n v="1000"/>
    <n v="1400"/>
    <n v="0"/>
    <n v="0"/>
    <n v="600"/>
    <n v="0"/>
    <n v="-1"/>
    <n v="0"/>
    <n v="0"/>
    <n v="0"/>
    <n v="0"/>
    <n v="0"/>
    <n v="4"/>
    <n v="3"/>
    <n v="80000"/>
    <n v="0"/>
    <n v="0"/>
    <n v="0"/>
    <n v="70000"/>
    <n v="70000"/>
    <n v="63000"/>
    <m/>
    <s v=""/>
    <n v="6"/>
    <n v="6"/>
    <n v="0"/>
    <n v="0"/>
    <n v="1"/>
    <n v="2"/>
    <s v="VIEW_SUMMARY"/>
    <n v="716"/>
    <n v="322"/>
    <m/>
    <n v="1578"/>
    <s v=""/>
    <n v="123"/>
    <n v="1"/>
  </r>
  <r>
    <n v="1372"/>
    <d v="2025-10-07T14:17:01"/>
    <n v="60000"/>
    <n v="30000"/>
    <n v="0"/>
    <n v="7000"/>
    <n v="0"/>
    <n v="0"/>
    <n v="20000"/>
    <n v="0"/>
    <n v="3150"/>
    <n v="0"/>
    <n v="0"/>
    <n v="450"/>
    <n v="0"/>
    <n v="0"/>
    <n v="0"/>
    <n v="1"/>
    <n v="1"/>
    <n v="0"/>
    <n v="0"/>
    <n v="4"/>
    <n v="3"/>
    <n v="80000"/>
    <n v="70000"/>
    <n v="63000"/>
    <n v="0"/>
    <n v="0"/>
    <n v="70000"/>
    <n v="56000"/>
    <m/>
    <s v=""/>
    <n v="6"/>
    <n v="6"/>
    <n v="0"/>
    <n v="0"/>
    <n v="1"/>
    <n v="2"/>
    <s v="VIEW_SUMMARY"/>
    <n v="716"/>
    <n v="326"/>
    <n v="1578"/>
    <n v="1578"/>
    <s v=""/>
    <n v="123"/>
    <n v="2"/>
  </r>
  <r>
    <n v="1400"/>
    <d v="2025-10-07T14:17:01"/>
    <n v="60000"/>
    <n v="30000"/>
    <n v="0"/>
    <n v="7000"/>
    <n v="0"/>
    <n v="0"/>
    <n v="20000"/>
    <n v="0"/>
    <n v="3150"/>
    <n v="0"/>
    <n v="4000"/>
    <n v="-3700"/>
    <n v="0"/>
    <n v="0"/>
    <n v="0"/>
    <n v="1"/>
    <n v="0"/>
    <n v="1"/>
    <n v="0"/>
    <n v="4"/>
    <n v="3"/>
    <n v="80000"/>
    <n v="70000"/>
    <n v="56000"/>
    <n v="0"/>
    <n v="0"/>
    <n v="70000"/>
    <n v="42000"/>
    <m/>
    <s v=""/>
    <n v="6"/>
    <n v="6"/>
    <n v="-2"/>
    <n v="-1"/>
    <n v="1"/>
    <n v="2"/>
    <s v="VIEW_SUMMARY"/>
    <n v="716"/>
    <n v="331"/>
    <n v="1578"/>
    <n v="1578"/>
    <s v=""/>
    <n v="123"/>
    <n v="3"/>
  </r>
  <r>
    <n v="1427"/>
    <d v="2025-10-07T14:17:01"/>
    <n v="60000"/>
    <n v="30000"/>
    <n v="3700"/>
    <n v="8000"/>
    <n v="28000"/>
    <n v="0"/>
    <n v="20000"/>
    <n v="18000"/>
    <n v="7600"/>
    <n v="0"/>
    <n v="0"/>
    <n v="700"/>
    <n v="1"/>
    <n v="-1"/>
    <n v="1"/>
    <n v="3"/>
    <n v="0"/>
    <n v="0"/>
    <n v="1"/>
    <n v="5"/>
    <n v="3"/>
    <n v="80000"/>
    <n v="70000"/>
    <n v="42000"/>
    <n v="70000"/>
    <n v="80000"/>
    <n v="80000"/>
    <n v="72000"/>
    <n v="35"/>
    <s v=""/>
    <n v="4"/>
    <n v="9"/>
    <n v="-2"/>
    <n v="-1"/>
    <n v="5"/>
    <n v="3"/>
    <s v="VIEW_SUMMARY"/>
    <n v="716"/>
    <n v="335"/>
    <n v="1578"/>
    <n v="1643"/>
    <s v=""/>
    <n v="123"/>
    <n v="4"/>
  </r>
  <r>
    <n v="1326"/>
    <d v="2025-10-07T13:54:16"/>
    <n v="90000"/>
    <n v="50000"/>
    <n v="0"/>
    <n v="0"/>
    <n v="0"/>
    <n v="0"/>
    <n v="0"/>
    <n v="0"/>
    <n v="0"/>
    <n v="0"/>
    <n v="0"/>
    <n v="15000"/>
    <n v="0"/>
    <n v="0"/>
    <n v="0"/>
    <n v="0"/>
    <n v="0"/>
    <n v="0"/>
    <n v="0"/>
    <n v="5"/>
    <n v="5"/>
    <n v="130000"/>
    <n v="0"/>
    <n v="0"/>
    <n v="0"/>
    <n v="0"/>
    <n v="0"/>
    <n v="0"/>
    <m/>
    <s v=""/>
    <n v="0"/>
    <n v="0"/>
    <n v="0"/>
    <n v="0"/>
    <n v="0"/>
    <n v="0"/>
    <s v="LOGIN"/>
    <n v="717"/>
    <n v="319"/>
    <m/>
    <m/>
    <s v=""/>
    <n v="125"/>
    <n v="0"/>
  </r>
  <r>
    <n v="1357"/>
    <d v="2025-10-07T13:54:16"/>
    <n v="90000"/>
    <n v="50000"/>
    <n v="0"/>
    <n v="13000"/>
    <n v="0"/>
    <n v="30000"/>
    <n v="20000"/>
    <n v="0"/>
    <n v="0"/>
    <n v="0"/>
    <n v="0"/>
    <n v="-8000"/>
    <n v="0"/>
    <n v="0"/>
    <n v="0"/>
    <n v="0"/>
    <n v="0"/>
    <n v="0"/>
    <n v="0"/>
    <n v="5"/>
    <n v="5"/>
    <n v="130000"/>
    <n v="0"/>
    <n v="0"/>
    <n v="0"/>
    <n v="160000"/>
    <n v="130000"/>
    <n v="117000"/>
    <m/>
    <s v=""/>
    <n v="4"/>
    <n v="9"/>
    <n v="0"/>
    <n v="0"/>
    <n v="0"/>
    <n v="0"/>
    <s v="VIEW_SUMMARY"/>
    <n v="717"/>
    <n v="322"/>
    <m/>
    <n v="1571"/>
    <s v=""/>
    <n v="125"/>
    <n v="1"/>
  </r>
  <r>
    <n v="1369"/>
    <d v="2025-10-07T13:54:16"/>
    <n v="90000"/>
    <n v="50000"/>
    <n v="8000"/>
    <n v="13000"/>
    <n v="0"/>
    <n v="0"/>
    <n v="20000"/>
    <n v="0"/>
    <n v="0"/>
    <n v="0"/>
    <n v="4000"/>
    <n v="-5000"/>
    <n v="0"/>
    <n v="0"/>
    <n v="0"/>
    <n v="0"/>
    <n v="0"/>
    <n v="1"/>
    <n v="1"/>
    <n v="3"/>
    <n v="5"/>
    <n v="130000"/>
    <n v="130000"/>
    <n v="117000"/>
    <n v="0"/>
    <n v="0"/>
    <n v="130000"/>
    <n v="91000"/>
    <m/>
    <s v=""/>
    <n v="4"/>
    <n v="9"/>
    <n v="0"/>
    <n v="0"/>
    <n v="0"/>
    <n v="0"/>
    <s v="VIEW_SUMMARY"/>
    <n v="717"/>
    <n v="326"/>
    <n v="1571"/>
    <n v="1571"/>
    <s v=""/>
    <n v="125"/>
    <n v="2"/>
  </r>
  <r>
    <n v="1401"/>
    <d v="2025-10-07T13:54:16"/>
    <n v="90000"/>
    <n v="50000"/>
    <n v="5000"/>
    <n v="13000"/>
    <n v="0"/>
    <n v="0"/>
    <n v="20000"/>
    <n v="0"/>
    <n v="0"/>
    <n v="0"/>
    <n v="4000"/>
    <n v="-2000"/>
    <n v="0"/>
    <n v="0"/>
    <n v="0"/>
    <n v="0"/>
    <n v="0"/>
    <n v="1"/>
    <n v="1"/>
    <n v="1"/>
    <n v="5"/>
    <n v="130000"/>
    <n v="130000"/>
    <n v="91000"/>
    <n v="0"/>
    <n v="0"/>
    <n v="130000"/>
    <n v="78000"/>
    <m/>
    <s v=""/>
    <n v="4"/>
    <n v="9"/>
    <n v="-2"/>
    <n v="-1"/>
    <n v="0"/>
    <n v="0"/>
    <s v="VIEW_SUMMARY"/>
    <n v="717"/>
    <n v="331"/>
    <n v="1571"/>
    <n v="1571"/>
    <s v=""/>
    <n v="125"/>
    <n v="3"/>
  </r>
  <r>
    <n v="1434"/>
    <d v="2025-10-07T13:54:16"/>
    <n v="90000"/>
    <n v="50000"/>
    <n v="2000"/>
    <n v="13000"/>
    <n v="82000"/>
    <n v="70000"/>
    <n v="20000"/>
    <n v="6000"/>
    <n v="10000"/>
    <n v="0"/>
    <n v="0"/>
    <n v="1000"/>
    <n v="1"/>
    <n v="1"/>
    <n v="1"/>
    <n v="2"/>
    <n v="0"/>
    <n v="0"/>
    <n v="1"/>
    <n v="7"/>
    <n v="5"/>
    <n v="130000"/>
    <n v="130000"/>
    <n v="78000"/>
    <n v="160000"/>
    <n v="200000"/>
    <n v="130000"/>
    <n v="117000"/>
    <n v="35"/>
    <s v=""/>
    <n v="6"/>
    <n v="9"/>
    <n v="-2"/>
    <n v="-1"/>
    <n v="2"/>
    <n v="1"/>
    <s v="VIEW_SUMMARY"/>
    <n v="717"/>
    <n v="335"/>
    <n v="1571"/>
    <n v="1637"/>
    <s v=""/>
    <n v="125"/>
    <n v="4"/>
  </r>
  <r>
    <n v="1338"/>
    <d v="2025-10-07T14:17:33"/>
    <n v="130000"/>
    <n v="75000"/>
    <n v="0"/>
    <n v="0"/>
    <n v="0"/>
    <n v="0"/>
    <n v="0"/>
    <n v="0"/>
    <n v="0"/>
    <n v="0"/>
    <n v="0"/>
    <n v="50000"/>
    <n v="0"/>
    <n v="0"/>
    <n v="0"/>
    <n v="0"/>
    <n v="0"/>
    <n v="0"/>
    <n v="0"/>
    <n v="5"/>
    <n v="7"/>
    <n v="200000"/>
    <n v="0"/>
    <n v="0"/>
    <n v="0"/>
    <n v="0"/>
    <n v="0"/>
    <n v="0"/>
    <m/>
    <s v=""/>
    <n v="0"/>
    <n v="0"/>
    <n v="0"/>
    <n v="0"/>
    <n v="0"/>
    <n v="0"/>
    <s v="LOGIN"/>
    <n v="718"/>
    <n v="319"/>
    <m/>
    <m/>
    <s v=""/>
    <n v="127"/>
    <n v="0"/>
  </r>
  <r>
    <n v="1344"/>
    <d v="2025-10-07T14:17:33"/>
    <n v="130000"/>
    <n v="75000"/>
    <n v="0"/>
    <n v="20000"/>
    <n v="0"/>
    <n v="0"/>
    <n v="15000"/>
    <n v="17000"/>
    <n v="10500"/>
    <n v="0"/>
    <n v="0"/>
    <n v="42500"/>
    <n v="0"/>
    <n v="-1"/>
    <n v="2"/>
    <n v="1"/>
    <n v="0"/>
    <n v="0"/>
    <n v="0"/>
    <n v="7"/>
    <n v="7"/>
    <n v="200000"/>
    <n v="0"/>
    <n v="0"/>
    <n v="0"/>
    <n v="200000"/>
    <n v="200000"/>
    <n v="180000"/>
    <m/>
    <s v=""/>
    <n v="6"/>
    <n v="9"/>
    <n v="0"/>
    <n v="0"/>
    <n v="3"/>
    <n v="3"/>
    <s v="VIEW_SUMMARY"/>
    <n v="718"/>
    <n v="322"/>
    <m/>
    <n v="1567"/>
    <s v=""/>
    <n v="127"/>
    <n v="1"/>
  </r>
  <r>
    <n v="1371"/>
    <d v="2025-10-07T14:17:33"/>
    <n v="130000"/>
    <n v="75000"/>
    <n v="0"/>
    <n v="20000"/>
    <n v="0"/>
    <n v="0"/>
    <n v="15000"/>
    <n v="0"/>
    <n v="25500"/>
    <n v="0"/>
    <n v="0"/>
    <n v="37000"/>
    <n v="0"/>
    <n v="0"/>
    <n v="0"/>
    <n v="4"/>
    <n v="0"/>
    <n v="0"/>
    <n v="0"/>
    <n v="11"/>
    <n v="7"/>
    <n v="200000"/>
    <n v="200000"/>
    <n v="180000"/>
    <n v="0"/>
    <n v="0"/>
    <n v="200000"/>
    <n v="160000"/>
    <m/>
    <s v=""/>
    <n v="6"/>
    <n v="9"/>
    <n v="0"/>
    <n v="0"/>
    <n v="3"/>
    <n v="3"/>
    <s v="VIEW_SUMMARY"/>
    <n v="718"/>
    <n v="326"/>
    <n v="1567"/>
    <n v="1567"/>
    <s v=""/>
    <n v="127"/>
    <n v="2"/>
  </r>
  <r>
    <n v="1399"/>
    <d v="2025-10-07T14:17:33"/>
    <n v="130000"/>
    <n v="75000"/>
    <n v="0"/>
    <n v="20000"/>
    <n v="0"/>
    <n v="0"/>
    <n v="15000"/>
    <n v="16000"/>
    <n v="25500"/>
    <n v="0"/>
    <n v="0"/>
    <n v="15500"/>
    <n v="0"/>
    <n v="0"/>
    <n v="1"/>
    <n v="4"/>
    <n v="0"/>
    <n v="0"/>
    <n v="0"/>
    <n v="16"/>
    <n v="7"/>
    <n v="200000"/>
    <n v="200000"/>
    <n v="160000"/>
    <n v="0"/>
    <n v="0"/>
    <n v="200000"/>
    <n v="140000"/>
    <m/>
    <s v=""/>
    <n v="6"/>
    <n v="9"/>
    <n v="-2"/>
    <n v="-1"/>
    <n v="5"/>
    <n v="4"/>
    <s v="VIEW_SUMMARY"/>
    <n v="718"/>
    <n v="331"/>
    <n v="1567"/>
    <n v="1567"/>
    <s v=""/>
    <n v="127"/>
    <n v="3"/>
  </r>
  <r>
    <n v="1426"/>
    <d v="2025-10-07T14:17:33"/>
    <n v="130000"/>
    <n v="75000"/>
    <n v="0"/>
    <n v="20000"/>
    <n v="0"/>
    <n v="0"/>
    <n v="20000"/>
    <n v="0"/>
    <n v="25500"/>
    <n v="0"/>
    <n v="0"/>
    <n v="5000"/>
    <n v="0"/>
    <n v="0"/>
    <n v="0"/>
    <n v="4"/>
    <n v="0"/>
    <n v="0"/>
    <n v="0"/>
    <n v="22"/>
    <n v="7"/>
    <n v="200000"/>
    <n v="200000"/>
    <n v="140000"/>
    <n v="0"/>
    <n v="0"/>
    <n v="200000"/>
    <n v="120000"/>
    <m/>
    <s v=""/>
    <n v="6"/>
    <n v="9"/>
    <n v="-2"/>
    <n v="-1"/>
    <n v="5"/>
    <n v="4"/>
    <s v="VIEW_SUMMARY"/>
    <n v="718"/>
    <n v="335"/>
    <n v="1567"/>
    <n v="1567"/>
    <s v=""/>
    <n v="127"/>
    <n v="4"/>
  </r>
  <r>
    <n v="1330"/>
    <d v="2025-10-07T13:55:09"/>
    <n v="190000"/>
    <n v="115000"/>
    <n v="0"/>
    <n v="0"/>
    <n v="0"/>
    <n v="0"/>
    <n v="0"/>
    <n v="0"/>
    <n v="0"/>
    <n v="0"/>
    <n v="0"/>
    <n v="80000"/>
    <n v="0"/>
    <n v="0"/>
    <n v="0"/>
    <n v="0"/>
    <n v="0"/>
    <n v="0"/>
    <n v="0"/>
    <n v="5"/>
    <n v="8"/>
    <n v="300000"/>
    <n v="0"/>
    <n v="0"/>
    <n v="0"/>
    <n v="0"/>
    <n v="0"/>
    <n v="0"/>
    <m/>
    <s v=""/>
    <n v="0"/>
    <n v="0"/>
    <n v="0"/>
    <n v="0"/>
    <n v="0"/>
    <n v="0"/>
    <s v="LOGIN"/>
    <n v="719"/>
    <n v="319"/>
    <m/>
    <m/>
    <s v=""/>
    <n v="128"/>
    <n v="0"/>
  </r>
  <r>
    <n v="1340"/>
    <d v="2025-10-07T13:55:09"/>
    <n v="190000"/>
    <n v="115000"/>
    <n v="0"/>
    <n v="20000"/>
    <n v="0"/>
    <n v="0"/>
    <n v="15000"/>
    <n v="23000"/>
    <n v="4000"/>
    <n v="0"/>
    <n v="0"/>
    <n v="93000"/>
    <n v="0"/>
    <n v="-2"/>
    <n v="3"/>
    <n v="0"/>
    <n v="0"/>
    <n v="0"/>
    <n v="0"/>
    <n v="6"/>
    <n v="8"/>
    <n v="300000"/>
    <n v="0"/>
    <n v="0"/>
    <n v="0"/>
    <n v="200000"/>
    <n v="200000"/>
    <n v="180000"/>
    <m/>
    <s v=""/>
    <n v="6"/>
    <n v="9"/>
    <n v="0"/>
    <n v="0"/>
    <n v="4"/>
    <n v="3"/>
    <s v="VIEW_SUMMARY"/>
    <n v="719"/>
    <n v="322"/>
    <m/>
    <n v="1566"/>
    <s v=""/>
    <n v="128"/>
    <n v="1"/>
  </r>
  <r>
    <n v="1375"/>
    <d v="2025-10-07T13:55:09"/>
    <n v="190000"/>
    <n v="115000"/>
    <n v="0"/>
    <n v="20000"/>
    <n v="0"/>
    <n v="0"/>
    <n v="15000"/>
    <n v="10000"/>
    <n v="19000"/>
    <n v="0"/>
    <n v="0"/>
    <n v="104000"/>
    <n v="0"/>
    <n v="0"/>
    <n v="0"/>
    <n v="3"/>
    <n v="0"/>
    <n v="0"/>
    <n v="0"/>
    <n v="9"/>
    <n v="8"/>
    <n v="300000"/>
    <n v="200000"/>
    <n v="180000"/>
    <n v="0"/>
    <n v="0"/>
    <n v="200000"/>
    <n v="140000"/>
    <m/>
    <s v=""/>
    <n v="6"/>
    <n v="9"/>
    <n v="0"/>
    <n v="0"/>
    <n v="5"/>
    <n v="4"/>
    <s v="VIEW_SUMMARY"/>
    <n v="719"/>
    <n v="326"/>
    <n v="1566"/>
    <n v="1566"/>
    <s v=""/>
    <n v="128"/>
    <n v="2"/>
  </r>
  <r>
    <n v="1403"/>
    <d v="2025-10-07T13:55:09"/>
    <n v="190000"/>
    <n v="115000"/>
    <n v="0"/>
    <n v="20000"/>
    <n v="0"/>
    <n v="0"/>
    <n v="15000"/>
    <n v="0"/>
    <n v="28500"/>
    <n v="0"/>
    <n v="0"/>
    <n v="115500"/>
    <n v="0"/>
    <n v="0"/>
    <n v="0"/>
    <n v="4"/>
    <n v="0"/>
    <n v="0"/>
    <n v="0"/>
    <n v="13"/>
    <n v="8"/>
    <n v="300000"/>
    <n v="200000"/>
    <n v="140000"/>
    <n v="0"/>
    <n v="0"/>
    <n v="200000"/>
    <n v="100000"/>
    <m/>
    <s v=""/>
    <n v="6"/>
    <n v="9"/>
    <n v="-2"/>
    <n v="-1"/>
    <n v="5"/>
    <n v="4"/>
    <s v="VIEW_SUMMARY"/>
    <n v="719"/>
    <n v="331"/>
    <n v="1566"/>
    <n v="1566"/>
    <s v=""/>
    <n v="128"/>
    <n v="3"/>
  </r>
  <r>
    <n v="1423"/>
    <d v="2025-10-07T13:55:09"/>
    <n v="190000"/>
    <n v="115000"/>
    <n v="0"/>
    <n v="20000"/>
    <n v="0"/>
    <n v="0"/>
    <n v="20000"/>
    <n v="0"/>
    <n v="28500"/>
    <n v="0"/>
    <n v="0"/>
    <n v="122000"/>
    <n v="0"/>
    <n v="0"/>
    <n v="0"/>
    <n v="4"/>
    <n v="0"/>
    <n v="0"/>
    <n v="0"/>
    <n v="19"/>
    <n v="8"/>
    <n v="300000"/>
    <n v="200000"/>
    <n v="100000"/>
    <n v="0"/>
    <n v="0"/>
    <n v="200000"/>
    <n v="80000"/>
    <m/>
    <s v=""/>
    <n v="6"/>
    <n v="9"/>
    <n v="-2"/>
    <n v="-1"/>
    <n v="5"/>
    <n v="4"/>
    <s v="VIEW_SUMMARY"/>
    <n v="719"/>
    <n v="335"/>
    <n v="1566"/>
    <n v="1566"/>
    <s v=""/>
    <n v="128"/>
    <n v="4"/>
  </r>
  <r>
    <n v="1335"/>
    <d v="2025-10-07T14:01:44"/>
    <n v="75000"/>
    <n v="40000"/>
    <n v="0"/>
    <n v="0"/>
    <n v="0"/>
    <n v="0"/>
    <n v="0"/>
    <n v="0"/>
    <n v="0"/>
    <n v="0"/>
    <n v="0"/>
    <n v="5000"/>
    <n v="0"/>
    <n v="0"/>
    <n v="0"/>
    <n v="0"/>
    <n v="0"/>
    <n v="0"/>
    <n v="0"/>
    <n v="5"/>
    <n v="4"/>
    <n v="110000"/>
    <n v="0"/>
    <n v="0"/>
    <n v="0"/>
    <n v="0"/>
    <n v="0"/>
    <n v="0"/>
    <m/>
    <s v=""/>
    <n v="0"/>
    <n v="0"/>
    <n v="0"/>
    <n v="0"/>
    <n v="0"/>
    <n v="0"/>
    <s v="LOGIN"/>
    <n v="722"/>
    <n v="320"/>
    <m/>
    <m/>
    <s v=""/>
    <n v="124"/>
    <n v="0"/>
  </r>
  <r>
    <n v="1348"/>
    <d v="2025-10-07T14:01:44"/>
    <n v="75000"/>
    <n v="40000"/>
    <n v="0"/>
    <n v="11000"/>
    <n v="0"/>
    <n v="15000"/>
    <n v="15000"/>
    <n v="0"/>
    <n v="0"/>
    <n v="4000"/>
    <n v="4000"/>
    <n v="-9000"/>
    <n v="0"/>
    <n v="0"/>
    <n v="0"/>
    <n v="0"/>
    <n v="2"/>
    <n v="1"/>
    <n v="0"/>
    <n v="2"/>
    <n v="4"/>
    <n v="110000"/>
    <n v="0"/>
    <n v="0"/>
    <n v="0"/>
    <n v="125000"/>
    <n v="110000"/>
    <n v="99000"/>
    <m/>
    <s v=""/>
    <n v="6"/>
    <n v="6"/>
    <n v="0"/>
    <n v="0"/>
    <n v="0"/>
    <n v="0"/>
    <s v="VIEW_SUMMARY"/>
    <n v="722"/>
    <n v="323"/>
    <m/>
    <n v="1592"/>
    <s v=""/>
    <n v="124"/>
    <n v="1"/>
  </r>
  <r>
    <n v="1373"/>
    <d v="2025-10-07T14:01:44"/>
    <n v="75000"/>
    <n v="40000"/>
    <n v="9000"/>
    <n v="11000"/>
    <n v="0"/>
    <n v="0"/>
    <n v="15000"/>
    <n v="0"/>
    <n v="0"/>
    <n v="4000"/>
    <n v="0"/>
    <n v="-4000"/>
    <n v="0"/>
    <n v="0"/>
    <n v="0"/>
    <n v="0"/>
    <n v="2"/>
    <n v="0"/>
    <n v="1"/>
    <n v="-1"/>
    <n v="4"/>
    <n v="110000"/>
    <n v="110000"/>
    <n v="99000"/>
    <n v="0"/>
    <n v="0"/>
    <n v="110000"/>
    <n v="88000"/>
    <m/>
    <s v=""/>
    <n v="6"/>
    <n v="6"/>
    <n v="0"/>
    <n v="0"/>
    <n v="0"/>
    <n v="0"/>
    <s v="VIEW_SUMMARY"/>
    <n v="722"/>
    <n v="327"/>
    <n v="1592"/>
    <n v="1592"/>
    <s v=""/>
    <n v="124"/>
    <n v="2"/>
  </r>
  <r>
    <n v="1394"/>
    <d v="2025-10-07T14:01:44"/>
    <n v="75000"/>
    <n v="40000"/>
    <n v="4000"/>
    <n v="11000"/>
    <n v="0"/>
    <n v="0"/>
    <n v="15000"/>
    <n v="0"/>
    <n v="3125"/>
    <n v="8000"/>
    <n v="4000"/>
    <n v="-10125"/>
    <n v="0"/>
    <n v="0"/>
    <n v="0"/>
    <n v="1"/>
    <n v="3"/>
    <n v="1"/>
    <n v="1"/>
    <n v="-5"/>
    <n v="4"/>
    <n v="110000"/>
    <n v="110000"/>
    <n v="88000"/>
    <n v="0"/>
    <n v="0"/>
    <n v="110000"/>
    <n v="77000"/>
    <m/>
    <s v=""/>
    <n v="6"/>
    <n v="6"/>
    <n v="-2"/>
    <n v="-1"/>
    <n v="0"/>
    <n v="0"/>
    <s v="VIEW_SUMMARY"/>
    <n v="722"/>
    <n v="330"/>
    <n v="1592"/>
    <n v="1592"/>
    <s v=""/>
    <n v="124"/>
    <n v="3"/>
  </r>
  <r>
    <n v="1413"/>
    <d v="2025-10-07T14:01:44"/>
    <n v="75000"/>
    <n v="40000"/>
    <n v="10125"/>
    <n v="11000"/>
    <n v="0"/>
    <n v="0"/>
    <n v="15000"/>
    <n v="0"/>
    <n v="0"/>
    <n v="0"/>
    <n v="0"/>
    <n v="-1125"/>
    <n v="0"/>
    <n v="0"/>
    <n v="0"/>
    <n v="0"/>
    <n v="0"/>
    <n v="0"/>
    <n v="1"/>
    <n v="-6"/>
    <n v="4"/>
    <n v="110000"/>
    <n v="110000"/>
    <n v="77000"/>
    <n v="0"/>
    <n v="0"/>
    <n v="110000"/>
    <n v="66000"/>
    <m/>
    <s v=""/>
    <n v="6"/>
    <n v="6"/>
    <n v="-2"/>
    <n v="-1"/>
    <n v="0"/>
    <n v="0"/>
    <s v="VIEW_SUMMARY"/>
    <n v="722"/>
    <n v="333"/>
    <n v="1592"/>
    <n v="1592"/>
    <s v=""/>
    <n v="124"/>
    <n v="4"/>
  </r>
  <r>
    <n v="1324"/>
    <d v="2025-10-07T13:53:15"/>
    <n v="110000"/>
    <n v="60000"/>
    <n v="0"/>
    <n v="0"/>
    <n v="0"/>
    <n v="0"/>
    <n v="0"/>
    <n v="0"/>
    <n v="0"/>
    <n v="0"/>
    <n v="0"/>
    <n v="30000"/>
    <n v="0"/>
    <n v="0"/>
    <n v="0"/>
    <n v="0"/>
    <n v="0"/>
    <n v="0"/>
    <n v="0"/>
    <n v="5"/>
    <n v="6"/>
    <n v="170000"/>
    <n v="0"/>
    <n v="0"/>
    <n v="0"/>
    <n v="0"/>
    <n v="0"/>
    <n v="0"/>
    <m/>
    <s v=""/>
    <n v="0"/>
    <n v="0"/>
    <n v="0"/>
    <n v="0"/>
    <n v="0"/>
    <n v="0"/>
    <s v="LOGIN"/>
    <n v="723"/>
    <n v="320"/>
    <m/>
    <m/>
    <s v=""/>
    <n v="126"/>
    <n v="0"/>
  </r>
  <r>
    <n v="1347"/>
    <d v="2025-10-07T13:53:15"/>
    <n v="110000"/>
    <n v="60000"/>
    <n v="0"/>
    <n v="16000"/>
    <n v="0"/>
    <n v="0"/>
    <n v="20000"/>
    <n v="14000"/>
    <n v="0"/>
    <n v="0"/>
    <n v="4000"/>
    <n v="26000"/>
    <n v="0"/>
    <n v="-1"/>
    <n v="2"/>
    <n v="0"/>
    <n v="0"/>
    <n v="1"/>
    <n v="0"/>
    <n v="5"/>
    <n v="6"/>
    <n v="170000"/>
    <n v="0"/>
    <n v="0"/>
    <n v="0"/>
    <n v="160000"/>
    <n v="160000"/>
    <n v="144000"/>
    <m/>
    <s v=""/>
    <n v="4"/>
    <n v="9"/>
    <n v="0"/>
    <n v="0"/>
    <n v="2"/>
    <n v="0"/>
    <s v="VIEW_SUMMARY"/>
    <n v="723"/>
    <n v="323"/>
    <m/>
    <n v="1586"/>
    <s v=""/>
    <n v="126"/>
    <n v="1"/>
  </r>
  <r>
    <n v="1380"/>
    <d v="2025-10-07T13:53:15"/>
    <n v="110000"/>
    <n v="60000"/>
    <n v="0"/>
    <n v="16000"/>
    <n v="0"/>
    <n v="0"/>
    <n v="20000"/>
    <n v="1000"/>
    <n v="16700"/>
    <n v="0"/>
    <n v="0"/>
    <n v="22300"/>
    <n v="0"/>
    <n v="0"/>
    <n v="0"/>
    <n v="3"/>
    <n v="0"/>
    <n v="0"/>
    <n v="0"/>
    <n v="8"/>
    <n v="6"/>
    <n v="170000"/>
    <n v="160000"/>
    <n v="144000"/>
    <n v="0"/>
    <n v="0"/>
    <n v="160000"/>
    <n v="128000"/>
    <m/>
    <s v=""/>
    <n v="4"/>
    <n v="9"/>
    <n v="0"/>
    <n v="0"/>
    <n v="3"/>
    <n v="2"/>
    <s v="VIEW_SUMMARY"/>
    <n v="723"/>
    <n v="327"/>
    <n v="1586"/>
    <n v="1586"/>
    <s v=""/>
    <n v="126"/>
    <n v="2"/>
  </r>
  <r>
    <n v="1397"/>
    <d v="2025-10-07T13:53:15"/>
    <n v="110000"/>
    <n v="60000"/>
    <n v="0"/>
    <n v="16000"/>
    <n v="0"/>
    <n v="0"/>
    <n v="20000"/>
    <n v="8000"/>
    <n v="20700"/>
    <n v="0"/>
    <n v="4000"/>
    <n v="3600"/>
    <n v="0"/>
    <n v="0"/>
    <n v="1"/>
    <n v="4"/>
    <n v="0"/>
    <n v="1"/>
    <n v="0"/>
    <n v="12"/>
    <n v="6"/>
    <n v="170000"/>
    <n v="160000"/>
    <n v="128000"/>
    <n v="0"/>
    <n v="0"/>
    <n v="160000"/>
    <n v="112000"/>
    <m/>
    <s v=""/>
    <n v="4"/>
    <n v="9"/>
    <n v="-2"/>
    <n v="-1"/>
    <n v="4"/>
    <n v="3"/>
    <s v="VIEW_SUMMARY"/>
    <n v="723"/>
    <n v="330"/>
    <n v="1586"/>
    <n v="1586"/>
    <s v=""/>
    <n v="126"/>
    <n v="3"/>
  </r>
  <r>
    <n v="1415"/>
    <d v="2025-10-07T13:53:15"/>
    <n v="110000"/>
    <n v="60000"/>
    <n v="0"/>
    <n v="16000"/>
    <n v="0"/>
    <n v="0"/>
    <n v="20000"/>
    <n v="0"/>
    <n v="11200"/>
    <n v="0"/>
    <n v="0"/>
    <n v="6400"/>
    <n v="0"/>
    <n v="0"/>
    <n v="0"/>
    <n v="2"/>
    <n v="0"/>
    <n v="0"/>
    <n v="0"/>
    <n v="14"/>
    <n v="6"/>
    <n v="170000"/>
    <n v="160000"/>
    <n v="112000"/>
    <n v="0"/>
    <n v="0"/>
    <n v="160000"/>
    <n v="96000"/>
    <m/>
    <s v=""/>
    <n v="4"/>
    <n v="9"/>
    <n v="-2"/>
    <n v="-1"/>
    <n v="4"/>
    <n v="3"/>
    <s v="VIEW_SUMMARY"/>
    <n v="723"/>
    <n v="333"/>
    <n v="1586"/>
    <n v="1586"/>
    <s v=""/>
    <n v="126"/>
    <n v="4"/>
  </r>
  <r>
    <n v="1329"/>
    <d v="2025-10-07T13:54:47"/>
    <n v="60000"/>
    <n v="30000"/>
    <n v="0"/>
    <n v="0"/>
    <n v="0"/>
    <n v="0"/>
    <n v="0"/>
    <n v="0"/>
    <n v="0"/>
    <n v="0"/>
    <n v="0"/>
    <n v="0"/>
    <n v="0"/>
    <n v="0"/>
    <n v="0"/>
    <n v="0"/>
    <n v="0"/>
    <n v="0"/>
    <n v="0"/>
    <n v="5"/>
    <n v="3"/>
    <n v="80000"/>
    <n v="0"/>
    <n v="0"/>
    <n v="0"/>
    <n v="0"/>
    <n v="0"/>
    <n v="0"/>
    <m/>
    <s v=""/>
    <n v="0"/>
    <n v="0"/>
    <n v="0"/>
    <n v="0"/>
    <n v="0"/>
    <n v="0"/>
    <s v="LOGIN"/>
    <n v="724"/>
    <n v="320"/>
    <m/>
    <m/>
    <s v=""/>
    <n v="123"/>
    <n v="0"/>
  </r>
  <r>
    <n v="1345"/>
    <d v="2025-10-07T13:54:47"/>
    <n v="60000"/>
    <n v="30000"/>
    <n v="0"/>
    <n v="7000"/>
    <n v="0"/>
    <n v="0"/>
    <n v="15000"/>
    <n v="1000"/>
    <n v="1400"/>
    <n v="0"/>
    <n v="4000"/>
    <n v="1600"/>
    <n v="0"/>
    <n v="-1"/>
    <n v="0"/>
    <n v="0"/>
    <n v="1"/>
    <n v="1"/>
    <n v="0"/>
    <n v="2"/>
    <n v="3"/>
    <n v="80000"/>
    <n v="0"/>
    <n v="0"/>
    <n v="0"/>
    <n v="70000"/>
    <n v="70000"/>
    <n v="63000"/>
    <m/>
    <s v=""/>
    <n v="6"/>
    <n v="6"/>
    <n v="0"/>
    <n v="0"/>
    <n v="1"/>
    <n v="2"/>
    <s v="VIEW_SUMMARY"/>
    <n v="724"/>
    <n v="323"/>
    <m/>
    <n v="1593"/>
    <s v=""/>
    <n v="123"/>
    <n v="1"/>
  </r>
  <r>
    <n v="1378"/>
    <d v="2025-10-07T13:54:47"/>
    <n v="60000"/>
    <n v="30000"/>
    <n v="0"/>
    <n v="7000"/>
    <n v="0"/>
    <n v="0"/>
    <n v="15000"/>
    <n v="8000"/>
    <n v="1400"/>
    <n v="0"/>
    <n v="0"/>
    <n v="200"/>
    <n v="0"/>
    <n v="0"/>
    <n v="1"/>
    <n v="0"/>
    <n v="1"/>
    <n v="0"/>
    <n v="0"/>
    <n v="2"/>
    <n v="3"/>
    <n v="80000"/>
    <n v="70000"/>
    <n v="63000"/>
    <n v="0"/>
    <n v="0"/>
    <n v="70000"/>
    <n v="56000"/>
    <m/>
    <s v=""/>
    <n v="6"/>
    <n v="6"/>
    <n v="0"/>
    <n v="0"/>
    <n v="2"/>
    <n v="3"/>
    <s v="VIEW_SUMMARY"/>
    <n v="724"/>
    <n v="327"/>
    <n v="1593"/>
    <n v="1593"/>
    <s v=""/>
    <n v="123"/>
    <n v="2"/>
  </r>
  <r>
    <n v="1398"/>
    <d v="2025-10-07T13:54:47"/>
    <n v="60000"/>
    <n v="30000"/>
    <n v="0"/>
    <n v="7000"/>
    <n v="0"/>
    <n v="0"/>
    <n v="15000"/>
    <n v="6000"/>
    <n v="1400"/>
    <n v="0"/>
    <n v="0"/>
    <n v="800"/>
    <n v="0"/>
    <n v="0"/>
    <n v="1"/>
    <n v="0"/>
    <n v="1"/>
    <n v="0"/>
    <n v="0"/>
    <n v="2"/>
    <n v="3"/>
    <n v="80000"/>
    <n v="70000"/>
    <n v="56000"/>
    <n v="0"/>
    <n v="0"/>
    <n v="70000"/>
    <n v="49000"/>
    <m/>
    <s v=""/>
    <n v="6"/>
    <n v="6"/>
    <n v="-2"/>
    <n v="-1"/>
    <n v="3"/>
    <n v="3"/>
    <s v="VIEW_SUMMARY"/>
    <n v="724"/>
    <n v="330"/>
    <n v="1593"/>
    <n v="1593"/>
    <s v=""/>
    <n v="123"/>
    <n v="3"/>
  </r>
  <r>
    <n v="1411"/>
    <d v="2025-10-07T13:54:47"/>
    <n v="60000"/>
    <n v="30000"/>
    <n v="0"/>
    <n v="7000"/>
    <n v="0"/>
    <n v="0"/>
    <n v="15000"/>
    <n v="8000"/>
    <n v="0"/>
    <n v="0"/>
    <n v="0"/>
    <n v="800"/>
    <n v="0"/>
    <n v="0"/>
    <n v="1"/>
    <n v="0"/>
    <n v="0"/>
    <n v="0"/>
    <n v="0"/>
    <n v="3"/>
    <n v="3"/>
    <n v="80000"/>
    <n v="70000"/>
    <n v="49000"/>
    <n v="0"/>
    <n v="0"/>
    <n v="70000"/>
    <n v="42000"/>
    <m/>
    <s v=""/>
    <n v="6"/>
    <n v="6"/>
    <n v="-2"/>
    <n v="-1"/>
    <n v="3"/>
    <n v="2"/>
    <s v="VIEW_SUMMARY"/>
    <n v="724"/>
    <n v="333"/>
    <n v="1593"/>
    <n v="1593"/>
    <s v=""/>
    <n v="123"/>
    <n v="4"/>
  </r>
  <r>
    <n v="1327"/>
    <d v="2025-10-07T13:54:19"/>
    <n v="90000"/>
    <n v="50000"/>
    <n v="0"/>
    <n v="0"/>
    <n v="0"/>
    <n v="0"/>
    <n v="0"/>
    <n v="0"/>
    <n v="0"/>
    <n v="0"/>
    <n v="0"/>
    <n v="15000"/>
    <n v="0"/>
    <n v="0"/>
    <n v="0"/>
    <n v="0"/>
    <n v="0"/>
    <n v="0"/>
    <n v="0"/>
    <n v="5"/>
    <n v="5"/>
    <n v="130000"/>
    <n v="0"/>
    <n v="0"/>
    <n v="0"/>
    <n v="0"/>
    <n v="0"/>
    <n v="0"/>
    <m/>
    <s v=""/>
    <n v="0"/>
    <n v="0"/>
    <n v="0"/>
    <n v="0"/>
    <n v="0"/>
    <n v="0"/>
    <s v="LOGIN"/>
    <n v="725"/>
    <n v="320"/>
    <m/>
    <m/>
    <s v=""/>
    <n v="125"/>
    <n v="0"/>
  </r>
  <r>
    <n v="1343"/>
    <d v="2025-10-07T13:54:19"/>
    <n v="90000"/>
    <n v="50000"/>
    <n v="0"/>
    <n v="7000"/>
    <n v="0"/>
    <n v="0"/>
    <n v="15000"/>
    <n v="19000"/>
    <n v="0"/>
    <n v="0"/>
    <n v="4000"/>
    <n v="10000"/>
    <n v="0"/>
    <n v="-3"/>
    <n v="1"/>
    <n v="0"/>
    <n v="1"/>
    <n v="1"/>
    <n v="0"/>
    <n v="1"/>
    <n v="5"/>
    <n v="130000"/>
    <n v="0"/>
    <n v="0"/>
    <n v="0"/>
    <n v="70000"/>
    <n v="70000"/>
    <n v="63000"/>
    <m/>
    <s v=""/>
    <n v="6"/>
    <n v="6"/>
    <n v="0"/>
    <n v="0"/>
    <n v="2"/>
    <n v="3"/>
    <s v="VIEW_SUMMARY"/>
    <n v="725"/>
    <n v="323"/>
    <m/>
    <n v="1594"/>
    <s v=""/>
    <n v="125"/>
    <n v="1"/>
  </r>
  <r>
    <n v="1377"/>
    <d v="2025-10-07T13:54:19"/>
    <n v="90000"/>
    <n v="50000"/>
    <n v="0"/>
    <n v="7000"/>
    <n v="0"/>
    <n v="0"/>
    <n v="15000"/>
    <n v="14000"/>
    <n v="9750"/>
    <n v="0"/>
    <n v="0"/>
    <n v="4250"/>
    <n v="0"/>
    <n v="0"/>
    <n v="2"/>
    <n v="4"/>
    <n v="1"/>
    <n v="0"/>
    <n v="0"/>
    <n v="6"/>
    <n v="5"/>
    <n v="130000"/>
    <n v="70000"/>
    <n v="63000"/>
    <n v="0"/>
    <n v="0"/>
    <n v="70000"/>
    <n v="56000"/>
    <m/>
    <s v=""/>
    <n v="6"/>
    <n v="6"/>
    <n v="0"/>
    <n v="0"/>
    <n v="4"/>
    <n v="3"/>
    <s v="VIEW_SUMMARY"/>
    <n v="725"/>
    <n v="327"/>
    <n v="1594"/>
    <n v="1594"/>
    <s v=""/>
    <n v="125"/>
    <n v="2"/>
  </r>
  <r>
    <n v="1396"/>
    <d v="2025-10-07T13:54:19"/>
    <n v="90000"/>
    <n v="50000"/>
    <n v="0"/>
    <n v="7000"/>
    <n v="0"/>
    <n v="0"/>
    <n v="15000"/>
    <n v="0"/>
    <n v="11150"/>
    <n v="0"/>
    <n v="0"/>
    <n v="11100"/>
    <n v="0"/>
    <n v="0"/>
    <n v="0"/>
    <n v="4"/>
    <n v="1"/>
    <n v="0"/>
    <n v="0"/>
    <n v="9"/>
    <n v="5"/>
    <n v="130000"/>
    <n v="70000"/>
    <n v="56000"/>
    <n v="0"/>
    <n v="0"/>
    <n v="70000"/>
    <n v="49000"/>
    <m/>
    <s v=""/>
    <n v="6"/>
    <n v="6"/>
    <n v="-2"/>
    <n v="-1"/>
    <n v="5"/>
    <n v="4"/>
    <s v="VIEW_SUMMARY"/>
    <n v="725"/>
    <n v="330"/>
    <n v="1594"/>
    <n v="1594"/>
    <s v=""/>
    <n v="125"/>
    <n v="3"/>
  </r>
  <r>
    <n v="1416"/>
    <d v="2025-10-07T13:54:19"/>
    <n v="90000"/>
    <n v="50000"/>
    <n v="0"/>
    <n v="7000"/>
    <n v="0"/>
    <n v="0"/>
    <n v="15000"/>
    <n v="0"/>
    <n v="11150"/>
    <n v="0"/>
    <n v="0"/>
    <n v="17950"/>
    <n v="0"/>
    <n v="0"/>
    <n v="0"/>
    <n v="4"/>
    <n v="0"/>
    <n v="0"/>
    <n v="0"/>
    <n v="13"/>
    <n v="5"/>
    <n v="130000"/>
    <n v="70000"/>
    <n v="49000"/>
    <n v="0"/>
    <n v="0"/>
    <n v="70000"/>
    <n v="42000"/>
    <m/>
    <s v=""/>
    <n v="6"/>
    <n v="6"/>
    <n v="-2"/>
    <n v="-1"/>
    <n v="5"/>
    <n v="4"/>
    <s v="VIEW_SUMMARY"/>
    <n v="725"/>
    <n v="333"/>
    <n v="1594"/>
    <n v="1594"/>
    <s v=""/>
    <n v="125"/>
    <n v="4"/>
  </r>
  <r>
    <n v="1328"/>
    <d v="2025-10-07T13:54:24"/>
    <n v="130000"/>
    <n v="75000"/>
    <n v="0"/>
    <n v="0"/>
    <n v="0"/>
    <n v="0"/>
    <n v="0"/>
    <n v="0"/>
    <n v="0"/>
    <n v="0"/>
    <n v="0"/>
    <n v="50000"/>
    <n v="0"/>
    <n v="0"/>
    <n v="0"/>
    <n v="0"/>
    <n v="0"/>
    <n v="0"/>
    <n v="0"/>
    <n v="5"/>
    <n v="7"/>
    <n v="200000"/>
    <n v="0"/>
    <n v="0"/>
    <n v="0"/>
    <n v="0"/>
    <n v="0"/>
    <n v="0"/>
    <m/>
    <s v=""/>
    <n v="0"/>
    <n v="0"/>
    <n v="0"/>
    <n v="0"/>
    <n v="0"/>
    <n v="0"/>
    <s v="LOGIN"/>
    <n v="726"/>
    <n v="320"/>
    <m/>
    <m/>
    <s v=""/>
    <n v="127"/>
    <n v="0"/>
  </r>
  <r>
    <n v="1349"/>
    <d v="2025-10-07T13:54:24"/>
    <n v="130000"/>
    <n v="75000"/>
    <n v="0"/>
    <n v="10000"/>
    <n v="0"/>
    <n v="0"/>
    <n v="20000"/>
    <n v="0"/>
    <n v="5000"/>
    <n v="0"/>
    <n v="4000"/>
    <n v="66000"/>
    <n v="0"/>
    <n v="-4"/>
    <n v="0"/>
    <n v="2"/>
    <n v="0"/>
    <n v="1"/>
    <n v="0"/>
    <n v="2"/>
    <n v="7"/>
    <n v="200000"/>
    <n v="0"/>
    <n v="0"/>
    <n v="0"/>
    <n v="100000"/>
    <n v="100000"/>
    <n v="90000"/>
    <m/>
    <s v=""/>
    <n v="6"/>
    <n v="9"/>
    <n v="0"/>
    <n v="0"/>
    <n v="0"/>
    <n v="0"/>
    <s v="VIEW_SUMMARY"/>
    <n v="726"/>
    <n v="323"/>
    <m/>
    <n v="1583"/>
    <s v=""/>
    <n v="127"/>
    <n v="1"/>
  </r>
  <r>
    <n v="1379"/>
    <d v="2025-10-07T13:54:24"/>
    <n v="130000"/>
    <n v="75000"/>
    <n v="0"/>
    <n v="10000"/>
    <n v="0"/>
    <n v="0"/>
    <n v="20000"/>
    <n v="18000"/>
    <n v="7500"/>
    <n v="0"/>
    <n v="0"/>
    <n v="65500"/>
    <n v="0"/>
    <n v="0"/>
    <n v="1"/>
    <n v="3"/>
    <n v="0"/>
    <n v="0"/>
    <n v="0"/>
    <n v="6"/>
    <n v="7"/>
    <n v="200000"/>
    <n v="100000"/>
    <n v="90000"/>
    <n v="0"/>
    <n v="0"/>
    <n v="100000"/>
    <n v="80000"/>
    <m/>
    <s v=""/>
    <n v="6"/>
    <n v="9"/>
    <n v="0"/>
    <n v="0"/>
    <n v="2"/>
    <n v="2"/>
    <s v="VIEW_SUMMARY"/>
    <n v="726"/>
    <n v="327"/>
    <n v="1583"/>
    <n v="1583"/>
    <s v=""/>
    <n v="127"/>
    <n v="2"/>
  </r>
  <r>
    <n v="1393"/>
    <d v="2025-10-07T13:54:24"/>
    <n v="130000"/>
    <n v="75000"/>
    <n v="0"/>
    <n v="10000"/>
    <n v="0"/>
    <n v="0"/>
    <n v="20000"/>
    <n v="15000"/>
    <n v="16000"/>
    <n v="0"/>
    <n v="0"/>
    <n v="59500"/>
    <n v="0"/>
    <n v="0"/>
    <n v="2"/>
    <n v="4"/>
    <n v="0"/>
    <n v="0"/>
    <n v="0"/>
    <n v="12"/>
    <n v="7"/>
    <n v="200000"/>
    <n v="100000"/>
    <n v="80000"/>
    <n v="0"/>
    <n v="0"/>
    <n v="100000"/>
    <n v="70000"/>
    <m/>
    <s v=""/>
    <n v="6"/>
    <n v="9"/>
    <n v="-2"/>
    <n v="-1"/>
    <n v="5"/>
    <n v="4"/>
    <s v="VIEW_SUMMARY"/>
    <n v="726"/>
    <n v="330"/>
    <n v="1583"/>
    <n v="1583"/>
    <s v=""/>
    <n v="127"/>
    <n v="3"/>
  </r>
  <r>
    <n v="1412"/>
    <d v="2025-10-07T13:54:24"/>
    <n v="130000"/>
    <n v="75000"/>
    <n v="0"/>
    <n v="10000"/>
    <n v="0"/>
    <n v="0"/>
    <n v="25000"/>
    <n v="0"/>
    <n v="16000"/>
    <n v="0"/>
    <n v="0"/>
    <n v="63500"/>
    <n v="0"/>
    <n v="0"/>
    <n v="0"/>
    <n v="4"/>
    <n v="0"/>
    <n v="0"/>
    <n v="0"/>
    <n v="18"/>
    <n v="7"/>
    <n v="200000"/>
    <n v="100000"/>
    <n v="70000"/>
    <n v="0"/>
    <n v="0"/>
    <n v="100000"/>
    <n v="60000"/>
    <m/>
    <s v=""/>
    <n v="6"/>
    <n v="9"/>
    <n v="-2"/>
    <n v="-1"/>
    <n v="5"/>
    <n v="4"/>
    <s v="VIEW_SUMMARY"/>
    <n v="726"/>
    <n v="333"/>
    <n v="1583"/>
    <n v="1583"/>
    <s v=""/>
    <n v="127"/>
    <n v="4"/>
  </r>
  <r>
    <n v="1331"/>
    <d v="2025-10-07T13:55:22"/>
    <n v="190000"/>
    <n v="115000"/>
    <n v="0"/>
    <n v="0"/>
    <n v="0"/>
    <n v="0"/>
    <n v="0"/>
    <n v="0"/>
    <n v="0"/>
    <n v="0"/>
    <n v="0"/>
    <n v="80000"/>
    <n v="0"/>
    <n v="0"/>
    <n v="0"/>
    <n v="0"/>
    <n v="0"/>
    <n v="0"/>
    <n v="0"/>
    <n v="5"/>
    <n v="8"/>
    <n v="300000"/>
    <n v="0"/>
    <n v="0"/>
    <n v="0"/>
    <n v="0"/>
    <n v="0"/>
    <n v="0"/>
    <m/>
    <s v=""/>
    <n v="0"/>
    <n v="0"/>
    <n v="0"/>
    <n v="0"/>
    <n v="0"/>
    <n v="0"/>
    <s v="LOGIN"/>
    <n v="727"/>
    <n v="320"/>
    <m/>
    <m/>
    <s v=""/>
    <n v="128"/>
    <n v="0"/>
  </r>
  <r>
    <n v="1350"/>
    <d v="2025-10-07T13:55:22"/>
    <n v="190000"/>
    <n v="115000"/>
    <n v="0"/>
    <n v="16000"/>
    <n v="0"/>
    <n v="0"/>
    <n v="20000"/>
    <n v="14000"/>
    <n v="3200"/>
    <n v="0"/>
    <n v="4000"/>
    <n v="97800"/>
    <n v="0"/>
    <n v="-3"/>
    <n v="2"/>
    <n v="0"/>
    <n v="0"/>
    <n v="1"/>
    <n v="0"/>
    <n v="3"/>
    <n v="8"/>
    <n v="300000"/>
    <n v="0"/>
    <n v="0"/>
    <n v="0"/>
    <n v="160000"/>
    <n v="160000"/>
    <n v="144000"/>
    <m/>
    <s v=""/>
    <n v="4"/>
    <n v="9"/>
    <n v="0"/>
    <n v="0"/>
    <n v="3"/>
    <n v="2"/>
    <s v="VIEW_SUMMARY"/>
    <n v="727"/>
    <n v="323"/>
    <m/>
    <n v="1587"/>
    <s v=""/>
    <n v="128"/>
    <n v="1"/>
  </r>
  <r>
    <n v="1374"/>
    <d v="2025-10-07T13:55:22"/>
    <n v="190000"/>
    <n v="115000"/>
    <n v="0"/>
    <n v="16000"/>
    <n v="0"/>
    <n v="0"/>
    <n v="20000"/>
    <n v="0"/>
    <n v="24700"/>
    <n v="0"/>
    <n v="0"/>
    <n v="112100"/>
    <n v="0"/>
    <n v="0"/>
    <n v="0"/>
    <n v="4"/>
    <n v="0"/>
    <n v="0"/>
    <n v="0"/>
    <n v="7"/>
    <n v="8"/>
    <n v="300000"/>
    <n v="160000"/>
    <n v="144000"/>
    <n v="0"/>
    <n v="0"/>
    <n v="160000"/>
    <n v="128000"/>
    <m/>
    <s v=""/>
    <n v="4"/>
    <n v="9"/>
    <n v="0"/>
    <n v="0"/>
    <n v="3"/>
    <n v="2"/>
    <s v="VIEW_SUMMARY"/>
    <n v="727"/>
    <n v="327"/>
    <n v="1587"/>
    <n v="1587"/>
    <s v=""/>
    <n v="128"/>
    <n v="2"/>
  </r>
  <r>
    <n v="1395"/>
    <d v="2025-10-07T13:55:22"/>
    <n v="190000"/>
    <n v="115000"/>
    <n v="0"/>
    <n v="16000"/>
    <n v="0"/>
    <n v="0"/>
    <n v="20000"/>
    <n v="10000"/>
    <n v="11200"/>
    <n v="0"/>
    <n v="4000"/>
    <n v="125900"/>
    <n v="0"/>
    <n v="0"/>
    <n v="0"/>
    <n v="2"/>
    <n v="0"/>
    <n v="1"/>
    <n v="0"/>
    <n v="8"/>
    <n v="8"/>
    <n v="300000"/>
    <n v="160000"/>
    <n v="128000"/>
    <n v="0"/>
    <n v="0"/>
    <n v="160000"/>
    <n v="112000"/>
    <m/>
    <s v=""/>
    <n v="4"/>
    <n v="9"/>
    <n v="-2"/>
    <n v="-1"/>
    <n v="4"/>
    <n v="3"/>
    <s v="VIEW_SUMMARY"/>
    <n v="727"/>
    <n v="330"/>
    <n v="1587"/>
    <n v="1587"/>
    <s v=""/>
    <n v="128"/>
    <n v="3"/>
  </r>
  <r>
    <n v="1414"/>
    <d v="2025-10-07T13:55:22"/>
    <n v="190000"/>
    <n v="115000"/>
    <n v="0"/>
    <n v="16000"/>
    <n v="0"/>
    <n v="0"/>
    <n v="20000"/>
    <n v="8000"/>
    <n v="24700"/>
    <n v="0"/>
    <n v="0"/>
    <n v="132200"/>
    <n v="0"/>
    <n v="0"/>
    <n v="1"/>
    <n v="4"/>
    <n v="0"/>
    <n v="0"/>
    <n v="0"/>
    <n v="13"/>
    <n v="8"/>
    <n v="300000"/>
    <n v="160000"/>
    <n v="112000"/>
    <n v="0"/>
    <n v="0"/>
    <n v="160000"/>
    <n v="96000"/>
    <m/>
    <s v=""/>
    <n v="4"/>
    <n v="9"/>
    <n v="-2"/>
    <n v="-1"/>
    <n v="5"/>
    <n v="3"/>
    <s v="VIEW_SUMMARY"/>
    <n v="727"/>
    <n v="333"/>
    <n v="1587"/>
    <n v="1587"/>
    <s v=""/>
    <n v="128"/>
    <n v="4"/>
  </r>
  <r>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761080-AFFF-4898-8D5A-B53A3528F4F1}" name="Draaitabel1" cacheId="4"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chartFormat="1">
  <location ref="A3:B4" firstHeaderRow="0" firstDataRow="1" firstDataCol="0"/>
  <pivotFields count="46">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Fields count="1">
    <field x="-2"/>
  </colFields>
  <colItems count="2">
    <i>
      <x/>
    </i>
    <i i="1">
      <x v="1"/>
    </i>
  </colItems>
  <dataFields count="2">
    <dataField name="Som van cost_house_measures_bought" fld="9" baseField="0" baseItem="0"/>
    <dataField name="Som van Added_Player_Welfaretype" fld="44"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7" connectionId="1" xr16:uid="{FF48EB75-4D3C-46D1-A937-E498B47B700B}" autoFormatId="16" applyNumberFormats="0" applyBorderFormats="0" applyFontFormats="0" applyPatternFormats="0" applyAlignmentFormats="0" applyWidthHeightFormats="0">
  <queryTableRefresh nextId="7">
    <queryTableFields count="6">
      <queryTableField id="1" name="id" tableColumnId="1"/>
      <queryTableField id="2" name="name" tableColumnId="2"/>
      <queryTableField id="3" name="capacity" tableColumnId="3"/>
      <queryTableField id="4" name="fluvial_protection" tableColumnId="4"/>
      <queryTableField id="5" name="pluvial_protection" tableColumnId="5"/>
      <queryTableField id="6" name="gameversion_id"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6" connectionId="3" xr16:uid="{4F49B8AF-8AD9-4D82-93EA-D221E39FBD6D}" autoFormatId="16" applyNumberFormats="0" applyBorderFormats="0" applyFontFormats="0" applyPatternFormats="0" applyAlignmentFormats="0" applyWidthHeightFormats="0">
  <queryTableRefresh nextId="5">
    <queryTableFields count="4">
      <queryTableField id="1" name="id" tableColumnId="1"/>
      <queryTableField id="2" name="name" tableColumnId="2"/>
      <queryTableField id="3" name="languagegroup_id" tableColumnId="3"/>
      <queryTableField id="4" name="description"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5" connectionId="2" xr16:uid="{59EBEC19-C553-4362-9255-CC1D09B42075}" autoFormatId="16" applyNumberFormats="0" applyBorderFormats="0" applyFontFormats="0" applyPatternFormats="0" applyAlignmentFormats="0" applyWidthHeightFormats="0">
  <queryTableRefresh nextId="11">
    <queryTableFields count="10">
      <queryTableField id="1" name="id" tableColumnId="1"/>
      <queryTableField id="2" name="name" tableColumnId="2"/>
      <queryTableField id="3" name="password" tableColumnId="3"/>
      <queryTableField id="4" name="location" tableColumnId="4"/>
      <queryTableField id="5" name="create_time" tableColumnId="5"/>
      <queryTableField id="6" name="date" tableColumnId="6"/>
      <queryTableField id="7" name="start_time" tableColumnId="7"/>
      <queryTableField id="8" name="end_time" tableColumnId="8"/>
      <queryTableField id="9" name="gameversion_id" tableColumnId="9"/>
      <queryTableField id="10" name="description"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4" connectionId="4" xr16:uid="{46719D6E-26FE-4D7C-9A8D-2DFA5D96B541}" autoFormatId="16" applyNumberFormats="0" applyBorderFormats="0" applyFontFormats="0" applyPatternFormats="0" applyAlignmentFormats="0" applyWidthHeightFormats="0">
  <queryTableRefresh nextId="8" unboundColumnsRight="1">
    <queryTableFields count="7">
      <queryTableField id="1" name="id" tableColumnId="1"/>
      <queryTableField id="2" name="name" tableColumnId="2"/>
      <queryTableField id="3" name="password" tableColumnId="3"/>
      <queryTableField id="4" name="gamesession_id" tableColumnId="4"/>
      <queryTableField id="5" name="scenario_id" tableColumnId="5"/>
      <queryTableField id="6" name="facilitator_id" tableColumnId="6"/>
      <queryTableField id="7" dataBound="0"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3" connectionId="5" xr16:uid="{322286D0-CF23-4FAA-ADC2-6EEBF42D6D86}" autoFormatId="16" applyNumberFormats="0" applyBorderFormats="0" applyFontFormats="0" applyPatternFormats="0" applyAlignmentFormats="0" applyWidthHeightFormats="0">
  <queryTableRefresh nextId="10" unboundColumnsRight="2">
    <queryTableFields count="9">
      <queryTableField id="1" name="id" tableColumnId="1"/>
      <queryTableField id="2" name="timestamp" tableColumnId="2"/>
      <queryTableField id="3" name="pluvial_flood_intensity" tableColumnId="3"/>
      <queryTableField id="4" name="fluvial_flood_intensity" tableColumnId="4"/>
      <queryTableField id="5" name="group_state" tableColumnId="5"/>
      <queryTableField id="6" name="round_number" tableColumnId="6"/>
      <queryTableField id="7" name="group_id" tableColumnId="7"/>
      <queryTableField id="8" dataBound="0" tableColumnId="8"/>
      <queryTableField id="9" dataBound="0" tableColumnId="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2" connectionId="6" xr16:uid="{286B2468-FF2F-49B5-B3C3-04AC25806C04}" autoFormatId="16" applyNumberFormats="0" applyBorderFormats="0" applyFontFormats="0" applyPatternFormats="0" applyAlignmentFormats="0" applyWidthHeightFormats="0">
  <queryTableRefresh nextId="6">
    <queryTableFields count="5">
      <queryTableField id="1" name="id" tableColumnId="1"/>
      <queryTableField id="2" name="groupround_id" tableColumnId="2"/>
      <queryTableField id="3" name="timestamp" tableColumnId="3"/>
      <queryTableField id="4" name="group_state" tableColumnId="4"/>
      <queryTableField id="5" name="content" tableColumnId="5"/>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1" connectionId="7" xr16:uid="{3C94F070-5970-4140-826B-BD215F5DDD3A}" autoFormatId="16" applyNumberFormats="0" applyBorderFormats="0" applyFontFormats="0" applyPatternFormats="0" applyAlignmentFormats="0" applyWidthHeightFormats="0">
  <queryTableRefresh nextId="10">
    <queryTableFields count="9">
      <queryTableField id="1" name="id" tableColumnId="1"/>
      <queryTableField id="2" name="price" tableColumnId="2"/>
      <queryTableField id="3" name="code" tableColumnId="3"/>
      <queryTableField id="4" name="available_round" tableColumnId="4"/>
      <queryTableField id="5" name="address" tableColumnId="5"/>
      <queryTableField id="6" name="rating" tableColumnId="6"/>
      <queryTableField id="7" name="initial_pluvial_protection" tableColumnId="7"/>
      <queryTableField id="8" name="initial_fluvial_protection" tableColumnId="8"/>
      <queryTableField id="9" name="community_id" tableColumnId="9"/>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0" connectionId="8" xr16:uid="{6EFA0D0C-F355-4568-A8B5-69CC8E5939C3}" autoFormatId="16" applyNumberFormats="0" applyBorderFormats="0" applyFontFormats="0" applyPatternFormats="0" applyAlignmentFormats="0" applyWidthHeightFormats="0">
  <queryTableRefresh nextId="24" unboundColumnsRight="2">
    <queryTableFields count="23">
      <queryTableField id="1" name="id" tableColumnId="1"/>
      <queryTableField id="2" name="code" tableColumnId="2"/>
      <queryTableField id="3" name="address" tableColumnId="3"/>
      <queryTableField id="4" name="rating" tableColumnId="4"/>
      <queryTableField id="5" name="original_price" tableColumnId="5"/>
      <queryTableField id="6" name="damage_reduction" tableColumnId="6"/>
      <queryTableField id="7" name="market_value" tableColumnId="7"/>
      <queryTableField id="8" name="last_sold_price" tableColumnId="8"/>
      <queryTableField id="9" name="house_satisfaction" tableColumnId="9"/>
      <queryTableField id="10" name="status" tableColumnId="10"/>
      <queryTableField id="11" name="fluvial_base_protection" tableColumnId="11"/>
      <queryTableField id="12" name="pluvial_base_protection" tableColumnId="12"/>
      <queryTableField id="13" name="fluvial_house_protection" tableColumnId="13"/>
      <queryTableField id="14" name="pluvial_house_protection" tableColumnId="14"/>
      <queryTableField id="15" name="last_round_comm_fluvial" tableColumnId="15"/>
      <queryTableField id="16" name="last_round_comm_pluvial" tableColumnId="16"/>
      <queryTableField id="17" name="last_round_house_fluvial" tableColumnId="17"/>
      <queryTableField id="18" name="last_round_house_pluvial" tableColumnId="18"/>
      <queryTableField id="19" name="house_id" tableColumnId="19"/>
      <queryTableField id="20" name="group_id" tableColumnId="20"/>
      <queryTableField id="21" name="owner_id" tableColumnId="21"/>
      <queryTableField id="22" dataBound="0" tableColumnId="22"/>
      <queryTableField id="23" dataBound="0" tableColumnId="2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9" connectionId="10" xr16:uid="{28E39EBF-6CEF-4549-9BA8-3362F6E83686}" autoFormatId="16" applyNumberFormats="0" applyBorderFormats="0" applyFontFormats="0" applyPatternFormats="0" applyAlignmentFormats="0" applyWidthHeightFormats="0">
  <queryTableRefresh nextId="9">
    <queryTableFields count="8">
      <queryTableField id="1" name="id" tableColumnId="1"/>
      <queryTableField id="2" name="timestamp" tableColumnId="2"/>
      <queryTableField id="3" name="price" tableColumnId="3"/>
      <queryTableField id="4" name="comment" tableColumnId="4"/>
      <queryTableField id="5" name="transaction_status" tableColumnId="5"/>
      <queryTableField id="6" name="housegroup_id" tableColumnId="6"/>
      <queryTableField id="7" name="playerround_id" tableColumnId="7"/>
      <queryTableField id="8" name="groupround_id" tableColumn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8" connectionId="11" xr16:uid="{A5CCC72A-7C1E-4445-9A09-BA92F91A4F70}" autoFormatId="16" applyNumberFormats="0" applyBorderFormats="0" applyFontFormats="0" applyPatternFormats="0" applyAlignmentFormats="0" applyWidthHeightFormats="0">
  <queryTableRefresh nextId="6">
    <queryTableFields count="5">
      <queryTableField id="1" name="id" tableColumnId="1"/>
      <queryTableField id="2" name="name" tableColumnId="2"/>
      <queryTableField id="3" name="round_number" tableColumnId="3"/>
      <queryTableField id="4" name="measuretype_id" tableColumnId="4"/>
      <queryTableField id="5" name="house_id" tableColumnId="5"/>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7" connectionId="12" xr16:uid="{C3C8588A-2369-4DCA-86B6-B9B8DFE61E2B}" autoFormatId="16" applyNumberFormats="0" applyBorderFormats="0" applyFontFormats="0" applyPatternFormats="0" applyAlignmentFormats="0" applyWidthHeightFormats="0">
  <queryTableRefresh nextId="7">
    <queryTableFields count="6">
      <queryTableField id="1" name="id" tableColumnId="1"/>
      <queryTableField id="2" name="name" tableColumnId="2"/>
      <queryTableField id="3" name="description" tableColumnId="3"/>
      <queryTableField id="4" name="explanation" tableColumnId="4"/>
      <queryTableField id="5" name="scenario_id" tableColumnId="5"/>
      <queryTableField id="6" name="sequence_nr" tableColumnId="6"/>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6" connectionId="13" xr16:uid="{E74E2C35-2199-48D4-8179-ED07E662D99D}" autoFormatId="16" applyNumberFormats="0" applyBorderFormats="0" applyFontFormats="0" applyPatternFormats="0" applyAlignmentFormats="0" applyWidthHeightFormats="0">
  <queryTableRefresh nextId="20">
    <queryTableFields count="19">
      <queryTableField id="1" name="id" tableColumnId="1"/>
      <queryTableField id="2" name="short_alias" tableColumnId="2"/>
      <queryTableField id="3" name="name" tableColumnId="3"/>
      <queryTableField id="4" name="description" tableColumnId="4"/>
      <queryTableField id="5" name="cost_absolute" tableColumnId="5"/>
      <queryTableField id="6" name="cost_percentage_income" tableColumnId="6"/>
      <queryTableField id="7" name="cost_percentage_house" tableColumnId="7"/>
      <queryTableField id="8" name="satisfaction_delta_once" tableColumnId="8"/>
      <queryTableField id="9" name="satisfaction_delta_permanent" tableColumnId="9"/>
      <queryTableField id="10" name="pluvial_protection_delta" tableColumnId="10"/>
      <queryTableField id="11" name="fluvial_protection_delta" tableColumnId="11"/>
      <queryTableField id="12" name="house_value_delta_abs" tableColumnId="12"/>
      <queryTableField id="13" name="house_value_delta_perc" tableColumnId="13"/>
      <queryTableField id="14" name="valid_one_round" tableColumnId="14"/>
      <queryTableField id="15" name="valid_until_used" tableColumnId="15"/>
      <queryTableField id="16" name="house_measure" tableColumnId="16"/>
      <queryTableField id="17" name="measurecategory_id" tableColumnId="17"/>
      <queryTableField id="18" name="category_sequence_nr" tableColumnId="18"/>
      <queryTableField id="19" name="priority" tableColumnId="19"/>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5" connectionId="14" xr16:uid="{57046E96-03AA-44E1-B8F4-38EF17303724}" autoFormatId="16" applyNumberFormats="0" applyBorderFormats="0" applyFontFormats="0" applyPatternFormats="0" applyAlignmentFormats="0" applyWidthHeightFormats="0">
  <queryTableRefresh nextId="7">
    <queryTableFields count="6">
      <queryTableField id="1" name="id" tableColumnId="1"/>
      <queryTableField id="2" name="sequence_number" tableColumnId="2"/>
      <queryTableField id="3" name="key" tableColumnId="3"/>
      <queryTableField id="4" name="reason_text" tableColumnId="4"/>
      <queryTableField id="5" name="is_other" tableColumnId="5"/>
      <queryTableField id="6" name="gameversion_id" tableColumnId="6"/>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4" connectionId="15" xr16:uid="{59F1D694-F6B9-49BF-B109-A65C7C2A7880}" autoFormatId="16" applyNumberFormats="0" applyBorderFormats="0" applyFontFormats="0" applyPatternFormats="0" applyAlignmentFormats="0" applyWidthHeightFormats="0">
  <queryTableRefresh nextId="16">
    <queryTableFields count="15">
      <queryTableField id="1" name="id" tableColumnId="1"/>
      <queryTableField id="2" name="name" tableColumnId="2"/>
      <queryTableField id="3" name="house_discount_round1" tableColumnId="3"/>
      <queryTableField id="4" name="house_discount_round2" tableColumnId="4"/>
      <queryTableField id="5" name="house_discount_round3" tableColumnId="5"/>
      <queryTableField id="6" name="house_discount_effect_pluvial" tableColumnId="6"/>
      <queryTableField id="7" name="house_discount_effect_fluvial" tableColumnId="7"/>
      <queryTableField id="8" name="house_discount_community" tableColumnId="8"/>
      <queryTableField id="9" name="pluvial_protection_change" tableColumnId="9"/>
      <queryTableField id="10" name="fluvial_protection_change" tableColumnId="10"/>
      <queryTableField id="11" name="tax_change" tableColumnId="11"/>
      <queryTableField id="12" name="satisfaction_living_bonus" tableColumnId="12"/>
      <queryTableField id="13" name="satisfaction_move_change" tableColumnId="13"/>
      <queryTableField id="14" name="newsitem_id" tableColumnId="14"/>
      <queryTableField id="15" name="community_id" tableColumnId="15"/>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13" connectionId="16" xr16:uid="{7BFEAC0E-06B5-4D64-BDF9-273B31C067BA}" autoFormatId="16" applyNumberFormats="0" applyBorderFormats="0" applyFontFormats="0" applyPatternFormats="0" applyAlignmentFormats="0" applyWidthHeightFormats="0">
  <queryTableRefresh nextId="7">
    <queryTableFields count="6">
      <queryTableField id="1" name="id" tableColumnId="1"/>
      <queryTableField id="2" name="name" tableColumnId="2"/>
      <queryTableField id="3" name="summary" tableColumnId="3"/>
      <queryTableField id="4" name="content" tableColumnId="4"/>
      <queryTableField id="5" name="round_number" tableColumnId="5"/>
      <queryTableField id="6" name="scenario_id" tableColumnId="6"/>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12" connectionId="17" xr16:uid="{59AC98A0-9973-44A8-A33C-006AFE293CA4}" autoFormatId="16" applyNumberFormats="0" applyBorderFormats="0" applyFontFormats="0" applyPatternFormats="0" applyAlignmentFormats="0" applyWidthHeightFormats="0">
  <queryTableRefresh nextId="7" unboundColumnsRight="3">
    <queryTableFields count="6">
      <queryTableField id="1" name="id" tableColumnId="1"/>
      <queryTableField id="2" name="measuretype_id" tableColumnId="2"/>
      <queryTableField id="3" name="playerround_id" tableColumnId="3"/>
      <queryTableField id="4" dataBound="0" tableColumnId="4"/>
      <queryTableField id="5" dataBound="0" tableColumnId="5"/>
      <queryTableField id="6" dataBound="0" tableColumnId="6"/>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11" connectionId="9" xr16:uid="{6FE374A1-0D83-49B2-9D3F-4FB1B77A27F0}" autoFormatId="16" applyNumberFormats="0" applyBorderFormats="0" applyFontFormats="0" applyPatternFormats="0" applyAlignmentFormats="0" applyWidthHeightFormats="0">
  <queryTableRefresh nextId="6">
    <queryTableFields count="5">
      <queryTableField id="1" name="id" tableColumnId="1"/>
      <queryTableField id="2" name="bought_in_round" tableColumnId="2"/>
      <queryTableField id="3" name="measuretype_id" tableColumnId="3"/>
      <queryTableField id="4" name="housegroup_id" tableColumnId="4"/>
      <queryTableField id="5" name="used_in_round" tableColumnId="5"/>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ExternalData_10" connectionId="18" xr16:uid="{C2503F9A-7691-489C-8635-C01A47350259}" autoFormatId="16" applyNumberFormats="0" applyBorderFormats="0" applyFontFormats="0" applyPatternFormats="0" applyAlignmentFormats="0" applyWidthHeightFormats="0">
  <queryTableRefresh nextId="6">
    <queryTableFields count="5">
      <queryTableField id="1" name="id" tableColumnId="1"/>
      <queryTableField id="2" name="code" tableColumnId="2"/>
      <queryTableField id="3" name="user_id" tableColumnId="3"/>
      <queryTableField id="4" name="group_id" tableColumnId="4"/>
      <queryTableField id="5" name="welfaretype_id" tableColumnId="5"/>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ExternalData_9" connectionId="19" xr16:uid="{B8EECD67-12BC-4B36-8B32-319E912295D4}" autoFormatId="16" applyNumberFormats="0" applyBorderFormats="0" applyFontFormats="0" applyPatternFormats="0" applyAlignmentFormats="0" applyWidthHeightFormats="0">
  <queryTableRefresh nextId="49" unboundColumnsRight="4">
    <queryTableFields count="48">
      <queryTableField id="1" name="id" tableColumnId="1"/>
      <queryTableField id="2" name="create_time" tableColumnId="2"/>
      <queryTableField id="3" name="round_income" tableColumnId="3"/>
      <queryTableField id="4" name="living_costs" tableColumnId="4"/>
      <queryTableField id="5" name="paid_debt" tableColumnId="5"/>
      <queryTableField id="6" name="mortgage_payment" tableColumnId="6"/>
      <queryTableField id="7" name="profit_sold_house" tableColumnId="7"/>
      <queryTableField id="8" name="spent_savings_for_buying_house" tableColumnId="8"/>
      <queryTableField id="9" name="cost_taxes" tableColumnId="9"/>
      <queryTableField id="10" name="cost_house_measures_bought" tableColumnId="10"/>
      <queryTableField id="11" name="cost_personal_measures_bought" tableColumnId="11"/>
      <queryTableField id="12" name="cost_fluvial_damage" tableColumnId="12"/>
      <queryTableField id="13" name="cost_pluvial_damage" tableColumnId="13"/>
      <queryTableField id="14" name="spendable_income" tableColumnId="14"/>
      <queryTableField id="15" name="satisfaction_move_penalty" tableColumnId="15"/>
      <queryTableField id="16" name="satisfaction_house_rating_delta" tableColumnId="16"/>
      <queryTableField id="17" name="satisfaction_house_measures" tableColumnId="17"/>
      <queryTableField id="18" name="satisfaction_personal_measures" tableColumnId="18"/>
      <queryTableField id="19" name="satisfaction_fluvial_penalty" tableColumnId="19"/>
      <queryTableField id="20" name="satisfaction_pluvial_penalty" tableColumnId="20"/>
      <queryTableField id="21" name="satisfaction_debt_penalty" tableColumnId="21"/>
      <queryTableField id="22" name="satisfaction_total" tableColumnId="22"/>
      <queryTableField id="23" name="preferred_house_rating" tableColumnId="23"/>
      <queryTableField id="24" name="maximum_mortgage" tableColumnId="24"/>
      <queryTableField id="25" name="mortgage_house_start" tableColumnId="25"/>
      <queryTableField id="26" name="mortgage_left_start" tableColumnId="26"/>
      <queryTableField id="27" name="house_price_sold" tableColumnId="27"/>
      <queryTableField id="28" name="house_price_bought" tableColumnId="28"/>
      <queryTableField id="29" name="mortgage_house_end" tableColumnId="29"/>
      <queryTableField id="30" name="mortgage_left_end" tableColumnId="30"/>
      <queryTableField id="31" name="movingreason_id" tableColumnId="31"/>
      <queryTableField id="32" name="moving_reason_other" tableColumnId="32"/>
      <queryTableField id="33" name="pluvial_base_protection" tableColumnId="33"/>
      <queryTableField id="34" name="fluvial_base_protection" tableColumnId="34"/>
      <queryTableField id="35" name="pluvial_community_delta" tableColumnId="35"/>
      <queryTableField id="36" name="fluvial_community_delta" tableColumnId="36"/>
      <queryTableField id="37" name="pluvial_house_delta" tableColumnId="37"/>
      <queryTableField id="38" name="fluvial_house_delta" tableColumnId="38"/>
      <queryTableField id="39" name="player_state" tableColumnId="39"/>
      <queryTableField id="40" name="player_id" tableColumnId="40"/>
      <queryTableField id="41" name="groupround_id" tableColumnId="41"/>
      <queryTableField id="42" name="start_housegroup_id" tableColumnId="42"/>
      <queryTableField id="43" name="final_housegroup_id" tableColumnId="43"/>
      <queryTableField id="44" name="active_transaction_id" tableColumnId="44"/>
      <queryTableField id="45" dataBound="0" tableColumnId="45"/>
      <queryTableField id="46" dataBound="0" tableColumnId="46"/>
      <queryTableField id="47" dataBound="0" tableColumnId="47"/>
      <queryTableField id="48" dataBound="0" tableColumnId="48"/>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ExternalData_8" connectionId="20" xr16:uid="{EAA5D56D-440C-42FA-94A8-1B4D770F1C52}" autoFormatId="16" applyNumberFormats="0" applyBorderFormats="0" applyFontFormats="0" applyPatternFormats="0" applyAlignmentFormats="0" applyWidthHeightFormats="0">
  <queryTableRefresh nextId="6">
    <queryTableFields count="5">
      <queryTableField id="1" name="id" tableColumnId="1"/>
      <queryTableField id="2" name="playerround_id" tableColumnId="2"/>
      <queryTableField id="3" name="timestamp" tableColumnId="3"/>
      <queryTableField id="4" name="player_state" tableColumnId="4"/>
      <queryTableField id="5" name="content" tableColumnId="5"/>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ExternalData_7" connectionId="22" xr16:uid="{BA5C83C5-FC4E-4A28-88F2-4917DE208223}" autoFormatId="16" applyNumberFormats="0" applyBorderFormats="0" applyFontFormats="0" applyPatternFormats="0" applyAlignmentFormats="0" applyWidthHeightFormats="0">
  <queryTableRefresh nextId="5">
    <queryTableFields count="4">
      <queryTableField id="1" name="id" tableColumnId="1"/>
      <queryTableField id="2" name="code" tableColumnId="2"/>
      <queryTableField id="3" name="name" tableColumnId="3"/>
      <queryTableField id="4" name="question_id" tableColumnId="4"/>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ExternalData_6" connectionId="21" xr16:uid="{4024670B-F6CE-4FE8-882D-38BEDE8697F7}" autoFormatId="16" applyNumberFormats="0" applyBorderFormats="0" applyFontFormats="0" applyPatternFormats="0" applyAlignmentFormats="0" applyWidthHeightFormats="0">
  <queryTableRefresh nextId="10">
    <queryTableFields count="9">
      <queryTableField id="1" name="id" tableColumnId="1"/>
      <queryTableField id="2" name="type" tableColumnId="2"/>
      <queryTableField id="3" name="question_number" tableColumnId="3"/>
      <queryTableField id="4" name="name" tableColumnId="4"/>
      <queryTableField id="5" name="description" tableColumnId="5"/>
      <queryTableField id="6" name="min_value" tableColumnId="6"/>
      <queryTableField id="7" name="max_value" tableColumnId="7"/>
      <queryTableField id="8" name="max_length" tableColumnId="8"/>
      <queryTableField id="9" name="scenario_id" tableColumnId="9"/>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ExternalData_5" connectionId="23" xr16:uid="{DF214AB6-9E8D-40D3-AEA7-7A215D94AC0F}" autoFormatId="16" applyNumberFormats="0" applyBorderFormats="0" applyFontFormats="0" applyPatternFormats="0" applyAlignmentFormats="0" applyWidthHeightFormats="0">
  <queryTableRefresh nextId="6">
    <queryTableFields count="5">
      <queryTableField id="1" name="id" tableColumnId="1"/>
      <queryTableField id="2" name="answer" tableColumnId="2"/>
      <queryTableField id="3" name="late_answer" tableColumnId="3"/>
      <queryTableField id="4" name="playerround_id" tableColumnId="4"/>
      <queryTableField id="5" name="question_id" tableColumnId="5"/>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ExternalData_4" connectionId="24" xr16:uid="{A0D4104B-CDD6-4AE1-96D6-32D03B641668}" autoFormatId="16" applyNumberFormats="0" applyBorderFormats="0" applyFontFormats="0" applyPatternFormats="0" applyAlignmentFormats="0" applyWidthHeightFormats="0">
  <queryTableRefresh nextId="10">
    <queryTableFields count="9">
      <queryTableField id="1" name="id" tableColumnId="1"/>
      <queryTableField id="2" name="name" tableColumnId="2"/>
      <queryTableField id="3" name="information_amount" tableColumnId="3"/>
      <queryTableField id="4" name="minimum_players" tableColumnId="4"/>
      <queryTableField id="5" name="maximum_players" tableColumnId="5"/>
      <queryTableField id="6" name="highest_round_number" tableColumnId="6"/>
      <queryTableField id="7" name="scenarioparameters_id" tableColumnId="7"/>
      <queryTableField id="8" name="gameversion_id" tableColumnId="8"/>
      <queryTableField id="9" name="description" tableColumnId="9"/>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ExternalData_3" connectionId="25" xr16:uid="{32E43A84-035D-40CE-89EA-CEE87E96BB6B}" autoFormatId="16" applyNumberFormats="0" applyBorderFormats="0" applyFontFormats="0" applyPatternFormats="0" applyAlignmentFormats="0" applyWidthHeightFormats="0">
  <queryTableRefresh nextId="26">
    <queryTableFields count="25">
      <queryTableField id="1" name="id" tableColumnId="1"/>
      <queryTableField id="2" name="name" tableColumnId="2"/>
      <queryTableField id="3" name="pluvial_repair_costs_per_damage_point" tableColumnId="3"/>
      <queryTableField id="4" name="fluvial_repair_costs_per_damage_point" tableColumnId="4"/>
      <queryTableField id="5" name="pluvial_satisfaction_penalty_if_area_flooded" tableColumnId="5"/>
      <queryTableField id="6" name="pluvial_repair_costs_fixed" tableColumnId="6"/>
      <queryTableField id="7" name="fluvial_repair_costs_fixed" tableColumnId="7"/>
      <queryTableField id="8" name="fluvial_satisfaction_penalty_if_area_flooded" tableColumnId="8"/>
      <queryTableField id="9" name="pluvial_satisfaction_penalty_house_flooded_fixed" tableColumnId="9"/>
      <queryTableField id="10" name="fluvial_satisfaction_penalty_house_flooded_fixed" tableColumnId="10"/>
      <queryTableField id="11" name="pluvial_satisfaction_penalty_per_damage_point" tableColumnId="11"/>
      <queryTableField id="12" name="fluvial_satisfaction_penalty_per_damage_point" tableColumnId="12"/>
      <queryTableField id="13" name="satisfaction_debt_penalty" tableColumnId="13"/>
      <queryTableField id="14" name="satisfaction_house_rating_too_low_fixed" tableColumnId="14"/>
      <queryTableField id="15" name="satisfaction_house_rating_too_low_per_delta" tableColumnId="15"/>
      <queryTableField id="16" name="satisfaction_house_rating_per_round" tableColumnId="16"/>
      <queryTableField id="17" name="satisfaction_move_penalty" tableColumnId="17"/>
      <queryTableField id="18" name="mortgage_percentage" tableColumnId="18"/>
      <queryTableField id="19" name="allow_personal_satisfaction_neg" tableColumnId="19"/>
      <queryTableField id="20" name="allow_house_satisfaction_neg" tableColumnId="20"/>
      <queryTableField id="21" name="allow_total_satisfaction_neg" tableColumnId="21"/>
      <queryTableField id="22" name="highest_pluvial_score" tableColumnId="22"/>
      <queryTableField id="23" name="highest_fluvial_score" tableColumnId="23"/>
      <queryTableField id="24" name="news_discount_in_euros" tableColumnId="24"/>
      <queryTableField id="25" name="default_language_id" tableColumnId="25"/>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ExternalData_2" connectionId="26" xr16:uid="{FE5C5A4F-1424-494E-B919-71343E217BF9}" autoFormatId="16" applyNumberFormats="0" applyBorderFormats="0" applyFontFormats="0" applyPatternFormats="0" applyAlignmentFormats="0" applyWidthHeightFormats="0">
  <queryTableRefresh nextId="7">
    <queryTableFields count="6">
      <queryTableField id="1" name="id" tableColumnId="1"/>
      <queryTableField id="2" name="name" tableColumnId="2"/>
      <queryTableField id="3" name="minimum_inhabitants" tableColumnId="3"/>
      <queryTableField id="4" name="maximum_inhabitants" tableColumnId="4"/>
      <queryTableField id="5" name="tax_cost" tableColumnId="5"/>
      <queryTableField id="6" name="community_id" tableColumnId="6"/>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ExternalData_1" connectionId="27" xr16:uid="{2227FCC7-79A5-40FE-B502-5B60DA737354}" autoFormatId="16" applyNumberFormats="0" applyBorderFormats="0" applyFontFormats="0" applyPatternFormats="0" applyAlignmentFormats="0" applyWidthHeightFormats="0">
  <queryTableRefresh nextId="11">
    <queryTableFields count="10">
      <queryTableField id="1" name="id" tableColumnId="1"/>
      <queryTableField id="2" name="name" tableColumnId="2"/>
      <queryTableField id="3" name="initial_satisfaction" tableColumnId="3"/>
      <queryTableField id="4" name="initial_money" tableColumnId="4"/>
      <queryTableField id="5" name="maximum_mortgage" tableColumnId="5"/>
      <queryTableField id="6" name="living_costs" tableColumnId="6"/>
      <queryTableField id="7" name="round_income" tableColumnId="7"/>
      <queryTableField id="8" name="satisfaction_cost_per_point" tableColumnId="8"/>
      <queryTableField id="9" name="preferred_house_rating" tableColumnId="9"/>
      <queryTableField id="10" name="scenario_id"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8.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9.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20.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21.xml"/></Relationships>
</file>

<file path=xl/tables/_rels/table22.xml.rels><?xml version="1.0" encoding="UTF-8" standalone="yes"?>
<Relationships xmlns="http://schemas.openxmlformats.org/package/2006/relationships"><Relationship Id="rId1" Type="http://schemas.openxmlformats.org/officeDocument/2006/relationships/queryTable" Target="../queryTables/queryTable22.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23.xml"/></Relationships>
</file>

<file path=xl/tables/_rels/table24.xml.rels><?xml version="1.0" encoding="UTF-8" standalone="yes"?>
<Relationships xmlns="http://schemas.openxmlformats.org/package/2006/relationships"><Relationship Id="rId1" Type="http://schemas.openxmlformats.org/officeDocument/2006/relationships/queryTable" Target="../queryTables/queryTable24.xml"/></Relationships>
</file>

<file path=xl/tables/_rels/table25.xml.rels><?xml version="1.0" encoding="UTF-8" standalone="yes"?>
<Relationships xmlns="http://schemas.openxmlformats.org/package/2006/relationships"><Relationship Id="rId1" Type="http://schemas.openxmlformats.org/officeDocument/2006/relationships/queryTable" Target="../queryTables/queryTable25.xml"/></Relationships>
</file>

<file path=xl/tables/_rels/table26.xml.rels><?xml version="1.0" encoding="UTF-8" standalone="yes"?>
<Relationships xmlns="http://schemas.openxmlformats.org/package/2006/relationships"><Relationship Id="rId1" Type="http://schemas.openxmlformats.org/officeDocument/2006/relationships/queryTable" Target="../queryTables/queryTable26.xml"/></Relationships>
</file>

<file path=xl/tables/_rels/table27.xml.rels><?xml version="1.0" encoding="UTF-8" standalone="yes"?>
<Relationships xmlns="http://schemas.openxmlformats.org/package/2006/relationships"><Relationship Id="rId1" Type="http://schemas.openxmlformats.org/officeDocument/2006/relationships/queryTable" Target="../queryTables/queryTable2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8010A0C-172A-4809-8053-C79468E18745}" name="community" displayName="community" ref="A1:F4" tableType="queryTable" totalsRowShown="0">
  <autoFilter ref="A1:F4" xr:uid="{F8010A0C-172A-4809-8053-C79468E18745}"/>
  <tableColumns count="6">
    <tableColumn id="1" xr3:uid="{FFEEE7E4-2F9E-44D0-9A6D-AFE2FBB433BB}" uniqueName="1" name="id" queryTableFieldId="1"/>
    <tableColumn id="2" xr3:uid="{C9DC92B4-D16C-4AA1-863E-5EFA0521E3D7}" uniqueName="2" name="name" queryTableFieldId="2" dataDxfId="65"/>
    <tableColumn id="3" xr3:uid="{ECCF12FA-1192-4D90-999B-4721D026131C}" uniqueName="3" name="capacity" queryTableFieldId="3"/>
    <tableColumn id="4" xr3:uid="{2B02D6B5-5E68-468E-96C5-76FB9E1D0D0D}" uniqueName="4" name="fluvial_protection" queryTableFieldId="4"/>
    <tableColumn id="5" xr3:uid="{CFCDF459-69D1-4837-A950-DEC0B77C4EAE}" uniqueName="5" name="pluvial_protection" queryTableFieldId="5"/>
    <tableColumn id="6" xr3:uid="{BD88349C-B14A-459D-B4FE-65B5951515EB}" uniqueName="6" name="gameversion_id"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807DFDB-F989-4101-95EB-E0728C102B86}" name="gameversion" displayName="gameversion" ref="A1:D2" tableType="queryTable" totalsRowShown="0">
  <autoFilter ref="A1:D2" xr:uid="{A807DFDB-F989-4101-95EB-E0728C102B86}"/>
  <tableColumns count="4">
    <tableColumn id="1" xr3:uid="{B647AE1F-938D-4A1C-A6AA-F7B767F38947}" uniqueName="1" name="id" queryTableFieldId="1"/>
    <tableColumn id="2" xr3:uid="{87049ECD-B70C-4BC0-91CF-9678201EE080}" uniqueName="2" name="name" queryTableFieldId="2" dataDxfId="64"/>
    <tableColumn id="3" xr3:uid="{7D69C358-EF5F-4EAA-B02E-A5A1245D1DD7}" uniqueName="3" name="languagegroup_id" queryTableFieldId="3"/>
    <tableColumn id="4" xr3:uid="{B5C518F5-9999-4150-A94F-2DB4FD552D8F}" uniqueName="4" name="description" queryTableFieldId="4" dataDxfId="6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040939F-B3A5-408E-9865-38C1AA305E50}" name="gamesession" displayName="gamesession" ref="A1:J2" tableType="queryTable" totalsRowShown="0">
  <autoFilter ref="A1:J2" xr:uid="{4040939F-B3A5-408E-9865-38C1AA305E50}"/>
  <tableColumns count="10">
    <tableColumn id="1" xr3:uid="{76E1C35C-7563-4E88-8910-7103158462C0}" uniqueName="1" name="id" queryTableFieldId="1"/>
    <tableColumn id="2" xr3:uid="{6D3BCC01-397A-4A96-87E1-76360FC71851}" uniqueName="2" name="name" queryTableFieldId="2" dataDxfId="62"/>
    <tableColumn id="3" xr3:uid="{BAB32BEB-A98D-41FB-973E-D155332003B6}" uniqueName="3" name="password" queryTableFieldId="3" dataDxfId="61"/>
    <tableColumn id="4" xr3:uid="{DD06FC8A-34BC-4B94-8FAE-480565A2F2F9}" uniqueName="4" name="location" queryTableFieldId="4" dataDxfId="60"/>
    <tableColumn id="5" xr3:uid="{6A5B1D68-004E-4A2B-BBA8-6FD4FBD8DAAE}" uniqueName="5" name="create_time" queryTableFieldId="5" dataDxfId="59"/>
    <tableColumn id="6" xr3:uid="{4CF3A904-9853-4E06-BF3B-75DD59356517}" uniqueName="6" name="date" queryTableFieldId="6" dataDxfId="58"/>
    <tableColumn id="7" xr3:uid="{E1DA9F74-4F24-4783-8CD6-DD0671E913B5}" uniqueName="7" name="start_time" queryTableFieldId="7" dataDxfId="57"/>
    <tableColumn id="8" xr3:uid="{700E3324-D11B-406B-99ED-E21305518D0C}" uniqueName="8" name="end_time" queryTableFieldId="8" dataDxfId="56"/>
    <tableColumn id="9" xr3:uid="{E0D17FBA-F435-43E3-9512-B2E7C1591E30}" uniqueName="9" name="gameversion_id" queryTableFieldId="9"/>
    <tableColumn id="10" xr3:uid="{8D7B3B06-26A0-4A73-B260-694EB31D9736}" uniqueName="10" name="description" queryTableFieldId="10" dataDxfId="5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93190A6-7DC7-452E-A476-B5C201676C31}" name="group" displayName="group" ref="A1:G9" tableType="queryTable" totalsRowShown="0">
  <autoFilter ref="A1:G9" xr:uid="{593190A6-7DC7-452E-A476-B5C201676C31}"/>
  <tableColumns count="7">
    <tableColumn id="1" xr3:uid="{339BD252-1553-4FAE-90FD-3A02C6F3FC3D}" uniqueName="1" name="id" queryTableFieldId="1"/>
    <tableColumn id="2" xr3:uid="{ADF1A26F-B2E8-46C0-8FA2-AD49D0D7FBB2}" uniqueName="2" name="name" queryTableFieldId="2" dataDxfId="54"/>
    <tableColumn id="3" xr3:uid="{0450C6A4-FB8C-4EC5-8A92-C4670212AB03}" uniqueName="3" name="password" queryTableFieldId="3" dataDxfId="53"/>
    <tableColumn id="4" xr3:uid="{36E8896E-62B0-44F0-B87A-2ED9ED8F0646}" uniqueName="4" name="gamesession_id" queryTableFieldId="4"/>
    <tableColumn id="5" xr3:uid="{45EF7B7B-ADA4-456A-B668-492E3A8B8C56}" uniqueName="5" name="scenario_id" queryTableFieldId="5"/>
    <tableColumn id="6" xr3:uid="{24B9BCE7-901C-4D63-AD21-3B4C9E4964B6}" uniqueName="6" name="facilitator_id" queryTableFieldId="6"/>
    <tableColumn id="7" xr3:uid="{8023CED5-A45E-4D20-BFBF-90EC0276A34B}" uniqueName="7" name="Added gamesession_name " queryTableFieldId="7" dataDxfId="52">
      <calculatedColumnFormula>+VLOOKUP(group[[#This Row],[gamesession_id]],gamesession[#All],2,0)</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A494E82-03CC-47BE-8E2C-0F12BD0004B6}" name="groupround" displayName="groupround" ref="A1:I21" tableType="queryTable" totalsRowShown="0">
  <autoFilter ref="A1:I21" xr:uid="{EA494E82-03CC-47BE-8E2C-0F12BD0004B6}"/>
  <tableColumns count="9">
    <tableColumn id="1" xr3:uid="{BBA10A9B-0E68-489A-9843-2010DCB7EEC4}" uniqueName="1" name="id" queryTableFieldId="1"/>
    <tableColumn id="2" xr3:uid="{90FE0C6A-F54C-45B0-8204-86E9070F06DB}" uniqueName="2" name="timestamp" queryTableFieldId="2" dataDxfId="51"/>
    <tableColumn id="3" xr3:uid="{17CE721E-37DC-497B-9935-F0E0B1073FE5}" uniqueName="3" name="pluvial_flood_intensity" queryTableFieldId="3"/>
    <tableColumn id="4" xr3:uid="{ADC9E6C8-8F66-4171-B852-47D32BC17061}" uniqueName="4" name="fluvial_flood_intensity" queryTableFieldId="4"/>
    <tableColumn id="5" xr3:uid="{4C49CD66-917B-44FB-82F4-135735D98518}" uniqueName="5" name="group_state" queryTableFieldId="5" dataDxfId="50"/>
    <tableColumn id="6" xr3:uid="{04DF526A-D6B2-4A04-948D-F9682D1570EF}" uniqueName="6" name="round_number" queryTableFieldId="6"/>
    <tableColumn id="7" xr3:uid="{FF847F43-553E-407F-AE64-9E75DB2F59B2}" uniqueName="7" name="group_id" queryTableFieldId="7"/>
    <tableColumn id="8" xr3:uid="{B20CD246-07D7-497F-A26E-9A47ACBF53B6}" uniqueName="8" name="Added group_name" queryTableFieldId="8" dataDxfId="49">
      <calculatedColumnFormula>+VLOOKUP(groupround[[#This Row],[group_id]],group[],2,0)</calculatedColumnFormula>
    </tableColumn>
    <tableColumn id="9" xr3:uid="{7087584A-A166-42D8-B1E8-8CD02D82D635}" uniqueName="9" name="Added group_gamesession_name" queryTableFieldId="9" dataDxfId="48">
      <calculatedColumnFormula>+VLOOKUP(groupround[[#This Row],[group_id]],group[],7,0)</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1326885-3552-40BF-98E8-ED4A0D0A568D}" name="groupstate" displayName="groupstate" ref="A1:E201" tableType="queryTable" totalsRowShown="0">
  <autoFilter ref="A1:E201" xr:uid="{F1326885-3552-40BF-98E8-ED4A0D0A568D}"/>
  <tableColumns count="5">
    <tableColumn id="1" xr3:uid="{716F205A-23ED-47D4-B309-2AD0EB37188A}" uniqueName="1" name="id" queryTableFieldId="1"/>
    <tableColumn id="2" xr3:uid="{1D7E3EB8-2C11-48D0-BA45-38F0CDB4A79C}" uniqueName="2" name="groupround_id" queryTableFieldId="2"/>
    <tableColumn id="3" xr3:uid="{0B0841CD-C722-421E-8644-54A35EDB4F3B}" uniqueName="3" name="timestamp" queryTableFieldId="3" dataDxfId="47"/>
    <tableColumn id="4" xr3:uid="{8E493C7F-79BA-4391-9C57-284034707787}" uniqueName="4" name="group_state" queryTableFieldId="4" dataDxfId="46"/>
    <tableColumn id="5" xr3:uid="{980A88B2-BE7F-4721-BE41-80B9B06E6F91}" uniqueName="5" name="content" queryTableFieldId="5" dataDxfId="4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CF7EA26-4D24-4D71-BA85-1CAAD327FEBC}" name="house" displayName="house" ref="A1:I28" tableType="queryTable" totalsRowShown="0">
  <autoFilter ref="A1:I28" xr:uid="{DCF7EA26-4D24-4D71-BA85-1CAAD327FEBC}"/>
  <tableColumns count="9">
    <tableColumn id="1" xr3:uid="{C7A26CB5-62B1-4607-AE1D-F078C0063AE2}" uniqueName="1" name="id" queryTableFieldId="1"/>
    <tableColumn id="2" xr3:uid="{FA95A9BF-0117-4A91-8A7E-65693B6406FD}" uniqueName="2" name="price" queryTableFieldId="2"/>
    <tableColumn id="3" xr3:uid="{3A056040-CE46-4BDF-A506-E0B1B233AD12}" uniqueName="3" name="code" queryTableFieldId="3" dataDxfId="44"/>
    <tableColumn id="4" xr3:uid="{111FB098-CE8D-4BAA-8B1A-BA027EC0D1AE}" uniqueName="4" name="available_round" queryTableFieldId="4"/>
    <tableColumn id="5" xr3:uid="{A2EA4561-F209-407A-9FEE-9B130AEA394E}" uniqueName="5" name="address" queryTableFieldId="5" dataDxfId="43"/>
    <tableColumn id="6" xr3:uid="{D2C30AB7-BD57-4791-9463-372D09406F62}" uniqueName="6" name="rating" queryTableFieldId="6"/>
    <tableColumn id="7" xr3:uid="{DE4583A6-7BF6-4750-9EA9-97B4B62D2B25}" uniqueName="7" name="initial_pluvial_protection" queryTableFieldId="7"/>
    <tableColumn id="8" xr3:uid="{57D40499-846C-4A53-A9D3-B932D1B485E0}" uniqueName="8" name="initial_fluvial_protection" queryTableFieldId="8"/>
    <tableColumn id="9" xr3:uid="{2F9BFD0C-3953-4199-8946-0F4D06061C11}" uniqueName="9" name="community_id" queryTableFieldId="9"/>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865CCF8-58A8-4203-B811-02EE00FCFCFE}" name="housegroup" displayName="housegroup" ref="A1:W109" tableType="queryTable" totalsRowShown="0">
  <autoFilter ref="A1:W109" xr:uid="{F865CCF8-58A8-4203-B811-02EE00FCFCFE}"/>
  <tableColumns count="23">
    <tableColumn id="1" xr3:uid="{B858A611-D4AA-441E-842B-90F961256661}" uniqueName="1" name="id" queryTableFieldId="1"/>
    <tableColumn id="2" xr3:uid="{4A605FF0-743D-4722-AEA8-0BC04A0E1CB9}" uniqueName="2" name="code" queryTableFieldId="2" dataDxfId="42"/>
    <tableColumn id="3" xr3:uid="{D626DDAD-C772-4D5E-AB84-C6BED06F6FBC}" uniqueName="3" name="address" queryTableFieldId="3" dataDxfId="41"/>
    <tableColumn id="4" xr3:uid="{6D2DEBF1-0A05-4DFC-98D5-FE040F062888}" uniqueName="4" name="rating" queryTableFieldId="4"/>
    <tableColumn id="5" xr3:uid="{8AA81DB8-AAB5-4B83-B0B4-0843445A9FC0}" uniqueName="5" name="original_price" queryTableFieldId="5"/>
    <tableColumn id="6" xr3:uid="{C03398CE-F0D7-4490-9988-718FCB247622}" uniqueName="6" name="damage_reduction" queryTableFieldId="6"/>
    <tableColumn id="7" xr3:uid="{FD49A9D4-13DD-494E-9773-797A4993C36B}" uniqueName="7" name="market_value" queryTableFieldId="7"/>
    <tableColumn id="8" xr3:uid="{FDAD766B-28D9-42E0-9A7C-0BFB2E95E834}" uniqueName="8" name="last_sold_price" queryTableFieldId="8"/>
    <tableColumn id="9" xr3:uid="{5D5D643C-7EF0-4F7E-BB6C-E7BC54D82F69}" uniqueName="9" name="house_satisfaction" queryTableFieldId="9"/>
    <tableColumn id="10" xr3:uid="{5C21932D-1028-451C-B008-6CA5C7D2B0F8}" uniqueName="10" name="status" queryTableFieldId="10" dataDxfId="40"/>
    <tableColumn id="11" xr3:uid="{9ABA77E3-C3C3-4749-AF70-E78D196D13C9}" uniqueName="11" name="fluvial_base_protection" queryTableFieldId="11"/>
    <tableColumn id="12" xr3:uid="{D101B915-3F4F-4AC3-B54C-B082678A8AA9}" uniqueName="12" name="pluvial_base_protection" queryTableFieldId="12"/>
    <tableColumn id="13" xr3:uid="{4084108E-1027-4CA7-B907-836E32F8DFB0}" uniqueName="13" name="fluvial_house_protection" queryTableFieldId="13"/>
    <tableColumn id="14" xr3:uid="{62428A75-D5DC-4BA6-B277-9E33597BFCDE}" uniqueName="14" name="pluvial_house_protection" queryTableFieldId="14"/>
    <tableColumn id="15" xr3:uid="{1C71C70A-C106-4B8E-BB11-2C2499A31E6E}" uniqueName="15" name="last_round_comm_fluvial" queryTableFieldId="15"/>
    <tableColumn id="16" xr3:uid="{2854B9F5-5FB3-4C3C-A413-DFBCA8766089}" uniqueName="16" name="last_round_comm_pluvial" queryTableFieldId="16"/>
    <tableColumn id="17" xr3:uid="{F192AEAC-FC7F-400C-9A8A-7DACFEFFB178}" uniqueName="17" name="last_round_house_fluvial" queryTableFieldId="17"/>
    <tableColumn id="18" xr3:uid="{5B714E68-3905-43FA-BFFD-BB76091F9574}" uniqueName="18" name="last_round_house_pluvial" queryTableFieldId="18"/>
    <tableColumn id="19" xr3:uid="{E715667D-9138-41D2-AFB0-C4E5689ECDC6}" uniqueName="19" name="house_id" queryTableFieldId="19"/>
    <tableColumn id="20" xr3:uid="{146D2A4C-13CA-43C0-AF4B-B3DDFEB1FFE8}" uniqueName="20" name="group_id" queryTableFieldId="20"/>
    <tableColumn id="21" xr3:uid="{88C301D2-0071-49F0-BC57-0CE1496E1707}" uniqueName="21" name="owner_id" queryTableFieldId="21"/>
    <tableColumn id="22" xr3:uid="{71EB985F-3641-4C7E-85E6-D67EFAC42CDF}" uniqueName="22" name="Added player_code" queryTableFieldId="22" dataDxfId="39">
      <calculatedColumnFormula>+VLOOKUP(housegroup[[#This Row],[owner_id]],player[],2,0)</calculatedColumnFormula>
    </tableColumn>
    <tableColumn id="23" xr3:uid="{FF41C0A5-78F4-404D-B938-B64769D1BBDD}" uniqueName="23" name="Added group_gamesessions_name" queryTableFieldId="23" dataDxfId="38">
      <calculatedColumnFormula>+VLOOKUP(housegroup[[#This Row],[group_id]],group[],7,0)</calculatedColumnFormula>
    </tableColumn>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A9E5046-572E-4DDE-9F08-B11D7B6794E4}" name="housetransaction" displayName="housetransaction" ref="A1:H105" tableType="queryTable" totalsRowShown="0">
  <autoFilter ref="A1:H105" xr:uid="{5A9E5046-572E-4DDE-9F08-B11D7B6794E4}"/>
  <tableColumns count="8">
    <tableColumn id="1" xr3:uid="{0C3AC888-FB14-4CC2-B185-7A6BF83AFEE2}" uniqueName="1" name="id" queryTableFieldId="1"/>
    <tableColumn id="2" xr3:uid="{A757ABAA-8D01-4C9B-A43E-C9461671B077}" uniqueName="2" name="timestamp" queryTableFieldId="2" dataDxfId="37"/>
    <tableColumn id="3" xr3:uid="{67A32D43-F0DF-425C-B730-617DBCF5FB16}" uniqueName="3" name="price" queryTableFieldId="3"/>
    <tableColumn id="4" xr3:uid="{A6D520F5-8222-420C-B757-8C748944C2E7}" uniqueName="4" name="comment" queryTableFieldId="4" dataDxfId="36"/>
    <tableColumn id="5" xr3:uid="{AF068061-5BB5-473C-B10A-BAB0E7151FA2}" uniqueName="5" name="transaction_status" queryTableFieldId="5" dataDxfId="35"/>
    <tableColumn id="6" xr3:uid="{55BC02F8-C7FF-47E9-98F5-EB871E64E495}" uniqueName="6" name="housegroup_id" queryTableFieldId="6"/>
    <tableColumn id="7" xr3:uid="{6123EA82-9677-4330-A01F-9EB175980EA6}" uniqueName="7" name="playerround_id" queryTableFieldId="7"/>
    <tableColumn id="8" xr3:uid="{39A5A211-1619-4420-902E-11F7BB2BC318}" uniqueName="8" name="groupround_id" queryTableFieldId="8"/>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D513808-8073-4876-BB53-B136523A5F49}" name="initialhousemeasure" displayName="initialhousemeasure" ref="A1:E18" tableType="queryTable" totalsRowShown="0">
  <autoFilter ref="A1:E18" xr:uid="{2D513808-8073-4876-BB53-B136523A5F49}"/>
  <tableColumns count="5">
    <tableColumn id="1" xr3:uid="{FE699965-A0ED-44A5-8289-8A8CD3513B18}" uniqueName="1" name="id" queryTableFieldId="1"/>
    <tableColumn id="2" xr3:uid="{D8C0B538-F7C5-4B31-8CD1-A0C031B67641}" uniqueName="2" name="name" queryTableFieldId="2" dataDxfId="34"/>
    <tableColumn id="3" xr3:uid="{45CBFC61-1F17-46A2-80D3-29AF2EBD8255}" uniqueName="3" name="round_number" queryTableFieldId="3"/>
    <tableColumn id="4" xr3:uid="{C42CB4B6-7F17-4F97-8A2C-DCD1EBDEB397}" uniqueName="4" name="measuretype_id" queryTableFieldId="4"/>
    <tableColumn id="5" xr3:uid="{961EFB16-C4BD-4C55-9286-200B1386F7DE}" uniqueName="5" name="house_id" queryTableFieldId="5"/>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67A61E1-9A39-4DEB-85E3-43E2A5E859FE}" name="measurecategory" displayName="measurecategory" ref="A1:F4" tableType="queryTable" totalsRowShown="0">
  <autoFilter ref="A1:F4" xr:uid="{167A61E1-9A39-4DEB-85E3-43E2A5E859FE}"/>
  <tableColumns count="6">
    <tableColumn id="1" xr3:uid="{80A97B36-A2C8-46EC-A72B-B2D0D69857E4}" uniqueName="1" name="id" queryTableFieldId="1"/>
    <tableColumn id="2" xr3:uid="{39D43C12-4E50-43FE-86B2-334B928EC4F4}" uniqueName="2" name="name" queryTableFieldId="2" dataDxfId="33"/>
    <tableColumn id="3" xr3:uid="{F0816F5E-8A62-42C4-8B7F-2BF1264C561A}" uniqueName="3" name="description" queryTableFieldId="3" dataDxfId="32"/>
    <tableColumn id="4" xr3:uid="{027F67FC-147D-4955-89C0-B4CBE9AF6BFB}" uniqueName="4" name="explanation" queryTableFieldId="4" dataDxfId="31"/>
    <tableColumn id="5" xr3:uid="{B0226298-BA5A-4B77-A92D-5780D1114446}" uniqueName="5" name="scenario_id" queryTableFieldId="5"/>
    <tableColumn id="6" xr3:uid="{7331EE0F-12C7-4C9D-8600-B2B5588A6483}" uniqueName="6" name="sequence_nr" queryTableFieldId="6"/>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C0655-ACB2-49D9-A581-EC191EDA3DDD}" name="measuretype" displayName="measuretype" ref="A1:S10" tableType="queryTable" totalsRowShown="0">
  <autoFilter ref="A1:S10" xr:uid="{760C0655-ACB2-49D9-A581-EC191EDA3DDD}"/>
  <tableColumns count="19">
    <tableColumn id="1" xr3:uid="{1DD2F8C4-DC21-449D-A793-D3814AB5423C}" uniqueName="1" name="id" queryTableFieldId="1"/>
    <tableColumn id="2" xr3:uid="{FFEC93B2-C654-48C7-8C42-2D0F5A5EF314}" uniqueName="2" name="short_alias" queryTableFieldId="2" dataDxfId="30"/>
    <tableColumn id="3" xr3:uid="{3E930AAC-B9F6-40D3-8CCE-E8E2C0703444}" uniqueName="3" name="name" queryTableFieldId="3" dataDxfId="29"/>
    <tableColumn id="4" xr3:uid="{D16A1A62-6251-48C5-8CD9-7E5DBD318BA2}" uniqueName="4" name="description" queryTableFieldId="4" dataDxfId="28"/>
    <tableColumn id="5" xr3:uid="{9083A4A1-BEDC-4C2E-AD1F-7455DB28C102}" uniqueName="5" name="cost_absolute" queryTableFieldId="5"/>
    <tableColumn id="6" xr3:uid="{F769DC41-5C56-440E-9C3D-2048C0CE9638}" uniqueName="6" name="cost_percentage_income" queryTableFieldId="6"/>
    <tableColumn id="7" xr3:uid="{E619FBAA-221D-4EE0-9168-EDD8D7BC50A7}" uniqueName="7" name="cost_percentage_house" queryTableFieldId="7"/>
    <tableColumn id="8" xr3:uid="{C58552D4-F535-4208-8412-70EA89CF4069}" uniqueName="8" name="satisfaction_delta_once" queryTableFieldId="8"/>
    <tableColumn id="9" xr3:uid="{1ECB832A-D5E6-4AF6-AA94-585F1F2491DE}" uniqueName="9" name="satisfaction_delta_permanent" queryTableFieldId="9"/>
    <tableColumn id="10" xr3:uid="{844F85B1-ED68-4308-98AA-C9DCED45ACF0}" uniqueName="10" name="pluvial_protection_delta" queryTableFieldId="10"/>
    <tableColumn id="11" xr3:uid="{501AF166-66C3-4FD0-9F64-B545CD34CF48}" uniqueName="11" name="fluvial_protection_delta" queryTableFieldId="11"/>
    <tableColumn id="12" xr3:uid="{FB469C39-AF8F-4E65-9372-7D6DD652499F}" uniqueName="12" name="house_value_delta_abs" queryTableFieldId="12"/>
    <tableColumn id="13" xr3:uid="{AD4B99AE-47C5-4300-8B72-F062ADC0E1ED}" uniqueName="13" name="house_value_delta_perc" queryTableFieldId="13"/>
    <tableColumn id="14" xr3:uid="{84FF7500-A948-4858-B25A-1CF6349C6B96}" uniqueName="14" name="valid_one_round" queryTableFieldId="14"/>
    <tableColumn id="15" xr3:uid="{FE3C3D11-5727-445B-9F27-FACF9D24C9B6}" uniqueName="15" name="valid_until_used" queryTableFieldId="15"/>
    <tableColumn id="16" xr3:uid="{D0C31C66-74D7-4367-925F-4D5D61C97107}" uniqueName="16" name="house_measure" queryTableFieldId="16"/>
    <tableColumn id="17" xr3:uid="{27C7DB59-7B09-4D78-B3EE-19048C1BA737}" uniqueName="17" name="measurecategory_id" queryTableFieldId="17"/>
    <tableColumn id="18" xr3:uid="{5E6585FB-6FBC-47C8-8F67-776ACA70ABF7}" uniqueName="18" name="category_sequence_nr" queryTableFieldId="18"/>
    <tableColumn id="19" xr3:uid="{4D04E2D1-6FFD-47FA-A869-4B55DDEBE538}" uniqueName="19" name="priority" queryTableFieldId="19"/>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841C0FE-1524-43D0-BF17-598C50A6C6D5}" name="movingreason" displayName="movingreason" ref="A1:F7" tableType="queryTable" totalsRowShown="0">
  <autoFilter ref="A1:F7" xr:uid="{4841C0FE-1524-43D0-BF17-598C50A6C6D5}"/>
  <tableColumns count="6">
    <tableColumn id="1" xr3:uid="{563293CD-85F7-4423-83F9-1FA7F06083BA}" uniqueName="1" name="id" queryTableFieldId="1"/>
    <tableColumn id="2" xr3:uid="{6791A0BA-5936-430C-98F0-FF716842D933}" uniqueName="2" name="sequence_number" queryTableFieldId="2"/>
    <tableColumn id="3" xr3:uid="{E61AD59E-A4A2-49E0-80CC-6AC2507A0CFD}" uniqueName="3" name="key" queryTableFieldId="3" dataDxfId="27"/>
    <tableColumn id="4" xr3:uid="{E0F0C1D2-C0A0-46AE-8948-124D41FA7640}" uniqueName="4" name="reason_text" queryTableFieldId="4" dataDxfId="26"/>
    <tableColumn id="5" xr3:uid="{8AAF5DBD-85F5-4F3E-99BC-A1CAB963BB2D}" uniqueName="5" name="is_other" queryTableFieldId="5"/>
    <tableColumn id="6" xr3:uid="{34BF62C9-7DFC-49A5-9851-23B6A7328893}" uniqueName="6" name="gameversion_id" queryTableFieldId="6"/>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D6F42F1-4564-4953-B2F7-7AC7D27B5ADA}" name="newseffects" displayName="newseffects" ref="A1:O3" tableType="queryTable" totalsRowShown="0">
  <autoFilter ref="A1:O3" xr:uid="{0D6F42F1-4564-4953-B2F7-7AC7D27B5ADA}"/>
  <tableColumns count="15">
    <tableColumn id="1" xr3:uid="{9CBB6269-5405-409E-A1E6-2D5E7F502FAB}" uniqueName="1" name="id" queryTableFieldId="1"/>
    <tableColumn id="2" xr3:uid="{3D718487-2F00-424E-B913-CFC4DF8ACED1}" uniqueName="2" name="name" queryTableFieldId="2" dataDxfId="25"/>
    <tableColumn id="3" xr3:uid="{3BA952D3-1D64-4F78-871F-6823D3F8FC52}" uniqueName="3" name="house_discount_round1" queryTableFieldId="3"/>
    <tableColumn id="4" xr3:uid="{70D7BC67-6327-4467-81C0-D2CC09B0D464}" uniqueName="4" name="house_discount_round2" queryTableFieldId="4"/>
    <tableColumn id="5" xr3:uid="{72A4F56C-A0D3-4D89-80C6-EDD1717F405F}" uniqueName="5" name="house_discount_round3" queryTableFieldId="5"/>
    <tableColumn id="6" xr3:uid="{A5C5675F-79AB-4433-ABC9-735616F6F9C4}" uniqueName="6" name="house_discount_effect_pluvial" queryTableFieldId="6"/>
    <tableColumn id="7" xr3:uid="{04552F38-C047-4035-8365-EC41FC9DF277}" uniqueName="7" name="house_discount_effect_fluvial" queryTableFieldId="7"/>
    <tableColumn id="8" xr3:uid="{F46DE140-A1F3-4788-A4BA-72739B109B7D}" uniqueName="8" name="house_discount_community" queryTableFieldId="8"/>
    <tableColumn id="9" xr3:uid="{AC556FB9-A719-411E-B978-A5A8A69902D2}" uniqueName="9" name="pluvial_protection_change" queryTableFieldId="9"/>
    <tableColumn id="10" xr3:uid="{8586F241-AA84-438B-91E0-93105FF9FC59}" uniqueName="10" name="fluvial_protection_change" queryTableFieldId="10"/>
    <tableColumn id="11" xr3:uid="{5DF1B166-8851-4FEC-8138-15B0C358937F}" uniqueName="11" name="tax_change" queryTableFieldId="11"/>
    <tableColumn id="12" xr3:uid="{D6DABA42-00D3-43F5-BC7D-1423CD391094}" uniqueName="12" name="satisfaction_living_bonus" queryTableFieldId="12"/>
    <tableColumn id="13" xr3:uid="{F39A96B1-4198-47AE-9FFB-0ED91A5FFABA}" uniqueName="13" name="satisfaction_move_change" queryTableFieldId="13"/>
    <tableColumn id="14" xr3:uid="{89DD4D56-738D-4A0D-A103-8CAD691D928A}" uniqueName="14" name="newsitem_id" queryTableFieldId="14"/>
    <tableColumn id="15" xr3:uid="{5A8A2A0A-9E1E-44F5-9F63-82DC265F1ABD}" uniqueName="15" name="community_id" queryTableFieldId="15"/>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2694E10-CBA8-47C7-B988-5F3EA028B61C}" name="newsitem" displayName="newsitem" ref="A1:F6" tableType="queryTable" totalsRowShown="0">
  <autoFilter ref="A1:F6" xr:uid="{D2694E10-CBA8-47C7-B988-5F3EA028B61C}"/>
  <tableColumns count="6">
    <tableColumn id="1" xr3:uid="{B5541CFF-E1FA-4733-AB2F-F202DBD10D0F}" uniqueName="1" name="id" queryTableFieldId="1"/>
    <tableColumn id="2" xr3:uid="{AE3281D8-8046-4643-96AB-43C5D6C1ABC9}" uniqueName="2" name="name" queryTableFieldId="2" dataDxfId="24"/>
    <tableColumn id="3" xr3:uid="{8FE3DD37-A7F2-40F2-B8EF-EA9D065C2FC6}" uniqueName="3" name="summary" queryTableFieldId="3" dataDxfId="23"/>
    <tableColumn id="4" xr3:uid="{34F2BC10-60F3-43C2-9A5D-92C47C8628E4}" uniqueName="4" name="content" queryTableFieldId="4" dataDxfId="22"/>
    <tableColumn id="5" xr3:uid="{71FCDCC0-54DE-41B6-A9E7-047A513EEDB1}" uniqueName="5" name="round_number" queryTableFieldId="5"/>
    <tableColumn id="6" xr3:uid="{8F6C1CED-36E4-4B13-9193-B5EE204A19FA}" uniqueName="6" name="scenario_id" queryTableFieldId="6"/>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7BC8B98-F097-43C0-95ED-68FB29821144}" name="personalmeasure" displayName="personalmeasure" ref="A1:F185" tableType="queryTable" totalsRowShown="0">
  <autoFilter ref="A1:F185" xr:uid="{B7BC8B98-F097-43C0-95ED-68FB29821144}"/>
  <tableColumns count="6">
    <tableColumn id="1" xr3:uid="{B6A3664F-A0ED-42DD-B6DF-32B34205CA7E}" uniqueName="1" name="id" queryTableFieldId="1"/>
    <tableColumn id="2" xr3:uid="{2F78B4E9-146F-4017-B895-955518CE4EB5}" uniqueName="2" name="measuretype_id" queryTableFieldId="2"/>
    <tableColumn id="3" xr3:uid="{607A9162-8892-4315-8ECB-3B837EE8153D}" uniqueName="3" name="playerround_id" queryTableFieldId="3"/>
    <tableColumn id="4" xr3:uid="{9C964DE6-332A-41A1-B694-AB48F6938511}" uniqueName="4" name="Added playerround groupround_housegroup_code" queryTableFieldId="4"/>
    <tableColumn id="5" xr3:uid="{F774B717-E5F6-4A4D-9ADE-D19B08A8427C}" uniqueName="5" name="Added playerround housegroup_last_sold_price" queryTableFieldId="5"/>
    <tableColumn id="6" xr3:uid="{B1154E9A-2446-48E2-B3AE-D04E593D2AD6}" uniqueName="6" name="Added playerround_roundincome" queryTableFieldId="6"/>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D12A63E-199A-443E-8352-4419A286358F}" name="housemeasure" displayName="housemeasure" ref="A1:E158" tableType="queryTable" totalsRowShown="0">
  <autoFilter ref="A1:E158" xr:uid="{9D12A63E-199A-443E-8352-4419A286358F}"/>
  <tableColumns count="5">
    <tableColumn id="1" xr3:uid="{D5744F6D-D4F6-4537-980C-60146E754958}" uniqueName="1" name="id" queryTableFieldId="1"/>
    <tableColumn id="2" xr3:uid="{E8921572-90EE-43CC-A268-C37E4590F09D}" uniqueName="2" name="bought_in_round" queryTableFieldId="2"/>
    <tableColumn id="3" xr3:uid="{6A6E9D9E-401A-46AD-A8F4-46DF5C31445D}" uniqueName="3" name="measuretype_id" queryTableFieldId="3"/>
    <tableColumn id="4" xr3:uid="{D593E29A-4EFC-4453-8C1E-804849EF7878}" uniqueName="4" name="housegroup_id" queryTableFieldId="4"/>
    <tableColumn id="5" xr3:uid="{F03EC706-210C-4853-8EFC-92EB7D9F471C}" uniqueName="5" name="used_in_round" queryTableFieldId="5"/>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76137DC-9412-4131-9868-F82E4F2E3F50}" name="player" displayName="player" ref="A1:E65" tableType="queryTable" totalsRowShown="0">
  <autoFilter ref="A1:E65" xr:uid="{E76137DC-9412-4131-9868-F82E4F2E3F50}"/>
  <tableColumns count="5">
    <tableColumn id="1" xr3:uid="{B8A82BD7-19D1-4395-8FC6-1EE4D635D224}" uniqueName="1" name="id" queryTableFieldId="1"/>
    <tableColumn id="2" xr3:uid="{12B8D000-725A-4256-9FF5-DA1850E45743}" uniqueName="2" name="code" queryTableFieldId="2" dataDxfId="21"/>
    <tableColumn id="3" xr3:uid="{5E2176B1-75F1-4812-940A-334EC0DF81C2}" uniqueName="3" name="user_id" queryTableFieldId="3" dataDxfId="20"/>
    <tableColumn id="4" xr3:uid="{84C84F4A-E7EB-4988-84E1-E8F0DF04DD95}" uniqueName="4" name="group_id" queryTableFieldId="4"/>
    <tableColumn id="5" xr3:uid="{309E3CC5-AD2E-4E5E-AFBB-85210B32E7DD}" uniqueName="5" name="welfaretype_id" queryTableFieldId="5"/>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2D8B2AB-D9A5-4C79-97FB-100DDF62510C}" name="playerround" displayName="playerround" ref="A1:AV121" tableType="queryTable" totalsRowShown="0">
  <autoFilter ref="A1:AV121" xr:uid="{52D8B2AB-D9A5-4C79-97FB-100DDF62510C}"/>
  <tableColumns count="48">
    <tableColumn id="1" xr3:uid="{4D431E71-9442-44C9-A0DE-04B47C6CF303}" uniqueName="1" name="id" queryTableFieldId="1"/>
    <tableColumn id="2" xr3:uid="{B4F2231E-5215-4954-A3CD-C31E560E6405}" uniqueName="2" name="create_time" queryTableFieldId="2" dataDxfId="19"/>
    <tableColumn id="3" xr3:uid="{384BB65C-8F4E-4858-A157-518441629F2E}" uniqueName="3" name="round_income" queryTableFieldId="3"/>
    <tableColumn id="4" xr3:uid="{95B92CDE-2C7F-4B57-B957-18EC92984ABE}" uniqueName="4" name="living_costs" queryTableFieldId="4"/>
    <tableColumn id="5" xr3:uid="{CE9D0DE9-AC21-4FCF-A37F-585398E9E342}" uniqueName="5" name="paid_debt" queryTableFieldId="5"/>
    <tableColumn id="6" xr3:uid="{80050948-0236-48DB-8377-89BDF8751241}" uniqueName="6" name="mortgage_payment" queryTableFieldId="6"/>
    <tableColumn id="7" xr3:uid="{BB08F99A-6FBD-4037-9E72-44A324C9B9B6}" uniqueName="7" name="profit_sold_house" queryTableFieldId="7"/>
    <tableColumn id="8" xr3:uid="{3DDED6AB-B52F-4971-9E6C-C72007C0C783}" uniqueName="8" name="spent_savings_for_buying_house" queryTableFieldId="8"/>
    <tableColumn id="9" xr3:uid="{EB3EE4E7-722F-45F4-93E0-D814ED71D9D7}" uniqueName="9" name="cost_taxes" queryTableFieldId="9"/>
    <tableColumn id="10" xr3:uid="{8BA81B11-2E09-4F3A-8164-4906D5C3BCB6}" uniqueName="10" name="cost_house_measures_bought" queryTableFieldId="10"/>
    <tableColumn id="11" xr3:uid="{8E799BF0-6860-485C-B7A0-6567047C6AEC}" uniqueName="11" name="cost_personal_measures_bought" queryTableFieldId="11"/>
    <tableColumn id="12" xr3:uid="{7EBEC7D3-CF21-4968-ACF1-F48A9A4DB1EC}" uniqueName="12" name="cost_fluvial_damage" queryTableFieldId="12"/>
    <tableColumn id="13" xr3:uid="{5D9898BA-CCDA-47C8-92CC-BB7B2A5B1165}" uniqueName="13" name="cost_pluvial_damage" queryTableFieldId="13"/>
    <tableColumn id="14" xr3:uid="{B3DAD1C7-8F15-4941-B8FD-318FC041E7C7}" uniqueName="14" name="spendable_income" queryTableFieldId="14"/>
    <tableColumn id="15" xr3:uid="{A0BEB466-8BC7-40BA-9F49-74F93AF22F7F}" uniqueName="15" name="satisfaction_move_penalty" queryTableFieldId="15"/>
    <tableColumn id="16" xr3:uid="{408C3719-95CC-41A5-9E8B-5D30D60F777A}" uniqueName="16" name="satisfaction_house_rating_delta" queryTableFieldId="16"/>
    <tableColumn id="17" xr3:uid="{0E2F984A-33F9-4FEA-9766-6F549CD76132}" uniqueName="17" name="satisfaction_house_measures" queryTableFieldId="17"/>
    <tableColumn id="18" xr3:uid="{36240C1C-BBE5-413C-9DC1-682593AE2A80}" uniqueName="18" name="satisfaction_personal_measures" queryTableFieldId="18"/>
    <tableColumn id="19" xr3:uid="{7DF70854-0E4F-4EC3-99DE-CF179D32926C}" uniqueName="19" name="satisfaction_fluvial_penalty" queryTableFieldId="19"/>
    <tableColumn id="20" xr3:uid="{5BD0F7E2-DF08-432F-842A-873499D170D4}" uniqueName="20" name="satisfaction_pluvial_penalty" queryTableFieldId="20"/>
    <tableColumn id="21" xr3:uid="{8602DBF7-295F-4C7C-8CF5-6AE9DF995A7B}" uniqueName="21" name="satisfaction_debt_penalty" queryTableFieldId="21"/>
    <tableColumn id="22" xr3:uid="{BC5BE2EA-B1C0-46D7-9877-EBC23FB8F5B7}" uniqueName="22" name="satisfaction_total" queryTableFieldId="22"/>
    <tableColumn id="23" xr3:uid="{D33781AA-DA92-4966-A913-34BCFDE83CFC}" uniqueName="23" name="preferred_house_rating" queryTableFieldId="23"/>
    <tableColumn id="24" xr3:uid="{B5EFD53C-13E9-4C44-9A72-AA34EBAEEC71}" uniqueName="24" name="maximum_mortgage" queryTableFieldId="24"/>
    <tableColumn id="25" xr3:uid="{6DAB1846-B47A-44DA-991A-AB761B217D91}" uniqueName="25" name="mortgage_house_start" queryTableFieldId="25"/>
    <tableColumn id="26" xr3:uid="{483D11DC-1CD9-4B6B-BF04-A548B3D0CF5D}" uniqueName="26" name="mortgage_left_start" queryTableFieldId="26"/>
    <tableColumn id="27" xr3:uid="{4EDD2246-510D-41FA-AC25-4C894C667DAD}" uniqueName="27" name="house_price_sold" queryTableFieldId="27"/>
    <tableColumn id="28" xr3:uid="{AC333344-B669-4384-92D6-38DC54AA8F51}" uniqueName="28" name="house_price_bought" queryTableFieldId="28"/>
    <tableColumn id="29" xr3:uid="{A45F2632-6F50-4EDA-844F-D30BAAD070D5}" uniqueName="29" name="mortgage_house_end" queryTableFieldId="29"/>
    <tableColumn id="30" xr3:uid="{EDE691EF-EBDB-406C-8BCF-3CC206E298FA}" uniqueName="30" name="mortgage_left_end" queryTableFieldId="30"/>
    <tableColumn id="31" xr3:uid="{8FB6B630-72EF-46EF-9DB6-A44A1CC78C22}" uniqueName="31" name="movingreason_id" queryTableFieldId="31"/>
    <tableColumn id="32" xr3:uid="{C29AE0A2-0DBC-4E75-B1C7-4DA0E63EEF23}" uniqueName="32" name="moving_reason_other" queryTableFieldId="32" dataDxfId="18"/>
    <tableColumn id="33" xr3:uid="{0D49B736-2B15-4737-BC0C-6061C61C6CA0}" uniqueName="33" name="pluvial_base_protection" queryTableFieldId="33"/>
    <tableColumn id="34" xr3:uid="{0DD987CE-820E-49E3-8110-67B4B9D475CF}" uniqueName="34" name="fluvial_base_protection" queryTableFieldId="34"/>
    <tableColumn id="35" xr3:uid="{E494CBCB-AC41-43B3-B872-927AFF2C4704}" uniqueName="35" name="pluvial_community_delta" queryTableFieldId="35"/>
    <tableColumn id="36" xr3:uid="{FE6812FC-610C-4B0F-AE23-D37A5D8B4EEF}" uniqueName="36" name="fluvial_community_delta" queryTableFieldId="36"/>
    <tableColumn id="37" xr3:uid="{5997D37D-4E35-476F-9521-F1873AFE5A13}" uniqueName="37" name="pluvial_house_delta" queryTableFieldId="37"/>
    <tableColumn id="38" xr3:uid="{63257974-CCBA-4830-9106-C23AC6520079}" uniqueName="38" name="fluvial_house_delta" queryTableFieldId="38"/>
    <tableColumn id="39" xr3:uid="{FFB3C2BC-53AB-4774-9F10-08643FC855A4}" uniqueName="39" name="player_state" queryTableFieldId="39" dataDxfId="17"/>
    <tableColumn id="40" xr3:uid="{C57BDAD0-7A7A-41FE-9765-84B3E9CBCBF4}" uniqueName="40" name="player_id" queryTableFieldId="40"/>
    <tableColumn id="41" xr3:uid="{0F209B89-CCEC-415B-BD4F-B9A1F637E2D3}" uniqueName="41" name="groupround_id" queryTableFieldId="41"/>
    <tableColumn id="42" xr3:uid="{12312B41-5E45-43CB-996E-BCFB643B5562}" uniqueName="42" name="start_housegroup_id" queryTableFieldId="42"/>
    <tableColumn id="43" xr3:uid="{9C93DD1D-3610-466F-95C0-BBB836E718A1}" uniqueName="43" name="final_housegroup_id" queryTableFieldId="43"/>
    <tableColumn id="44" xr3:uid="{3A63301A-94CF-465D-ADFB-72041B52DEFA}" uniqueName="44" name="active_transaction_id" queryTableFieldId="44" dataDxfId="16"/>
    <tableColumn id="45" xr3:uid="{EF360C6F-F810-4519-8E40-04402190744F}" uniqueName="45" name="Added_Player_Welfaretype" queryTableFieldId="45" dataDxfId="15">
      <calculatedColumnFormula>+VLOOKUP(playerround[[#This Row],[player_id]],player[],5,0)</calculatedColumnFormula>
    </tableColumn>
    <tableColumn id="46" xr3:uid="{56C4F57F-6C8A-4F5C-8A77-7B597558868C}" uniqueName="46" name="Added_groupround_roundnumber" queryTableFieldId="46" dataDxfId="14">
      <calculatedColumnFormula>+VLOOKUP(playerround[[#This Row],[groupround_id]],groupround[],6,FALSE)</calculatedColumnFormula>
    </tableColumn>
    <tableColumn id="47" xr3:uid="{C8785D21-8353-4B21-BD94-902A8E960AD1}" uniqueName="47" name="Added_Mortgage_Savingsspent" queryTableFieldId="47" dataDxfId="13">
      <calculatedColumnFormula>playerround[[#This Row],[mortgage_payment]]+playerround[[#This Row],[spent_savings_for_buying_house]]</calculatedColumnFormula>
    </tableColumn>
    <tableColumn id="48" xr3:uid="{94B0BFF7-88B3-403C-97DB-BFC5E8619425}" uniqueName="48" name="Added_Cost_RainRIverDamage" queryTableFieldId="48" dataDxfId="12">
      <calculatedColumnFormula>playerround[[#This Row],[cost_fluvial_damage]]+playerround[[#This Row],[cost_pluvial_damage]]</calculatedColumnFormula>
    </tableColumn>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5A2515C-E804-4AC2-A75A-CE77307B2A36}" name="playerstate" displayName="playerstate" ref="A1:E1090" tableType="queryTable" totalsRowShown="0">
  <autoFilter ref="A1:E1090" xr:uid="{85A2515C-E804-4AC2-A75A-CE77307B2A36}"/>
  <tableColumns count="5">
    <tableColumn id="1" xr3:uid="{4988778F-583F-44AC-B629-AE41D772A62B}" uniqueName="1" name="id" queryTableFieldId="1"/>
    <tableColumn id="2" xr3:uid="{EF621687-2932-4CDB-A06A-12F59939DBB2}" uniqueName="2" name="playerround_id" queryTableFieldId="2"/>
    <tableColumn id="3" xr3:uid="{C505F25D-DD37-43B4-BA30-F6BAD87F50C6}" uniqueName="3" name="timestamp" queryTableFieldId="3" dataDxfId="11"/>
    <tableColumn id="4" xr3:uid="{7576C4A9-B125-48BA-A074-4F15915F5F4C}" uniqueName="4" name="player_state" queryTableFieldId="4" dataDxfId="10"/>
    <tableColumn id="5" xr3:uid="{6C00C74D-2411-41AC-B7D5-B626D3C5206C}" uniqueName="5" name="content" queryTableFieldId="5" dataDxfId="9"/>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01ECC97-1DF2-45B6-86C3-911F6E91D30F}" name="questionitem" displayName="questionitem" ref="A1:D11" tableType="queryTable" totalsRowShown="0">
  <autoFilter ref="A1:D11" xr:uid="{301ECC97-1DF2-45B6-86C3-911F6E91D30F}"/>
  <tableColumns count="4">
    <tableColumn id="1" xr3:uid="{0D6EF0A8-D632-4D6F-9815-ABAF74F3A0A9}" uniqueName="1" name="id" queryTableFieldId="1"/>
    <tableColumn id="2" xr3:uid="{FE4F376C-3A03-4E0B-94E0-4966EF143BED}" uniqueName="2" name="code" queryTableFieldId="2"/>
    <tableColumn id="3" xr3:uid="{DFE00C37-8EE2-4CD5-AA3A-CEB4D5CD7F79}" uniqueName="3" name="name" queryTableFieldId="3" dataDxfId="8"/>
    <tableColumn id="4" xr3:uid="{2EA067DF-F272-4D47-9354-07C738F1512F}" uniqueName="4" name="question_id" queryTableFieldId="4"/>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06DD8A4-633B-4E6B-917F-955AFA9DB4BB}" name="question" displayName="question" ref="A1:I3" tableType="queryTable" totalsRowShown="0">
  <autoFilter ref="A1:I3" xr:uid="{106DD8A4-633B-4E6B-917F-955AFA9DB4BB}"/>
  <tableColumns count="9">
    <tableColumn id="1" xr3:uid="{D75AF77F-204C-453C-B8EE-8835F0FB5872}" uniqueName="1" name="id" queryTableFieldId="1"/>
    <tableColumn id="2" xr3:uid="{9C187A8B-E433-44D5-A543-03FD44CE250E}" uniqueName="2" name="type" queryTableFieldId="2" dataDxfId="7"/>
    <tableColumn id="3" xr3:uid="{A7F3C0B3-D3D4-4848-9187-11E13E6A57AB}" uniqueName="3" name="question_number" queryTableFieldId="3"/>
    <tableColumn id="4" xr3:uid="{B37F1434-D500-4D7A-A769-16F8012E1DD2}" uniqueName="4" name="name" queryTableFieldId="4" dataDxfId="6"/>
    <tableColumn id="5" xr3:uid="{73FE72C9-F2BF-4C37-887B-A1545873B5C3}" uniqueName="5" name="description" queryTableFieldId="5" dataDxfId="5"/>
    <tableColumn id="6" xr3:uid="{E327C508-7219-4F1E-9397-574DF3B92DCD}" uniqueName="6" name="min_value" queryTableFieldId="6"/>
    <tableColumn id="7" xr3:uid="{E2519010-0C54-4DB3-9659-C1325A0E299B}" uniqueName="7" name="max_value" queryTableFieldId="7"/>
    <tableColumn id="8" xr3:uid="{09FA2ACA-1506-469B-9D0E-87A07E659E8D}" uniqueName="8" name="max_length" queryTableFieldId="8"/>
    <tableColumn id="9" xr3:uid="{B3DBF472-732F-4BC6-B228-723653D2ABA5}" uniqueName="9" name="scenario_id" queryTableFieldId="9"/>
  </tableColumns>
  <tableStyleInfo name="TableStyleMedium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3FB1F44-A611-4EE2-A63D-611B2EFE5BBA}" name="questionscore" displayName="questionscore" ref="A1:E193" tableType="queryTable" totalsRowShown="0">
  <autoFilter ref="A1:E193" xr:uid="{83FB1F44-A611-4EE2-A63D-611B2EFE5BBA}"/>
  <tableColumns count="5">
    <tableColumn id="1" xr3:uid="{215A18FB-605D-42D1-9395-9D393EB18424}" uniqueName="1" name="id" queryTableFieldId="1"/>
    <tableColumn id="2" xr3:uid="{C452E1D9-81A8-45C1-9685-7E845027A09C}" uniqueName="2" name="answer" queryTableFieldId="2"/>
    <tableColumn id="3" xr3:uid="{95F97898-EB13-47FB-B7C5-7BD3F76D3B92}" uniqueName="3" name="late_answer" queryTableFieldId="3"/>
    <tableColumn id="4" xr3:uid="{EAFEE49A-2BA2-4684-AAF7-66A8EEF54334}" uniqueName="4" name="playerround_id" queryTableFieldId="4"/>
    <tableColumn id="5" xr3:uid="{9DC84845-2A99-41D2-8E16-A3A7054BCE10}" uniqueName="5" name="question_id" queryTableFieldId="5"/>
  </tableColumns>
  <tableStyleInfo name="TableStyleMedium7"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1C912DB-30D0-4D1B-BCE9-83A72ECED9F0}" name="scenario" displayName="scenario" ref="A1:I2" tableType="queryTable" totalsRowShown="0">
  <autoFilter ref="A1:I2" xr:uid="{91C912DB-30D0-4D1B-BCE9-83A72ECED9F0}"/>
  <tableColumns count="9">
    <tableColumn id="1" xr3:uid="{3EFD729E-79A5-4005-90D2-DA6097BB2470}" uniqueName="1" name="id" queryTableFieldId="1"/>
    <tableColumn id="2" xr3:uid="{7E4C5316-4D3F-40CA-9D29-BA8E35800712}" uniqueName="2" name="name" queryTableFieldId="2" dataDxfId="4"/>
    <tableColumn id="3" xr3:uid="{8F75A768-C80D-4ECD-80D9-3EA99ACD840F}" uniqueName="3" name="information_amount" queryTableFieldId="3"/>
    <tableColumn id="4" xr3:uid="{E973992F-12B9-4919-834F-FC8AF9D922EF}" uniqueName="4" name="minimum_players" queryTableFieldId="4"/>
    <tableColumn id="5" xr3:uid="{D634EA8F-4837-48F4-96D0-8B9CD07159A9}" uniqueName="5" name="maximum_players" queryTableFieldId="5"/>
    <tableColumn id="6" xr3:uid="{D09C0539-0664-45E3-B175-7062CBFB3643}" uniqueName="6" name="highest_round_number" queryTableFieldId="6"/>
    <tableColumn id="7" xr3:uid="{72F8C73A-1823-43C9-94EC-EE9756DDCAA5}" uniqueName="7" name="scenarioparameters_id" queryTableFieldId="7"/>
    <tableColumn id="8" xr3:uid="{39BAE925-6C30-43B7-BBD8-6BA8EE442B86}" uniqueName="8" name="gameversion_id" queryTableFieldId="8"/>
    <tableColumn id="9" xr3:uid="{A1293F6D-EF4F-4155-9E62-E4469AEA8A88}" uniqueName="9" name="description" queryTableFieldId="9" dataDxfId="3"/>
  </tableColumns>
  <tableStyleInfo name="TableStyleMedium7"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4541C87-F305-4A5E-9A40-54D16805FEED}" name="scenarioparameters" displayName="scenarioparameters" ref="A1:Y2" tableType="queryTable" totalsRowShown="0">
  <autoFilter ref="A1:Y2" xr:uid="{24541C87-F305-4A5E-9A40-54D16805FEED}"/>
  <tableColumns count="25">
    <tableColumn id="1" xr3:uid="{B0FC29D3-62BD-405A-9E05-0120ECFCD4F0}" uniqueName="1" name="id" queryTableFieldId="1"/>
    <tableColumn id="2" xr3:uid="{C27FA9EC-1FAE-4D00-AA06-530E5DCDE82E}" uniqueName="2" name="name" queryTableFieldId="2" dataDxfId="2"/>
    <tableColumn id="3" xr3:uid="{3442DBFD-0AA3-41BB-8C03-6239C203B172}" uniqueName="3" name="pluvial_repair_costs_per_damage_point" queryTableFieldId="3"/>
    <tableColumn id="4" xr3:uid="{ADF8694B-80BC-42EF-8930-C0916838E00A}" uniqueName="4" name="fluvial_repair_costs_per_damage_point" queryTableFieldId="4"/>
    <tableColumn id="5" xr3:uid="{9F35F6F7-233F-49AB-B728-4C34E993D548}" uniqueName="5" name="pluvial_satisfaction_penalty_if_area_flooded" queryTableFieldId="5"/>
    <tableColumn id="6" xr3:uid="{12EE490D-AE82-448D-AE3D-7A66558C0232}" uniqueName="6" name="pluvial_repair_costs_fixed" queryTableFieldId="6"/>
    <tableColumn id="7" xr3:uid="{A2906E0D-5C84-4039-8562-4AA8C963DC96}" uniqueName="7" name="fluvial_repair_costs_fixed" queryTableFieldId="7"/>
    <tableColumn id="8" xr3:uid="{F9EEBBEA-89DF-48F9-A5BA-7E2669F1C9D1}" uniqueName="8" name="fluvial_satisfaction_penalty_if_area_flooded" queryTableFieldId="8"/>
    <tableColumn id="9" xr3:uid="{DB428805-A0F4-4E02-BDA6-1072499ABA48}" uniqueName="9" name="pluvial_satisfaction_penalty_house_flooded_fixed" queryTableFieldId="9"/>
    <tableColumn id="10" xr3:uid="{8A730C15-B4EB-4839-BB68-F7B08AAB12C0}" uniqueName="10" name="fluvial_satisfaction_penalty_house_flooded_fixed" queryTableFieldId="10"/>
    <tableColumn id="11" xr3:uid="{16CF5B9B-6C21-45EE-91E5-CD354AA60781}" uniqueName="11" name="pluvial_satisfaction_penalty_per_damage_point" queryTableFieldId="11"/>
    <tableColumn id="12" xr3:uid="{48139079-857B-43DD-84D5-5743D5111088}" uniqueName="12" name="fluvial_satisfaction_penalty_per_damage_point" queryTableFieldId="12"/>
    <tableColumn id="13" xr3:uid="{E6A58C49-59BD-4AFC-9ABB-C7F13EB9D66F}" uniqueName="13" name="satisfaction_debt_penalty" queryTableFieldId="13"/>
    <tableColumn id="14" xr3:uid="{93A6F527-E531-45C5-AECD-1A2FD3B6DE05}" uniqueName="14" name="satisfaction_house_rating_too_low_fixed" queryTableFieldId="14"/>
    <tableColumn id="15" xr3:uid="{37A651C1-70B7-440C-95DF-BFA39DF78158}" uniqueName="15" name="satisfaction_house_rating_too_low_per_delta" queryTableFieldId="15"/>
    <tableColumn id="16" xr3:uid="{3CFBB8EB-B69A-4D86-9994-2CB6931591AF}" uniqueName="16" name="satisfaction_house_rating_per_round" queryTableFieldId="16"/>
    <tableColumn id="17" xr3:uid="{923B93D9-E6C6-42D6-BC48-022A8C23C53A}" uniqueName="17" name="satisfaction_move_penalty" queryTableFieldId="17"/>
    <tableColumn id="18" xr3:uid="{ED26720B-E10F-4945-9F85-E8254431A508}" uniqueName="18" name="mortgage_percentage" queryTableFieldId="18"/>
    <tableColumn id="19" xr3:uid="{B10425A7-7D57-4E00-8C80-C0444E03E73A}" uniqueName="19" name="allow_personal_satisfaction_neg" queryTableFieldId="19"/>
    <tableColumn id="20" xr3:uid="{7EC017BE-52A6-48DB-A248-44C13B749860}" uniqueName="20" name="allow_house_satisfaction_neg" queryTableFieldId="20"/>
    <tableColumn id="21" xr3:uid="{77D1DE83-197B-454C-BA05-6527A79B75DA}" uniqueName="21" name="allow_total_satisfaction_neg" queryTableFieldId="21"/>
    <tableColumn id="22" xr3:uid="{2E342DAC-4CD6-4F13-AF32-C0C59B2E2616}" uniqueName="22" name="highest_pluvial_score" queryTableFieldId="22"/>
    <tableColumn id="23" xr3:uid="{0C1364B2-EF12-4C40-B0B2-1B92C12C1C37}" uniqueName="23" name="highest_fluvial_score" queryTableFieldId="23"/>
    <tableColumn id="24" xr3:uid="{358AC4F7-7C08-4982-966B-E0106BA69C8A}" uniqueName="24" name="news_discount_in_euros" queryTableFieldId="24"/>
    <tableColumn id="25" xr3:uid="{37AE07A5-4123-4451-AA82-638F00B17B59}" uniqueName="25" name="default_language_id" queryTableFieldId="25"/>
  </tableColumns>
  <tableStyleInfo name="TableStyleMedium7"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814BAC-6BCE-45F7-8F61-F688C62494E7}" name="tax" displayName="tax" ref="A1:F10" tableType="queryTable" totalsRowShown="0">
  <autoFilter ref="A1:F10" xr:uid="{58814BAC-6BCE-45F7-8F61-F688C62494E7}"/>
  <tableColumns count="6">
    <tableColumn id="1" xr3:uid="{5DDCEDB2-065C-4100-ACAC-8C4A2549D517}" uniqueName="1" name="id" queryTableFieldId="1"/>
    <tableColumn id="2" xr3:uid="{D657396D-1EC9-4C6F-BAD7-16D80B6D7B41}" uniqueName="2" name="name" queryTableFieldId="2" dataDxfId="1"/>
    <tableColumn id="3" xr3:uid="{7ED7A89E-7ED6-49D9-8174-8A5D5292D56C}" uniqueName="3" name="minimum_inhabitants" queryTableFieldId="3"/>
    <tableColumn id="4" xr3:uid="{30056A6A-A63E-4A83-9763-9C414F0BC205}" uniqueName="4" name="maximum_inhabitants" queryTableFieldId="4"/>
    <tableColumn id="5" xr3:uid="{1F1E85D9-5289-45B6-9332-4FC3A15AAF25}" uniqueName="5" name="tax_cost" queryTableFieldId="5"/>
    <tableColumn id="6" xr3:uid="{09F59EC2-2420-4DE1-83DC-436E0FC00677}" uniqueName="6" name="community_id" queryTableFieldId="6"/>
  </tableColumns>
  <tableStyleInfo name="TableStyleMedium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7C9878-7150-4400-833A-86DAE12B3A44}" name="welfaretype" displayName="welfaretype" ref="A1:J7" tableType="queryTable" totalsRowShown="0">
  <autoFilter ref="A1:J7" xr:uid="{717C9878-7150-4400-833A-86DAE12B3A44}"/>
  <tableColumns count="10">
    <tableColumn id="1" xr3:uid="{4FB6D48C-FC58-4ACA-883F-1DA57C4CC758}" uniqueName="1" name="id" queryTableFieldId="1"/>
    <tableColumn id="2" xr3:uid="{313E9C5B-DA41-4701-8C69-486B0EE8C358}" uniqueName="2" name="name" queryTableFieldId="2" dataDxfId="0"/>
    <tableColumn id="3" xr3:uid="{56EB84F8-9960-4E85-82AC-5A0252F577E2}" uniqueName="3" name="initial_satisfaction" queryTableFieldId="3"/>
    <tableColumn id="4" xr3:uid="{5C5D1E52-338F-44EE-A7CC-C37B0A1AE41F}" uniqueName="4" name="initial_money" queryTableFieldId="4"/>
    <tableColumn id="5" xr3:uid="{33050FA5-FB37-45F5-8461-5395DB9B63B2}" uniqueName="5" name="maximum_mortgage" queryTableFieldId="5"/>
    <tableColumn id="6" xr3:uid="{8CC05D6B-C467-48F5-85E3-FFD4F80E5EA5}" uniqueName="6" name="living_costs" queryTableFieldId="6"/>
    <tableColumn id="7" xr3:uid="{FBF7E684-D010-4B71-932D-0427DB7B4011}" uniqueName="7" name="round_income" queryTableFieldId="7"/>
    <tableColumn id="8" xr3:uid="{77A7478B-C0D7-43CD-8320-502D99A7A253}" uniqueName="8" name="satisfaction_cost_per_point" queryTableFieldId="8"/>
    <tableColumn id="9" xr3:uid="{B72C3FCB-0376-4E45-A51A-A5DBD3FDBD8D}" uniqueName="9" name="preferred_house_rating" queryTableFieldId="9"/>
    <tableColumn id="10" xr3:uid="{5D59A8E0-C096-4347-9F03-E94B36A4152A}" uniqueName="10" name="scenario_id" queryTableFieldId="10"/>
  </tableColumns>
  <tableStyleInfo name="TableStyleMedium7"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FAAEB-C89D-4B9F-BD88-6604C2ECEF7F}">
  <dimension ref="A1:F4"/>
  <sheetViews>
    <sheetView workbookViewId="0"/>
  </sheetViews>
  <sheetFormatPr defaultRowHeight="14.4" x14ac:dyDescent="0.3"/>
  <cols>
    <col min="1" max="1" width="4.88671875" bestFit="1" customWidth="1"/>
    <col min="2" max="2" width="11.109375" bestFit="1" customWidth="1"/>
    <col min="3" max="3" width="10.44140625" bestFit="1" customWidth="1"/>
    <col min="4" max="4" width="17.88671875" bestFit="1" customWidth="1"/>
    <col min="5" max="5" width="18.44140625" bestFit="1" customWidth="1"/>
    <col min="6" max="6" width="16.33203125" bestFit="1" customWidth="1"/>
  </cols>
  <sheetData>
    <row r="1" spans="1:6" x14ac:dyDescent="0.3">
      <c r="A1" t="s">
        <v>0</v>
      </c>
      <c r="B1" t="s">
        <v>1</v>
      </c>
      <c r="C1" t="s">
        <v>473</v>
      </c>
      <c r="D1" t="s">
        <v>474</v>
      </c>
      <c r="E1" t="s">
        <v>475</v>
      </c>
      <c r="F1" t="s">
        <v>54</v>
      </c>
    </row>
    <row r="2" spans="1:6" x14ac:dyDescent="0.3">
      <c r="A2">
        <v>32</v>
      </c>
      <c r="B2" t="s">
        <v>476</v>
      </c>
      <c r="C2">
        <v>7</v>
      </c>
      <c r="D2">
        <v>9</v>
      </c>
      <c r="E2">
        <v>6</v>
      </c>
      <c r="F2">
        <v>13</v>
      </c>
    </row>
    <row r="3" spans="1:6" x14ac:dyDescent="0.3">
      <c r="A3">
        <v>33</v>
      </c>
      <c r="B3" t="s">
        <v>477</v>
      </c>
      <c r="C3">
        <v>10</v>
      </c>
      <c r="D3">
        <v>9</v>
      </c>
      <c r="E3">
        <v>4</v>
      </c>
      <c r="F3">
        <v>13</v>
      </c>
    </row>
    <row r="4" spans="1:6" x14ac:dyDescent="0.3">
      <c r="A4">
        <v>34</v>
      </c>
      <c r="B4" t="s">
        <v>478</v>
      </c>
      <c r="C4">
        <v>10</v>
      </c>
      <c r="D4">
        <v>6</v>
      </c>
      <c r="E4">
        <v>6</v>
      </c>
      <c r="F4">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50C3C-5559-4817-8A12-920F901E5FED}">
  <dimension ref="A1:D2"/>
  <sheetViews>
    <sheetView workbookViewId="0"/>
  </sheetViews>
  <sheetFormatPr defaultRowHeight="14.4" x14ac:dyDescent="0.3"/>
  <cols>
    <col min="1" max="1" width="4.88671875" bestFit="1" customWidth="1"/>
    <col min="2" max="2" width="25.77734375" bestFit="1" customWidth="1"/>
    <col min="3" max="3" width="17.77734375" bestFit="1" customWidth="1"/>
    <col min="4" max="4" width="80.88671875" bestFit="1" customWidth="1"/>
  </cols>
  <sheetData>
    <row r="1" spans="1:4" x14ac:dyDescent="0.3">
      <c r="A1" t="s">
        <v>0</v>
      </c>
      <c r="B1" t="s">
        <v>1</v>
      </c>
      <c r="C1" t="s">
        <v>470</v>
      </c>
      <c r="D1" t="s">
        <v>55</v>
      </c>
    </row>
    <row r="2" spans="1:4" x14ac:dyDescent="0.3">
      <c r="A2">
        <v>13</v>
      </c>
      <c r="B2" t="s">
        <v>471</v>
      </c>
      <c r="C2">
        <v>1</v>
      </c>
      <c r="D2" t="s">
        <v>472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38D8A-3E57-4E27-857D-C22A60665B05}">
  <dimension ref="A1:J2"/>
  <sheetViews>
    <sheetView workbookViewId="0"/>
  </sheetViews>
  <sheetFormatPr defaultRowHeight="14.4" x14ac:dyDescent="0.3"/>
  <cols>
    <col min="1" max="1" width="4.88671875" bestFit="1" customWidth="1"/>
    <col min="2" max="2" width="28.88671875" bestFit="1" customWidth="1"/>
    <col min="3" max="3" width="11.21875" bestFit="1" customWidth="1"/>
    <col min="4" max="4" width="10" bestFit="1" customWidth="1"/>
    <col min="5" max="5" width="14.33203125" bestFit="1" customWidth="1"/>
    <col min="6" max="6" width="7" bestFit="1" customWidth="1"/>
    <col min="7" max="7" width="11.77734375" bestFit="1" customWidth="1"/>
    <col min="8" max="8" width="11" bestFit="1" customWidth="1"/>
    <col min="9" max="9" width="16.33203125" bestFit="1" customWidth="1"/>
    <col min="10" max="10" width="12.77734375" bestFit="1" customWidth="1"/>
  </cols>
  <sheetData>
    <row r="1" spans="1:10" x14ac:dyDescent="0.3">
      <c r="A1" t="s">
        <v>0</v>
      </c>
      <c r="B1" t="s">
        <v>1</v>
      </c>
      <c r="C1" t="s">
        <v>452</v>
      </c>
      <c r="D1" t="s">
        <v>464</v>
      </c>
      <c r="E1" t="s">
        <v>119</v>
      </c>
      <c r="F1" t="s">
        <v>465</v>
      </c>
      <c r="G1" t="s">
        <v>466</v>
      </c>
      <c r="H1" t="s">
        <v>467</v>
      </c>
      <c r="I1" t="s">
        <v>54</v>
      </c>
      <c r="J1" t="s">
        <v>55</v>
      </c>
    </row>
    <row r="2" spans="1:10" x14ac:dyDescent="0.3">
      <c r="A2">
        <v>20</v>
      </c>
      <c r="B2" t="s">
        <v>468</v>
      </c>
      <c r="C2" t="s">
        <v>469</v>
      </c>
      <c r="D2" t="s">
        <v>57</v>
      </c>
      <c r="E2" s="1">
        <v>45929.486562500002</v>
      </c>
      <c r="F2" t="s">
        <v>57</v>
      </c>
      <c r="G2" t="s">
        <v>57</v>
      </c>
      <c r="H2" t="s">
        <v>57</v>
      </c>
      <c r="I2">
        <v>13</v>
      </c>
      <c r="J2" t="s">
        <v>57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EAF40-4540-4FD4-9C86-28A637AD3656}">
  <dimension ref="A1:G9"/>
  <sheetViews>
    <sheetView zoomScale="132" workbookViewId="0">
      <selection activeCell="G3" sqref="G3"/>
    </sheetView>
  </sheetViews>
  <sheetFormatPr defaultRowHeight="14.4" x14ac:dyDescent="0.3"/>
  <cols>
    <col min="1" max="1" width="4.88671875" bestFit="1" customWidth="1"/>
    <col min="2" max="2" width="7.88671875" bestFit="1" customWidth="1"/>
    <col min="3" max="3" width="11.21875" bestFit="1" customWidth="1"/>
    <col min="4" max="4" width="16.5546875" bestFit="1" customWidth="1"/>
    <col min="5" max="5" width="12.77734375" bestFit="1" customWidth="1"/>
    <col min="6" max="6" width="13.88671875" bestFit="1" customWidth="1"/>
    <col min="7" max="7" width="28.33203125" customWidth="1"/>
  </cols>
  <sheetData>
    <row r="1" spans="1:7" x14ac:dyDescent="0.3">
      <c r="A1" t="s">
        <v>0</v>
      </c>
      <c r="B1" t="s">
        <v>1</v>
      </c>
      <c r="C1" t="s">
        <v>452</v>
      </c>
      <c r="D1" t="s">
        <v>453</v>
      </c>
      <c r="E1" t="s">
        <v>9</v>
      </c>
      <c r="F1" t="s">
        <v>454</v>
      </c>
      <c r="G1" t="s">
        <v>479</v>
      </c>
    </row>
    <row r="2" spans="1:7" x14ac:dyDescent="0.3">
      <c r="A2">
        <v>97</v>
      </c>
      <c r="B2" t="s">
        <v>455</v>
      </c>
      <c r="C2" t="s">
        <v>456</v>
      </c>
      <c r="D2">
        <v>20</v>
      </c>
      <c r="E2">
        <v>22</v>
      </c>
      <c r="F2">
        <v>7</v>
      </c>
      <c r="G2" t="str">
        <f>+VLOOKUP(group[[#This Row],[gamesession_id]],gamesession[#All],2,0)</f>
        <v>251007_VerzekeraarsMasterClass</v>
      </c>
    </row>
    <row r="3" spans="1:7" x14ac:dyDescent="0.3">
      <c r="A3">
        <v>98</v>
      </c>
      <c r="B3" t="s">
        <v>457</v>
      </c>
      <c r="C3" t="s">
        <v>456</v>
      </c>
      <c r="D3">
        <v>20</v>
      </c>
      <c r="E3">
        <v>22</v>
      </c>
      <c r="F3">
        <v>8</v>
      </c>
      <c r="G3" t="str">
        <f>+VLOOKUP(group[[#This Row],[gamesession_id]],gamesession[#All],2,0)</f>
        <v>251007_VerzekeraarsMasterClass</v>
      </c>
    </row>
    <row r="4" spans="1:7" x14ac:dyDescent="0.3">
      <c r="A4">
        <v>99</v>
      </c>
      <c r="B4" t="s">
        <v>458</v>
      </c>
      <c r="C4" t="s">
        <v>456</v>
      </c>
      <c r="D4">
        <v>20</v>
      </c>
      <c r="E4">
        <v>22</v>
      </c>
      <c r="F4">
        <v>9</v>
      </c>
      <c r="G4" t="str">
        <f>+VLOOKUP(group[[#This Row],[gamesession_id]],gamesession[#All],2,0)</f>
        <v>251007_VerzekeraarsMasterClass</v>
      </c>
    </row>
    <row r="5" spans="1:7" x14ac:dyDescent="0.3">
      <c r="A5">
        <v>100</v>
      </c>
      <c r="B5" t="s">
        <v>459</v>
      </c>
      <c r="C5" t="s">
        <v>456</v>
      </c>
      <c r="D5">
        <v>20</v>
      </c>
      <c r="E5">
        <v>22</v>
      </c>
      <c r="F5">
        <v>10</v>
      </c>
      <c r="G5" t="str">
        <f>+VLOOKUP(group[[#This Row],[gamesession_id]],gamesession[#All],2,0)</f>
        <v>251007_VerzekeraarsMasterClass</v>
      </c>
    </row>
    <row r="6" spans="1:7" x14ac:dyDescent="0.3">
      <c r="A6">
        <v>101</v>
      </c>
      <c r="B6" t="s">
        <v>460</v>
      </c>
      <c r="C6" t="s">
        <v>456</v>
      </c>
      <c r="D6">
        <v>20</v>
      </c>
      <c r="E6">
        <v>22</v>
      </c>
      <c r="F6">
        <v>11</v>
      </c>
      <c r="G6" t="str">
        <f>+VLOOKUP(group[[#This Row],[gamesession_id]],gamesession[#All],2,0)</f>
        <v>251007_VerzekeraarsMasterClass</v>
      </c>
    </row>
    <row r="7" spans="1:7" x14ac:dyDescent="0.3">
      <c r="A7">
        <v>102</v>
      </c>
      <c r="B7" t="s">
        <v>461</v>
      </c>
      <c r="C7" t="s">
        <v>456</v>
      </c>
      <c r="D7">
        <v>20</v>
      </c>
      <c r="E7">
        <v>22</v>
      </c>
      <c r="F7">
        <v>13</v>
      </c>
      <c r="G7" t="str">
        <f>+VLOOKUP(group[[#This Row],[gamesession_id]],gamesession[#All],2,0)</f>
        <v>251007_VerzekeraarsMasterClass</v>
      </c>
    </row>
    <row r="8" spans="1:7" x14ac:dyDescent="0.3">
      <c r="A8">
        <v>103</v>
      </c>
      <c r="B8" t="s">
        <v>462</v>
      </c>
      <c r="C8" t="s">
        <v>456</v>
      </c>
      <c r="D8">
        <v>20</v>
      </c>
      <c r="E8">
        <v>22</v>
      </c>
      <c r="F8">
        <v>14</v>
      </c>
      <c r="G8" t="str">
        <f>+VLOOKUP(group[[#This Row],[gamesession_id]],gamesession[#All],2,0)</f>
        <v>251007_VerzekeraarsMasterClass</v>
      </c>
    </row>
    <row r="9" spans="1:7" x14ac:dyDescent="0.3">
      <c r="A9">
        <v>104</v>
      </c>
      <c r="B9" t="s">
        <v>463</v>
      </c>
      <c r="C9" t="s">
        <v>456</v>
      </c>
      <c r="D9">
        <v>20</v>
      </c>
      <c r="E9">
        <v>22</v>
      </c>
      <c r="F9">
        <v>15</v>
      </c>
      <c r="G9" t="str">
        <f>+VLOOKUP(group[[#This Row],[gamesession_id]],gamesession[#All],2,0)</f>
        <v>251007_VerzekeraarsMasterClass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88DD6-822C-4D6F-BF84-25346423FC52}">
  <dimension ref="A1:I21"/>
  <sheetViews>
    <sheetView workbookViewId="0">
      <selection activeCell="I3" sqref="I3"/>
    </sheetView>
  </sheetViews>
  <sheetFormatPr defaultRowHeight="14.4" x14ac:dyDescent="0.3"/>
  <cols>
    <col min="1" max="1" width="4.88671875" bestFit="1" customWidth="1"/>
    <col min="2" max="2" width="14.33203125" bestFit="1" customWidth="1"/>
    <col min="3" max="3" width="22.109375" bestFit="1" customWidth="1"/>
    <col min="4" max="4" width="21.5546875" bestFit="1" customWidth="1"/>
    <col min="5" max="5" width="15.5546875" bestFit="1" customWidth="1"/>
    <col min="6" max="6" width="15.33203125" bestFit="1" customWidth="1"/>
    <col min="7" max="7" width="10.33203125" bestFit="1" customWidth="1"/>
    <col min="8" max="8" width="19.77734375" bestFit="1" customWidth="1"/>
    <col min="9" max="9" width="31.109375" bestFit="1" customWidth="1"/>
  </cols>
  <sheetData>
    <row r="1" spans="1:9" x14ac:dyDescent="0.3">
      <c r="A1" t="s">
        <v>0</v>
      </c>
      <c r="B1" t="s">
        <v>83</v>
      </c>
      <c r="C1" t="s">
        <v>450</v>
      </c>
      <c r="D1" t="s">
        <v>451</v>
      </c>
      <c r="E1" t="s">
        <v>419</v>
      </c>
      <c r="F1" t="s">
        <v>227</v>
      </c>
      <c r="G1" t="s">
        <v>156</v>
      </c>
      <c r="H1" t="s">
        <v>480</v>
      </c>
      <c r="I1" t="s">
        <v>481</v>
      </c>
    </row>
    <row r="2" spans="1:9" x14ac:dyDescent="0.3">
      <c r="A2">
        <v>318</v>
      </c>
      <c r="B2" s="1">
        <v>45937.479733796295</v>
      </c>
      <c r="C2">
        <v>0</v>
      </c>
      <c r="D2">
        <v>0</v>
      </c>
      <c r="E2" t="s">
        <v>86</v>
      </c>
      <c r="F2">
        <v>0</v>
      </c>
      <c r="G2">
        <v>97</v>
      </c>
      <c r="H2" t="str">
        <f>+VLOOKUP(groupround[[#This Row],[group_id]],group[],2,0)</f>
        <v>Table1</v>
      </c>
      <c r="I2" t="str">
        <f>+VLOOKUP(groupround[[#This Row],[group_id]],group[],7,0)</f>
        <v>251007_VerzekeraarsMasterClass</v>
      </c>
    </row>
    <row r="3" spans="1:9" x14ac:dyDescent="0.3">
      <c r="A3">
        <v>325</v>
      </c>
      <c r="B3" s="1">
        <v>45937.598622685182</v>
      </c>
      <c r="C3">
        <v>6</v>
      </c>
      <c r="D3">
        <v>9</v>
      </c>
      <c r="E3" t="s">
        <v>431</v>
      </c>
      <c r="F3">
        <v>1</v>
      </c>
      <c r="G3">
        <v>97</v>
      </c>
      <c r="H3" t="str">
        <f>+VLOOKUP(groupround[[#This Row],[group_id]],group[],2,0)</f>
        <v>Table1</v>
      </c>
      <c r="I3" t="str">
        <f>+VLOOKUP(groupround[[#This Row],[group_id]],group[],7,0)</f>
        <v>251007_VerzekeraarsMasterClass</v>
      </c>
    </row>
    <row r="4" spans="1:9" x14ac:dyDescent="0.3">
      <c r="A4">
        <v>328</v>
      </c>
      <c r="B4" s="1">
        <v>45937.61341435185</v>
      </c>
      <c r="C4">
        <v>1</v>
      </c>
      <c r="D4">
        <v>6</v>
      </c>
      <c r="E4" t="s">
        <v>431</v>
      </c>
      <c r="F4">
        <v>2</v>
      </c>
      <c r="G4">
        <v>97</v>
      </c>
      <c r="H4" t="str">
        <f>+VLOOKUP(groupround[[#This Row],[group_id]],group[],2,0)</f>
        <v>Table1</v>
      </c>
      <c r="I4" t="str">
        <f>+VLOOKUP(groupround[[#This Row],[group_id]],group[],7,0)</f>
        <v>251007_VerzekeraarsMasterClass</v>
      </c>
    </row>
    <row r="5" spans="1:9" x14ac:dyDescent="0.3">
      <c r="A5">
        <v>332</v>
      </c>
      <c r="B5" s="1">
        <v>45937.618842592594</v>
      </c>
      <c r="C5">
        <v>1</v>
      </c>
      <c r="D5">
        <v>6</v>
      </c>
      <c r="E5" t="s">
        <v>431</v>
      </c>
      <c r="F5">
        <v>3</v>
      </c>
      <c r="G5">
        <v>97</v>
      </c>
      <c r="H5" t="str">
        <f>+VLOOKUP(groupround[[#This Row],[group_id]],group[],2,0)</f>
        <v>Table1</v>
      </c>
      <c r="I5" t="str">
        <f>+VLOOKUP(groupround[[#This Row],[group_id]],group[],7,0)</f>
        <v>251007_VerzekeraarsMasterClass</v>
      </c>
    </row>
    <row r="6" spans="1:9" x14ac:dyDescent="0.3">
      <c r="A6">
        <v>336</v>
      </c>
      <c r="B6" s="1">
        <v>45937.623831018522</v>
      </c>
      <c r="C6">
        <v>8</v>
      </c>
      <c r="D6">
        <v>6</v>
      </c>
      <c r="E6" t="s">
        <v>431</v>
      </c>
      <c r="F6">
        <v>4</v>
      </c>
      <c r="G6">
        <v>97</v>
      </c>
      <c r="H6" t="str">
        <f>+VLOOKUP(groupround[[#This Row],[group_id]],group[],2,0)</f>
        <v>Table1</v>
      </c>
      <c r="I6" t="str">
        <f>+VLOOKUP(groupround[[#This Row],[group_id]],group[],7,0)</f>
        <v>251007_VerzekeraarsMasterClass</v>
      </c>
    </row>
    <row r="7" spans="1:9" x14ac:dyDescent="0.3">
      <c r="A7">
        <v>321</v>
      </c>
      <c r="B7" s="1">
        <v>45937.577881944446</v>
      </c>
      <c r="C7">
        <v>0</v>
      </c>
      <c r="D7">
        <v>0</v>
      </c>
      <c r="E7" t="s">
        <v>86</v>
      </c>
      <c r="F7">
        <v>0</v>
      </c>
      <c r="G7">
        <v>98</v>
      </c>
      <c r="H7" t="str">
        <f>+VLOOKUP(groupround[[#This Row],[group_id]],group[],2,0)</f>
        <v>Table2</v>
      </c>
      <c r="I7" t="str">
        <f>+VLOOKUP(groupround[[#This Row],[group_id]],group[],7,0)</f>
        <v>251007_VerzekeraarsMasterClass</v>
      </c>
    </row>
    <row r="8" spans="1:9" x14ac:dyDescent="0.3">
      <c r="A8">
        <v>324</v>
      </c>
      <c r="B8" s="1">
        <v>45937.596851851849</v>
      </c>
      <c r="C8">
        <v>2</v>
      </c>
      <c r="D8">
        <v>2</v>
      </c>
      <c r="E8" t="s">
        <v>431</v>
      </c>
      <c r="F8">
        <v>1</v>
      </c>
      <c r="G8">
        <v>98</v>
      </c>
      <c r="H8" t="str">
        <f>+VLOOKUP(groupround[[#This Row],[group_id]],group[],2,0)</f>
        <v>Table2</v>
      </c>
      <c r="I8" t="str">
        <f>+VLOOKUP(groupround[[#This Row],[group_id]],group[],7,0)</f>
        <v>251007_VerzekeraarsMasterClass</v>
      </c>
    </row>
    <row r="9" spans="1:9" x14ac:dyDescent="0.3">
      <c r="A9">
        <v>329</v>
      </c>
      <c r="B9" s="1">
        <v>45937.61513888889</v>
      </c>
      <c r="C9">
        <v>10</v>
      </c>
      <c r="D9">
        <v>9</v>
      </c>
      <c r="E9" t="s">
        <v>431</v>
      </c>
      <c r="F9">
        <v>2</v>
      </c>
      <c r="G9">
        <v>98</v>
      </c>
      <c r="H9" t="str">
        <f>+VLOOKUP(groupround[[#This Row],[group_id]],group[],2,0)</f>
        <v>Table2</v>
      </c>
      <c r="I9" t="str">
        <f>+VLOOKUP(groupround[[#This Row],[group_id]],group[],7,0)</f>
        <v>251007_VerzekeraarsMasterClass</v>
      </c>
    </row>
    <row r="10" spans="1:9" x14ac:dyDescent="0.3">
      <c r="A10">
        <v>334</v>
      </c>
      <c r="B10" s="1">
        <v>45937.622858796298</v>
      </c>
      <c r="C10">
        <v>5</v>
      </c>
      <c r="D10">
        <v>3</v>
      </c>
      <c r="E10" t="s">
        <v>431</v>
      </c>
      <c r="F10">
        <v>3</v>
      </c>
      <c r="G10">
        <v>98</v>
      </c>
      <c r="H10" t="str">
        <f>+VLOOKUP(groupround[[#This Row],[group_id]],group[],2,0)</f>
        <v>Table2</v>
      </c>
      <c r="I10" t="str">
        <f>+VLOOKUP(groupround[[#This Row],[group_id]],group[],7,0)</f>
        <v>251007_VerzekeraarsMasterClass</v>
      </c>
    </row>
    <row r="11" spans="1:9" x14ac:dyDescent="0.3">
      <c r="A11">
        <v>337</v>
      </c>
      <c r="B11" s="1">
        <v>45937.627268518518</v>
      </c>
      <c r="C11">
        <v>5</v>
      </c>
      <c r="D11">
        <v>3</v>
      </c>
      <c r="E11" t="s">
        <v>431</v>
      </c>
      <c r="F11">
        <v>4</v>
      </c>
      <c r="G11">
        <v>98</v>
      </c>
      <c r="H11" t="str">
        <f>+VLOOKUP(groupround[[#This Row],[group_id]],group[],2,0)</f>
        <v>Table2</v>
      </c>
      <c r="I11" t="str">
        <f>+VLOOKUP(groupround[[#This Row],[group_id]],group[],7,0)</f>
        <v>251007_VerzekeraarsMasterClass</v>
      </c>
    </row>
    <row r="12" spans="1:9" x14ac:dyDescent="0.3">
      <c r="A12">
        <v>319</v>
      </c>
      <c r="B12" s="1">
        <v>45937.569976851853</v>
      </c>
      <c r="C12">
        <v>0</v>
      </c>
      <c r="D12">
        <v>0</v>
      </c>
      <c r="E12" t="s">
        <v>86</v>
      </c>
      <c r="F12">
        <v>0</v>
      </c>
      <c r="G12">
        <v>99</v>
      </c>
      <c r="H12" t="str">
        <f>+VLOOKUP(groupround[[#This Row],[group_id]],group[],2,0)</f>
        <v>Table3</v>
      </c>
      <c r="I12" t="str">
        <f>+VLOOKUP(groupround[[#This Row],[group_id]],group[],7,0)</f>
        <v>251007_VerzekeraarsMasterClass</v>
      </c>
    </row>
    <row r="13" spans="1:9" x14ac:dyDescent="0.3">
      <c r="A13">
        <v>322</v>
      </c>
      <c r="B13" s="1">
        <v>45937.595613425925</v>
      </c>
      <c r="C13">
        <v>1</v>
      </c>
      <c r="D13">
        <v>5</v>
      </c>
      <c r="E13" t="s">
        <v>431</v>
      </c>
      <c r="F13">
        <v>1</v>
      </c>
      <c r="G13">
        <v>99</v>
      </c>
      <c r="H13" t="str">
        <f>+VLOOKUP(groupround[[#This Row],[group_id]],group[],2,0)</f>
        <v>Table3</v>
      </c>
      <c r="I13" t="str">
        <f>+VLOOKUP(groupround[[#This Row],[group_id]],group[],7,0)</f>
        <v>251007_VerzekeraarsMasterClass</v>
      </c>
    </row>
    <row r="14" spans="1:9" x14ac:dyDescent="0.3">
      <c r="A14">
        <v>326</v>
      </c>
      <c r="B14" s="1">
        <v>45937.610763888886</v>
      </c>
      <c r="C14">
        <v>7</v>
      </c>
      <c r="D14">
        <v>8</v>
      </c>
      <c r="E14" t="s">
        <v>431</v>
      </c>
      <c r="F14">
        <v>2</v>
      </c>
      <c r="G14">
        <v>99</v>
      </c>
      <c r="H14" t="str">
        <f>+VLOOKUP(groupround[[#This Row],[group_id]],group[],2,0)</f>
        <v>Table3</v>
      </c>
      <c r="I14" t="str">
        <f>+VLOOKUP(groupround[[#This Row],[group_id]],group[],7,0)</f>
        <v>251007_VerzekeraarsMasterClass</v>
      </c>
    </row>
    <row r="15" spans="1:9" x14ac:dyDescent="0.3">
      <c r="A15">
        <v>331</v>
      </c>
      <c r="B15" s="1">
        <v>45937.618657407409</v>
      </c>
      <c r="C15">
        <v>6</v>
      </c>
      <c r="D15">
        <v>4</v>
      </c>
      <c r="E15" t="s">
        <v>431</v>
      </c>
      <c r="F15">
        <v>3</v>
      </c>
      <c r="G15">
        <v>99</v>
      </c>
      <c r="H15" t="str">
        <f>+VLOOKUP(groupround[[#This Row],[group_id]],group[],2,0)</f>
        <v>Table3</v>
      </c>
      <c r="I15" t="str">
        <f>+VLOOKUP(groupround[[#This Row],[group_id]],group[],7,0)</f>
        <v>251007_VerzekeraarsMasterClass</v>
      </c>
    </row>
    <row r="16" spans="1:9" x14ac:dyDescent="0.3">
      <c r="A16">
        <v>335</v>
      </c>
      <c r="B16" s="1">
        <v>45937.623564814814</v>
      </c>
      <c r="C16">
        <v>4</v>
      </c>
      <c r="D16">
        <v>6</v>
      </c>
      <c r="E16" t="s">
        <v>431</v>
      </c>
      <c r="F16">
        <v>4</v>
      </c>
      <c r="G16">
        <v>99</v>
      </c>
      <c r="H16" t="str">
        <f>+VLOOKUP(groupround[[#This Row],[group_id]],group[],2,0)</f>
        <v>Table3</v>
      </c>
      <c r="I16" t="str">
        <f>+VLOOKUP(groupround[[#This Row],[group_id]],group[],7,0)</f>
        <v>251007_VerzekeraarsMasterClass</v>
      </c>
    </row>
    <row r="17" spans="1:9" x14ac:dyDescent="0.3">
      <c r="A17">
        <v>320</v>
      </c>
      <c r="B17" s="1">
        <v>45937.57472222222</v>
      </c>
      <c r="C17">
        <v>0</v>
      </c>
      <c r="D17">
        <v>0</v>
      </c>
      <c r="E17" t="s">
        <v>86</v>
      </c>
      <c r="F17">
        <v>0</v>
      </c>
      <c r="G17">
        <v>100</v>
      </c>
      <c r="H17" t="str">
        <f>+VLOOKUP(groupround[[#This Row],[group_id]],group[],2,0)</f>
        <v>Table4</v>
      </c>
      <c r="I17" t="str">
        <f>+VLOOKUP(groupround[[#This Row],[group_id]],group[],7,0)</f>
        <v>251007_VerzekeraarsMasterClass</v>
      </c>
    </row>
    <row r="18" spans="1:9" x14ac:dyDescent="0.3">
      <c r="A18">
        <v>323</v>
      </c>
      <c r="B18" s="1">
        <v>45937.59584490741</v>
      </c>
      <c r="C18">
        <v>9</v>
      </c>
      <c r="D18">
        <v>7</v>
      </c>
      <c r="E18" t="s">
        <v>431</v>
      </c>
      <c r="F18">
        <v>1</v>
      </c>
      <c r="G18">
        <v>100</v>
      </c>
      <c r="H18" t="str">
        <f>+VLOOKUP(groupround[[#This Row],[group_id]],group[],2,0)</f>
        <v>Table4</v>
      </c>
      <c r="I18" t="str">
        <f>+VLOOKUP(groupround[[#This Row],[group_id]],group[],7,0)</f>
        <v>251007_VerzekeraarsMasterClass</v>
      </c>
    </row>
    <row r="19" spans="1:9" x14ac:dyDescent="0.3">
      <c r="A19">
        <v>327</v>
      </c>
      <c r="B19" s="1">
        <v>45937.611296296294</v>
      </c>
      <c r="C19">
        <v>4</v>
      </c>
      <c r="D19">
        <v>7</v>
      </c>
      <c r="E19" t="s">
        <v>431</v>
      </c>
      <c r="F19">
        <v>2</v>
      </c>
      <c r="G19">
        <v>100</v>
      </c>
      <c r="H19" t="str">
        <f>+VLOOKUP(groupround[[#This Row],[group_id]],group[],2,0)</f>
        <v>Table4</v>
      </c>
      <c r="I19" t="str">
        <f>+VLOOKUP(groupround[[#This Row],[group_id]],group[],7,0)</f>
        <v>251007_VerzekeraarsMasterClass</v>
      </c>
    </row>
    <row r="20" spans="1:9" x14ac:dyDescent="0.3">
      <c r="A20">
        <v>330</v>
      </c>
      <c r="B20" s="1">
        <v>45937.617372685185</v>
      </c>
      <c r="C20">
        <v>7</v>
      </c>
      <c r="D20">
        <v>7</v>
      </c>
      <c r="E20" t="s">
        <v>431</v>
      </c>
      <c r="F20">
        <v>3</v>
      </c>
      <c r="G20">
        <v>100</v>
      </c>
      <c r="H20" t="str">
        <f>+VLOOKUP(groupround[[#This Row],[group_id]],group[],2,0)</f>
        <v>Table4</v>
      </c>
      <c r="I20" t="str">
        <f>+VLOOKUP(groupround[[#This Row],[group_id]],group[],7,0)</f>
        <v>251007_VerzekeraarsMasterClass</v>
      </c>
    </row>
    <row r="21" spans="1:9" x14ac:dyDescent="0.3">
      <c r="A21">
        <v>333</v>
      </c>
      <c r="B21" s="1">
        <v>45937.622094907405</v>
      </c>
      <c r="C21">
        <v>1</v>
      </c>
      <c r="D21">
        <v>4</v>
      </c>
      <c r="E21" t="s">
        <v>431</v>
      </c>
      <c r="F21">
        <v>4</v>
      </c>
      <c r="G21">
        <v>100</v>
      </c>
      <c r="H21" t="str">
        <f>+VLOOKUP(groupround[[#This Row],[group_id]],group[],2,0)</f>
        <v>Table4</v>
      </c>
      <c r="I21" t="str">
        <f>+VLOOKUP(groupround[[#This Row],[group_id]],group[],7,0)</f>
        <v>251007_VerzekeraarsMasterClass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275C9-EA59-45C6-8B7A-3F38112E308E}">
  <dimension ref="A1:E201"/>
  <sheetViews>
    <sheetView workbookViewId="0"/>
  </sheetViews>
  <sheetFormatPr defaultRowHeight="14.4" x14ac:dyDescent="0.3"/>
  <cols>
    <col min="1" max="1" width="5" bestFit="1" customWidth="1"/>
    <col min="2" max="2" width="15.109375" bestFit="1" customWidth="1"/>
    <col min="3" max="3" width="14.33203125" bestFit="1" customWidth="1"/>
    <col min="4" max="4" width="21.109375" bestFit="1" customWidth="1"/>
    <col min="5" max="5" width="17.44140625" bestFit="1" customWidth="1"/>
  </cols>
  <sheetData>
    <row r="1" spans="1:5" x14ac:dyDescent="0.3">
      <c r="A1" t="s">
        <v>0</v>
      </c>
      <c r="B1" t="s">
        <v>151</v>
      </c>
      <c r="C1" t="s">
        <v>83</v>
      </c>
      <c r="D1" t="s">
        <v>419</v>
      </c>
      <c r="E1" t="s">
        <v>85</v>
      </c>
    </row>
    <row r="2" spans="1:5" x14ac:dyDescent="0.3">
      <c r="A2">
        <v>1235</v>
      </c>
      <c r="B2">
        <v>325</v>
      </c>
      <c r="C2" s="1">
        <v>45937.598622685182</v>
      </c>
      <c r="D2" t="s">
        <v>420</v>
      </c>
      <c r="E2" t="s">
        <v>421</v>
      </c>
    </row>
    <row r="3" spans="1:5" x14ac:dyDescent="0.3">
      <c r="A3">
        <v>1236</v>
      </c>
      <c r="B3">
        <v>325</v>
      </c>
      <c r="C3" s="1">
        <v>45937.600312499999</v>
      </c>
      <c r="D3" t="s">
        <v>422</v>
      </c>
      <c r="E3" t="s">
        <v>57</v>
      </c>
    </row>
    <row r="4" spans="1:5" x14ac:dyDescent="0.3">
      <c r="A4">
        <v>1237</v>
      </c>
      <c r="B4">
        <v>325</v>
      </c>
      <c r="C4" s="1">
        <v>45937.600497685184</v>
      </c>
      <c r="D4" t="s">
        <v>423</v>
      </c>
      <c r="E4" t="s">
        <v>57</v>
      </c>
    </row>
    <row r="5" spans="1:5" x14ac:dyDescent="0.3">
      <c r="A5">
        <v>1246</v>
      </c>
      <c r="B5">
        <v>325</v>
      </c>
      <c r="C5" s="1">
        <v>45937.603680555556</v>
      </c>
      <c r="D5" t="s">
        <v>424</v>
      </c>
      <c r="E5" t="s">
        <v>57</v>
      </c>
    </row>
    <row r="6" spans="1:5" x14ac:dyDescent="0.3">
      <c r="A6">
        <v>1248</v>
      </c>
      <c r="B6">
        <v>325</v>
      </c>
      <c r="C6" s="1">
        <v>45937.604305555556</v>
      </c>
      <c r="D6" t="s">
        <v>425</v>
      </c>
      <c r="E6" t="s">
        <v>57</v>
      </c>
    </row>
    <row r="7" spans="1:5" x14ac:dyDescent="0.3">
      <c r="A7">
        <v>1250</v>
      </c>
      <c r="B7">
        <v>325</v>
      </c>
      <c r="C7" s="1">
        <v>45937.605162037034</v>
      </c>
      <c r="D7" t="s">
        <v>426</v>
      </c>
      <c r="E7" t="s">
        <v>57</v>
      </c>
    </row>
    <row r="8" spans="1:5" x14ac:dyDescent="0.3">
      <c r="A8">
        <v>1251</v>
      </c>
      <c r="B8">
        <v>325</v>
      </c>
      <c r="C8" s="1">
        <v>45937.605775462966</v>
      </c>
      <c r="D8" t="s">
        <v>427</v>
      </c>
      <c r="E8" t="s">
        <v>57</v>
      </c>
    </row>
    <row r="9" spans="1:5" x14ac:dyDescent="0.3">
      <c r="A9">
        <v>1260</v>
      </c>
      <c r="B9">
        <v>325</v>
      </c>
      <c r="C9" s="1">
        <v>45937.608900462961</v>
      </c>
      <c r="D9" t="s">
        <v>428</v>
      </c>
      <c r="E9" t="s">
        <v>57</v>
      </c>
    </row>
    <row r="10" spans="1:5" x14ac:dyDescent="0.3">
      <c r="A10">
        <v>1265</v>
      </c>
      <c r="B10">
        <v>325</v>
      </c>
      <c r="C10" s="1">
        <v>45937.610775462963</v>
      </c>
      <c r="D10" t="s">
        <v>97</v>
      </c>
      <c r="E10" t="s">
        <v>57</v>
      </c>
    </row>
    <row r="11" spans="1:5" x14ac:dyDescent="0.3">
      <c r="A11">
        <v>1270</v>
      </c>
      <c r="B11">
        <v>325</v>
      </c>
      <c r="C11" s="1">
        <v>45937.611840277779</v>
      </c>
      <c r="D11" t="s">
        <v>429</v>
      </c>
      <c r="E11" t="s">
        <v>430</v>
      </c>
    </row>
    <row r="12" spans="1:5" x14ac:dyDescent="0.3">
      <c r="A12">
        <v>1273</v>
      </c>
      <c r="B12">
        <v>325</v>
      </c>
      <c r="C12" s="1">
        <v>45937.612407407411</v>
      </c>
      <c r="D12" t="s">
        <v>431</v>
      </c>
      <c r="E12" t="s">
        <v>57</v>
      </c>
    </row>
    <row r="13" spans="1:5" x14ac:dyDescent="0.3">
      <c r="A13">
        <v>1282</v>
      </c>
      <c r="B13">
        <v>328</v>
      </c>
      <c r="C13" s="1">
        <v>45937.61341435185</v>
      </c>
      <c r="D13" t="s">
        <v>420</v>
      </c>
      <c r="E13" t="s">
        <v>432</v>
      </c>
    </row>
    <row r="14" spans="1:5" x14ac:dyDescent="0.3">
      <c r="A14">
        <v>1283</v>
      </c>
      <c r="B14">
        <v>328</v>
      </c>
      <c r="C14" s="1">
        <v>45937.61346064815</v>
      </c>
      <c r="D14" t="s">
        <v>422</v>
      </c>
      <c r="E14" t="s">
        <v>57</v>
      </c>
    </row>
    <row r="15" spans="1:5" x14ac:dyDescent="0.3">
      <c r="A15">
        <v>1288</v>
      </c>
      <c r="B15">
        <v>328</v>
      </c>
      <c r="C15" s="1">
        <v>45937.613877314812</v>
      </c>
      <c r="D15" t="s">
        <v>433</v>
      </c>
      <c r="E15" t="s">
        <v>57</v>
      </c>
    </row>
    <row r="16" spans="1:5" x14ac:dyDescent="0.3">
      <c r="A16">
        <v>1289</v>
      </c>
      <c r="B16">
        <v>328</v>
      </c>
      <c r="C16" s="1">
        <v>45937.613935185182</v>
      </c>
      <c r="D16" t="s">
        <v>434</v>
      </c>
      <c r="E16" t="s">
        <v>57</v>
      </c>
    </row>
    <row r="17" spans="1:5" x14ac:dyDescent="0.3">
      <c r="A17">
        <v>1290</v>
      </c>
      <c r="B17">
        <v>328</v>
      </c>
      <c r="C17" s="1">
        <v>45937.613958333335</v>
      </c>
      <c r="D17" t="s">
        <v>423</v>
      </c>
      <c r="E17" t="s">
        <v>57</v>
      </c>
    </row>
    <row r="18" spans="1:5" x14ac:dyDescent="0.3">
      <c r="A18">
        <v>1291</v>
      </c>
      <c r="B18">
        <v>328</v>
      </c>
      <c r="C18" s="1">
        <v>45937.613969907405</v>
      </c>
      <c r="D18" t="s">
        <v>424</v>
      </c>
      <c r="E18" t="s">
        <v>57</v>
      </c>
    </row>
    <row r="19" spans="1:5" x14ac:dyDescent="0.3">
      <c r="A19">
        <v>1293</v>
      </c>
      <c r="B19">
        <v>328</v>
      </c>
      <c r="C19" s="1">
        <v>45937.613993055558</v>
      </c>
      <c r="D19" t="s">
        <v>425</v>
      </c>
      <c r="E19" t="s">
        <v>57</v>
      </c>
    </row>
    <row r="20" spans="1:5" x14ac:dyDescent="0.3">
      <c r="A20">
        <v>1294</v>
      </c>
      <c r="B20">
        <v>328</v>
      </c>
      <c r="C20" s="1">
        <v>45937.614016203705</v>
      </c>
      <c r="D20" t="s">
        <v>426</v>
      </c>
      <c r="E20" t="s">
        <v>57</v>
      </c>
    </row>
    <row r="21" spans="1:5" x14ac:dyDescent="0.3">
      <c r="A21">
        <v>1298</v>
      </c>
      <c r="B21">
        <v>328</v>
      </c>
      <c r="C21" s="1">
        <v>45937.614861111113</v>
      </c>
      <c r="D21" t="s">
        <v>427</v>
      </c>
      <c r="E21" t="s">
        <v>57</v>
      </c>
    </row>
    <row r="22" spans="1:5" x14ac:dyDescent="0.3">
      <c r="A22">
        <v>1308</v>
      </c>
      <c r="B22">
        <v>328</v>
      </c>
      <c r="C22" s="1">
        <v>45937.616944444446</v>
      </c>
      <c r="D22" t="s">
        <v>428</v>
      </c>
      <c r="E22" t="s">
        <v>57</v>
      </c>
    </row>
    <row r="23" spans="1:5" x14ac:dyDescent="0.3">
      <c r="A23">
        <v>1312</v>
      </c>
      <c r="B23">
        <v>328</v>
      </c>
      <c r="C23" s="1">
        <v>45937.617511574077</v>
      </c>
      <c r="D23" t="s">
        <v>97</v>
      </c>
      <c r="E23" t="s">
        <v>57</v>
      </c>
    </row>
    <row r="24" spans="1:5" x14ac:dyDescent="0.3">
      <c r="A24">
        <v>1319</v>
      </c>
      <c r="B24">
        <v>328</v>
      </c>
      <c r="C24" s="1">
        <v>45937.618032407408</v>
      </c>
      <c r="D24" t="s">
        <v>429</v>
      </c>
      <c r="E24" t="s">
        <v>435</v>
      </c>
    </row>
    <row r="25" spans="1:5" x14ac:dyDescent="0.3">
      <c r="A25">
        <v>1320</v>
      </c>
      <c r="B25">
        <v>328</v>
      </c>
      <c r="C25" s="1">
        <v>45937.618194444447</v>
      </c>
      <c r="D25" t="s">
        <v>431</v>
      </c>
      <c r="E25" t="s">
        <v>57</v>
      </c>
    </row>
    <row r="26" spans="1:5" x14ac:dyDescent="0.3">
      <c r="A26">
        <v>1328</v>
      </c>
      <c r="B26">
        <v>332</v>
      </c>
      <c r="C26" s="1">
        <v>45937.618842592594</v>
      </c>
      <c r="D26" t="s">
        <v>420</v>
      </c>
      <c r="E26" t="s">
        <v>436</v>
      </c>
    </row>
    <row r="27" spans="1:5" x14ac:dyDescent="0.3">
      <c r="A27">
        <v>1329</v>
      </c>
      <c r="B27">
        <v>332</v>
      </c>
      <c r="C27" s="1">
        <v>45937.618877314817</v>
      </c>
      <c r="D27" t="s">
        <v>422</v>
      </c>
      <c r="E27" t="s">
        <v>57</v>
      </c>
    </row>
    <row r="28" spans="1:5" x14ac:dyDescent="0.3">
      <c r="A28">
        <v>1332</v>
      </c>
      <c r="B28">
        <v>332</v>
      </c>
      <c r="C28" s="1">
        <v>45937.619386574072</v>
      </c>
      <c r="D28" t="s">
        <v>433</v>
      </c>
      <c r="E28" t="s">
        <v>57</v>
      </c>
    </row>
    <row r="29" spans="1:5" x14ac:dyDescent="0.3">
      <c r="A29">
        <v>1333</v>
      </c>
      <c r="B29">
        <v>332</v>
      </c>
      <c r="C29" s="1">
        <v>45937.619398148148</v>
      </c>
      <c r="D29" t="s">
        <v>434</v>
      </c>
      <c r="E29" t="s">
        <v>57</v>
      </c>
    </row>
    <row r="30" spans="1:5" x14ac:dyDescent="0.3">
      <c r="A30">
        <v>1334</v>
      </c>
      <c r="B30">
        <v>332</v>
      </c>
      <c r="C30" s="1">
        <v>45937.619432870371</v>
      </c>
      <c r="D30" t="s">
        <v>423</v>
      </c>
      <c r="E30" t="s">
        <v>57</v>
      </c>
    </row>
    <row r="31" spans="1:5" x14ac:dyDescent="0.3">
      <c r="A31">
        <v>1335</v>
      </c>
      <c r="B31">
        <v>332</v>
      </c>
      <c r="C31" s="1">
        <v>45937.619444444441</v>
      </c>
      <c r="D31" t="s">
        <v>424</v>
      </c>
      <c r="E31" t="s">
        <v>57</v>
      </c>
    </row>
    <row r="32" spans="1:5" x14ac:dyDescent="0.3">
      <c r="A32">
        <v>1336</v>
      </c>
      <c r="B32">
        <v>332</v>
      </c>
      <c r="C32" s="1">
        <v>45937.619513888887</v>
      </c>
      <c r="D32" t="s">
        <v>425</v>
      </c>
      <c r="E32" t="s">
        <v>57</v>
      </c>
    </row>
    <row r="33" spans="1:5" x14ac:dyDescent="0.3">
      <c r="A33">
        <v>1337</v>
      </c>
      <c r="B33">
        <v>332</v>
      </c>
      <c r="C33" s="1">
        <v>45937.619560185187</v>
      </c>
      <c r="D33" t="s">
        <v>426</v>
      </c>
      <c r="E33" t="s">
        <v>57</v>
      </c>
    </row>
    <row r="34" spans="1:5" x14ac:dyDescent="0.3">
      <c r="A34">
        <v>1345</v>
      </c>
      <c r="B34">
        <v>332</v>
      </c>
      <c r="C34" s="1">
        <v>45937.620196759257</v>
      </c>
      <c r="D34" t="s">
        <v>427</v>
      </c>
      <c r="E34" t="s">
        <v>57</v>
      </c>
    </row>
    <row r="35" spans="1:5" x14ac:dyDescent="0.3">
      <c r="A35">
        <v>1352</v>
      </c>
      <c r="B35">
        <v>332</v>
      </c>
      <c r="C35" s="1">
        <v>45937.621076388888</v>
      </c>
      <c r="D35" t="s">
        <v>428</v>
      </c>
      <c r="E35" t="s">
        <v>57</v>
      </c>
    </row>
    <row r="36" spans="1:5" x14ac:dyDescent="0.3">
      <c r="A36">
        <v>1359</v>
      </c>
      <c r="B36">
        <v>332</v>
      </c>
      <c r="C36" s="1">
        <v>45937.62232638889</v>
      </c>
      <c r="D36" t="s">
        <v>97</v>
      </c>
      <c r="E36" t="s">
        <v>57</v>
      </c>
    </row>
    <row r="37" spans="1:5" x14ac:dyDescent="0.3">
      <c r="A37">
        <v>1361</v>
      </c>
      <c r="B37">
        <v>332</v>
      </c>
      <c r="C37" s="1">
        <v>45937.622754629629</v>
      </c>
      <c r="D37" t="s">
        <v>429</v>
      </c>
      <c r="E37" t="s">
        <v>435</v>
      </c>
    </row>
    <row r="38" spans="1:5" x14ac:dyDescent="0.3">
      <c r="A38">
        <v>1364</v>
      </c>
      <c r="B38">
        <v>332</v>
      </c>
      <c r="C38" s="1">
        <v>45937.622974537036</v>
      </c>
      <c r="D38" t="s">
        <v>431</v>
      </c>
      <c r="E38" t="s">
        <v>57</v>
      </c>
    </row>
    <row r="39" spans="1:5" x14ac:dyDescent="0.3">
      <c r="A39">
        <v>1371</v>
      </c>
      <c r="B39">
        <v>336</v>
      </c>
      <c r="C39" s="1">
        <v>45937.623842592591</v>
      </c>
      <c r="D39" t="s">
        <v>420</v>
      </c>
      <c r="E39" t="s">
        <v>437</v>
      </c>
    </row>
    <row r="40" spans="1:5" x14ac:dyDescent="0.3">
      <c r="A40">
        <v>1374</v>
      </c>
      <c r="B40">
        <v>336</v>
      </c>
      <c r="C40" s="1">
        <v>45937.623912037037</v>
      </c>
      <c r="D40" t="s">
        <v>422</v>
      </c>
      <c r="E40" t="s">
        <v>57</v>
      </c>
    </row>
    <row r="41" spans="1:5" x14ac:dyDescent="0.3">
      <c r="A41">
        <v>1381</v>
      </c>
      <c r="B41">
        <v>336</v>
      </c>
      <c r="C41" s="1">
        <v>45937.624722222223</v>
      </c>
      <c r="D41" t="s">
        <v>433</v>
      </c>
      <c r="E41" t="s">
        <v>57</v>
      </c>
    </row>
    <row r="42" spans="1:5" x14ac:dyDescent="0.3">
      <c r="A42">
        <v>1386</v>
      </c>
      <c r="B42">
        <v>336</v>
      </c>
      <c r="C42" s="1">
        <v>45937.625243055554</v>
      </c>
      <c r="D42" t="s">
        <v>434</v>
      </c>
      <c r="E42" t="s">
        <v>57</v>
      </c>
    </row>
    <row r="43" spans="1:5" x14ac:dyDescent="0.3">
      <c r="A43">
        <v>1392</v>
      </c>
      <c r="B43">
        <v>336</v>
      </c>
      <c r="C43" s="1">
        <v>45937.626655092594</v>
      </c>
      <c r="D43" t="s">
        <v>423</v>
      </c>
      <c r="E43" t="s">
        <v>57</v>
      </c>
    </row>
    <row r="44" spans="1:5" x14ac:dyDescent="0.3">
      <c r="A44">
        <v>1398</v>
      </c>
      <c r="B44">
        <v>336</v>
      </c>
      <c r="C44" s="1">
        <v>45937.627326388887</v>
      </c>
      <c r="D44" t="s">
        <v>424</v>
      </c>
      <c r="E44" t="s">
        <v>57</v>
      </c>
    </row>
    <row r="45" spans="1:5" x14ac:dyDescent="0.3">
      <c r="A45">
        <v>1401</v>
      </c>
      <c r="B45">
        <v>336</v>
      </c>
      <c r="C45" s="1">
        <v>45937.62872685185</v>
      </c>
      <c r="D45" t="s">
        <v>425</v>
      </c>
      <c r="E45" t="s">
        <v>57</v>
      </c>
    </row>
    <row r="46" spans="1:5" x14ac:dyDescent="0.3">
      <c r="A46">
        <v>1402</v>
      </c>
      <c r="B46">
        <v>336</v>
      </c>
      <c r="C46" s="1">
        <v>45937.628738425927</v>
      </c>
      <c r="D46" t="s">
        <v>426</v>
      </c>
      <c r="E46" t="s">
        <v>57</v>
      </c>
    </row>
    <row r="47" spans="1:5" x14ac:dyDescent="0.3">
      <c r="A47">
        <v>1403</v>
      </c>
      <c r="B47">
        <v>336</v>
      </c>
      <c r="C47" s="1">
        <v>45937.628784722219</v>
      </c>
      <c r="D47" t="s">
        <v>427</v>
      </c>
      <c r="E47" t="s">
        <v>57</v>
      </c>
    </row>
    <row r="48" spans="1:5" x14ac:dyDescent="0.3">
      <c r="A48">
        <v>1409</v>
      </c>
      <c r="B48">
        <v>336</v>
      </c>
      <c r="C48" s="1">
        <v>45937.629351851851</v>
      </c>
      <c r="D48" t="s">
        <v>428</v>
      </c>
      <c r="E48" t="s">
        <v>57</v>
      </c>
    </row>
    <row r="49" spans="1:5" x14ac:dyDescent="0.3">
      <c r="A49">
        <v>1412</v>
      </c>
      <c r="B49">
        <v>336</v>
      </c>
      <c r="C49" s="1">
        <v>45937.630312499998</v>
      </c>
      <c r="D49" t="s">
        <v>97</v>
      </c>
      <c r="E49" t="s">
        <v>57</v>
      </c>
    </row>
    <row r="50" spans="1:5" x14ac:dyDescent="0.3">
      <c r="A50">
        <v>1413</v>
      </c>
      <c r="B50">
        <v>336</v>
      </c>
      <c r="C50" s="1">
        <v>45937.630972222221</v>
      </c>
      <c r="D50" t="s">
        <v>429</v>
      </c>
      <c r="E50" t="s">
        <v>438</v>
      </c>
    </row>
    <row r="51" spans="1:5" x14ac:dyDescent="0.3">
      <c r="A51">
        <v>1414</v>
      </c>
      <c r="B51">
        <v>336</v>
      </c>
      <c r="C51" s="1">
        <v>45937.631041666667</v>
      </c>
      <c r="D51" t="s">
        <v>431</v>
      </c>
      <c r="E51" t="s">
        <v>57</v>
      </c>
    </row>
    <row r="52" spans="1:5" x14ac:dyDescent="0.3">
      <c r="A52">
        <v>1231</v>
      </c>
      <c r="B52">
        <v>324</v>
      </c>
      <c r="C52" s="1">
        <v>45937.596851851849</v>
      </c>
      <c r="D52" t="s">
        <v>420</v>
      </c>
      <c r="E52" t="s">
        <v>421</v>
      </c>
    </row>
    <row r="53" spans="1:5" x14ac:dyDescent="0.3">
      <c r="A53">
        <v>1234</v>
      </c>
      <c r="B53">
        <v>324</v>
      </c>
      <c r="C53" s="1">
        <v>45937.598368055558</v>
      </c>
      <c r="D53" t="s">
        <v>422</v>
      </c>
      <c r="E53" t="s">
        <v>57</v>
      </c>
    </row>
    <row r="54" spans="1:5" x14ac:dyDescent="0.3">
      <c r="A54">
        <v>1239</v>
      </c>
      <c r="B54">
        <v>324</v>
      </c>
      <c r="C54" s="1">
        <v>45937.601342592592</v>
      </c>
      <c r="D54" t="s">
        <v>423</v>
      </c>
      <c r="E54" t="s">
        <v>57</v>
      </c>
    </row>
    <row r="55" spans="1:5" x14ac:dyDescent="0.3">
      <c r="A55">
        <v>1249</v>
      </c>
      <c r="B55">
        <v>324</v>
      </c>
      <c r="C55" s="1">
        <v>45937.605138888888</v>
      </c>
      <c r="D55" t="s">
        <v>424</v>
      </c>
      <c r="E55" t="s">
        <v>57</v>
      </c>
    </row>
    <row r="56" spans="1:5" x14ac:dyDescent="0.3">
      <c r="A56">
        <v>1255</v>
      </c>
      <c r="B56">
        <v>324</v>
      </c>
      <c r="C56" s="1">
        <v>45937.607499999998</v>
      </c>
      <c r="D56" t="s">
        <v>425</v>
      </c>
      <c r="E56" t="s">
        <v>57</v>
      </c>
    </row>
    <row r="57" spans="1:5" x14ac:dyDescent="0.3">
      <c r="A57">
        <v>1257</v>
      </c>
      <c r="B57">
        <v>324</v>
      </c>
      <c r="C57" s="1">
        <v>45937.607627314814</v>
      </c>
      <c r="D57" t="s">
        <v>426</v>
      </c>
      <c r="E57" t="s">
        <v>57</v>
      </c>
    </row>
    <row r="58" spans="1:5" x14ac:dyDescent="0.3">
      <c r="A58">
        <v>1258</v>
      </c>
      <c r="B58">
        <v>324</v>
      </c>
      <c r="C58" s="1">
        <v>45937.60769675926</v>
      </c>
      <c r="D58" t="s">
        <v>427</v>
      </c>
      <c r="E58" t="s">
        <v>57</v>
      </c>
    </row>
    <row r="59" spans="1:5" x14ac:dyDescent="0.3">
      <c r="A59">
        <v>1269</v>
      </c>
      <c r="B59">
        <v>324</v>
      </c>
      <c r="C59" s="1">
        <v>45937.611747685187</v>
      </c>
      <c r="D59" t="s">
        <v>428</v>
      </c>
      <c r="E59" t="s">
        <v>57</v>
      </c>
    </row>
    <row r="60" spans="1:5" x14ac:dyDescent="0.3">
      <c r="A60">
        <v>1286</v>
      </c>
      <c r="B60">
        <v>324</v>
      </c>
      <c r="C60" s="1">
        <v>45937.613749999997</v>
      </c>
      <c r="D60" t="s">
        <v>97</v>
      </c>
      <c r="E60" t="s">
        <v>57</v>
      </c>
    </row>
    <row r="61" spans="1:5" x14ac:dyDescent="0.3">
      <c r="A61">
        <v>1295</v>
      </c>
      <c r="B61">
        <v>324</v>
      </c>
      <c r="C61" s="1">
        <v>45937.614201388889</v>
      </c>
      <c r="D61" t="s">
        <v>429</v>
      </c>
      <c r="E61" t="s">
        <v>439</v>
      </c>
    </row>
    <row r="62" spans="1:5" x14ac:dyDescent="0.3">
      <c r="A62">
        <v>1296</v>
      </c>
      <c r="B62">
        <v>324</v>
      </c>
      <c r="C62" s="1">
        <v>45937.614606481482</v>
      </c>
      <c r="D62" t="s">
        <v>431</v>
      </c>
      <c r="E62" t="s">
        <v>57</v>
      </c>
    </row>
    <row r="63" spans="1:5" x14ac:dyDescent="0.3">
      <c r="A63">
        <v>1299</v>
      </c>
      <c r="B63">
        <v>329</v>
      </c>
      <c r="C63" s="1">
        <v>45937.61513888889</v>
      </c>
      <c r="D63" t="s">
        <v>420</v>
      </c>
      <c r="E63" t="s">
        <v>432</v>
      </c>
    </row>
    <row r="64" spans="1:5" x14ac:dyDescent="0.3">
      <c r="A64">
        <v>1301</v>
      </c>
      <c r="B64">
        <v>329</v>
      </c>
      <c r="C64" s="1">
        <v>45937.615833333337</v>
      </c>
      <c r="D64" t="s">
        <v>422</v>
      </c>
      <c r="E64" t="s">
        <v>57</v>
      </c>
    </row>
    <row r="65" spans="1:5" x14ac:dyDescent="0.3">
      <c r="A65">
        <v>1305</v>
      </c>
      <c r="B65">
        <v>329</v>
      </c>
      <c r="C65" s="1">
        <v>45937.616608796299</v>
      </c>
      <c r="D65" t="s">
        <v>433</v>
      </c>
      <c r="E65" t="s">
        <v>57</v>
      </c>
    </row>
    <row r="66" spans="1:5" x14ac:dyDescent="0.3">
      <c r="A66">
        <v>1309</v>
      </c>
      <c r="B66">
        <v>329</v>
      </c>
      <c r="C66" s="1">
        <v>45937.616956018515</v>
      </c>
      <c r="D66" t="s">
        <v>434</v>
      </c>
      <c r="E66" t="s">
        <v>57</v>
      </c>
    </row>
    <row r="67" spans="1:5" x14ac:dyDescent="0.3">
      <c r="A67">
        <v>1314</v>
      </c>
      <c r="B67">
        <v>329</v>
      </c>
      <c r="C67" s="1">
        <v>45937.617777777778</v>
      </c>
      <c r="D67" t="s">
        <v>423</v>
      </c>
      <c r="E67" t="s">
        <v>57</v>
      </c>
    </row>
    <row r="68" spans="1:5" x14ac:dyDescent="0.3">
      <c r="A68">
        <v>1315</v>
      </c>
      <c r="B68">
        <v>329</v>
      </c>
      <c r="C68" s="1">
        <v>45937.617800925924</v>
      </c>
      <c r="D68" t="s">
        <v>424</v>
      </c>
      <c r="E68" t="s">
        <v>57</v>
      </c>
    </row>
    <row r="69" spans="1:5" x14ac:dyDescent="0.3">
      <c r="A69">
        <v>1316</v>
      </c>
      <c r="B69">
        <v>329</v>
      </c>
      <c r="C69" s="1">
        <v>45937.617858796293</v>
      </c>
      <c r="D69" t="s">
        <v>425</v>
      </c>
      <c r="E69" t="s">
        <v>57</v>
      </c>
    </row>
    <row r="70" spans="1:5" x14ac:dyDescent="0.3">
      <c r="A70">
        <v>1317</v>
      </c>
      <c r="B70">
        <v>329</v>
      </c>
      <c r="C70" s="1">
        <v>45937.617881944447</v>
      </c>
      <c r="D70" t="s">
        <v>426</v>
      </c>
      <c r="E70" t="s">
        <v>57</v>
      </c>
    </row>
    <row r="71" spans="1:5" x14ac:dyDescent="0.3">
      <c r="A71">
        <v>1318</v>
      </c>
      <c r="B71">
        <v>329</v>
      </c>
      <c r="C71" s="1">
        <v>45937.617974537039</v>
      </c>
      <c r="D71" t="s">
        <v>427</v>
      </c>
      <c r="E71" t="s">
        <v>57</v>
      </c>
    </row>
    <row r="72" spans="1:5" x14ac:dyDescent="0.3">
      <c r="A72">
        <v>1342</v>
      </c>
      <c r="B72">
        <v>329</v>
      </c>
      <c r="C72" s="1">
        <v>45937.62</v>
      </c>
      <c r="D72" t="s">
        <v>428</v>
      </c>
      <c r="E72" t="s">
        <v>57</v>
      </c>
    </row>
    <row r="73" spans="1:5" x14ac:dyDescent="0.3">
      <c r="A73">
        <v>1346</v>
      </c>
      <c r="B73">
        <v>329</v>
      </c>
      <c r="C73" s="1">
        <v>45937.620219907411</v>
      </c>
      <c r="D73" t="s">
        <v>97</v>
      </c>
      <c r="E73" t="s">
        <v>57</v>
      </c>
    </row>
    <row r="74" spans="1:5" x14ac:dyDescent="0.3">
      <c r="A74">
        <v>1350</v>
      </c>
      <c r="B74">
        <v>329</v>
      </c>
      <c r="C74" s="1">
        <v>45937.620682870373</v>
      </c>
      <c r="D74" t="s">
        <v>429</v>
      </c>
      <c r="E74" t="s">
        <v>440</v>
      </c>
    </row>
    <row r="75" spans="1:5" x14ac:dyDescent="0.3">
      <c r="A75">
        <v>1355</v>
      </c>
      <c r="B75">
        <v>329</v>
      </c>
      <c r="C75" s="1">
        <v>45937.621527777781</v>
      </c>
      <c r="D75" t="s">
        <v>431</v>
      </c>
      <c r="E75" t="s">
        <v>57</v>
      </c>
    </row>
    <row r="76" spans="1:5" x14ac:dyDescent="0.3">
      <c r="A76">
        <v>1363</v>
      </c>
      <c r="B76">
        <v>334</v>
      </c>
      <c r="C76" s="1">
        <v>45937.622858796298</v>
      </c>
      <c r="D76" t="s">
        <v>420</v>
      </c>
      <c r="E76" t="s">
        <v>436</v>
      </c>
    </row>
    <row r="77" spans="1:5" x14ac:dyDescent="0.3">
      <c r="A77">
        <v>1366</v>
      </c>
      <c r="B77">
        <v>334</v>
      </c>
      <c r="C77" s="1">
        <v>45937.623333333337</v>
      </c>
      <c r="D77" t="s">
        <v>422</v>
      </c>
      <c r="E77" t="s">
        <v>57</v>
      </c>
    </row>
    <row r="78" spans="1:5" x14ac:dyDescent="0.3">
      <c r="A78">
        <v>1367</v>
      </c>
      <c r="B78">
        <v>334</v>
      </c>
      <c r="C78" s="1">
        <v>45937.623472222222</v>
      </c>
      <c r="D78" t="s">
        <v>433</v>
      </c>
      <c r="E78" t="s">
        <v>57</v>
      </c>
    </row>
    <row r="79" spans="1:5" x14ac:dyDescent="0.3">
      <c r="A79">
        <v>1368</v>
      </c>
      <c r="B79">
        <v>334</v>
      </c>
      <c r="C79" s="1">
        <v>45937.623506944445</v>
      </c>
      <c r="D79" t="s">
        <v>434</v>
      </c>
      <c r="E79" t="s">
        <v>57</v>
      </c>
    </row>
    <row r="80" spans="1:5" x14ac:dyDescent="0.3">
      <c r="A80">
        <v>1372</v>
      </c>
      <c r="B80">
        <v>334</v>
      </c>
      <c r="C80" s="1">
        <v>45937.623888888891</v>
      </c>
      <c r="D80" t="s">
        <v>423</v>
      </c>
      <c r="E80" t="s">
        <v>57</v>
      </c>
    </row>
    <row r="81" spans="1:5" x14ac:dyDescent="0.3">
      <c r="A81">
        <v>1373</v>
      </c>
      <c r="B81">
        <v>334</v>
      </c>
      <c r="C81" s="1">
        <v>45937.623900462961</v>
      </c>
      <c r="D81" t="s">
        <v>424</v>
      </c>
      <c r="E81" t="s">
        <v>57</v>
      </c>
    </row>
    <row r="82" spans="1:5" x14ac:dyDescent="0.3">
      <c r="A82">
        <v>1375</v>
      </c>
      <c r="B82">
        <v>334</v>
      </c>
      <c r="C82" s="1">
        <v>45937.623935185184</v>
      </c>
      <c r="D82" t="s">
        <v>425</v>
      </c>
      <c r="E82" t="s">
        <v>57</v>
      </c>
    </row>
    <row r="83" spans="1:5" x14ac:dyDescent="0.3">
      <c r="A83">
        <v>1376</v>
      </c>
      <c r="B83">
        <v>334</v>
      </c>
      <c r="C83" s="1">
        <v>45937.623969907407</v>
      </c>
      <c r="D83" t="s">
        <v>426</v>
      </c>
      <c r="E83" t="s">
        <v>57</v>
      </c>
    </row>
    <row r="84" spans="1:5" x14ac:dyDescent="0.3">
      <c r="A84">
        <v>1377</v>
      </c>
      <c r="B84">
        <v>334</v>
      </c>
      <c r="C84" s="1">
        <v>45937.624016203707</v>
      </c>
      <c r="D84" t="s">
        <v>427</v>
      </c>
      <c r="E84" t="s">
        <v>57</v>
      </c>
    </row>
    <row r="85" spans="1:5" x14ac:dyDescent="0.3">
      <c r="A85">
        <v>1388</v>
      </c>
      <c r="B85">
        <v>334</v>
      </c>
      <c r="C85" s="1">
        <v>45937.625648148147</v>
      </c>
      <c r="D85" t="s">
        <v>428</v>
      </c>
      <c r="E85" t="s">
        <v>57</v>
      </c>
    </row>
    <row r="86" spans="1:5" x14ac:dyDescent="0.3">
      <c r="A86">
        <v>1390</v>
      </c>
      <c r="B86">
        <v>334</v>
      </c>
      <c r="C86" s="1">
        <v>45937.626388888886</v>
      </c>
      <c r="D86" t="s">
        <v>97</v>
      </c>
      <c r="E86" t="s">
        <v>57</v>
      </c>
    </row>
    <row r="87" spans="1:5" x14ac:dyDescent="0.3">
      <c r="A87">
        <v>1393</v>
      </c>
      <c r="B87">
        <v>334</v>
      </c>
      <c r="C87" s="1">
        <v>45937.626712962963</v>
      </c>
      <c r="D87" t="s">
        <v>429</v>
      </c>
      <c r="E87" t="s">
        <v>441</v>
      </c>
    </row>
    <row r="88" spans="1:5" x14ac:dyDescent="0.3">
      <c r="A88">
        <v>1396</v>
      </c>
      <c r="B88">
        <v>334</v>
      </c>
      <c r="C88" s="1">
        <v>45937.627152777779</v>
      </c>
      <c r="D88" t="s">
        <v>431</v>
      </c>
      <c r="E88" t="s">
        <v>57</v>
      </c>
    </row>
    <row r="89" spans="1:5" x14ac:dyDescent="0.3">
      <c r="A89">
        <v>1397</v>
      </c>
      <c r="B89">
        <v>337</v>
      </c>
      <c r="C89" s="1">
        <v>45937.627268518518</v>
      </c>
      <c r="D89" t="s">
        <v>420</v>
      </c>
      <c r="E89" t="s">
        <v>437</v>
      </c>
    </row>
    <row r="90" spans="1:5" x14ac:dyDescent="0.3">
      <c r="A90">
        <v>1406</v>
      </c>
      <c r="B90">
        <v>337</v>
      </c>
      <c r="C90" s="1">
        <v>45937.629016203704</v>
      </c>
      <c r="D90" t="s">
        <v>422</v>
      </c>
      <c r="E90" t="s">
        <v>57</v>
      </c>
    </row>
    <row r="91" spans="1:5" x14ac:dyDescent="0.3">
      <c r="A91">
        <v>1407</v>
      </c>
      <c r="B91">
        <v>337</v>
      </c>
      <c r="C91" s="1">
        <v>45937.629155092596</v>
      </c>
      <c r="D91" t="s">
        <v>433</v>
      </c>
      <c r="E91" t="s">
        <v>57</v>
      </c>
    </row>
    <row r="92" spans="1:5" x14ac:dyDescent="0.3">
      <c r="A92">
        <v>1408</v>
      </c>
      <c r="B92">
        <v>337</v>
      </c>
      <c r="C92" s="1">
        <v>45937.629247685189</v>
      </c>
      <c r="D92" t="s">
        <v>434</v>
      </c>
      <c r="E92" t="s">
        <v>57</v>
      </c>
    </row>
    <row r="93" spans="1:5" x14ac:dyDescent="0.3">
      <c r="A93">
        <v>1416</v>
      </c>
      <c r="B93">
        <v>337</v>
      </c>
      <c r="C93" s="1">
        <v>45937.631192129629</v>
      </c>
      <c r="D93" t="s">
        <v>423</v>
      </c>
      <c r="E93" t="s">
        <v>57</v>
      </c>
    </row>
    <row r="94" spans="1:5" x14ac:dyDescent="0.3">
      <c r="A94">
        <v>1417</v>
      </c>
      <c r="B94">
        <v>337</v>
      </c>
      <c r="C94" s="1">
        <v>45937.631215277775</v>
      </c>
      <c r="D94" t="s">
        <v>424</v>
      </c>
      <c r="E94" t="s">
        <v>57</v>
      </c>
    </row>
    <row r="95" spans="1:5" x14ac:dyDescent="0.3">
      <c r="A95">
        <v>1419</v>
      </c>
      <c r="B95">
        <v>337</v>
      </c>
      <c r="C95" s="1">
        <v>45937.631469907406</v>
      </c>
      <c r="D95" t="s">
        <v>425</v>
      </c>
      <c r="E95" t="s">
        <v>57</v>
      </c>
    </row>
    <row r="96" spans="1:5" x14ac:dyDescent="0.3">
      <c r="A96">
        <v>1420</v>
      </c>
      <c r="B96">
        <v>337</v>
      </c>
      <c r="C96" s="1">
        <v>45937.63177083333</v>
      </c>
      <c r="D96" t="s">
        <v>426</v>
      </c>
      <c r="E96" t="s">
        <v>57</v>
      </c>
    </row>
    <row r="97" spans="1:5" x14ac:dyDescent="0.3">
      <c r="A97">
        <v>1421</v>
      </c>
      <c r="B97">
        <v>337</v>
      </c>
      <c r="C97" s="1">
        <v>45937.631863425922</v>
      </c>
      <c r="D97" t="s">
        <v>427</v>
      </c>
      <c r="E97" t="s">
        <v>57</v>
      </c>
    </row>
    <row r="98" spans="1:5" x14ac:dyDescent="0.3">
      <c r="A98">
        <v>1423</v>
      </c>
      <c r="B98">
        <v>337</v>
      </c>
      <c r="C98" s="1">
        <v>45937.633090277777</v>
      </c>
      <c r="D98" t="s">
        <v>428</v>
      </c>
      <c r="E98" t="s">
        <v>57</v>
      </c>
    </row>
    <row r="99" spans="1:5" x14ac:dyDescent="0.3">
      <c r="A99">
        <v>1424</v>
      </c>
      <c r="B99">
        <v>337</v>
      </c>
      <c r="C99" s="1">
        <v>45937.63380787037</v>
      </c>
      <c r="D99" t="s">
        <v>97</v>
      </c>
      <c r="E99" t="s">
        <v>57</v>
      </c>
    </row>
    <row r="100" spans="1:5" x14ac:dyDescent="0.3">
      <c r="A100">
        <v>1425</v>
      </c>
      <c r="B100">
        <v>337</v>
      </c>
      <c r="C100" s="1">
        <v>45937.634085648147</v>
      </c>
      <c r="D100" t="s">
        <v>429</v>
      </c>
      <c r="E100" t="s">
        <v>441</v>
      </c>
    </row>
    <row r="101" spans="1:5" x14ac:dyDescent="0.3">
      <c r="A101">
        <v>1426</v>
      </c>
      <c r="B101">
        <v>337</v>
      </c>
      <c r="C101" s="1">
        <v>45937.63417824074</v>
      </c>
      <c r="D101" t="s">
        <v>431</v>
      </c>
      <c r="E101" t="s">
        <v>57</v>
      </c>
    </row>
    <row r="102" spans="1:5" x14ac:dyDescent="0.3">
      <c r="A102">
        <v>1227</v>
      </c>
      <c r="B102">
        <v>322</v>
      </c>
      <c r="C102" s="1">
        <v>45937.595613425925</v>
      </c>
      <c r="D102" t="s">
        <v>420</v>
      </c>
      <c r="E102" t="s">
        <v>421</v>
      </c>
    </row>
    <row r="103" spans="1:5" x14ac:dyDescent="0.3">
      <c r="A103">
        <v>1228</v>
      </c>
      <c r="B103">
        <v>322</v>
      </c>
      <c r="C103" s="1">
        <v>45937.595694444448</v>
      </c>
      <c r="D103" t="s">
        <v>422</v>
      </c>
      <c r="E103" t="s">
        <v>57</v>
      </c>
    </row>
    <row r="104" spans="1:5" x14ac:dyDescent="0.3">
      <c r="A104">
        <v>1232</v>
      </c>
      <c r="B104">
        <v>322</v>
      </c>
      <c r="C104" s="1">
        <v>45937.598078703704</v>
      </c>
      <c r="D104" t="s">
        <v>423</v>
      </c>
      <c r="E104" t="s">
        <v>57</v>
      </c>
    </row>
    <row r="105" spans="1:5" x14ac:dyDescent="0.3">
      <c r="A105">
        <v>1242</v>
      </c>
      <c r="B105">
        <v>322</v>
      </c>
      <c r="C105" s="1">
        <v>45937.602210648147</v>
      </c>
      <c r="D105" t="s">
        <v>424</v>
      </c>
      <c r="E105" t="s">
        <v>57</v>
      </c>
    </row>
    <row r="106" spans="1:5" x14ac:dyDescent="0.3">
      <c r="A106">
        <v>1244</v>
      </c>
      <c r="B106">
        <v>322</v>
      </c>
      <c r="C106" s="1">
        <v>45937.603217592594</v>
      </c>
      <c r="D106" t="s">
        <v>425</v>
      </c>
      <c r="E106" t="s">
        <v>57</v>
      </c>
    </row>
    <row r="107" spans="1:5" x14ac:dyDescent="0.3">
      <c r="A107">
        <v>1245</v>
      </c>
      <c r="B107">
        <v>322</v>
      </c>
      <c r="C107" s="1">
        <v>45937.603402777779</v>
      </c>
      <c r="D107" t="s">
        <v>426</v>
      </c>
      <c r="E107" t="s">
        <v>57</v>
      </c>
    </row>
    <row r="108" spans="1:5" x14ac:dyDescent="0.3">
      <c r="A108">
        <v>1247</v>
      </c>
      <c r="B108">
        <v>322</v>
      </c>
      <c r="C108" s="1">
        <v>45937.604166666664</v>
      </c>
      <c r="D108" t="s">
        <v>427</v>
      </c>
      <c r="E108" t="s">
        <v>57</v>
      </c>
    </row>
    <row r="109" spans="1:5" x14ac:dyDescent="0.3">
      <c r="A109">
        <v>1252</v>
      </c>
      <c r="B109">
        <v>322</v>
      </c>
      <c r="C109" s="1">
        <v>45937.606319444443</v>
      </c>
      <c r="D109" t="s">
        <v>428</v>
      </c>
      <c r="E109" t="s">
        <v>57</v>
      </c>
    </row>
    <row r="110" spans="1:5" x14ac:dyDescent="0.3">
      <c r="A110">
        <v>1261</v>
      </c>
      <c r="B110">
        <v>322</v>
      </c>
      <c r="C110" s="1">
        <v>45937.609699074077</v>
      </c>
      <c r="D110" t="s">
        <v>97</v>
      </c>
      <c r="E110" t="s">
        <v>57</v>
      </c>
    </row>
    <row r="111" spans="1:5" x14ac:dyDescent="0.3">
      <c r="A111">
        <v>1262</v>
      </c>
      <c r="B111">
        <v>322</v>
      </c>
      <c r="C111" s="1">
        <v>45937.609826388885</v>
      </c>
      <c r="D111" t="s">
        <v>429</v>
      </c>
      <c r="E111" t="s">
        <v>442</v>
      </c>
    </row>
    <row r="112" spans="1:5" x14ac:dyDescent="0.3">
      <c r="A112">
        <v>1263</v>
      </c>
      <c r="B112">
        <v>322</v>
      </c>
      <c r="C112" s="1">
        <v>45937.610092592593</v>
      </c>
      <c r="D112" t="s">
        <v>431</v>
      </c>
      <c r="E112" t="s">
        <v>57</v>
      </c>
    </row>
    <row r="113" spans="1:5" x14ac:dyDescent="0.3">
      <c r="A113">
        <v>1264</v>
      </c>
      <c r="B113">
        <v>326</v>
      </c>
      <c r="C113" s="1">
        <v>45937.610763888886</v>
      </c>
      <c r="D113" t="s">
        <v>420</v>
      </c>
      <c r="E113" t="s">
        <v>432</v>
      </c>
    </row>
    <row r="114" spans="1:5" x14ac:dyDescent="0.3">
      <c r="A114">
        <v>1268</v>
      </c>
      <c r="B114">
        <v>326</v>
      </c>
      <c r="C114" s="1">
        <v>45937.611678240741</v>
      </c>
      <c r="D114" t="s">
        <v>422</v>
      </c>
      <c r="E114" t="s">
        <v>57</v>
      </c>
    </row>
    <row r="115" spans="1:5" x14ac:dyDescent="0.3">
      <c r="A115">
        <v>1271</v>
      </c>
      <c r="B115">
        <v>326</v>
      </c>
      <c r="C115" s="1">
        <v>45937.612187500003</v>
      </c>
      <c r="D115" t="s">
        <v>433</v>
      </c>
      <c r="E115" t="s">
        <v>57</v>
      </c>
    </row>
    <row r="116" spans="1:5" x14ac:dyDescent="0.3">
      <c r="A116">
        <v>1274</v>
      </c>
      <c r="B116">
        <v>326</v>
      </c>
      <c r="C116" s="1">
        <v>45937.612511574072</v>
      </c>
      <c r="D116" t="s">
        <v>434</v>
      </c>
      <c r="E116" t="s">
        <v>57</v>
      </c>
    </row>
    <row r="117" spans="1:5" x14ac:dyDescent="0.3">
      <c r="A117">
        <v>1275</v>
      </c>
      <c r="B117">
        <v>326</v>
      </c>
      <c r="C117" s="1">
        <v>45937.612546296295</v>
      </c>
      <c r="D117" t="s">
        <v>423</v>
      </c>
      <c r="E117" t="s">
        <v>57</v>
      </c>
    </row>
    <row r="118" spans="1:5" x14ac:dyDescent="0.3">
      <c r="A118">
        <v>1277</v>
      </c>
      <c r="B118">
        <v>326</v>
      </c>
      <c r="C118" s="1">
        <v>45937.612905092596</v>
      </c>
      <c r="D118" t="s">
        <v>424</v>
      </c>
      <c r="E118" t="s">
        <v>57</v>
      </c>
    </row>
    <row r="119" spans="1:5" x14ac:dyDescent="0.3">
      <c r="A119">
        <v>1285</v>
      </c>
      <c r="B119">
        <v>326</v>
      </c>
      <c r="C119" s="1">
        <v>45937.613726851851</v>
      </c>
      <c r="D119" t="s">
        <v>425</v>
      </c>
      <c r="E119" t="s">
        <v>57</v>
      </c>
    </row>
    <row r="120" spans="1:5" x14ac:dyDescent="0.3">
      <c r="A120">
        <v>1287</v>
      </c>
      <c r="B120">
        <v>326</v>
      </c>
      <c r="C120" s="1">
        <v>45937.613842592589</v>
      </c>
      <c r="D120" t="s">
        <v>426</v>
      </c>
      <c r="E120" t="s">
        <v>57</v>
      </c>
    </row>
    <row r="121" spans="1:5" x14ac:dyDescent="0.3">
      <c r="A121">
        <v>1292</v>
      </c>
      <c r="B121">
        <v>326</v>
      </c>
      <c r="C121" s="1">
        <v>45937.613981481481</v>
      </c>
      <c r="D121" t="s">
        <v>427</v>
      </c>
      <c r="E121" t="s">
        <v>57</v>
      </c>
    </row>
    <row r="122" spans="1:5" x14ac:dyDescent="0.3">
      <c r="A122">
        <v>1297</v>
      </c>
      <c r="B122">
        <v>326</v>
      </c>
      <c r="C122" s="1">
        <v>45937.614710648151</v>
      </c>
      <c r="D122" t="s">
        <v>428</v>
      </c>
      <c r="E122" t="s">
        <v>57</v>
      </c>
    </row>
    <row r="123" spans="1:5" x14ac:dyDescent="0.3">
      <c r="A123">
        <v>1304</v>
      </c>
      <c r="B123">
        <v>326</v>
      </c>
      <c r="C123" s="1">
        <v>45937.616377314815</v>
      </c>
      <c r="D123" t="s">
        <v>97</v>
      </c>
      <c r="E123" t="s">
        <v>57</v>
      </c>
    </row>
    <row r="124" spans="1:5" x14ac:dyDescent="0.3">
      <c r="A124">
        <v>1306</v>
      </c>
      <c r="B124">
        <v>326</v>
      </c>
      <c r="C124" s="1">
        <v>45937.616608796299</v>
      </c>
      <c r="D124" t="s">
        <v>429</v>
      </c>
      <c r="E124" t="s">
        <v>443</v>
      </c>
    </row>
    <row r="125" spans="1:5" x14ac:dyDescent="0.3">
      <c r="A125">
        <v>1311</v>
      </c>
      <c r="B125">
        <v>326</v>
      </c>
      <c r="C125" s="1">
        <v>45937.617418981485</v>
      </c>
      <c r="D125" t="s">
        <v>431</v>
      </c>
      <c r="E125" t="s">
        <v>57</v>
      </c>
    </row>
    <row r="126" spans="1:5" x14ac:dyDescent="0.3">
      <c r="A126">
        <v>1323</v>
      </c>
      <c r="B126">
        <v>331</v>
      </c>
      <c r="C126" s="1">
        <v>45937.618657407409</v>
      </c>
      <c r="D126" t="s">
        <v>420</v>
      </c>
      <c r="E126" t="s">
        <v>436</v>
      </c>
    </row>
    <row r="127" spans="1:5" x14ac:dyDescent="0.3">
      <c r="A127">
        <v>1331</v>
      </c>
      <c r="B127">
        <v>331</v>
      </c>
      <c r="C127" s="1">
        <v>45937.618993055556</v>
      </c>
      <c r="D127" t="s">
        <v>422</v>
      </c>
      <c r="E127" t="s">
        <v>57</v>
      </c>
    </row>
    <row r="128" spans="1:5" x14ac:dyDescent="0.3">
      <c r="A128">
        <v>1338</v>
      </c>
      <c r="B128">
        <v>331</v>
      </c>
      <c r="C128" s="1">
        <v>45937.619571759256</v>
      </c>
      <c r="D128" t="s">
        <v>433</v>
      </c>
      <c r="E128" t="s">
        <v>57</v>
      </c>
    </row>
    <row r="129" spans="1:5" x14ac:dyDescent="0.3">
      <c r="A129">
        <v>1339</v>
      </c>
      <c r="B129">
        <v>331</v>
      </c>
      <c r="C129" s="1">
        <v>45937.619606481479</v>
      </c>
      <c r="D129" t="s">
        <v>434</v>
      </c>
      <c r="E129" t="s">
        <v>57</v>
      </c>
    </row>
    <row r="130" spans="1:5" x14ac:dyDescent="0.3">
      <c r="A130">
        <v>1340</v>
      </c>
      <c r="B130">
        <v>331</v>
      </c>
      <c r="C130" s="1">
        <v>45937.619641203702</v>
      </c>
      <c r="D130" t="s">
        <v>423</v>
      </c>
      <c r="E130" t="s">
        <v>57</v>
      </c>
    </row>
    <row r="131" spans="1:5" x14ac:dyDescent="0.3">
      <c r="A131">
        <v>1341</v>
      </c>
      <c r="B131">
        <v>331</v>
      </c>
      <c r="C131" s="1">
        <v>45937.619664351849</v>
      </c>
      <c r="D131" t="s">
        <v>424</v>
      </c>
      <c r="E131" t="s">
        <v>57</v>
      </c>
    </row>
    <row r="132" spans="1:5" x14ac:dyDescent="0.3">
      <c r="A132">
        <v>1343</v>
      </c>
      <c r="B132">
        <v>331</v>
      </c>
      <c r="C132" s="1">
        <v>45937.620104166665</v>
      </c>
      <c r="D132" t="s">
        <v>425</v>
      </c>
      <c r="E132" t="s">
        <v>57</v>
      </c>
    </row>
    <row r="133" spans="1:5" x14ac:dyDescent="0.3">
      <c r="A133">
        <v>1344</v>
      </c>
      <c r="B133">
        <v>331</v>
      </c>
      <c r="C133" s="1">
        <v>45937.620127314818</v>
      </c>
      <c r="D133" t="s">
        <v>426</v>
      </c>
      <c r="E133" t="s">
        <v>57</v>
      </c>
    </row>
    <row r="134" spans="1:5" x14ac:dyDescent="0.3">
      <c r="A134">
        <v>1347</v>
      </c>
      <c r="B134">
        <v>331</v>
      </c>
      <c r="C134" s="1">
        <v>45937.62023148148</v>
      </c>
      <c r="D134" t="s">
        <v>427</v>
      </c>
      <c r="E134" t="s">
        <v>57</v>
      </c>
    </row>
    <row r="135" spans="1:5" x14ac:dyDescent="0.3">
      <c r="A135">
        <v>1348</v>
      </c>
      <c r="B135">
        <v>331</v>
      </c>
      <c r="C135" s="1">
        <v>45937.620428240742</v>
      </c>
      <c r="D135" t="s">
        <v>428</v>
      </c>
      <c r="E135" t="s">
        <v>57</v>
      </c>
    </row>
    <row r="136" spans="1:5" x14ac:dyDescent="0.3">
      <c r="A136">
        <v>1356</v>
      </c>
      <c r="B136">
        <v>331</v>
      </c>
      <c r="C136" s="1">
        <v>45937.621932870374</v>
      </c>
      <c r="D136" t="s">
        <v>97</v>
      </c>
      <c r="E136" t="s">
        <v>57</v>
      </c>
    </row>
    <row r="137" spans="1:5" x14ac:dyDescent="0.3">
      <c r="A137">
        <v>1360</v>
      </c>
      <c r="B137">
        <v>331</v>
      </c>
      <c r="C137" s="1">
        <v>45937.622337962966</v>
      </c>
      <c r="D137" t="s">
        <v>429</v>
      </c>
      <c r="E137" t="s">
        <v>444</v>
      </c>
    </row>
    <row r="138" spans="1:5" x14ac:dyDescent="0.3">
      <c r="A138">
        <v>1362</v>
      </c>
      <c r="B138">
        <v>331</v>
      </c>
      <c r="C138" s="1">
        <v>45937.622800925928</v>
      </c>
      <c r="D138" t="s">
        <v>431</v>
      </c>
      <c r="E138" t="s">
        <v>57</v>
      </c>
    </row>
    <row r="139" spans="1:5" x14ac:dyDescent="0.3">
      <c r="A139">
        <v>1369</v>
      </c>
      <c r="B139">
        <v>335</v>
      </c>
      <c r="C139" s="1">
        <v>45937.623564814814</v>
      </c>
      <c r="D139" t="s">
        <v>420</v>
      </c>
      <c r="E139" t="s">
        <v>437</v>
      </c>
    </row>
    <row r="140" spans="1:5" x14ac:dyDescent="0.3">
      <c r="A140">
        <v>1370</v>
      </c>
      <c r="B140">
        <v>335</v>
      </c>
      <c r="C140" s="1">
        <v>45937.623657407406</v>
      </c>
      <c r="D140" t="s">
        <v>422</v>
      </c>
      <c r="E140" t="s">
        <v>57</v>
      </c>
    </row>
    <row r="141" spans="1:5" x14ac:dyDescent="0.3">
      <c r="A141">
        <v>1378</v>
      </c>
      <c r="B141">
        <v>335</v>
      </c>
      <c r="C141" s="1">
        <v>45937.624340277776</v>
      </c>
      <c r="D141" t="s">
        <v>433</v>
      </c>
      <c r="E141" t="s">
        <v>57</v>
      </c>
    </row>
    <row r="142" spans="1:5" x14ac:dyDescent="0.3">
      <c r="A142">
        <v>1379</v>
      </c>
      <c r="B142">
        <v>335</v>
      </c>
      <c r="C142" s="1">
        <v>45937.624467592592</v>
      </c>
      <c r="D142" t="s">
        <v>434</v>
      </c>
      <c r="E142" t="s">
        <v>57</v>
      </c>
    </row>
    <row r="143" spans="1:5" x14ac:dyDescent="0.3">
      <c r="A143">
        <v>1399</v>
      </c>
      <c r="B143">
        <v>335</v>
      </c>
      <c r="C143" s="1">
        <v>45937.627951388888</v>
      </c>
      <c r="D143" t="s">
        <v>423</v>
      </c>
      <c r="E143" t="s">
        <v>57</v>
      </c>
    </row>
    <row r="144" spans="1:5" x14ac:dyDescent="0.3">
      <c r="A144">
        <v>1400</v>
      </c>
      <c r="B144">
        <v>335</v>
      </c>
      <c r="C144" s="1">
        <v>45937.627974537034</v>
      </c>
      <c r="D144" t="s">
        <v>424</v>
      </c>
      <c r="E144" t="s">
        <v>57</v>
      </c>
    </row>
    <row r="145" spans="1:5" x14ac:dyDescent="0.3">
      <c r="A145">
        <v>1404</v>
      </c>
      <c r="B145">
        <v>335</v>
      </c>
      <c r="C145" s="1">
        <v>45937.628831018519</v>
      </c>
      <c r="D145" t="s">
        <v>425</v>
      </c>
      <c r="E145" t="s">
        <v>57</v>
      </c>
    </row>
    <row r="146" spans="1:5" x14ac:dyDescent="0.3">
      <c r="A146">
        <v>1405</v>
      </c>
      <c r="B146">
        <v>335</v>
      </c>
      <c r="C146" s="1">
        <v>45937.628865740742</v>
      </c>
      <c r="D146" t="s">
        <v>426</v>
      </c>
      <c r="E146" t="s">
        <v>57</v>
      </c>
    </row>
    <row r="147" spans="1:5" x14ac:dyDescent="0.3">
      <c r="A147">
        <v>1410</v>
      </c>
      <c r="B147">
        <v>335</v>
      </c>
      <c r="C147" s="1">
        <v>45937.629502314812</v>
      </c>
      <c r="D147" t="s">
        <v>427</v>
      </c>
      <c r="E147" t="s">
        <v>57</v>
      </c>
    </row>
    <row r="148" spans="1:5" x14ac:dyDescent="0.3">
      <c r="A148">
        <v>1411</v>
      </c>
      <c r="B148">
        <v>335</v>
      </c>
      <c r="C148" s="1">
        <v>45937.629930555559</v>
      </c>
      <c r="D148" t="s">
        <v>428</v>
      </c>
      <c r="E148" t="s">
        <v>57</v>
      </c>
    </row>
    <row r="149" spans="1:5" x14ac:dyDescent="0.3">
      <c r="A149">
        <v>1415</v>
      </c>
      <c r="B149">
        <v>335</v>
      </c>
      <c r="C149" s="1">
        <v>45937.63113425926</v>
      </c>
      <c r="D149" t="s">
        <v>97</v>
      </c>
      <c r="E149" t="s">
        <v>57</v>
      </c>
    </row>
    <row r="150" spans="1:5" x14ac:dyDescent="0.3">
      <c r="A150">
        <v>1418</v>
      </c>
      <c r="B150">
        <v>335</v>
      </c>
      <c r="C150" s="1">
        <v>45937.631423611114</v>
      </c>
      <c r="D150" t="s">
        <v>429</v>
      </c>
      <c r="E150" t="s">
        <v>445</v>
      </c>
    </row>
    <row r="151" spans="1:5" x14ac:dyDescent="0.3">
      <c r="A151">
        <v>1422</v>
      </c>
      <c r="B151">
        <v>335</v>
      </c>
      <c r="C151" s="1">
        <v>45937.631990740738</v>
      </c>
      <c r="D151" t="s">
        <v>431</v>
      </c>
      <c r="E151" t="s">
        <v>57</v>
      </c>
    </row>
    <row r="152" spans="1:5" x14ac:dyDescent="0.3">
      <c r="A152">
        <v>1229</v>
      </c>
      <c r="B152">
        <v>323</v>
      </c>
      <c r="C152" s="1">
        <v>45937.59584490741</v>
      </c>
      <c r="D152" t="s">
        <v>420</v>
      </c>
      <c r="E152" t="s">
        <v>421</v>
      </c>
    </row>
    <row r="153" spans="1:5" x14ac:dyDescent="0.3">
      <c r="A153">
        <v>1230</v>
      </c>
      <c r="B153">
        <v>323</v>
      </c>
      <c r="C153" s="1">
        <v>45937.596643518518</v>
      </c>
      <c r="D153" t="s">
        <v>422</v>
      </c>
      <c r="E153" t="s">
        <v>57</v>
      </c>
    </row>
    <row r="154" spans="1:5" x14ac:dyDescent="0.3">
      <c r="A154">
        <v>1233</v>
      </c>
      <c r="B154">
        <v>323</v>
      </c>
      <c r="C154" s="1">
        <v>45937.598321759258</v>
      </c>
      <c r="D154" t="s">
        <v>423</v>
      </c>
      <c r="E154" t="s">
        <v>57</v>
      </c>
    </row>
    <row r="155" spans="1:5" x14ac:dyDescent="0.3">
      <c r="A155">
        <v>1238</v>
      </c>
      <c r="B155">
        <v>323</v>
      </c>
      <c r="C155" s="1">
        <v>45937.601157407407</v>
      </c>
      <c r="D155" t="s">
        <v>424</v>
      </c>
      <c r="E155" t="s">
        <v>57</v>
      </c>
    </row>
    <row r="156" spans="1:5" x14ac:dyDescent="0.3">
      <c r="A156">
        <v>1240</v>
      </c>
      <c r="B156">
        <v>323</v>
      </c>
      <c r="C156" s="1">
        <v>45937.601701388892</v>
      </c>
      <c r="D156" t="s">
        <v>425</v>
      </c>
      <c r="E156" t="s">
        <v>57</v>
      </c>
    </row>
    <row r="157" spans="1:5" x14ac:dyDescent="0.3">
      <c r="A157">
        <v>1241</v>
      </c>
      <c r="B157">
        <v>323</v>
      </c>
      <c r="C157" s="1">
        <v>45937.601759259262</v>
      </c>
      <c r="D157" t="s">
        <v>426</v>
      </c>
      <c r="E157" t="s">
        <v>57</v>
      </c>
    </row>
    <row r="158" spans="1:5" x14ac:dyDescent="0.3">
      <c r="A158">
        <v>1243</v>
      </c>
      <c r="B158">
        <v>323</v>
      </c>
      <c r="C158" s="1">
        <v>45937.602337962962</v>
      </c>
      <c r="D158" t="s">
        <v>427</v>
      </c>
      <c r="E158" t="s">
        <v>57</v>
      </c>
    </row>
    <row r="159" spans="1:5" x14ac:dyDescent="0.3">
      <c r="A159">
        <v>1253</v>
      </c>
      <c r="B159">
        <v>323</v>
      </c>
      <c r="C159" s="1">
        <v>45937.606562499997</v>
      </c>
      <c r="D159" t="s">
        <v>428</v>
      </c>
      <c r="E159" t="s">
        <v>57</v>
      </c>
    </row>
    <row r="160" spans="1:5" x14ac:dyDescent="0.3">
      <c r="A160">
        <v>1254</v>
      </c>
      <c r="B160">
        <v>323</v>
      </c>
      <c r="C160" s="1">
        <v>45937.606921296298</v>
      </c>
      <c r="D160" t="s">
        <v>97</v>
      </c>
      <c r="E160" t="s">
        <v>57</v>
      </c>
    </row>
    <row r="161" spans="1:5" x14ac:dyDescent="0.3">
      <c r="A161">
        <v>1256</v>
      </c>
      <c r="B161">
        <v>323</v>
      </c>
      <c r="C161" s="1">
        <v>45937.607511574075</v>
      </c>
      <c r="D161" t="s">
        <v>429</v>
      </c>
      <c r="E161" t="s">
        <v>446</v>
      </c>
    </row>
    <row r="162" spans="1:5" x14ac:dyDescent="0.3">
      <c r="A162">
        <v>1259</v>
      </c>
      <c r="B162">
        <v>323</v>
      </c>
      <c r="C162" s="1">
        <v>45937.608668981484</v>
      </c>
      <c r="D162" t="s">
        <v>431</v>
      </c>
      <c r="E162" t="s">
        <v>57</v>
      </c>
    </row>
    <row r="163" spans="1:5" x14ac:dyDescent="0.3">
      <c r="A163">
        <v>1266</v>
      </c>
      <c r="B163">
        <v>327</v>
      </c>
      <c r="C163" s="1">
        <v>45937.611296296294</v>
      </c>
      <c r="D163" t="s">
        <v>420</v>
      </c>
      <c r="E163" t="s">
        <v>432</v>
      </c>
    </row>
    <row r="164" spans="1:5" x14ac:dyDescent="0.3">
      <c r="A164">
        <v>1267</v>
      </c>
      <c r="B164">
        <v>327</v>
      </c>
      <c r="C164" s="1">
        <v>45937.611354166664</v>
      </c>
      <c r="D164" t="s">
        <v>422</v>
      </c>
      <c r="E164" t="s">
        <v>57</v>
      </c>
    </row>
    <row r="165" spans="1:5" x14ac:dyDescent="0.3">
      <c r="A165">
        <v>1272</v>
      </c>
      <c r="B165">
        <v>327</v>
      </c>
      <c r="C165" s="1">
        <v>45937.612280092595</v>
      </c>
      <c r="D165" t="s">
        <v>433</v>
      </c>
      <c r="E165" t="s">
        <v>57</v>
      </c>
    </row>
    <row r="166" spans="1:5" x14ac:dyDescent="0.3">
      <c r="A166">
        <v>1276</v>
      </c>
      <c r="B166">
        <v>327</v>
      </c>
      <c r="C166" s="1">
        <v>45937.612696759257</v>
      </c>
      <c r="D166" t="s">
        <v>434</v>
      </c>
      <c r="E166" t="s">
        <v>57</v>
      </c>
    </row>
    <row r="167" spans="1:5" x14ac:dyDescent="0.3">
      <c r="A167">
        <v>1278</v>
      </c>
      <c r="B167">
        <v>327</v>
      </c>
      <c r="C167" s="1">
        <v>45937.613043981481</v>
      </c>
      <c r="D167" t="s">
        <v>423</v>
      </c>
      <c r="E167" t="s">
        <v>57</v>
      </c>
    </row>
    <row r="168" spans="1:5" x14ac:dyDescent="0.3">
      <c r="A168">
        <v>1279</v>
      </c>
      <c r="B168">
        <v>327</v>
      </c>
      <c r="C168" s="1">
        <v>45937.61309027778</v>
      </c>
      <c r="D168" t="s">
        <v>424</v>
      </c>
      <c r="E168" t="s">
        <v>57</v>
      </c>
    </row>
    <row r="169" spans="1:5" x14ac:dyDescent="0.3">
      <c r="A169">
        <v>1280</v>
      </c>
      <c r="B169">
        <v>327</v>
      </c>
      <c r="C169" s="1">
        <v>45937.613125000003</v>
      </c>
      <c r="D169" t="s">
        <v>425</v>
      </c>
      <c r="E169" t="s">
        <v>57</v>
      </c>
    </row>
    <row r="170" spans="1:5" x14ac:dyDescent="0.3">
      <c r="A170">
        <v>1281</v>
      </c>
      <c r="B170">
        <v>327</v>
      </c>
      <c r="C170" s="1">
        <v>45937.613171296296</v>
      </c>
      <c r="D170" t="s">
        <v>426</v>
      </c>
      <c r="E170" t="s">
        <v>57</v>
      </c>
    </row>
    <row r="171" spans="1:5" x14ac:dyDescent="0.3">
      <c r="A171">
        <v>1284</v>
      </c>
      <c r="B171">
        <v>327</v>
      </c>
      <c r="C171" s="1">
        <v>45937.613611111112</v>
      </c>
      <c r="D171" t="s">
        <v>427</v>
      </c>
      <c r="E171" t="s">
        <v>57</v>
      </c>
    </row>
    <row r="172" spans="1:5" x14ac:dyDescent="0.3">
      <c r="A172">
        <v>1300</v>
      </c>
      <c r="B172">
        <v>327</v>
      </c>
      <c r="C172" s="1">
        <v>45937.615208333336</v>
      </c>
      <c r="D172" t="s">
        <v>428</v>
      </c>
      <c r="E172" t="s">
        <v>57</v>
      </c>
    </row>
    <row r="173" spans="1:5" x14ac:dyDescent="0.3">
      <c r="A173">
        <v>1302</v>
      </c>
      <c r="B173">
        <v>327</v>
      </c>
      <c r="C173" s="1">
        <v>45937.615914351853</v>
      </c>
      <c r="D173" t="s">
        <v>97</v>
      </c>
      <c r="E173" t="s">
        <v>57</v>
      </c>
    </row>
    <row r="174" spans="1:5" x14ac:dyDescent="0.3">
      <c r="A174">
        <v>1303</v>
      </c>
      <c r="B174">
        <v>327</v>
      </c>
      <c r="C174" s="1">
        <v>45937.616226851853</v>
      </c>
      <c r="D174" t="s">
        <v>429</v>
      </c>
      <c r="E174" t="s">
        <v>447</v>
      </c>
    </row>
    <row r="175" spans="1:5" x14ac:dyDescent="0.3">
      <c r="A175">
        <v>1307</v>
      </c>
      <c r="B175">
        <v>327</v>
      </c>
      <c r="C175" s="1">
        <v>45937.616805555554</v>
      </c>
      <c r="D175" t="s">
        <v>431</v>
      </c>
      <c r="E175" t="s">
        <v>57</v>
      </c>
    </row>
    <row r="176" spans="1:5" x14ac:dyDescent="0.3">
      <c r="A176">
        <v>1310</v>
      </c>
      <c r="B176">
        <v>330</v>
      </c>
      <c r="C176" s="1">
        <v>45937.617372685185</v>
      </c>
      <c r="D176" t="s">
        <v>420</v>
      </c>
      <c r="E176" t="s">
        <v>436</v>
      </c>
    </row>
    <row r="177" spans="1:5" x14ac:dyDescent="0.3">
      <c r="A177">
        <v>1313</v>
      </c>
      <c r="B177">
        <v>330</v>
      </c>
      <c r="C177" s="1">
        <v>45937.617685185185</v>
      </c>
      <c r="D177" t="s">
        <v>422</v>
      </c>
      <c r="E177" t="s">
        <v>57</v>
      </c>
    </row>
    <row r="178" spans="1:5" x14ac:dyDescent="0.3">
      <c r="A178">
        <v>1321</v>
      </c>
      <c r="B178">
        <v>330</v>
      </c>
      <c r="C178" s="1">
        <v>45937.618333333332</v>
      </c>
      <c r="D178" t="s">
        <v>433</v>
      </c>
      <c r="E178" t="s">
        <v>57</v>
      </c>
    </row>
    <row r="179" spans="1:5" x14ac:dyDescent="0.3">
      <c r="A179">
        <v>1322</v>
      </c>
      <c r="B179">
        <v>330</v>
      </c>
      <c r="C179" s="1">
        <v>45937.618368055555</v>
      </c>
      <c r="D179" t="s">
        <v>434</v>
      </c>
      <c r="E179" t="s">
        <v>57</v>
      </c>
    </row>
    <row r="180" spans="1:5" x14ac:dyDescent="0.3">
      <c r="A180">
        <v>1324</v>
      </c>
      <c r="B180">
        <v>330</v>
      </c>
      <c r="C180" s="1">
        <v>45937.618715277778</v>
      </c>
      <c r="D180" t="s">
        <v>423</v>
      </c>
      <c r="E180" t="s">
        <v>57</v>
      </c>
    </row>
    <row r="181" spans="1:5" x14ac:dyDescent="0.3">
      <c r="A181">
        <v>1325</v>
      </c>
      <c r="B181">
        <v>330</v>
      </c>
      <c r="C181" s="1">
        <v>45937.618738425925</v>
      </c>
      <c r="D181" t="s">
        <v>424</v>
      </c>
      <c r="E181" t="s">
        <v>57</v>
      </c>
    </row>
    <row r="182" spans="1:5" x14ac:dyDescent="0.3">
      <c r="A182">
        <v>1326</v>
      </c>
      <c r="B182">
        <v>330</v>
      </c>
      <c r="C182" s="1">
        <v>45937.618773148148</v>
      </c>
      <c r="D182" t="s">
        <v>425</v>
      </c>
      <c r="E182" t="s">
        <v>57</v>
      </c>
    </row>
    <row r="183" spans="1:5" x14ac:dyDescent="0.3">
      <c r="A183">
        <v>1327</v>
      </c>
      <c r="B183">
        <v>330</v>
      </c>
      <c r="C183" s="1">
        <v>45937.618784722225</v>
      </c>
      <c r="D183" t="s">
        <v>426</v>
      </c>
      <c r="E183" t="s">
        <v>57</v>
      </c>
    </row>
    <row r="184" spans="1:5" x14ac:dyDescent="0.3">
      <c r="A184">
        <v>1330</v>
      </c>
      <c r="B184">
        <v>330</v>
      </c>
      <c r="C184" s="1">
        <v>45937.61891203704</v>
      </c>
      <c r="D184" t="s">
        <v>427</v>
      </c>
      <c r="E184" t="s">
        <v>57</v>
      </c>
    </row>
    <row r="185" spans="1:5" x14ac:dyDescent="0.3">
      <c r="A185">
        <v>1349</v>
      </c>
      <c r="B185">
        <v>330</v>
      </c>
      <c r="C185" s="1">
        <v>45937.620497685188</v>
      </c>
      <c r="D185" t="s">
        <v>428</v>
      </c>
      <c r="E185" t="s">
        <v>57</v>
      </c>
    </row>
    <row r="186" spans="1:5" x14ac:dyDescent="0.3">
      <c r="A186">
        <v>1351</v>
      </c>
      <c r="B186">
        <v>330</v>
      </c>
      <c r="C186" s="1">
        <v>45937.620844907404</v>
      </c>
      <c r="D186" t="s">
        <v>97</v>
      </c>
      <c r="E186" t="s">
        <v>57</v>
      </c>
    </row>
    <row r="187" spans="1:5" x14ac:dyDescent="0.3">
      <c r="A187">
        <v>1353</v>
      </c>
      <c r="B187">
        <v>330</v>
      </c>
      <c r="C187" s="1">
        <v>45937.621157407404</v>
      </c>
      <c r="D187" t="s">
        <v>429</v>
      </c>
      <c r="E187" t="s">
        <v>448</v>
      </c>
    </row>
    <row r="188" spans="1:5" x14ac:dyDescent="0.3">
      <c r="A188">
        <v>1354</v>
      </c>
      <c r="B188">
        <v>330</v>
      </c>
      <c r="C188" s="1">
        <v>45937.621516203704</v>
      </c>
      <c r="D188" t="s">
        <v>431</v>
      </c>
      <c r="E188" t="s">
        <v>57</v>
      </c>
    </row>
    <row r="189" spans="1:5" x14ac:dyDescent="0.3">
      <c r="A189">
        <v>1357</v>
      </c>
      <c r="B189">
        <v>333</v>
      </c>
      <c r="C189" s="1">
        <v>45937.622094907405</v>
      </c>
      <c r="D189" t="s">
        <v>420</v>
      </c>
      <c r="E189" t="s">
        <v>437</v>
      </c>
    </row>
    <row r="190" spans="1:5" x14ac:dyDescent="0.3">
      <c r="A190">
        <v>1358</v>
      </c>
      <c r="B190">
        <v>333</v>
      </c>
      <c r="C190" s="1">
        <v>45937.622141203705</v>
      </c>
      <c r="D190" t="s">
        <v>422</v>
      </c>
      <c r="E190" t="s">
        <v>57</v>
      </c>
    </row>
    <row r="191" spans="1:5" x14ac:dyDescent="0.3">
      <c r="A191">
        <v>1365</v>
      </c>
      <c r="B191">
        <v>333</v>
      </c>
      <c r="C191" s="1">
        <v>45937.623263888891</v>
      </c>
      <c r="D191" t="s">
        <v>433</v>
      </c>
      <c r="E191" t="s">
        <v>57</v>
      </c>
    </row>
    <row r="192" spans="1:5" x14ac:dyDescent="0.3">
      <c r="A192">
        <v>1380</v>
      </c>
      <c r="B192">
        <v>333</v>
      </c>
      <c r="C192" s="1">
        <v>45937.624675925923</v>
      </c>
      <c r="D192" t="s">
        <v>434</v>
      </c>
      <c r="E192" t="s">
        <v>57</v>
      </c>
    </row>
    <row r="193" spans="1:5" x14ac:dyDescent="0.3">
      <c r="A193">
        <v>1382</v>
      </c>
      <c r="B193">
        <v>333</v>
      </c>
      <c r="C193" s="1">
        <v>45937.625138888892</v>
      </c>
      <c r="D193" t="s">
        <v>423</v>
      </c>
      <c r="E193" t="s">
        <v>57</v>
      </c>
    </row>
    <row r="194" spans="1:5" x14ac:dyDescent="0.3">
      <c r="A194">
        <v>1383</v>
      </c>
      <c r="B194">
        <v>333</v>
      </c>
      <c r="C194" s="1">
        <v>45937.625162037039</v>
      </c>
      <c r="D194" t="s">
        <v>424</v>
      </c>
      <c r="E194" t="s">
        <v>57</v>
      </c>
    </row>
    <row r="195" spans="1:5" x14ac:dyDescent="0.3">
      <c r="A195">
        <v>1384</v>
      </c>
      <c r="B195">
        <v>333</v>
      </c>
      <c r="C195" s="1">
        <v>45937.625196759262</v>
      </c>
      <c r="D195" t="s">
        <v>425</v>
      </c>
      <c r="E195" t="s">
        <v>57</v>
      </c>
    </row>
    <row r="196" spans="1:5" x14ac:dyDescent="0.3">
      <c r="A196">
        <v>1385</v>
      </c>
      <c r="B196">
        <v>333</v>
      </c>
      <c r="C196" s="1">
        <v>45937.625208333331</v>
      </c>
      <c r="D196" t="s">
        <v>426</v>
      </c>
      <c r="E196" t="s">
        <v>57</v>
      </c>
    </row>
    <row r="197" spans="1:5" x14ac:dyDescent="0.3">
      <c r="A197">
        <v>1387</v>
      </c>
      <c r="B197">
        <v>333</v>
      </c>
      <c r="C197" s="1">
        <v>45937.625358796293</v>
      </c>
      <c r="D197" t="s">
        <v>427</v>
      </c>
      <c r="E197" t="s">
        <v>57</v>
      </c>
    </row>
    <row r="198" spans="1:5" x14ac:dyDescent="0.3">
      <c r="A198">
        <v>1389</v>
      </c>
      <c r="B198">
        <v>333</v>
      </c>
      <c r="C198" s="1">
        <v>45937.626168981478</v>
      </c>
      <c r="D198" t="s">
        <v>428</v>
      </c>
      <c r="E198" t="s">
        <v>57</v>
      </c>
    </row>
    <row r="199" spans="1:5" x14ac:dyDescent="0.3">
      <c r="A199">
        <v>1391</v>
      </c>
      <c r="B199">
        <v>333</v>
      </c>
      <c r="C199" s="1">
        <v>45937.626423611109</v>
      </c>
      <c r="D199" t="s">
        <v>97</v>
      </c>
      <c r="E199" t="s">
        <v>57</v>
      </c>
    </row>
    <row r="200" spans="1:5" x14ac:dyDescent="0.3">
      <c r="A200">
        <v>1394</v>
      </c>
      <c r="B200">
        <v>333</v>
      </c>
      <c r="C200" s="1">
        <v>45937.626736111109</v>
      </c>
      <c r="D200" t="s">
        <v>429</v>
      </c>
      <c r="E200" t="s">
        <v>449</v>
      </c>
    </row>
    <row r="201" spans="1:5" x14ac:dyDescent="0.3">
      <c r="A201">
        <v>1395</v>
      </c>
      <c r="B201">
        <v>333</v>
      </c>
      <c r="C201" s="1">
        <v>45937.626921296294</v>
      </c>
      <c r="D201" t="s">
        <v>431</v>
      </c>
      <c r="E201" t="s">
        <v>57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21D64-16C9-4BA5-B878-F2C5E0B603A6}">
  <dimension ref="A1:I28"/>
  <sheetViews>
    <sheetView workbookViewId="0"/>
  </sheetViews>
  <sheetFormatPr defaultRowHeight="14.4" x14ac:dyDescent="0.3"/>
  <cols>
    <col min="1" max="1" width="4.88671875" bestFit="1" customWidth="1"/>
    <col min="2" max="2" width="7.5546875" bestFit="1" customWidth="1"/>
    <col min="3" max="3" width="7.33203125" bestFit="1" customWidth="1"/>
    <col min="4" max="4" width="16.5546875" bestFit="1" customWidth="1"/>
    <col min="5" max="5" width="14" bestFit="1" customWidth="1"/>
    <col min="6" max="6" width="8" bestFit="1" customWidth="1"/>
    <col min="7" max="7" width="24.33203125" bestFit="1" customWidth="1"/>
    <col min="8" max="8" width="23.77734375" bestFit="1" customWidth="1"/>
    <col min="9" max="9" width="15.109375" bestFit="1" customWidth="1"/>
  </cols>
  <sheetData>
    <row r="1" spans="1:9" x14ac:dyDescent="0.3">
      <c r="A1" t="s">
        <v>0</v>
      </c>
      <c r="B1" t="s">
        <v>336</v>
      </c>
      <c r="C1" t="s">
        <v>72</v>
      </c>
      <c r="D1" t="s">
        <v>416</v>
      </c>
      <c r="E1" t="s">
        <v>344</v>
      </c>
      <c r="F1" t="s">
        <v>345</v>
      </c>
      <c r="G1" t="s">
        <v>417</v>
      </c>
      <c r="H1" t="s">
        <v>418</v>
      </c>
      <c r="I1" t="s">
        <v>19</v>
      </c>
    </row>
    <row r="2" spans="1:9" x14ac:dyDescent="0.3">
      <c r="A2">
        <v>245</v>
      </c>
      <c r="B2">
        <v>425000</v>
      </c>
      <c r="C2" t="s">
        <v>359</v>
      </c>
      <c r="D2">
        <v>1</v>
      </c>
      <c r="E2" t="s">
        <v>360</v>
      </c>
      <c r="F2">
        <v>9</v>
      </c>
      <c r="G2">
        <v>0</v>
      </c>
      <c r="H2">
        <v>0</v>
      </c>
      <c r="I2">
        <v>32</v>
      </c>
    </row>
    <row r="3" spans="1:9" x14ac:dyDescent="0.3">
      <c r="A3">
        <v>246</v>
      </c>
      <c r="B3">
        <v>200000</v>
      </c>
      <c r="C3" t="s">
        <v>392</v>
      </c>
      <c r="D3">
        <v>4</v>
      </c>
      <c r="E3" t="s">
        <v>393</v>
      </c>
      <c r="F3">
        <v>6</v>
      </c>
      <c r="G3">
        <v>1</v>
      </c>
      <c r="H3">
        <v>1</v>
      </c>
      <c r="I3">
        <v>32</v>
      </c>
    </row>
    <row r="4" spans="1:9" x14ac:dyDescent="0.3">
      <c r="A4">
        <v>247</v>
      </c>
      <c r="B4">
        <v>425000</v>
      </c>
      <c r="C4" t="s">
        <v>394</v>
      </c>
      <c r="D4">
        <v>4</v>
      </c>
      <c r="E4" t="s">
        <v>395</v>
      </c>
      <c r="F4">
        <v>9</v>
      </c>
      <c r="G4">
        <v>1</v>
      </c>
      <c r="H4">
        <v>1</v>
      </c>
      <c r="I4">
        <v>32</v>
      </c>
    </row>
    <row r="5" spans="1:9" x14ac:dyDescent="0.3">
      <c r="A5">
        <v>248</v>
      </c>
      <c r="B5">
        <v>200000</v>
      </c>
      <c r="C5" t="s">
        <v>362</v>
      </c>
      <c r="D5">
        <v>1</v>
      </c>
      <c r="E5" t="s">
        <v>363</v>
      </c>
      <c r="F5">
        <v>6</v>
      </c>
      <c r="G5">
        <v>0</v>
      </c>
      <c r="H5">
        <v>0</v>
      </c>
      <c r="I5">
        <v>32</v>
      </c>
    </row>
    <row r="6" spans="1:9" x14ac:dyDescent="0.3">
      <c r="A6">
        <v>249</v>
      </c>
      <c r="B6">
        <v>200000</v>
      </c>
      <c r="C6" t="s">
        <v>365</v>
      </c>
      <c r="D6">
        <v>1</v>
      </c>
      <c r="E6" t="s">
        <v>366</v>
      </c>
      <c r="F6">
        <v>6</v>
      </c>
      <c r="G6">
        <v>0</v>
      </c>
      <c r="H6">
        <v>0</v>
      </c>
      <c r="I6">
        <v>32</v>
      </c>
    </row>
    <row r="7" spans="1:9" x14ac:dyDescent="0.3">
      <c r="A7">
        <v>250</v>
      </c>
      <c r="B7">
        <v>100000</v>
      </c>
      <c r="C7" t="s">
        <v>396</v>
      </c>
      <c r="D7">
        <v>4</v>
      </c>
      <c r="E7" t="s">
        <v>397</v>
      </c>
      <c r="F7">
        <v>3</v>
      </c>
      <c r="G7">
        <v>1</v>
      </c>
      <c r="H7">
        <v>1</v>
      </c>
      <c r="I7">
        <v>32</v>
      </c>
    </row>
    <row r="8" spans="1:9" x14ac:dyDescent="0.3">
      <c r="A8">
        <v>251</v>
      </c>
      <c r="B8">
        <v>100000</v>
      </c>
      <c r="C8" t="s">
        <v>368</v>
      </c>
      <c r="D8">
        <v>1</v>
      </c>
      <c r="E8" t="s">
        <v>369</v>
      </c>
      <c r="F8">
        <v>3</v>
      </c>
      <c r="G8">
        <v>0</v>
      </c>
      <c r="H8">
        <v>0</v>
      </c>
      <c r="I8">
        <v>32</v>
      </c>
    </row>
    <row r="9" spans="1:9" x14ac:dyDescent="0.3">
      <c r="A9">
        <v>252</v>
      </c>
      <c r="B9">
        <v>300000</v>
      </c>
      <c r="C9" t="s">
        <v>370</v>
      </c>
      <c r="D9">
        <v>1</v>
      </c>
      <c r="E9" t="s">
        <v>371</v>
      </c>
      <c r="F9">
        <v>8</v>
      </c>
      <c r="G9">
        <v>0</v>
      </c>
      <c r="H9">
        <v>0</v>
      </c>
      <c r="I9">
        <v>33</v>
      </c>
    </row>
    <row r="10" spans="1:9" x14ac:dyDescent="0.3">
      <c r="A10">
        <v>253</v>
      </c>
      <c r="B10">
        <v>300000</v>
      </c>
      <c r="C10" t="s">
        <v>372</v>
      </c>
      <c r="D10">
        <v>1</v>
      </c>
      <c r="E10" t="s">
        <v>373</v>
      </c>
      <c r="F10">
        <v>8</v>
      </c>
      <c r="G10">
        <v>0</v>
      </c>
      <c r="H10">
        <v>0</v>
      </c>
      <c r="I10">
        <v>33</v>
      </c>
    </row>
    <row r="11" spans="1:9" x14ac:dyDescent="0.3">
      <c r="A11">
        <v>254</v>
      </c>
      <c r="B11">
        <v>300000</v>
      </c>
      <c r="C11" t="s">
        <v>398</v>
      </c>
      <c r="D11">
        <v>4</v>
      </c>
      <c r="E11" t="s">
        <v>399</v>
      </c>
      <c r="F11">
        <v>8</v>
      </c>
      <c r="G11">
        <v>0</v>
      </c>
      <c r="H11">
        <v>0</v>
      </c>
      <c r="I11">
        <v>33</v>
      </c>
    </row>
    <row r="12" spans="1:9" x14ac:dyDescent="0.3">
      <c r="A12">
        <v>255</v>
      </c>
      <c r="B12">
        <v>160000</v>
      </c>
      <c r="C12" t="s">
        <v>374</v>
      </c>
      <c r="D12">
        <v>1</v>
      </c>
      <c r="E12" t="s">
        <v>375</v>
      </c>
      <c r="F12">
        <v>5</v>
      </c>
      <c r="G12">
        <v>0</v>
      </c>
      <c r="H12">
        <v>0</v>
      </c>
      <c r="I12">
        <v>33</v>
      </c>
    </row>
    <row r="13" spans="1:9" x14ac:dyDescent="0.3">
      <c r="A13">
        <v>256</v>
      </c>
      <c r="B13">
        <v>160000</v>
      </c>
      <c r="C13" t="s">
        <v>376</v>
      </c>
      <c r="D13">
        <v>1</v>
      </c>
      <c r="E13" t="s">
        <v>377</v>
      </c>
      <c r="F13">
        <v>5</v>
      </c>
      <c r="G13">
        <v>0</v>
      </c>
      <c r="H13">
        <v>0</v>
      </c>
      <c r="I13">
        <v>33</v>
      </c>
    </row>
    <row r="14" spans="1:9" x14ac:dyDescent="0.3">
      <c r="A14">
        <v>257</v>
      </c>
      <c r="B14">
        <v>160000</v>
      </c>
      <c r="C14" t="s">
        <v>400</v>
      </c>
      <c r="D14">
        <v>4</v>
      </c>
      <c r="E14" t="s">
        <v>401</v>
      </c>
      <c r="F14">
        <v>5</v>
      </c>
      <c r="G14">
        <v>1</v>
      </c>
      <c r="H14">
        <v>0</v>
      </c>
      <c r="I14">
        <v>33</v>
      </c>
    </row>
    <row r="15" spans="1:9" x14ac:dyDescent="0.3">
      <c r="A15">
        <v>258</v>
      </c>
      <c r="B15">
        <v>160000</v>
      </c>
      <c r="C15" t="s">
        <v>402</v>
      </c>
      <c r="D15">
        <v>4</v>
      </c>
      <c r="E15" t="s">
        <v>403</v>
      </c>
      <c r="F15">
        <v>5</v>
      </c>
      <c r="G15">
        <v>1</v>
      </c>
      <c r="H15">
        <v>2</v>
      </c>
      <c r="I15">
        <v>33</v>
      </c>
    </row>
    <row r="16" spans="1:9" x14ac:dyDescent="0.3">
      <c r="A16">
        <v>259</v>
      </c>
      <c r="B16">
        <v>80000</v>
      </c>
      <c r="C16" t="s">
        <v>404</v>
      </c>
      <c r="D16">
        <v>4</v>
      </c>
      <c r="E16" t="s">
        <v>405</v>
      </c>
      <c r="F16">
        <v>2</v>
      </c>
      <c r="G16">
        <v>1</v>
      </c>
      <c r="H16">
        <v>2</v>
      </c>
      <c r="I16">
        <v>33</v>
      </c>
    </row>
    <row r="17" spans="1:9" x14ac:dyDescent="0.3">
      <c r="A17">
        <v>260</v>
      </c>
      <c r="B17">
        <v>80000</v>
      </c>
      <c r="C17" t="s">
        <v>378</v>
      </c>
      <c r="D17">
        <v>1</v>
      </c>
      <c r="E17" t="s">
        <v>379</v>
      </c>
      <c r="F17">
        <v>2</v>
      </c>
      <c r="G17">
        <v>0</v>
      </c>
      <c r="H17">
        <v>0</v>
      </c>
      <c r="I17">
        <v>33</v>
      </c>
    </row>
    <row r="18" spans="1:9" x14ac:dyDescent="0.3">
      <c r="A18">
        <v>261</v>
      </c>
      <c r="B18">
        <v>80000</v>
      </c>
      <c r="C18" t="s">
        <v>380</v>
      </c>
      <c r="D18">
        <v>1</v>
      </c>
      <c r="E18" t="s">
        <v>381</v>
      </c>
      <c r="F18">
        <v>2</v>
      </c>
      <c r="G18">
        <v>0</v>
      </c>
      <c r="H18">
        <v>0</v>
      </c>
      <c r="I18">
        <v>33</v>
      </c>
    </row>
    <row r="19" spans="1:9" x14ac:dyDescent="0.3">
      <c r="A19">
        <v>262</v>
      </c>
      <c r="B19">
        <v>200000</v>
      </c>
      <c r="C19" t="s">
        <v>382</v>
      </c>
      <c r="D19">
        <v>1</v>
      </c>
      <c r="E19" t="s">
        <v>383</v>
      </c>
      <c r="F19">
        <v>6</v>
      </c>
      <c r="G19">
        <v>0</v>
      </c>
      <c r="H19">
        <v>0</v>
      </c>
      <c r="I19">
        <v>34</v>
      </c>
    </row>
    <row r="20" spans="1:9" x14ac:dyDescent="0.3">
      <c r="A20">
        <v>263</v>
      </c>
      <c r="B20">
        <v>200000</v>
      </c>
      <c r="C20" t="s">
        <v>406</v>
      </c>
      <c r="D20">
        <v>4</v>
      </c>
      <c r="E20" t="s">
        <v>407</v>
      </c>
      <c r="F20">
        <v>6</v>
      </c>
      <c r="G20">
        <v>0</v>
      </c>
      <c r="H20">
        <v>1</v>
      </c>
      <c r="I20">
        <v>34</v>
      </c>
    </row>
    <row r="21" spans="1:9" x14ac:dyDescent="0.3">
      <c r="A21">
        <v>264</v>
      </c>
      <c r="B21">
        <v>200000</v>
      </c>
      <c r="C21" t="s">
        <v>408</v>
      </c>
      <c r="D21">
        <v>4</v>
      </c>
      <c r="E21" t="s">
        <v>409</v>
      </c>
      <c r="F21">
        <v>6</v>
      </c>
      <c r="G21">
        <v>1</v>
      </c>
      <c r="H21">
        <v>1</v>
      </c>
      <c r="I21">
        <v>34</v>
      </c>
    </row>
    <row r="22" spans="1:9" x14ac:dyDescent="0.3">
      <c r="A22">
        <v>265</v>
      </c>
      <c r="B22">
        <v>125000</v>
      </c>
      <c r="C22" t="s">
        <v>384</v>
      </c>
      <c r="D22">
        <v>1</v>
      </c>
      <c r="E22" t="s">
        <v>385</v>
      </c>
      <c r="F22">
        <v>4</v>
      </c>
      <c r="G22">
        <v>0</v>
      </c>
      <c r="H22">
        <v>0</v>
      </c>
      <c r="I22">
        <v>34</v>
      </c>
    </row>
    <row r="23" spans="1:9" x14ac:dyDescent="0.3">
      <c r="A23">
        <v>266</v>
      </c>
      <c r="B23">
        <v>125000</v>
      </c>
      <c r="C23" t="s">
        <v>386</v>
      </c>
      <c r="D23">
        <v>1</v>
      </c>
      <c r="E23" t="s">
        <v>387</v>
      </c>
      <c r="F23">
        <v>4</v>
      </c>
      <c r="G23">
        <v>0</v>
      </c>
      <c r="H23">
        <v>0</v>
      </c>
      <c r="I23">
        <v>34</v>
      </c>
    </row>
    <row r="24" spans="1:9" x14ac:dyDescent="0.3">
      <c r="A24">
        <v>267</v>
      </c>
      <c r="B24">
        <v>125000</v>
      </c>
      <c r="C24" t="s">
        <v>410</v>
      </c>
      <c r="D24">
        <v>4</v>
      </c>
      <c r="E24" t="s">
        <v>411</v>
      </c>
      <c r="F24">
        <v>4</v>
      </c>
      <c r="G24">
        <v>1</v>
      </c>
      <c r="H24">
        <v>1</v>
      </c>
      <c r="I24">
        <v>34</v>
      </c>
    </row>
    <row r="25" spans="1:9" x14ac:dyDescent="0.3">
      <c r="A25">
        <v>268</v>
      </c>
      <c r="B25">
        <v>125000</v>
      </c>
      <c r="C25" t="s">
        <v>412</v>
      </c>
      <c r="D25">
        <v>4</v>
      </c>
      <c r="E25" t="s">
        <v>413</v>
      </c>
      <c r="F25">
        <v>4</v>
      </c>
      <c r="G25">
        <v>1</v>
      </c>
      <c r="H25">
        <v>2</v>
      </c>
      <c r="I25">
        <v>34</v>
      </c>
    </row>
    <row r="26" spans="1:9" x14ac:dyDescent="0.3">
      <c r="A26">
        <v>269</v>
      </c>
      <c r="B26">
        <v>70000</v>
      </c>
      <c r="C26" t="s">
        <v>414</v>
      </c>
      <c r="D26">
        <v>4</v>
      </c>
      <c r="E26" t="s">
        <v>415</v>
      </c>
      <c r="F26">
        <v>2</v>
      </c>
      <c r="G26">
        <v>1</v>
      </c>
      <c r="H26">
        <v>2</v>
      </c>
      <c r="I26">
        <v>34</v>
      </c>
    </row>
    <row r="27" spans="1:9" x14ac:dyDescent="0.3">
      <c r="A27">
        <v>270</v>
      </c>
      <c r="B27">
        <v>70000</v>
      </c>
      <c r="C27" t="s">
        <v>388</v>
      </c>
      <c r="D27">
        <v>1</v>
      </c>
      <c r="E27" t="s">
        <v>389</v>
      </c>
      <c r="F27">
        <v>2</v>
      </c>
      <c r="G27">
        <v>0</v>
      </c>
      <c r="H27">
        <v>0</v>
      </c>
      <c r="I27">
        <v>34</v>
      </c>
    </row>
    <row r="28" spans="1:9" x14ac:dyDescent="0.3">
      <c r="A28">
        <v>271</v>
      </c>
      <c r="B28">
        <v>70000</v>
      </c>
      <c r="C28" t="s">
        <v>390</v>
      </c>
      <c r="D28">
        <v>1</v>
      </c>
      <c r="E28" t="s">
        <v>391</v>
      </c>
      <c r="F28">
        <v>2</v>
      </c>
      <c r="G28">
        <v>0</v>
      </c>
      <c r="H28">
        <v>0</v>
      </c>
      <c r="I28">
        <v>34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8C455-3AC4-4B2D-8BDC-E86C5803B91D}">
  <dimension ref="A1:W109"/>
  <sheetViews>
    <sheetView topLeftCell="M1" workbookViewId="0">
      <selection activeCell="V3" sqref="V3"/>
    </sheetView>
  </sheetViews>
  <sheetFormatPr defaultRowHeight="14.4" x14ac:dyDescent="0.3"/>
  <cols>
    <col min="1" max="1" width="5" bestFit="1" customWidth="1"/>
    <col min="2" max="2" width="7.33203125" bestFit="1" customWidth="1"/>
    <col min="3" max="3" width="14" bestFit="1" customWidth="1"/>
    <col min="4" max="4" width="8" bestFit="1" customWidth="1"/>
    <col min="5" max="5" width="14.5546875" bestFit="1" customWidth="1"/>
    <col min="6" max="6" width="18.77734375" bestFit="1" customWidth="1"/>
    <col min="7" max="7" width="14.44140625" bestFit="1" customWidth="1"/>
    <col min="8" max="8" width="15.88671875" bestFit="1" customWidth="1"/>
    <col min="9" max="9" width="18.77734375" bestFit="1" customWidth="1"/>
    <col min="10" max="10" width="14.21875" bestFit="1" customWidth="1"/>
    <col min="11" max="11" width="22.77734375" bestFit="1" customWidth="1"/>
    <col min="12" max="12" width="23.33203125" bestFit="1" customWidth="1"/>
    <col min="13" max="13" width="23.77734375" bestFit="1" customWidth="1"/>
    <col min="14" max="14" width="24.33203125" bestFit="1" customWidth="1"/>
    <col min="15" max="15" width="24.21875" bestFit="1" customWidth="1"/>
    <col min="16" max="16" width="24.77734375" bestFit="1" customWidth="1"/>
    <col min="17" max="17" width="23.77734375" bestFit="1" customWidth="1"/>
    <col min="18" max="18" width="24.33203125" bestFit="1" customWidth="1"/>
    <col min="19" max="19" width="10.5546875" bestFit="1" customWidth="1"/>
    <col min="20" max="20" width="10.33203125" bestFit="1" customWidth="1"/>
    <col min="21" max="21" width="10.6640625" bestFit="1" customWidth="1"/>
    <col min="22" max="22" width="19.21875" bestFit="1" customWidth="1"/>
    <col min="23" max="23" width="32.109375" bestFit="1" customWidth="1"/>
  </cols>
  <sheetData>
    <row r="1" spans="1:23" x14ac:dyDescent="0.3">
      <c r="A1" t="s">
        <v>0</v>
      </c>
      <c r="B1" t="s">
        <v>72</v>
      </c>
      <c r="C1" t="s">
        <v>344</v>
      </c>
      <c r="D1" t="s">
        <v>345</v>
      </c>
      <c r="E1" t="s">
        <v>346</v>
      </c>
      <c r="F1" t="s">
        <v>347</v>
      </c>
      <c r="G1" t="s">
        <v>348</v>
      </c>
      <c r="H1" t="s">
        <v>349</v>
      </c>
      <c r="I1" t="s">
        <v>350</v>
      </c>
      <c r="J1" t="s">
        <v>351</v>
      </c>
      <c r="K1" t="s">
        <v>145</v>
      </c>
      <c r="L1" t="s">
        <v>144</v>
      </c>
      <c r="M1" t="s">
        <v>352</v>
      </c>
      <c r="N1" t="s">
        <v>353</v>
      </c>
      <c r="O1" t="s">
        <v>354</v>
      </c>
      <c r="P1" t="s">
        <v>355</v>
      </c>
      <c r="Q1" t="s">
        <v>356</v>
      </c>
      <c r="R1" t="s">
        <v>357</v>
      </c>
      <c r="S1" t="s">
        <v>318</v>
      </c>
      <c r="T1" t="s">
        <v>156</v>
      </c>
      <c r="U1" t="s">
        <v>358</v>
      </c>
      <c r="V1" t="s">
        <v>482</v>
      </c>
      <c r="W1" t="s">
        <v>483</v>
      </c>
    </row>
    <row r="2" spans="1:23" x14ac:dyDescent="0.3">
      <c r="A2">
        <v>1610</v>
      </c>
      <c r="B2" t="s">
        <v>359</v>
      </c>
      <c r="C2" t="s">
        <v>360</v>
      </c>
      <c r="D2">
        <v>9</v>
      </c>
      <c r="E2">
        <v>425000</v>
      </c>
      <c r="F2">
        <v>0</v>
      </c>
      <c r="G2">
        <v>425000</v>
      </c>
      <c r="I2">
        <v>0</v>
      </c>
      <c r="J2" t="s">
        <v>361</v>
      </c>
      <c r="K2">
        <v>9</v>
      </c>
      <c r="L2">
        <v>6</v>
      </c>
      <c r="M2">
        <v>0</v>
      </c>
      <c r="N2">
        <v>0</v>
      </c>
      <c r="P2">
        <v>4</v>
      </c>
      <c r="R2">
        <v>4</v>
      </c>
      <c r="S2">
        <v>245</v>
      </c>
      <c r="T2">
        <v>97</v>
      </c>
      <c r="V2" t="e">
        <f>+VLOOKUP(housegroup[[#This Row],[owner_id]],player[],2,0)</f>
        <v>#N/A</v>
      </c>
      <c r="W2" t="str">
        <f>+VLOOKUP(housegroup[[#This Row],[group_id]],group[],7,0)</f>
        <v>251007_VerzekeraarsMasterClass</v>
      </c>
    </row>
    <row r="3" spans="1:23" x14ac:dyDescent="0.3">
      <c r="A3">
        <v>1611</v>
      </c>
      <c r="B3" t="s">
        <v>362</v>
      </c>
      <c r="C3" t="s">
        <v>363</v>
      </c>
      <c r="D3">
        <v>6</v>
      </c>
      <c r="E3">
        <v>200000</v>
      </c>
      <c r="F3">
        <v>0</v>
      </c>
      <c r="G3">
        <v>200000</v>
      </c>
      <c r="H3">
        <v>200000</v>
      </c>
      <c r="I3">
        <v>3</v>
      </c>
      <c r="J3" t="s">
        <v>364</v>
      </c>
      <c r="K3">
        <v>9</v>
      </c>
      <c r="L3">
        <v>6</v>
      </c>
      <c r="M3">
        <v>9</v>
      </c>
      <c r="N3">
        <v>7</v>
      </c>
      <c r="P3">
        <v>4</v>
      </c>
      <c r="S3">
        <v>248</v>
      </c>
      <c r="T3">
        <v>97</v>
      </c>
      <c r="U3">
        <v>699</v>
      </c>
      <c r="V3" t="str">
        <f>+VLOOKUP(housegroup[[#This Row],[owner_id]],player[],2,0)</f>
        <v>t1p2</v>
      </c>
      <c r="W3" t="str">
        <f>+VLOOKUP(housegroup[[#This Row],[group_id]],group[],7,0)</f>
        <v>251007_VerzekeraarsMasterClass</v>
      </c>
    </row>
    <row r="4" spans="1:23" x14ac:dyDescent="0.3">
      <c r="A4">
        <v>1612</v>
      </c>
      <c r="B4" t="s">
        <v>365</v>
      </c>
      <c r="C4" t="s">
        <v>366</v>
      </c>
      <c r="D4">
        <v>6</v>
      </c>
      <c r="E4">
        <v>200000</v>
      </c>
      <c r="F4">
        <v>0</v>
      </c>
      <c r="G4">
        <v>200000</v>
      </c>
      <c r="H4">
        <v>200000</v>
      </c>
      <c r="I4">
        <v>3</v>
      </c>
      <c r="J4" t="s">
        <v>367</v>
      </c>
      <c r="K4">
        <v>9</v>
      </c>
      <c r="L4">
        <v>6</v>
      </c>
      <c r="M4">
        <v>10</v>
      </c>
      <c r="N4">
        <v>7</v>
      </c>
      <c r="P4">
        <v>4</v>
      </c>
      <c r="S4">
        <v>249</v>
      </c>
      <c r="T4">
        <v>97</v>
      </c>
      <c r="V4" t="e">
        <f>+VLOOKUP(housegroup[[#This Row],[owner_id]],player[],2,0)</f>
        <v>#N/A</v>
      </c>
      <c r="W4" t="str">
        <f>+VLOOKUP(housegroup[[#This Row],[group_id]],group[],7,0)</f>
        <v>251007_VerzekeraarsMasterClass</v>
      </c>
    </row>
    <row r="5" spans="1:23" x14ac:dyDescent="0.3">
      <c r="A5">
        <v>1613</v>
      </c>
      <c r="B5" t="s">
        <v>368</v>
      </c>
      <c r="C5" t="s">
        <v>369</v>
      </c>
      <c r="D5">
        <v>3</v>
      </c>
      <c r="E5">
        <v>100000</v>
      </c>
      <c r="F5">
        <v>0</v>
      </c>
      <c r="G5">
        <v>100000</v>
      </c>
      <c r="H5">
        <v>100000</v>
      </c>
      <c r="I5">
        <v>1</v>
      </c>
      <c r="J5" t="s">
        <v>364</v>
      </c>
      <c r="K5">
        <v>9</v>
      </c>
      <c r="L5">
        <v>6</v>
      </c>
      <c r="M5">
        <v>10</v>
      </c>
      <c r="N5">
        <v>6</v>
      </c>
      <c r="P5">
        <v>4</v>
      </c>
      <c r="R5">
        <v>4</v>
      </c>
      <c r="S5">
        <v>251</v>
      </c>
      <c r="T5">
        <v>97</v>
      </c>
      <c r="U5">
        <v>698</v>
      </c>
      <c r="V5" t="str">
        <f>+VLOOKUP(housegroup[[#This Row],[owner_id]],player[],2,0)</f>
        <v>t1p1</v>
      </c>
      <c r="W5" t="str">
        <f>+VLOOKUP(housegroup[[#This Row],[group_id]],group[],7,0)</f>
        <v>251007_VerzekeraarsMasterClass</v>
      </c>
    </row>
    <row r="6" spans="1:23" x14ac:dyDescent="0.3">
      <c r="A6">
        <v>1614</v>
      </c>
      <c r="B6" t="s">
        <v>370</v>
      </c>
      <c r="C6" t="s">
        <v>371</v>
      </c>
      <c r="D6">
        <v>8</v>
      </c>
      <c r="E6">
        <v>300000</v>
      </c>
      <c r="F6">
        <v>0</v>
      </c>
      <c r="G6">
        <v>300000</v>
      </c>
      <c r="I6">
        <v>0</v>
      </c>
      <c r="J6" t="s">
        <v>361</v>
      </c>
      <c r="K6">
        <v>9</v>
      </c>
      <c r="L6">
        <v>4</v>
      </c>
      <c r="M6">
        <v>0</v>
      </c>
      <c r="N6">
        <v>0</v>
      </c>
      <c r="P6">
        <v>4</v>
      </c>
      <c r="R6">
        <v>4</v>
      </c>
      <c r="S6">
        <v>252</v>
      </c>
      <c r="T6">
        <v>97</v>
      </c>
      <c r="V6" t="e">
        <f>+VLOOKUP(housegroup[[#This Row],[owner_id]],player[],2,0)</f>
        <v>#N/A</v>
      </c>
      <c r="W6" t="str">
        <f>+VLOOKUP(housegroup[[#This Row],[group_id]],group[],7,0)</f>
        <v>251007_VerzekeraarsMasterClass</v>
      </c>
    </row>
    <row r="7" spans="1:23" x14ac:dyDescent="0.3">
      <c r="A7">
        <v>1615</v>
      </c>
      <c r="B7" t="s">
        <v>372</v>
      </c>
      <c r="C7" t="s">
        <v>373</v>
      </c>
      <c r="D7">
        <v>8</v>
      </c>
      <c r="E7">
        <v>300000</v>
      </c>
      <c r="F7">
        <v>0</v>
      </c>
      <c r="G7">
        <v>300000</v>
      </c>
      <c r="I7">
        <v>0</v>
      </c>
      <c r="J7" t="s">
        <v>361</v>
      </c>
      <c r="K7">
        <v>9</v>
      </c>
      <c r="L7">
        <v>4</v>
      </c>
      <c r="M7">
        <v>0</v>
      </c>
      <c r="N7">
        <v>0</v>
      </c>
      <c r="P7">
        <v>4</v>
      </c>
      <c r="R7">
        <v>4</v>
      </c>
      <c r="S7">
        <v>253</v>
      </c>
      <c r="T7">
        <v>97</v>
      </c>
      <c r="V7" t="e">
        <f>+VLOOKUP(housegroup[[#This Row],[owner_id]],player[],2,0)</f>
        <v>#N/A</v>
      </c>
      <c r="W7" t="str">
        <f>+VLOOKUP(housegroup[[#This Row],[group_id]],group[],7,0)</f>
        <v>251007_VerzekeraarsMasterClass</v>
      </c>
    </row>
    <row r="8" spans="1:23" x14ac:dyDescent="0.3">
      <c r="A8">
        <v>1616</v>
      </c>
      <c r="B8" t="s">
        <v>374</v>
      </c>
      <c r="C8" t="s">
        <v>375</v>
      </c>
      <c r="D8">
        <v>5</v>
      </c>
      <c r="E8">
        <v>160000</v>
      </c>
      <c r="F8">
        <v>0</v>
      </c>
      <c r="G8">
        <v>160000</v>
      </c>
      <c r="I8">
        <v>0</v>
      </c>
      <c r="J8" t="s">
        <v>361</v>
      </c>
      <c r="K8">
        <v>9</v>
      </c>
      <c r="L8">
        <v>4</v>
      </c>
      <c r="M8">
        <v>0</v>
      </c>
      <c r="N8">
        <v>0</v>
      </c>
      <c r="P8">
        <v>4</v>
      </c>
      <c r="R8">
        <v>4</v>
      </c>
      <c r="S8">
        <v>255</v>
      </c>
      <c r="T8">
        <v>97</v>
      </c>
      <c r="V8" t="e">
        <f>+VLOOKUP(housegroup[[#This Row],[owner_id]],player[],2,0)</f>
        <v>#N/A</v>
      </c>
      <c r="W8" t="str">
        <f>+VLOOKUP(housegroup[[#This Row],[group_id]],group[],7,0)</f>
        <v>251007_VerzekeraarsMasterClass</v>
      </c>
    </row>
    <row r="9" spans="1:23" x14ac:dyDescent="0.3">
      <c r="A9">
        <v>1617</v>
      </c>
      <c r="B9" t="s">
        <v>376</v>
      </c>
      <c r="C9" t="s">
        <v>377</v>
      </c>
      <c r="D9">
        <v>5</v>
      </c>
      <c r="E9">
        <v>160000</v>
      </c>
      <c r="F9">
        <v>0</v>
      </c>
      <c r="G9">
        <v>160000</v>
      </c>
      <c r="I9">
        <v>0</v>
      </c>
      <c r="J9" t="s">
        <v>361</v>
      </c>
      <c r="K9">
        <v>9</v>
      </c>
      <c r="L9">
        <v>4</v>
      </c>
      <c r="M9">
        <v>0</v>
      </c>
      <c r="N9">
        <v>0</v>
      </c>
      <c r="P9">
        <v>4</v>
      </c>
      <c r="R9">
        <v>4</v>
      </c>
      <c r="S9">
        <v>256</v>
      </c>
      <c r="T9">
        <v>97</v>
      </c>
      <c r="V9" t="e">
        <f>+VLOOKUP(housegroup[[#This Row],[owner_id]],player[],2,0)</f>
        <v>#N/A</v>
      </c>
      <c r="W9" t="str">
        <f>+VLOOKUP(housegroup[[#This Row],[group_id]],group[],7,0)</f>
        <v>251007_VerzekeraarsMasterClass</v>
      </c>
    </row>
    <row r="10" spans="1:23" x14ac:dyDescent="0.3">
      <c r="A10">
        <v>1618</v>
      </c>
      <c r="B10" t="s">
        <v>378</v>
      </c>
      <c r="C10" t="s">
        <v>379</v>
      </c>
      <c r="D10">
        <v>2</v>
      </c>
      <c r="E10">
        <v>80000</v>
      </c>
      <c r="F10">
        <v>0</v>
      </c>
      <c r="G10">
        <v>80000</v>
      </c>
      <c r="I10">
        <v>0</v>
      </c>
      <c r="J10" t="s">
        <v>361</v>
      </c>
      <c r="K10">
        <v>9</v>
      </c>
      <c r="L10">
        <v>4</v>
      </c>
      <c r="M10">
        <v>0</v>
      </c>
      <c r="N10">
        <v>0</v>
      </c>
      <c r="P10">
        <v>4</v>
      </c>
      <c r="R10">
        <v>4</v>
      </c>
      <c r="S10">
        <v>260</v>
      </c>
      <c r="T10">
        <v>97</v>
      </c>
      <c r="V10" t="e">
        <f>+VLOOKUP(housegroup[[#This Row],[owner_id]],player[],2,0)</f>
        <v>#N/A</v>
      </c>
      <c r="W10" t="str">
        <f>+VLOOKUP(housegroup[[#This Row],[group_id]],group[],7,0)</f>
        <v>251007_VerzekeraarsMasterClass</v>
      </c>
    </row>
    <row r="11" spans="1:23" x14ac:dyDescent="0.3">
      <c r="A11">
        <v>1619</v>
      </c>
      <c r="B11" t="s">
        <v>380</v>
      </c>
      <c r="C11" t="s">
        <v>381</v>
      </c>
      <c r="D11">
        <v>2</v>
      </c>
      <c r="E11">
        <v>80000</v>
      </c>
      <c r="F11">
        <v>0</v>
      </c>
      <c r="G11">
        <v>80000</v>
      </c>
      <c r="H11">
        <v>80000</v>
      </c>
      <c r="I11">
        <v>2</v>
      </c>
      <c r="J11" t="s">
        <v>364</v>
      </c>
      <c r="K11">
        <v>9</v>
      </c>
      <c r="L11">
        <v>4</v>
      </c>
      <c r="M11">
        <v>9</v>
      </c>
      <c r="N11">
        <v>5</v>
      </c>
      <c r="P11">
        <v>4</v>
      </c>
      <c r="R11">
        <v>4</v>
      </c>
      <c r="S11">
        <v>261</v>
      </c>
      <c r="T11">
        <v>97</v>
      </c>
      <c r="U11">
        <v>701</v>
      </c>
      <c r="V11" t="str">
        <f>+VLOOKUP(housegroup[[#This Row],[owner_id]],player[],2,0)</f>
        <v>t1p4</v>
      </c>
      <c r="W11" t="str">
        <f>+VLOOKUP(housegroup[[#This Row],[group_id]],group[],7,0)</f>
        <v>251007_VerzekeraarsMasterClass</v>
      </c>
    </row>
    <row r="12" spans="1:23" x14ac:dyDescent="0.3">
      <c r="A12">
        <v>1620</v>
      </c>
      <c r="B12" t="s">
        <v>382</v>
      </c>
      <c r="C12" t="s">
        <v>383</v>
      </c>
      <c r="D12">
        <v>6</v>
      </c>
      <c r="E12">
        <v>200000</v>
      </c>
      <c r="F12">
        <v>0</v>
      </c>
      <c r="G12">
        <v>200000</v>
      </c>
      <c r="I12">
        <v>0</v>
      </c>
      <c r="J12" t="s">
        <v>361</v>
      </c>
      <c r="K12">
        <v>6</v>
      </c>
      <c r="L12">
        <v>6</v>
      </c>
      <c r="M12">
        <v>0</v>
      </c>
      <c r="N12">
        <v>0</v>
      </c>
      <c r="O12">
        <v>4</v>
      </c>
      <c r="P12">
        <v>4</v>
      </c>
      <c r="Q12">
        <v>4</v>
      </c>
      <c r="R12">
        <v>4</v>
      </c>
      <c r="S12">
        <v>262</v>
      </c>
      <c r="T12">
        <v>97</v>
      </c>
      <c r="V12" t="e">
        <f>+VLOOKUP(housegroup[[#This Row],[owner_id]],player[],2,0)</f>
        <v>#N/A</v>
      </c>
      <c r="W12" t="str">
        <f>+VLOOKUP(housegroup[[#This Row],[group_id]],group[],7,0)</f>
        <v>251007_VerzekeraarsMasterClass</v>
      </c>
    </row>
    <row r="13" spans="1:23" x14ac:dyDescent="0.3">
      <c r="A13">
        <v>1621</v>
      </c>
      <c r="B13" t="s">
        <v>384</v>
      </c>
      <c r="C13" t="s">
        <v>385</v>
      </c>
      <c r="D13">
        <v>4</v>
      </c>
      <c r="E13">
        <v>125000</v>
      </c>
      <c r="F13">
        <v>0</v>
      </c>
      <c r="G13">
        <v>125000</v>
      </c>
      <c r="I13">
        <v>0</v>
      </c>
      <c r="J13" t="s">
        <v>361</v>
      </c>
      <c r="K13">
        <v>6</v>
      </c>
      <c r="L13">
        <v>6</v>
      </c>
      <c r="M13">
        <v>0</v>
      </c>
      <c r="N13">
        <v>0</v>
      </c>
      <c r="O13">
        <v>4</v>
      </c>
      <c r="P13">
        <v>4</v>
      </c>
      <c r="Q13">
        <v>4</v>
      </c>
      <c r="R13">
        <v>4</v>
      </c>
      <c r="S13">
        <v>265</v>
      </c>
      <c r="T13">
        <v>97</v>
      </c>
      <c r="V13" t="e">
        <f>+VLOOKUP(housegroup[[#This Row],[owner_id]],player[],2,0)</f>
        <v>#N/A</v>
      </c>
      <c r="W13" t="str">
        <f>+VLOOKUP(housegroup[[#This Row],[group_id]],group[],7,0)</f>
        <v>251007_VerzekeraarsMasterClass</v>
      </c>
    </row>
    <row r="14" spans="1:23" x14ac:dyDescent="0.3">
      <c r="A14">
        <v>1622</v>
      </c>
      <c r="B14" t="s">
        <v>386</v>
      </c>
      <c r="C14" t="s">
        <v>387</v>
      </c>
      <c r="D14">
        <v>4</v>
      </c>
      <c r="E14">
        <v>125000</v>
      </c>
      <c r="F14">
        <v>0</v>
      </c>
      <c r="G14">
        <v>125000</v>
      </c>
      <c r="H14">
        <v>125000</v>
      </c>
      <c r="I14">
        <v>3</v>
      </c>
      <c r="J14" t="s">
        <v>364</v>
      </c>
      <c r="K14">
        <v>6</v>
      </c>
      <c r="L14">
        <v>6</v>
      </c>
      <c r="M14">
        <v>7</v>
      </c>
      <c r="N14">
        <v>7</v>
      </c>
      <c r="O14">
        <v>4</v>
      </c>
      <c r="P14">
        <v>4</v>
      </c>
      <c r="Q14">
        <v>1</v>
      </c>
      <c r="S14">
        <v>266</v>
      </c>
      <c r="T14">
        <v>97</v>
      </c>
      <c r="U14">
        <v>702</v>
      </c>
      <c r="V14" t="str">
        <f>+VLOOKUP(housegroup[[#This Row],[owner_id]],player[],2,0)</f>
        <v>t1p5</v>
      </c>
      <c r="W14" t="str">
        <f>+VLOOKUP(housegroup[[#This Row],[group_id]],group[],7,0)</f>
        <v>251007_VerzekeraarsMasterClass</v>
      </c>
    </row>
    <row r="15" spans="1:23" x14ac:dyDescent="0.3">
      <c r="A15">
        <v>1623</v>
      </c>
      <c r="B15" t="s">
        <v>388</v>
      </c>
      <c r="C15" t="s">
        <v>389</v>
      </c>
      <c r="D15">
        <v>2</v>
      </c>
      <c r="E15">
        <v>70000</v>
      </c>
      <c r="F15">
        <v>0</v>
      </c>
      <c r="G15">
        <v>70000</v>
      </c>
      <c r="H15">
        <v>100000</v>
      </c>
      <c r="I15">
        <v>0</v>
      </c>
      <c r="J15" t="s">
        <v>367</v>
      </c>
      <c r="K15">
        <v>6</v>
      </c>
      <c r="L15">
        <v>6</v>
      </c>
      <c r="M15">
        <v>7</v>
      </c>
      <c r="N15">
        <v>6</v>
      </c>
      <c r="O15">
        <v>4</v>
      </c>
      <c r="P15">
        <v>4</v>
      </c>
      <c r="Q15">
        <v>3</v>
      </c>
      <c r="R15">
        <v>4</v>
      </c>
      <c r="S15">
        <v>270</v>
      </c>
      <c r="T15">
        <v>97</v>
      </c>
      <c r="V15" t="e">
        <f>+VLOOKUP(housegroup[[#This Row],[owner_id]],player[],2,0)</f>
        <v>#N/A</v>
      </c>
      <c r="W15" t="str">
        <f>+VLOOKUP(housegroup[[#This Row],[group_id]],group[],7,0)</f>
        <v>251007_VerzekeraarsMasterClass</v>
      </c>
    </row>
    <row r="16" spans="1:23" x14ac:dyDescent="0.3">
      <c r="A16">
        <v>1624</v>
      </c>
      <c r="B16" t="s">
        <v>390</v>
      </c>
      <c r="C16" t="s">
        <v>391</v>
      </c>
      <c r="D16">
        <v>2</v>
      </c>
      <c r="E16">
        <v>70000</v>
      </c>
      <c r="F16">
        <v>0</v>
      </c>
      <c r="G16">
        <v>70000</v>
      </c>
      <c r="I16">
        <v>0</v>
      </c>
      <c r="J16" t="s">
        <v>361</v>
      </c>
      <c r="K16">
        <v>6</v>
      </c>
      <c r="L16">
        <v>6</v>
      </c>
      <c r="M16">
        <v>0</v>
      </c>
      <c r="N16">
        <v>0</v>
      </c>
      <c r="O16">
        <v>4</v>
      </c>
      <c r="P16">
        <v>4</v>
      </c>
      <c r="Q16">
        <v>4</v>
      </c>
      <c r="R16">
        <v>4</v>
      </c>
      <c r="S16">
        <v>271</v>
      </c>
      <c r="T16">
        <v>97</v>
      </c>
      <c r="V16" t="e">
        <f>+VLOOKUP(housegroup[[#This Row],[owner_id]],player[],2,0)</f>
        <v>#N/A</v>
      </c>
      <c r="W16" t="str">
        <f>+VLOOKUP(housegroup[[#This Row],[group_id]],group[],7,0)</f>
        <v>251007_VerzekeraarsMasterClass</v>
      </c>
    </row>
    <row r="17" spans="1:23" x14ac:dyDescent="0.3">
      <c r="A17">
        <v>1649</v>
      </c>
      <c r="B17" t="s">
        <v>392</v>
      </c>
      <c r="C17" t="s">
        <v>393</v>
      </c>
      <c r="D17">
        <v>6</v>
      </c>
      <c r="E17">
        <v>200000</v>
      </c>
      <c r="F17">
        <v>0</v>
      </c>
      <c r="G17">
        <v>200000</v>
      </c>
      <c r="I17">
        <v>0</v>
      </c>
      <c r="J17" t="s">
        <v>367</v>
      </c>
      <c r="K17">
        <v>9</v>
      </c>
      <c r="L17">
        <v>6</v>
      </c>
      <c r="M17">
        <v>1</v>
      </c>
      <c r="N17">
        <v>1</v>
      </c>
      <c r="P17">
        <v>4</v>
      </c>
      <c r="R17">
        <v>4</v>
      </c>
      <c r="S17">
        <v>246</v>
      </c>
      <c r="T17">
        <v>97</v>
      </c>
      <c r="V17" t="e">
        <f>+VLOOKUP(housegroup[[#This Row],[owner_id]],player[],2,0)</f>
        <v>#N/A</v>
      </c>
      <c r="W17" t="str">
        <f>+VLOOKUP(housegroup[[#This Row],[group_id]],group[],7,0)</f>
        <v>251007_VerzekeraarsMasterClass</v>
      </c>
    </row>
    <row r="18" spans="1:23" x14ac:dyDescent="0.3">
      <c r="A18">
        <v>1650</v>
      </c>
      <c r="B18" t="s">
        <v>394</v>
      </c>
      <c r="C18" t="s">
        <v>395</v>
      </c>
      <c r="D18">
        <v>9</v>
      </c>
      <c r="E18">
        <v>425000</v>
      </c>
      <c r="F18">
        <v>0</v>
      </c>
      <c r="G18">
        <v>425000</v>
      </c>
      <c r="H18">
        <v>425000</v>
      </c>
      <c r="I18">
        <v>2</v>
      </c>
      <c r="J18" t="s">
        <v>364</v>
      </c>
      <c r="K18">
        <v>9</v>
      </c>
      <c r="L18">
        <v>6</v>
      </c>
      <c r="M18">
        <v>10</v>
      </c>
      <c r="N18">
        <v>7</v>
      </c>
      <c r="P18">
        <v>4</v>
      </c>
      <c r="S18">
        <v>247</v>
      </c>
      <c r="T18">
        <v>97</v>
      </c>
      <c r="U18">
        <v>703</v>
      </c>
      <c r="V18" t="str">
        <f>+VLOOKUP(housegroup[[#This Row],[owner_id]],player[],2,0)</f>
        <v>t1p6</v>
      </c>
      <c r="W18" t="str">
        <f>+VLOOKUP(housegroup[[#This Row],[group_id]],group[],7,0)</f>
        <v>251007_VerzekeraarsMasterClass</v>
      </c>
    </row>
    <row r="19" spans="1:23" x14ac:dyDescent="0.3">
      <c r="A19">
        <v>1651</v>
      </c>
      <c r="B19" t="s">
        <v>396</v>
      </c>
      <c r="C19" t="s">
        <v>397</v>
      </c>
      <c r="D19">
        <v>3</v>
      </c>
      <c r="E19">
        <v>100000</v>
      </c>
      <c r="F19">
        <v>0</v>
      </c>
      <c r="G19">
        <v>100000</v>
      </c>
      <c r="I19">
        <v>0</v>
      </c>
      <c r="J19" t="s">
        <v>367</v>
      </c>
      <c r="K19">
        <v>9</v>
      </c>
      <c r="L19">
        <v>6</v>
      </c>
      <c r="M19">
        <v>1</v>
      </c>
      <c r="N19">
        <v>0</v>
      </c>
      <c r="P19">
        <v>4</v>
      </c>
      <c r="R19">
        <v>4</v>
      </c>
      <c r="S19">
        <v>250</v>
      </c>
      <c r="T19">
        <v>97</v>
      </c>
      <c r="V19" t="e">
        <f>+VLOOKUP(housegroup[[#This Row],[owner_id]],player[],2,0)</f>
        <v>#N/A</v>
      </c>
      <c r="W19" t="str">
        <f>+VLOOKUP(housegroup[[#This Row],[group_id]],group[],7,0)</f>
        <v>251007_VerzekeraarsMasterClass</v>
      </c>
    </row>
    <row r="20" spans="1:23" x14ac:dyDescent="0.3">
      <c r="A20">
        <v>1652</v>
      </c>
      <c r="B20" t="s">
        <v>398</v>
      </c>
      <c r="C20" t="s">
        <v>399</v>
      </c>
      <c r="D20">
        <v>8</v>
      </c>
      <c r="E20">
        <v>300000</v>
      </c>
      <c r="F20">
        <v>0</v>
      </c>
      <c r="G20">
        <v>300000</v>
      </c>
      <c r="I20">
        <v>0</v>
      </c>
      <c r="J20" t="s">
        <v>367</v>
      </c>
      <c r="K20">
        <v>9</v>
      </c>
      <c r="L20">
        <v>4</v>
      </c>
      <c r="M20">
        <v>0</v>
      </c>
      <c r="N20">
        <v>0</v>
      </c>
      <c r="P20">
        <v>4</v>
      </c>
      <c r="R20">
        <v>4</v>
      </c>
      <c r="S20">
        <v>254</v>
      </c>
      <c r="T20">
        <v>97</v>
      </c>
      <c r="V20" t="e">
        <f>+VLOOKUP(housegroup[[#This Row],[owner_id]],player[],2,0)</f>
        <v>#N/A</v>
      </c>
      <c r="W20" t="str">
        <f>+VLOOKUP(housegroup[[#This Row],[group_id]],group[],7,0)</f>
        <v>251007_VerzekeraarsMasterClass</v>
      </c>
    </row>
    <row r="21" spans="1:23" x14ac:dyDescent="0.3">
      <c r="A21">
        <v>1653</v>
      </c>
      <c r="B21" t="s">
        <v>400</v>
      </c>
      <c r="C21" t="s">
        <v>401</v>
      </c>
      <c r="D21">
        <v>5</v>
      </c>
      <c r="E21">
        <v>160000</v>
      </c>
      <c r="F21">
        <v>0</v>
      </c>
      <c r="G21">
        <v>160000</v>
      </c>
      <c r="I21">
        <v>0</v>
      </c>
      <c r="J21" t="s">
        <v>367</v>
      </c>
      <c r="K21">
        <v>9</v>
      </c>
      <c r="L21">
        <v>4</v>
      </c>
      <c r="M21">
        <v>2</v>
      </c>
      <c r="N21">
        <v>2</v>
      </c>
      <c r="P21">
        <v>4</v>
      </c>
      <c r="R21">
        <v>4</v>
      </c>
      <c r="S21">
        <v>257</v>
      </c>
      <c r="T21">
        <v>97</v>
      </c>
      <c r="V21" t="e">
        <f>+VLOOKUP(housegroup[[#This Row],[owner_id]],player[],2,0)</f>
        <v>#N/A</v>
      </c>
      <c r="W21" t="str">
        <f>+VLOOKUP(housegroup[[#This Row],[group_id]],group[],7,0)</f>
        <v>251007_VerzekeraarsMasterClass</v>
      </c>
    </row>
    <row r="22" spans="1:23" x14ac:dyDescent="0.3">
      <c r="A22">
        <v>1654</v>
      </c>
      <c r="B22" t="s">
        <v>402</v>
      </c>
      <c r="C22" t="s">
        <v>403</v>
      </c>
      <c r="D22">
        <v>5</v>
      </c>
      <c r="E22">
        <v>160000</v>
      </c>
      <c r="F22">
        <v>0</v>
      </c>
      <c r="G22">
        <v>160000</v>
      </c>
      <c r="I22">
        <v>0</v>
      </c>
      <c r="J22" t="s">
        <v>367</v>
      </c>
      <c r="K22">
        <v>9</v>
      </c>
      <c r="L22">
        <v>4</v>
      </c>
      <c r="M22">
        <v>2</v>
      </c>
      <c r="N22">
        <v>2</v>
      </c>
      <c r="P22">
        <v>4</v>
      </c>
      <c r="R22">
        <v>4</v>
      </c>
      <c r="S22">
        <v>258</v>
      </c>
      <c r="T22">
        <v>97</v>
      </c>
      <c r="V22" t="e">
        <f>+VLOOKUP(housegroup[[#This Row],[owner_id]],player[],2,0)</f>
        <v>#N/A</v>
      </c>
      <c r="W22" t="str">
        <f>+VLOOKUP(housegroup[[#This Row],[group_id]],group[],7,0)</f>
        <v>251007_VerzekeraarsMasterClass</v>
      </c>
    </row>
    <row r="23" spans="1:23" x14ac:dyDescent="0.3">
      <c r="A23">
        <v>1655</v>
      </c>
      <c r="B23" t="s">
        <v>404</v>
      </c>
      <c r="C23" t="s">
        <v>405</v>
      </c>
      <c r="D23">
        <v>2</v>
      </c>
      <c r="E23">
        <v>80000</v>
      </c>
      <c r="F23">
        <v>0</v>
      </c>
      <c r="G23">
        <v>80000</v>
      </c>
      <c r="I23">
        <v>0</v>
      </c>
      <c r="J23" t="s">
        <v>367</v>
      </c>
      <c r="K23">
        <v>9</v>
      </c>
      <c r="L23">
        <v>4</v>
      </c>
      <c r="M23">
        <v>1</v>
      </c>
      <c r="N23">
        <v>2</v>
      </c>
      <c r="P23">
        <v>4</v>
      </c>
      <c r="R23">
        <v>4</v>
      </c>
      <c r="S23">
        <v>259</v>
      </c>
      <c r="T23">
        <v>97</v>
      </c>
      <c r="V23" t="e">
        <f>+VLOOKUP(housegroup[[#This Row],[owner_id]],player[],2,0)</f>
        <v>#N/A</v>
      </c>
      <c r="W23" t="str">
        <f>+VLOOKUP(housegroup[[#This Row],[group_id]],group[],7,0)</f>
        <v>251007_VerzekeraarsMasterClass</v>
      </c>
    </row>
    <row r="24" spans="1:23" x14ac:dyDescent="0.3">
      <c r="A24">
        <v>1656</v>
      </c>
      <c r="B24" t="s">
        <v>406</v>
      </c>
      <c r="C24" t="s">
        <v>407</v>
      </c>
      <c r="D24">
        <v>6</v>
      </c>
      <c r="E24">
        <v>200000</v>
      </c>
      <c r="F24">
        <v>0</v>
      </c>
      <c r="G24">
        <v>200000</v>
      </c>
      <c r="I24">
        <v>0</v>
      </c>
      <c r="J24" t="s">
        <v>367</v>
      </c>
      <c r="K24">
        <v>6</v>
      </c>
      <c r="L24">
        <v>6</v>
      </c>
      <c r="M24">
        <v>1</v>
      </c>
      <c r="N24">
        <v>1</v>
      </c>
      <c r="O24">
        <v>4</v>
      </c>
      <c r="P24">
        <v>4</v>
      </c>
      <c r="R24">
        <v>4</v>
      </c>
      <c r="S24">
        <v>263</v>
      </c>
      <c r="T24">
        <v>97</v>
      </c>
      <c r="V24" t="e">
        <f>+VLOOKUP(housegroup[[#This Row],[owner_id]],player[],2,0)</f>
        <v>#N/A</v>
      </c>
      <c r="W24" t="str">
        <f>+VLOOKUP(housegroup[[#This Row],[group_id]],group[],7,0)</f>
        <v>251007_VerzekeraarsMasterClass</v>
      </c>
    </row>
    <row r="25" spans="1:23" x14ac:dyDescent="0.3">
      <c r="A25">
        <v>1657</v>
      </c>
      <c r="B25" t="s">
        <v>408</v>
      </c>
      <c r="C25" t="s">
        <v>409</v>
      </c>
      <c r="D25">
        <v>6</v>
      </c>
      <c r="E25">
        <v>200000</v>
      </c>
      <c r="F25">
        <v>0</v>
      </c>
      <c r="G25">
        <v>200000</v>
      </c>
      <c r="I25">
        <v>0</v>
      </c>
      <c r="J25" t="s">
        <v>367</v>
      </c>
      <c r="K25">
        <v>6</v>
      </c>
      <c r="L25">
        <v>6</v>
      </c>
      <c r="M25">
        <v>1</v>
      </c>
      <c r="N25">
        <v>2</v>
      </c>
      <c r="O25">
        <v>4</v>
      </c>
      <c r="P25">
        <v>4</v>
      </c>
      <c r="R25">
        <v>4</v>
      </c>
      <c r="S25">
        <v>264</v>
      </c>
      <c r="T25">
        <v>97</v>
      </c>
      <c r="V25" t="e">
        <f>+VLOOKUP(housegroup[[#This Row],[owner_id]],player[],2,0)</f>
        <v>#N/A</v>
      </c>
      <c r="W25" t="str">
        <f>+VLOOKUP(housegroup[[#This Row],[group_id]],group[],7,0)</f>
        <v>251007_VerzekeraarsMasterClass</v>
      </c>
    </row>
    <row r="26" spans="1:23" x14ac:dyDescent="0.3">
      <c r="A26">
        <v>1658</v>
      </c>
      <c r="B26" t="s">
        <v>410</v>
      </c>
      <c r="C26" t="s">
        <v>411</v>
      </c>
      <c r="D26">
        <v>4</v>
      </c>
      <c r="E26">
        <v>125000</v>
      </c>
      <c r="F26">
        <v>0</v>
      </c>
      <c r="G26">
        <v>125000</v>
      </c>
      <c r="I26">
        <v>0</v>
      </c>
      <c r="J26" t="s">
        <v>367</v>
      </c>
      <c r="K26">
        <v>6</v>
      </c>
      <c r="L26">
        <v>6</v>
      </c>
      <c r="M26">
        <v>1</v>
      </c>
      <c r="N26">
        <v>0</v>
      </c>
      <c r="O26">
        <v>4</v>
      </c>
      <c r="P26">
        <v>4</v>
      </c>
      <c r="R26">
        <v>4</v>
      </c>
      <c r="S26">
        <v>267</v>
      </c>
      <c r="T26">
        <v>97</v>
      </c>
      <c r="V26" t="e">
        <f>+VLOOKUP(housegroup[[#This Row],[owner_id]],player[],2,0)</f>
        <v>#N/A</v>
      </c>
      <c r="W26" t="str">
        <f>+VLOOKUP(housegroup[[#This Row],[group_id]],group[],7,0)</f>
        <v>251007_VerzekeraarsMasterClass</v>
      </c>
    </row>
    <row r="27" spans="1:23" x14ac:dyDescent="0.3">
      <c r="A27">
        <v>1659</v>
      </c>
      <c r="B27" t="s">
        <v>412</v>
      </c>
      <c r="C27" t="s">
        <v>413</v>
      </c>
      <c r="D27">
        <v>4</v>
      </c>
      <c r="E27">
        <v>125000</v>
      </c>
      <c r="F27">
        <v>0</v>
      </c>
      <c r="G27">
        <v>125000</v>
      </c>
      <c r="I27">
        <v>0</v>
      </c>
      <c r="J27" t="s">
        <v>367</v>
      </c>
      <c r="K27">
        <v>6</v>
      </c>
      <c r="L27">
        <v>6</v>
      </c>
      <c r="M27">
        <v>2</v>
      </c>
      <c r="N27">
        <v>2</v>
      </c>
      <c r="O27">
        <v>4</v>
      </c>
      <c r="P27">
        <v>4</v>
      </c>
      <c r="R27">
        <v>4</v>
      </c>
      <c r="S27">
        <v>268</v>
      </c>
      <c r="T27">
        <v>97</v>
      </c>
      <c r="V27" t="e">
        <f>+VLOOKUP(housegroup[[#This Row],[owner_id]],player[],2,0)</f>
        <v>#N/A</v>
      </c>
      <c r="W27" t="str">
        <f>+VLOOKUP(housegroup[[#This Row],[group_id]],group[],7,0)</f>
        <v>251007_VerzekeraarsMasterClass</v>
      </c>
    </row>
    <row r="28" spans="1:23" x14ac:dyDescent="0.3">
      <c r="A28">
        <v>1660</v>
      </c>
      <c r="B28" t="s">
        <v>414</v>
      </c>
      <c r="C28" t="s">
        <v>415</v>
      </c>
      <c r="D28">
        <v>2</v>
      </c>
      <c r="E28">
        <v>70000</v>
      </c>
      <c r="F28">
        <v>0</v>
      </c>
      <c r="G28">
        <v>70000</v>
      </c>
      <c r="H28">
        <v>70000</v>
      </c>
      <c r="I28">
        <v>0</v>
      </c>
      <c r="J28" t="s">
        <v>364</v>
      </c>
      <c r="K28">
        <v>6</v>
      </c>
      <c r="L28">
        <v>6</v>
      </c>
      <c r="M28">
        <v>7</v>
      </c>
      <c r="N28">
        <v>7</v>
      </c>
      <c r="O28">
        <v>4</v>
      </c>
      <c r="P28">
        <v>4</v>
      </c>
      <c r="R28">
        <v>4</v>
      </c>
      <c r="S28">
        <v>269</v>
      </c>
      <c r="T28">
        <v>97</v>
      </c>
      <c r="U28">
        <v>700</v>
      </c>
      <c r="V28" t="str">
        <f>+VLOOKUP(housegroup[[#This Row],[owner_id]],player[],2,0)</f>
        <v>t1p3</v>
      </c>
      <c r="W28" t="str">
        <f>+VLOOKUP(housegroup[[#This Row],[group_id]],group[],7,0)</f>
        <v>251007_VerzekeraarsMasterClass</v>
      </c>
    </row>
    <row r="29" spans="1:23" x14ac:dyDescent="0.3">
      <c r="A29">
        <v>1595</v>
      </c>
      <c r="B29" t="s">
        <v>359</v>
      </c>
      <c r="C29" t="s">
        <v>360</v>
      </c>
      <c r="D29">
        <v>9</v>
      </c>
      <c r="E29">
        <v>425000</v>
      </c>
      <c r="F29">
        <v>0</v>
      </c>
      <c r="G29">
        <v>425000</v>
      </c>
      <c r="I29">
        <v>0</v>
      </c>
      <c r="J29" t="s">
        <v>361</v>
      </c>
      <c r="K29">
        <v>9</v>
      </c>
      <c r="L29">
        <v>6</v>
      </c>
      <c r="M29">
        <v>0</v>
      </c>
      <c r="N29">
        <v>0</v>
      </c>
      <c r="P29">
        <v>4</v>
      </c>
      <c r="R29">
        <v>4</v>
      </c>
      <c r="S29">
        <v>245</v>
      </c>
      <c r="T29">
        <v>98</v>
      </c>
      <c r="V29" t="e">
        <f>+VLOOKUP(housegroup[[#This Row],[owner_id]],player[],2,0)</f>
        <v>#N/A</v>
      </c>
      <c r="W29" t="str">
        <f>+VLOOKUP(housegroup[[#This Row],[group_id]],group[],7,0)</f>
        <v>251007_VerzekeraarsMasterClass</v>
      </c>
    </row>
    <row r="30" spans="1:23" x14ac:dyDescent="0.3">
      <c r="A30">
        <v>1596</v>
      </c>
      <c r="B30" t="s">
        <v>362</v>
      </c>
      <c r="C30" t="s">
        <v>363</v>
      </c>
      <c r="D30">
        <v>6</v>
      </c>
      <c r="E30">
        <v>200000</v>
      </c>
      <c r="F30">
        <v>0</v>
      </c>
      <c r="G30">
        <v>200000</v>
      </c>
      <c r="H30">
        <v>200000</v>
      </c>
      <c r="I30">
        <v>3</v>
      </c>
      <c r="J30" t="s">
        <v>364</v>
      </c>
      <c r="K30">
        <v>9</v>
      </c>
      <c r="L30">
        <v>6</v>
      </c>
      <c r="M30">
        <v>9</v>
      </c>
      <c r="N30">
        <v>7</v>
      </c>
      <c r="P30">
        <v>4</v>
      </c>
      <c r="R30">
        <v>2</v>
      </c>
      <c r="S30">
        <v>248</v>
      </c>
      <c r="T30">
        <v>98</v>
      </c>
      <c r="U30">
        <v>707</v>
      </c>
      <c r="V30" t="str">
        <f>+VLOOKUP(housegroup[[#This Row],[owner_id]],player[],2,0)</f>
        <v>t2p2</v>
      </c>
      <c r="W30" t="str">
        <f>+VLOOKUP(housegroup[[#This Row],[group_id]],group[],7,0)</f>
        <v>251007_VerzekeraarsMasterClass</v>
      </c>
    </row>
    <row r="31" spans="1:23" x14ac:dyDescent="0.3">
      <c r="A31">
        <v>1597</v>
      </c>
      <c r="B31" t="s">
        <v>365</v>
      </c>
      <c r="C31" t="s">
        <v>366</v>
      </c>
      <c r="D31">
        <v>6</v>
      </c>
      <c r="E31">
        <v>200000</v>
      </c>
      <c r="F31">
        <v>0</v>
      </c>
      <c r="G31">
        <v>200000</v>
      </c>
      <c r="H31">
        <v>200000</v>
      </c>
      <c r="I31">
        <v>3</v>
      </c>
      <c r="J31" t="s">
        <v>364</v>
      </c>
      <c r="K31">
        <v>9</v>
      </c>
      <c r="L31">
        <v>6</v>
      </c>
      <c r="M31">
        <v>10</v>
      </c>
      <c r="N31">
        <v>7</v>
      </c>
      <c r="P31">
        <v>4</v>
      </c>
      <c r="S31">
        <v>249</v>
      </c>
      <c r="T31">
        <v>98</v>
      </c>
      <c r="U31">
        <v>710</v>
      </c>
      <c r="V31" t="str">
        <f>+VLOOKUP(housegroup[[#This Row],[owner_id]],player[],2,0)</f>
        <v>t2p5</v>
      </c>
      <c r="W31" t="str">
        <f>+VLOOKUP(housegroup[[#This Row],[group_id]],group[],7,0)</f>
        <v>251007_VerzekeraarsMasterClass</v>
      </c>
    </row>
    <row r="32" spans="1:23" x14ac:dyDescent="0.3">
      <c r="A32">
        <v>1598</v>
      </c>
      <c r="B32" t="s">
        <v>368</v>
      </c>
      <c r="C32" t="s">
        <v>369</v>
      </c>
      <c r="D32">
        <v>3</v>
      </c>
      <c r="E32">
        <v>100000</v>
      </c>
      <c r="F32">
        <v>0</v>
      </c>
      <c r="G32">
        <v>100000</v>
      </c>
      <c r="I32">
        <v>0</v>
      </c>
      <c r="J32" t="s">
        <v>361</v>
      </c>
      <c r="K32">
        <v>9</v>
      </c>
      <c r="L32">
        <v>6</v>
      </c>
      <c r="M32">
        <v>0</v>
      </c>
      <c r="N32">
        <v>0</v>
      </c>
      <c r="P32">
        <v>4</v>
      </c>
      <c r="R32">
        <v>4</v>
      </c>
      <c r="S32">
        <v>251</v>
      </c>
      <c r="T32">
        <v>98</v>
      </c>
      <c r="V32" t="e">
        <f>+VLOOKUP(housegroup[[#This Row],[owner_id]],player[],2,0)</f>
        <v>#N/A</v>
      </c>
      <c r="W32" t="str">
        <f>+VLOOKUP(housegroup[[#This Row],[group_id]],group[],7,0)</f>
        <v>251007_VerzekeraarsMasterClass</v>
      </c>
    </row>
    <row r="33" spans="1:23" x14ac:dyDescent="0.3">
      <c r="A33">
        <v>1599</v>
      </c>
      <c r="B33" t="s">
        <v>370</v>
      </c>
      <c r="C33" t="s">
        <v>371</v>
      </c>
      <c r="D33">
        <v>8</v>
      </c>
      <c r="E33">
        <v>300000</v>
      </c>
      <c r="F33">
        <v>0</v>
      </c>
      <c r="G33">
        <v>300000</v>
      </c>
      <c r="I33">
        <v>0</v>
      </c>
      <c r="J33" t="s">
        <v>361</v>
      </c>
      <c r="K33">
        <v>9</v>
      </c>
      <c r="L33">
        <v>4</v>
      </c>
      <c r="M33">
        <v>0</v>
      </c>
      <c r="N33">
        <v>0</v>
      </c>
      <c r="P33">
        <v>4</v>
      </c>
      <c r="R33">
        <v>4</v>
      </c>
      <c r="S33">
        <v>252</v>
      </c>
      <c r="T33">
        <v>98</v>
      </c>
      <c r="V33" t="e">
        <f>+VLOOKUP(housegroup[[#This Row],[owner_id]],player[],2,0)</f>
        <v>#N/A</v>
      </c>
      <c r="W33" t="str">
        <f>+VLOOKUP(housegroup[[#This Row],[group_id]],group[],7,0)</f>
        <v>251007_VerzekeraarsMasterClass</v>
      </c>
    </row>
    <row r="34" spans="1:23" x14ac:dyDescent="0.3">
      <c r="A34">
        <v>1600</v>
      </c>
      <c r="B34" t="s">
        <v>372</v>
      </c>
      <c r="C34" t="s">
        <v>373</v>
      </c>
      <c r="D34">
        <v>8</v>
      </c>
      <c r="E34">
        <v>300000</v>
      </c>
      <c r="F34">
        <v>0</v>
      </c>
      <c r="G34">
        <v>300000</v>
      </c>
      <c r="H34">
        <v>300000</v>
      </c>
      <c r="I34">
        <v>3</v>
      </c>
      <c r="J34" t="s">
        <v>364</v>
      </c>
      <c r="K34">
        <v>9</v>
      </c>
      <c r="L34">
        <v>4</v>
      </c>
      <c r="M34">
        <v>10</v>
      </c>
      <c r="N34">
        <v>5</v>
      </c>
      <c r="P34">
        <v>4</v>
      </c>
      <c r="R34">
        <v>2</v>
      </c>
      <c r="S34">
        <v>253</v>
      </c>
      <c r="T34">
        <v>98</v>
      </c>
      <c r="U34">
        <v>711</v>
      </c>
      <c r="V34" t="str">
        <f>+VLOOKUP(housegroup[[#This Row],[owner_id]],player[],2,0)</f>
        <v>t2p6</v>
      </c>
      <c r="W34" t="str">
        <f>+VLOOKUP(housegroup[[#This Row],[group_id]],group[],7,0)</f>
        <v>251007_VerzekeraarsMasterClass</v>
      </c>
    </row>
    <row r="35" spans="1:23" x14ac:dyDescent="0.3">
      <c r="A35">
        <v>1601</v>
      </c>
      <c r="B35" t="s">
        <v>374</v>
      </c>
      <c r="C35" t="s">
        <v>375</v>
      </c>
      <c r="D35">
        <v>5</v>
      </c>
      <c r="E35">
        <v>160000</v>
      </c>
      <c r="F35">
        <v>0</v>
      </c>
      <c r="G35">
        <v>160000</v>
      </c>
      <c r="I35">
        <v>0</v>
      </c>
      <c r="J35" t="s">
        <v>361</v>
      </c>
      <c r="K35">
        <v>9</v>
      </c>
      <c r="L35">
        <v>4</v>
      </c>
      <c r="M35">
        <v>0</v>
      </c>
      <c r="N35">
        <v>0</v>
      </c>
      <c r="P35">
        <v>4</v>
      </c>
      <c r="R35">
        <v>4</v>
      </c>
      <c r="S35">
        <v>255</v>
      </c>
      <c r="T35">
        <v>98</v>
      </c>
      <c r="V35" t="e">
        <f>+VLOOKUP(housegroup[[#This Row],[owner_id]],player[],2,0)</f>
        <v>#N/A</v>
      </c>
      <c r="W35" t="str">
        <f>+VLOOKUP(housegroup[[#This Row],[group_id]],group[],7,0)</f>
        <v>251007_VerzekeraarsMasterClass</v>
      </c>
    </row>
    <row r="36" spans="1:23" x14ac:dyDescent="0.3">
      <c r="A36">
        <v>1602</v>
      </c>
      <c r="B36" t="s">
        <v>376</v>
      </c>
      <c r="C36" t="s">
        <v>377</v>
      </c>
      <c r="D36">
        <v>5</v>
      </c>
      <c r="E36">
        <v>160000</v>
      </c>
      <c r="F36">
        <v>0</v>
      </c>
      <c r="G36">
        <v>160000</v>
      </c>
      <c r="H36">
        <v>160000</v>
      </c>
      <c r="I36">
        <v>0</v>
      </c>
      <c r="J36" t="s">
        <v>367</v>
      </c>
      <c r="K36">
        <v>9</v>
      </c>
      <c r="L36">
        <v>4</v>
      </c>
      <c r="M36">
        <v>0</v>
      </c>
      <c r="N36">
        <v>0</v>
      </c>
      <c r="P36">
        <v>4</v>
      </c>
      <c r="R36">
        <v>4</v>
      </c>
      <c r="S36">
        <v>256</v>
      </c>
      <c r="T36">
        <v>98</v>
      </c>
      <c r="V36" t="e">
        <f>+VLOOKUP(housegroup[[#This Row],[owner_id]],player[],2,0)</f>
        <v>#N/A</v>
      </c>
      <c r="W36" t="str">
        <f>+VLOOKUP(housegroup[[#This Row],[group_id]],group[],7,0)</f>
        <v>251007_VerzekeraarsMasterClass</v>
      </c>
    </row>
    <row r="37" spans="1:23" x14ac:dyDescent="0.3">
      <c r="A37">
        <v>1603</v>
      </c>
      <c r="B37" t="s">
        <v>378</v>
      </c>
      <c r="C37" t="s">
        <v>379</v>
      </c>
      <c r="D37">
        <v>2</v>
      </c>
      <c r="E37">
        <v>80000</v>
      </c>
      <c r="F37">
        <v>0</v>
      </c>
      <c r="G37">
        <v>80000</v>
      </c>
      <c r="I37">
        <v>0</v>
      </c>
      <c r="J37" t="s">
        <v>361</v>
      </c>
      <c r="K37">
        <v>9</v>
      </c>
      <c r="L37">
        <v>4</v>
      </c>
      <c r="M37">
        <v>0</v>
      </c>
      <c r="N37">
        <v>0</v>
      </c>
      <c r="P37">
        <v>4</v>
      </c>
      <c r="R37">
        <v>4</v>
      </c>
      <c r="S37">
        <v>260</v>
      </c>
      <c r="T37">
        <v>98</v>
      </c>
      <c r="V37" t="e">
        <f>+VLOOKUP(housegroup[[#This Row],[owner_id]],player[],2,0)</f>
        <v>#N/A</v>
      </c>
      <c r="W37" t="str">
        <f>+VLOOKUP(housegroup[[#This Row],[group_id]],group[],7,0)</f>
        <v>251007_VerzekeraarsMasterClass</v>
      </c>
    </row>
    <row r="38" spans="1:23" x14ac:dyDescent="0.3">
      <c r="A38">
        <v>1604</v>
      </c>
      <c r="B38" t="s">
        <v>380</v>
      </c>
      <c r="C38" t="s">
        <v>381</v>
      </c>
      <c r="D38">
        <v>2</v>
      </c>
      <c r="E38">
        <v>80000</v>
      </c>
      <c r="F38">
        <v>0</v>
      </c>
      <c r="G38">
        <v>80000</v>
      </c>
      <c r="H38">
        <v>80000</v>
      </c>
      <c r="I38">
        <v>3</v>
      </c>
      <c r="J38" t="s">
        <v>364</v>
      </c>
      <c r="K38">
        <v>9</v>
      </c>
      <c r="L38">
        <v>4</v>
      </c>
      <c r="M38">
        <v>10</v>
      </c>
      <c r="N38">
        <v>4</v>
      </c>
      <c r="P38">
        <v>4</v>
      </c>
      <c r="R38">
        <v>2</v>
      </c>
      <c r="S38">
        <v>261</v>
      </c>
      <c r="T38">
        <v>98</v>
      </c>
      <c r="U38">
        <v>706</v>
      </c>
      <c r="V38" t="str">
        <f>+VLOOKUP(housegroup[[#This Row],[owner_id]],player[],2,0)</f>
        <v>t2p1</v>
      </c>
      <c r="W38" t="str">
        <f>+VLOOKUP(housegroup[[#This Row],[group_id]],group[],7,0)</f>
        <v>251007_VerzekeraarsMasterClass</v>
      </c>
    </row>
    <row r="39" spans="1:23" x14ac:dyDescent="0.3">
      <c r="A39">
        <v>1605</v>
      </c>
      <c r="B39" t="s">
        <v>382</v>
      </c>
      <c r="C39" t="s">
        <v>383</v>
      </c>
      <c r="D39">
        <v>6</v>
      </c>
      <c r="E39">
        <v>200000</v>
      </c>
      <c r="F39">
        <v>0</v>
      </c>
      <c r="G39">
        <v>200000</v>
      </c>
      <c r="I39">
        <v>0</v>
      </c>
      <c r="J39" t="s">
        <v>361</v>
      </c>
      <c r="K39">
        <v>6</v>
      </c>
      <c r="L39">
        <v>6</v>
      </c>
      <c r="M39">
        <v>0</v>
      </c>
      <c r="N39">
        <v>0</v>
      </c>
      <c r="O39">
        <v>2</v>
      </c>
      <c r="P39">
        <v>4</v>
      </c>
      <c r="Q39">
        <v>2</v>
      </c>
      <c r="R39">
        <v>4</v>
      </c>
      <c r="S39">
        <v>262</v>
      </c>
      <c r="T39">
        <v>98</v>
      </c>
      <c r="V39" t="e">
        <f>+VLOOKUP(housegroup[[#This Row],[owner_id]],player[],2,0)</f>
        <v>#N/A</v>
      </c>
      <c r="W39" t="str">
        <f>+VLOOKUP(housegroup[[#This Row],[group_id]],group[],7,0)</f>
        <v>251007_VerzekeraarsMasterClass</v>
      </c>
    </row>
    <row r="40" spans="1:23" x14ac:dyDescent="0.3">
      <c r="A40">
        <v>1606</v>
      </c>
      <c r="B40" t="s">
        <v>384</v>
      </c>
      <c r="C40" t="s">
        <v>385</v>
      </c>
      <c r="D40">
        <v>4</v>
      </c>
      <c r="E40">
        <v>125000</v>
      </c>
      <c r="F40">
        <v>0</v>
      </c>
      <c r="G40">
        <v>125000</v>
      </c>
      <c r="I40">
        <v>0</v>
      </c>
      <c r="J40" t="s">
        <v>361</v>
      </c>
      <c r="K40">
        <v>6</v>
      </c>
      <c r="L40">
        <v>6</v>
      </c>
      <c r="M40">
        <v>0</v>
      </c>
      <c r="N40">
        <v>0</v>
      </c>
      <c r="O40">
        <v>2</v>
      </c>
      <c r="P40">
        <v>4</v>
      </c>
      <c r="Q40">
        <v>2</v>
      </c>
      <c r="R40">
        <v>4</v>
      </c>
      <c r="S40">
        <v>265</v>
      </c>
      <c r="T40">
        <v>98</v>
      </c>
      <c r="V40" t="e">
        <f>+VLOOKUP(housegroup[[#This Row],[owner_id]],player[],2,0)</f>
        <v>#N/A</v>
      </c>
      <c r="W40" t="str">
        <f>+VLOOKUP(housegroup[[#This Row],[group_id]],group[],7,0)</f>
        <v>251007_VerzekeraarsMasterClass</v>
      </c>
    </row>
    <row r="41" spans="1:23" x14ac:dyDescent="0.3">
      <c r="A41">
        <v>1607</v>
      </c>
      <c r="B41" t="s">
        <v>386</v>
      </c>
      <c r="C41" t="s">
        <v>387</v>
      </c>
      <c r="D41">
        <v>4</v>
      </c>
      <c r="E41">
        <v>125000</v>
      </c>
      <c r="F41">
        <v>0</v>
      </c>
      <c r="G41">
        <v>125000</v>
      </c>
      <c r="I41">
        <v>0</v>
      </c>
      <c r="J41" t="s">
        <v>361</v>
      </c>
      <c r="K41">
        <v>6</v>
      </c>
      <c r="L41">
        <v>6</v>
      </c>
      <c r="M41">
        <v>0</v>
      </c>
      <c r="N41">
        <v>0</v>
      </c>
      <c r="O41">
        <v>2</v>
      </c>
      <c r="P41">
        <v>4</v>
      </c>
      <c r="Q41">
        <v>2</v>
      </c>
      <c r="R41">
        <v>4</v>
      </c>
      <c r="S41">
        <v>266</v>
      </c>
      <c r="T41">
        <v>98</v>
      </c>
      <c r="V41" t="e">
        <f>+VLOOKUP(housegroup[[#This Row],[owner_id]],player[],2,0)</f>
        <v>#N/A</v>
      </c>
      <c r="W41" t="str">
        <f>+VLOOKUP(housegroup[[#This Row],[group_id]],group[],7,0)</f>
        <v>251007_VerzekeraarsMasterClass</v>
      </c>
    </row>
    <row r="42" spans="1:23" x14ac:dyDescent="0.3">
      <c r="A42">
        <v>1608</v>
      </c>
      <c r="B42" t="s">
        <v>388</v>
      </c>
      <c r="C42" t="s">
        <v>389</v>
      </c>
      <c r="D42">
        <v>2</v>
      </c>
      <c r="E42">
        <v>70000</v>
      </c>
      <c r="F42">
        <v>0</v>
      </c>
      <c r="G42">
        <v>70000</v>
      </c>
      <c r="H42">
        <v>70000</v>
      </c>
      <c r="I42">
        <v>0</v>
      </c>
      <c r="J42" t="s">
        <v>364</v>
      </c>
      <c r="K42">
        <v>6</v>
      </c>
      <c r="L42">
        <v>6</v>
      </c>
      <c r="M42">
        <v>0</v>
      </c>
      <c r="N42">
        <v>0</v>
      </c>
      <c r="O42">
        <v>2</v>
      </c>
      <c r="P42">
        <v>4</v>
      </c>
      <c r="Q42">
        <v>2</v>
      </c>
      <c r="R42">
        <v>4</v>
      </c>
      <c r="S42">
        <v>270</v>
      </c>
      <c r="T42">
        <v>98</v>
      </c>
      <c r="U42">
        <v>708</v>
      </c>
      <c r="V42" t="str">
        <f>+VLOOKUP(housegroup[[#This Row],[owner_id]],player[],2,0)</f>
        <v>t2p3</v>
      </c>
      <c r="W42" t="str">
        <f>+VLOOKUP(housegroup[[#This Row],[group_id]],group[],7,0)</f>
        <v>251007_VerzekeraarsMasterClass</v>
      </c>
    </row>
    <row r="43" spans="1:23" x14ac:dyDescent="0.3">
      <c r="A43">
        <v>1609</v>
      </c>
      <c r="B43" t="s">
        <v>390</v>
      </c>
      <c r="C43" t="s">
        <v>391</v>
      </c>
      <c r="D43">
        <v>2</v>
      </c>
      <c r="E43">
        <v>70000</v>
      </c>
      <c r="F43">
        <v>0</v>
      </c>
      <c r="G43">
        <v>70000</v>
      </c>
      <c r="I43">
        <v>0</v>
      </c>
      <c r="J43" t="s">
        <v>361</v>
      </c>
      <c r="K43">
        <v>6</v>
      </c>
      <c r="L43">
        <v>6</v>
      </c>
      <c r="M43">
        <v>0</v>
      </c>
      <c r="N43">
        <v>0</v>
      </c>
      <c r="O43">
        <v>2</v>
      </c>
      <c r="P43">
        <v>4</v>
      </c>
      <c r="Q43">
        <v>2</v>
      </c>
      <c r="R43">
        <v>4</v>
      </c>
      <c r="S43">
        <v>271</v>
      </c>
      <c r="T43">
        <v>98</v>
      </c>
      <c r="V43" t="e">
        <f>+VLOOKUP(housegroup[[#This Row],[owner_id]],player[],2,0)</f>
        <v>#N/A</v>
      </c>
      <c r="W43" t="str">
        <f>+VLOOKUP(housegroup[[#This Row],[group_id]],group[],7,0)</f>
        <v>251007_VerzekeraarsMasterClass</v>
      </c>
    </row>
    <row r="44" spans="1:23" x14ac:dyDescent="0.3">
      <c r="A44">
        <v>1661</v>
      </c>
      <c r="B44" t="s">
        <v>392</v>
      </c>
      <c r="C44" t="s">
        <v>393</v>
      </c>
      <c r="D44">
        <v>6</v>
      </c>
      <c r="E44">
        <v>200000</v>
      </c>
      <c r="F44">
        <v>0</v>
      </c>
      <c r="G44">
        <v>200000</v>
      </c>
      <c r="I44">
        <v>0</v>
      </c>
      <c r="J44" t="s">
        <v>367</v>
      </c>
      <c r="K44">
        <v>9</v>
      </c>
      <c r="L44">
        <v>6</v>
      </c>
      <c r="M44">
        <v>1</v>
      </c>
      <c r="N44">
        <v>1</v>
      </c>
      <c r="P44">
        <v>4</v>
      </c>
      <c r="S44">
        <v>246</v>
      </c>
      <c r="T44">
        <v>98</v>
      </c>
      <c r="V44" t="e">
        <f>+VLOOKUP(housegroup[[#This Row],[owner_id]],player[],2,0)</f>
        <v>#N/A</v>
      </c>
      <c r="W44" t="str">
        <f>+VLOOKUP(housegroup[[#This Row],[group_id]],group[],7,0)</f>
        <v>251007_VerzekeraarsMasterClass</v>
      </c>
    </row>
    <row r="45" spans="1:23" x14ac:dyDescent="0.3">
      <c r="A45">
        <v>1662</v>
      </c>
      <c r="B45" t="s">
        <v>394</v>
      </c>
      <c r="C45" t="s">
        <v>395</v>
      </c>
      <c r="D45">
        <v>9</v>
      </c>
      <c r="E45">
        <v>425000</v>
      </c>
      <c r="F45">
        <v>0</v>
      </c>
      <c r="G45">
        <v>425000</v>
      </c>
      <c r="I45">
        <v>0</v>
      </c>
      <c r="J45" t="s">
        <v>367</v>
      </c>
      <c r="K45">
        <v>9</v>
      </c>
      <c r="L45">
        <v>6</v>
      </c>
      <c r="M45">
        <v>1</v>
      </c>
      <c r="N45">
        <v>2</v>
      </c>
      <c r="P45">
        <v>4</v>
      </c>
      <c r="S45">
        <v>247</v>
      </c>
      <c r="T45">
        <v>98</v>
      </c>
      <c r="V45" t="e">
        <f>+VLOOKUP(housegroup[[#This Row],[owner_id]],player[],2,0)</f>
        <v>#N/A</v>
      </c>
      <c r="W45" t="str">
        <f>+VLOOKUP(housegroup[[#This Row],[group_id]],group[],7,0)</f>
        <v>251007_VerzekeraarsMasterClass</v>
      </c>
    </row>
    <row r="46" spans="1:23" x14ac:dyDescent="0.3">
      <c r="A46">
        <v>1663</v>
      </c>
      <c r="B46" t="s">
        <v>396</v>
      </c>
      <c r="C46" t="s">
        <v>397</v>
      </c>
      <c r="D46">
        <v>3</v>
      </c>
      <c r="E46">
        <v>100000</v>
      </c>
      <c r="F46">
        <v>0</v>
      </c>
      <c r="G46">
        <v>100000</v>
      </c>
      <c r="H46">
        <v>100000</v>
      </c>
      <c r="I46">
        <v>3</v>
      </c>
      <c r="J46" t="s">
        <v>364</v>
      </c>
      <c r="K46">
        <v>9</v>
      </c>
      <c r="L46">
        <v>6</v>
      </c>
      <c r="M46">
        <v>10</v>
      </c>
      <c r="N46">
        <v>7</v>
      </c>
      <c r="P46">
        <v>4</v>
      </c>
      <c r="S46">
        <v>250</v>
      </c>
      <c r="T46">
        <v>98</v>
      </c>
      <c r="U46">
        <v>709</v>
      </c>
      <c r="V46" t="str">
        <f>+VLOOKUP(housegroup[[#This Row],[owner_id]],player[],2,0)</f>
        <v>t2p4</v>
      </c>
      <c r="W46" t="str">
        <f>+VLOOKUP(housegroup[[#This Row],[group_id]],group[],7,0)</f>
        <v>251007_VerzekeraarsMasterClass</v>
      </c>
    </row>
    <row r="47" spans="1:23" x14ac:dyDescent="0.3">
      <c r="A47">
        <v>1664</v>
      </c>
      <c r="B47" t="s">
        <v>398</v>
      </c>
      <c r="C47" t="s">
        <v>399</v>
      </c>
      <c r="D47">
        <v>8</v>
      </c>
      <c r="E47">
        <v>300000</v>
      </c>
      <c r="F47">
        <v>0</v>
      </c>
      <c r="G47">
        <v>300000</v>
      </c>
      <c r="I47">
        <v>0</v>
      </c>
      <c r="J47" t="s">
        <v>367</v>
      </c>
      <c r="K47">
        <v>9</v>
      </c>
      <c r="L47">
        <v>4</v>
      </c>
      <c r="M47">
        <v>0</v>
      </c>
      <c r="N47">
        <v>0</v>
      </c>
      <c r="P47">
        <v>4</v>
      </c>
      <c r="R47">
        <v>4</v>
      </c>
      <c r="S47">
        <v>254</v>
      </c>
      <c r="T47">
        <v>98</v>
      </c>
      <c r="V47" t="e">
        <f>+VLOOKUP(housegroup[[#This Row],[owner_id]],player[],2,0)</f>
        <v>#N/A</v>
      </c>
      <c r="W47" t="str">
        <f>+VLOOKUP(housegroup[[#This Row],[group_id]],group[],7,0)</f>
        <v>251007_VerzekeraarsMasterClass</v>
      </c>
    </row>
    <row r="48" spans="1:23" x14ac:dyDescent="0.3">
      <c r="A48">
        <v>1665</v>
      </c>
      <c r="B48" t="s">
        <v>400</v>
      </c>
      <c r="C48" t="s">
        <v>401</v>
      </c>
      <c r="D48">
        <v>5</v>
      </c>
      <c r="E48">
        <v>160000</v>
      </c>
      <c r="F48">
        <v>0</v>
      </c>
      <c r="G48">
        <v>160000</v>
      </c>
      <c r="I48">
        <v>0</v>
      </c>
      <c r="J48" t="s">
        <v>367</v>
      </c>
      <c r="K48">
        <v>9</v>
      </c>
      <c r="L48">
        <v>4</v>
      </c>
      <c r="M48">
        <v>2</v>
      </c>
      <c r="N48">
        <v>2</v>
      </c>
      <c r="P48">
        <v>4</v>
      </c>
      <c r="R48">
        <v>4</v>
      </c>
      <c r="S48">
        <v>257</v>
      </c>
      <c r="T48">
        <v>98</v>
      </c>
      <c r="V48" t="e">
        <f>+VLOOKUP(housegroup[[#This Row],[owner_id]],player[],2,0)</f>
        <v>#N/A</v>
      </c>
      <c r="W48" t="str">
        <f>+VLOOKUP(housegroup[[#This Row],[group_id]],group[],7,0)</f>
        <v>251007_VerzekeraarsMasterClass</v>
      </c>
    </row>
    <row r="49" spans="1:23" x14ac:dyDescent="0.3">
      <c r="A49">
        <v>1666</v>
      </c>
      <c r="B49" t="s">
        <v>402</v>
      </c>
      <c r="C49" t="s">
        <v>403</v>
      </c>
      <c r="D49">
        <v>5</v>
      </c>
      <c r="E49">
        <v>160000</v>
      </c>
      <c r="F49">
        <v>0</v>
      </c>
      <c r="G49">
        <v>160000</v>
      </c>
      <c r="I49">
        <v>0</v>
      </c>
      <c r="J49" t="s">
        <v>367</v>
      </c>
      <c r="K49">
        <v>9</v>
      </c>
      <c r="L49">
        <v>4</v>
      </c>
      <c r="M49">
        <v>2</v>
      </c>
      <c r="N49">
        <v>2</v>
      </c>
      <c r="P49">
        <v>4</v>
      </c>
      <c r="R49">
        <v>4</v>
      </c>
      <c r="S49">
        <v>258</v>
      </c>
      <c r="T49">
        <v>98</v>
      </c>
      <c r="V49" t="e">
        <f>+VLOOKUP(housegroup[[#This Row],[owner_id]],player[],2,0)</f>
        <v>#N/A</v>
      </c>
      <c r="W49" t="str">
        <f>+VLOOKUP(housegroup[[#This Row],[group_id]],group[],7,0)</f>
        <v>251007_VerzekeraarsMasterClass</v>
      </c>
    </row>
    <row r="50" spans="1:23" x14ac:dyDescent="0.3">
      <c r="A50">
        <v>1667</v>
      </c>
      <c r="B50" t="s">
        <v>404</v>
      </c>
      <c r="C50" t="s">
        <v>405</v>
      </c>
      <c r="D50">
        <v>2</v>
      </c>
      <c r="E50">
        <v>80000</v>
      </c>
      <c r="F50">
        <v>0</v>
      </c>
      <c r="G50">
        <v>80000</v>
      </c>
      <c r="I50">
        <v>0</v>
      </c>
      <c r="J50" t="s">
        <v>367</v>
      </c>
      <c r="K50">
        <v>9</v>
      </c>
      <c r="L50">
        <v>4</v>
      </c>
      <c r="M50">
        <v>1</v>
      </c>
      <c r="N50">
        <v>2</v>
      </c>
      <c r="P50">
        <v>4</v>
      </c>
      <c r="R50">
        <v>4</v>
      </c>
      <c r="S50">
        <v>259</v>
      </c>
      <c r="T50">
        <v>98</v>
      </c>
      <c r="V50" t="e">
        <f>+VLOOKUP(housegroup[[#This Row],[owner_id]],player[],2,0)</f>
        <v>#N/A</v>
      </c>
      <c r="W50" t="str">
        <f>+VLOOKUP(housegroup[[#This Row],[group_id]],group[],7,0)</f>
        <v>251007_VerzekeraarsMasterClass</v>
      </c>
    </row>
    <row r="51" spans="1:23" x14ac:dyDescent="0.3">
      <c r="A51">
        <v>1668</v>
      </c>
      <c r="B51" t="s">
        <v>406</v>
      </c>
      <c r="C51" t="s">
        <v>407</v>
      </c>
      <c r="D51">
        <v>6</v>
      </c>
      <c r="E51">
        <v>200000</v>
      </c>
      <c r="F51">
        <v>0</v>
      </c>
      <c r="G51">
        <v>200000</v>
      </c>
      <c r="I51">
        <v>0</v>
      </c>
      <c r="J51" t="s">
        <v>367</v>
      </c>
      <c r="K51">
        <v>6</v>
      </c>
      <c r="L51">
        <v>6</v>
      </c>
      <c r="M51">
        <v>1</v>
      </c>
      <c r="N51">
        <v>1</v>
      </c>
      <c r="P51">
        <v>4</v>
      </c>
      <c r="S51">
        <v>263</v>
      </c>
      <c r="T51">
        <v>98</v>
      </c>
      <c r="V51" t="e">
        <f>+VLOOKUP(housegroup[[#This Row],[owner_id]],player[],2,0)</f>
        <v>#N/A</v>
      </c>
      <c r="W51" t="str">
        <f>+VLOOKUP(housegroup[[#This Row],[group_id]],group[],7,0)</f>
        <v>251007_VerzekeraarsMasterClass</v>
      </c>
    </row>
    <row r="52" spans="1:23" x14ac:dyDescent="0.3">
      <c r="A52">
        <v>1669</v>
      </c>
      <c r="B52" t="s">
        <v>408</v>
      </c>
      <c r="C52" t="s">
        <v>409</v>
      </c>
      <c r="D52">
        <v>6</v>
      </c>
      <c r="E52">
        <v>200000</v>
      </c>
      <c r="F52">
        <v>0</v>
      </c>
      <c r="G52">
        <v>200000</v>
      </c>
      <c r="I52">
        <v>0</v>
      </c>
      <c r="J52" t="s">
        <v>367</v>
      </c>
      <c r="K52">
        <v>6</v>
      </c>
      <c r="L52">
        <v>6</v>
      </c>
      <c r="M52">
        <v>1</v>
      </c>
      <c r="N52">
        <v>2</v>
      </c>
      <c r="P52">
        <v>4</v>
      </c>
      <c r="S52">
        <v>264</v>
      </c>
      <c r="T52">
        <v>98</v>
      </c>
      <c r="V52" t="e">
        <f>+VLOOKUP(housegroup[[#This Row],[owner_id]],player[],2,0)</f>
        <v>#N/A</v>
      </c>
      <c r="W52" t="str">
        <f>+VLOOKUP(housegroup[[#This Row],[group_id]],group[],7,0)</f>
        <v>251007_VerzekeraarsMasterClass</v>
      </c>
    </row>
    <row r="53" spans="1:23" x14ac:dyDescent="0.3">
      <c r="A53">
        <v>1670</v>
      </c>
      <c r="B53" t="s">
        <v>410</v>
      </c>
      <c r="C53" t="s">
        <v>411</v>
      </c>
      <c r="D53">
        <v>4</v>
      </c>
      <c r="E53">
        <v>125000</v>
      </c>
      <c r="F53">
        <v>0</v>
      </c>
      <c r="G53">
        <v>125000</v>
      </c>
      <c r="I53">
        <v>0</v>
      </c>
      <c r="J53" t="s">
        <v>367</v>
      </c>
      <c r="K53">
        <v>6</v>
      </c>
      <c r="L53">
        <v>6</v>
      </c>
      <c r="M53">
        <v>1</v>
      </c>
      <c r="N53">
        <v>0</v>
      </c>
      <c r="P53">
        <v>4</v>
      </c>
      <c r="R53">
        <v>4</v>
      </c>
      <c r="S53">
        <v>267</v>
      </c>
      <c r="T53">
        <v>98</v>
      </c>
      <c r="V53" t="e">
        <f>+VLOOKUP(housegroup[[#This Row],[owner_id]],player[],2,0)</f>
        <v>#N/A</v>
      </c>
      <c r="W53" t="str">
        <f>+VLOOKUP(housegroup[[#This Row],[group_id]],group[],7,0)</f>
        <v>251007_VerzekeraarsMasterClass</v>
      </c>
    </row>
    <row r="54" spans="1:23" x14ac:dyDescent="0.3">
      <c r="A54">
        <v>1671</v>
      </c>
      <c r="B54" t="s">
        <v>412</v>
      </c>
      <c r="C54" t="s">
        <v>413</v>
      </c>
      <c r="D54">
        <v>4</v>
      </c>
      <c r="E54">
        <v>125000</v>
      </c>
      <c r="F54">
        <v>0</v>
      </c>
      <c r="G54">
        <v>125000</v>
      </c>
      <c r="I54">
        <v>0</v>
      </c>
      <c r="J54" t="s">
        <v>367</v>
      </c>
      <c r="K54">
        <v>6</v>
      </c>
      <c r="L54">
        <v>6</v>
      </c>
      <c r="M54">
        <v>2</v>
      </c>
      <c r="N54">
        <v>2</v>
      </c>
      <c r="P54">
        <v>4</v>
      </c>
      <c r="S54">
        <v>268</v>
      </c>
      <c r="T54">
        <v>98</v>
      </c>
      <c r="V54" t="e">
        <f>+VLOOKUP(housegroup[[#This Row],[owner_id]],player[],2,0)</f>
        <v>#N/A</v>
      </c>
      <c r="W54" t="str">
        <f>+VLOOKUP(housegroup[[#This Row],[group_id]],group[],7,0)</f>
        <v>251007_VerzekeraarsMasterClass</v>
      </c>
    </row>
    <row r="55" spans="1:23" x14ac:dyDescent="0.3">
      <c r="A55">
        <v>1672</v>
      </c>
      <c r="B55" t="s">
        <v>414</v>
      </c>
      <c r="C55" t="s">
        <v>415</v>
      </c>
      <c r="D55">
        <v>2</v>
      </c>
      <c r="E55">
        <v>70000</v>
      </c>
      <c r="F55">
        <v>0</v>
      </c>
      <c r="G55">
        <v>70000</v>
      </c>
      <c r="I55">
        <v>0</v>
      </c>
      <c r="J55" t="s">
        <v>367</v>
      </c>
      <c r="K55">
        <v>6</v>
      </c>
      <c r="L55">
        <v>6</v>
      </c>
      <c r="M55">
        <v>1</v>
      </c>
      <c r="N55">
        <v>1</v>
      </c>
      <c r="P55">
        <v>4</v>
      </c>
      <c r="S55">
        <v>269</v>
      </c>
      <c r="T55">
        <v>98</v>
      </c>
      <c r="V55" t="e">
        <f>+VLOOKUP(housegroup[[#This Row],[owner_id]],player[],2,0)</f>
        <v>#N/A</v>
      </c>
      <c r="W55" t="str">
        <f>+VLOOKUP(housegroup[[#This Row],[group_id]],group[],7,0)</f>
        <v>251007_VerzekeraarsMasterClass</v>
      </c>
    </row>
    <row r="56" spans="1:23" x14ac:dyDescent="0.3">
      <c r="A56">
        <v>1565</v>
      </c>
      <c r="B56" t="s">
        <v>359</v>
      </c>
      <c r="C56" t="s">
        <v>360</v>
      </c>
      <c r="D56">
        <v>9</v>
      </c>
      <c r="E56">
        <v>425000</v>
      </c>
      <c r="F56">
        <v>0</v>
      </c>
      <c r="G56">
        <v>425000</v>
      </c>
      <c r="I56">
        <v>0</v>
      </c>
      <c r="J56" t="s">
        <v>361</v>
      </c>
      <c r="K56">
        <v>9</v>
      </c>
      <c r="L56">
        <v>6</v>
      </c>
      <c r="M56">
        <v>0</v>
      </c>
      <c r="N56">
        <v>0</v>
      </c>
      <c r="P56">
        <v>3</v>
      </c>
      <c r="R56">
        <v>3</v>
      </c>
      <c r="S56">
        <v>245</v>
      </c>
      <c r="T56">
        <v>99</v>
      </c>
      <c r="V56" t="e">
        <f>+VLOOKUP(housegroup[[#This Row],[owner_id]],player[],2,0)</f>
        <v>#N/A</v>
      </c>
      <c r="W56" t="str">
        <f>+VLOOKUP(housegroup[[#This Row],[group_id]],group[],7,0)</f>
        <v>251007_VerzekeraarsMasterClass</v>
      </c>
    </row>
    <row r="57" spans="1:23" x14ac:dyDescent="0.3">
      <c r="A57">
        <v>1566</v>
      </c>
      <c r="B57" t="s">
        <v>362</v>
      </c>
      <c r="C57" t="s">
        <v>363</v>
      </c>
      <c r="D57">
        <v>6</v>
      </c>
      <c r="E57">
        <v>200000</v>
      </c>
      <c r="F57">
        <v>0</v>
      </c>
      <c r="G57">
        <v>200000</v>
      </c>
      <c r="H57">
        <v>200000</v>
      </c>
      <c r="I57">
        <v>3</v>
      </c>
      <c r="J57" t="s">
        <v>364</v>
      </c>
      <c r="K57">
        <v>9</v>
      </c>
      <c r="L57">
        <v>6</v>
      </c>
      <c r="M57">
        <v>10</v>
      </c>
      <c r="N57">
        <v>7</v>
      </c>
      <c r="P57">
        <v>3</v>
      </c>
      <c r="S57">
        <v>248</v>
      </c>
      <c r="T57">
        <v>99</v>
      </c>
      <c r="U57">
        <v>719</v>
      </c>
      <c r="V57" t="str">
        <f>+VLOOKUP(housegroup[[#This Row],[owner_id]],player[],2,0)</f>
        <v>t3p6</v>
      </c>
      <c r="W57" t="str">
        <f>+VLOOKUP(housegroup[[#This Row],[group_id]],group[],7,0)</f>
        <v>251007_VerzekeraarsMasterClass</v>
      </c>
    </row>
    <row r="58" spans="1:23" x14ac:dyDescent="0.3">
      <c r="A58">
        <v>1567</v>
      </c>
      <c r="B58" t="s">
        <v>365</v>
      </c>
      <c r="C58" t="s">
        <v>366</v>
      </c>
      <c r="D58">
        <v>6</v>
      </c>
      <c r="E58">
        <v>200000</v>
      </c>
      <c r="F58">
        <v>0</v>
      </c>
      <c r="G58">
        <v>200000</v>
      </c>
      <c r="H58">
        <v>200000</v>
      </c>
      <c r="I58">
        <v>3</v>
      </c>
      <c r="J58" t="s">
        <v>364</v>
      </c>
      <c r="K58">
        <v>9</v>
      </c>
      <c r="L58">
        <v>6</v>
      </c>
      <c r="M58">
        <v>9</v>
      </c>
      <c r="N58">
        <v>7</v>
      </c>
      <c r="P58">
        <v>3</v>
      </c>
      <c r="S58">
        <v>249</v>
      </c>
      <c r="T58">
        <v>99</v>
      </c>
      <c r="U58">
        <v>718</v>
      </c>
      <c r="V58" t="str">
        <f>+VLOOKUP(housegroup[[#This Row],[owner_id]],player[],2,0)</f>
        <v>t3p5</v>
      </c>
      <c r="W58" t="str">
        <f>+VLOOKUP(housegroup[[#This Row],[group_id]],group[],7,0)</f>
        <v>251007_VerzekeraarsMasterClass</v>
      </c>
    </row>
    <row r="59" spans="1:23" x14ac:dyDescent="0.3">
      <c r="A59">
        <v>1568</v>
      </c>
      <c r="B59" t="s">
        <v>368</v>
      </c>
      <c r="C59" t="s">
        <v>369</v>
      </c>
      <c r="D59">
        <v>3</v>
      </c>
      <c r="E59">
        <v>100000</v>
      </c>
      <c r="F59">
        <v>0</v>
      </c>
      <c r="G59">
        <v>100000</v>
      </c>
      <c r="H59">
        <v>100000</v>
      </c>
      <c r="I59">
        <v>2</v>
      </c>
      <c r="J59" t="s">
        <v>364</v>
      </c>
      <c r="K59">
        <v>9</v>
      </c>
      <c r="L59">
        <v>6</v>
      </c>
      <c r="M59">
        <v>10</v>
      </c>
      <c r="N59">
        <v>7</v>
      </c>
      <c r="P59">
        <v>3</v>
      </c>
      <c r="S59">
        <v>251</v>
      </c>
      <c r="T59">
        <v>99</v>
      </c>
      <c r="U59">
        <v>714</v>
      </c>
      <c r="V59" t="str">
        <f>+VLOOKUP(housegroup[[#This Row],[owner_id]],player[],2,0)</f>
        <v>t3p1</v>
      </c>
      <c r="W59" t="str">
        <f>+VLOOKUP(housegroup[[#This Row],[group_id]],group[],7,0)</f>
        <v>251007_VerzekeraarsMasterClass</v>
      </c>
    </row>
    <row r="60" spans="1:23" x14ac:dyDescent="0.3">
      <c r="A60">
        <v>1569</v>
      </c>
      <c r="B60" t="s">
        <v>370</v>
      </c>
      <c r="C60" t="s">
        <v>371</v>
      </c>
      <c r="D60">
        <v>8</v>
      </c>
      <c r="E60">
        <v>300000</v>
      </c>
      <c r="F60">
        <v>0</v>
      </c>
      <c r="G60">
        <v>300000</v>
      </c>
      <c r="I60">
        <v>0</v>
      </c>
      <c r="J60" t="s">
        <v>361</v>
      </c>
      <c r="K60">
        <v>9</v>
      </c>
      <c r="L60">
        <v>4</v>
      </c>
      <c r="M60">
        <v>0</v>
      </c>
      <c r="N60">
        <v>0</v>
      </c>
      <c r="P60">
        <v>4</v>
      </c>
      <c r="R60">
        <v>4</v>
      </c>
      <c r="S60">
        <v>252</v>
      </c>
      <c r="T60">
        <v>99</v>
      </c>
      <c r="V60" t="e">
        <f>+VLOOKUP(housegroup[[#This Row],[owner_id]],player[],2,0)</f>
        <v>#N/A</v>
      </c>
      <c r="W60" t="str">
        <f>+VLOOKUP(housegroup[[#This Row],[group_id]],group[],7,0)</f>
        <v>251007_VerzekeraarsMasterClass</v>
      </c>
    </row>
    <row r="61" spans="1:23" x14ac:dyDescent="0.3">
      <c r="A61">
        <v>1570</v>
      </c>
      <c r="B61" t="s">
        <v>372</v>
      </c>
      <c r="C61" t="s">
        <v>373</v>
      </c>
      <c r="D61">
        <v>8</v>
      </c>
      <c r="E61">
        <v>300000</v>
      </c>
      <c r="F61">
        <v>0</v>
      </c>
      <c r="G61">
        <v>300000</v>
      </c>
      <c r="I61">
        <v>0</v>
      </c>
      <c r="J61" t="s">
        <v>361</v>
      </c>
      <c r="K61">
        <v>9</v>
      </c>
      <c r="L61">
        <v>4</v>
      </c>
      <c r="M61">
        <v>0</v>
      </c>
      <c r="N61">
        <v>0</v>
      </c>
      <c r="P61">
        <v>4</v>
      </c>
      <c r="R61">
        <v>4</v>
      </c>
      <c r="S61">
        <v>253</v>
      </c>
      <c r="T61">
        <v>99</v>
      </c>
      <c r="V61" t="e">
        <f>+VLOOKUP(housegroup[[#This Row],[owner_id]],player[],2,0)</f>
        <v>#N/A</v>
      </c>
      <c r="W61" t="str">
        <f>+VLOOKUP(housegroup[[#This Row],[group_id]],group[],7,0)</f>
        <v>251007_VerzekeraarsMasterClass</v>
      </c>
    </row>
    <row r="62" spans="1:23" x14ac:dyDescent="0.3">
      <c r="A62">
        <v>1571</v>
      </c>
      <c r="B62" t="s">
        <v>374</v>
      </c>
      <c r="C62" t="s">
        <v>375</v>
      </c>
      <c r="D62">
        <v>5</v>
      </c>
      <c r="E62">
        <v>160000</v>
      </c>
      <c r="F62">
        <v>0</v>
      </c>
      <c r="G62">
        <v>160000</v>
      </c>
      <c r="H62">
        <v>160000</v>
      </c>
      <c r="I62">
        <v>0</v>
      </c>
      <c r="J62" t="s">
        <v>367</v>
      </c>
      <c r="K62">
        <v>9</v>
      </c>
      <c r="L62">
        <v>4</v>
      </c>
      <c r="M62">
        <v>0</v>
      </c>
      <c r="N62">
        <v>0</v>
      </c>
      <c r="P62">
        <v>4</v>
      </c>
      <c r="R62">
        <v>4</v>
      </c>
      <c r="S62">
        <v>255</v>
      </c>
      <c r="T62">
        <v>99</v>
      </c>
      <c r="V62" t="e">
        <f>+VLOOKUP(housegroup[[#This Row],[owner_id]],player[],2,0)</f>
        <v>#N/A</v>
      </c>
      <c r="W62" t="str">
        <f>+VLOOKUP(housegroup[[#This Row],[group_id]],group[],7,0)</f>
        <v>251007_VerzekeraarsMasterClass</v>
      </c>
    </row>
    <row r="63" spans="1:23" x14ac:dyDescent="0.3">
      <c r="A63">
        <v>1572</v>
      </c>
      <c r="B63" t="s">
        <v>376</v>
      </c>
      <c r="C63" t="s">
        <v>377</v>
      </c>
      <c r="D63">
        <v>5</v>
      </c>
      <c r="E63">
        <v>160000</v>
      </c>
      <c r="F63">
        <v>0</v>
      </c>
      <c r="G63">
        <v>160000</v>
      </c>
      <c r="I63">
        <v>0</v>
      </c>
      <c r="J63" t="s">
        <v>361</v>
      </c>
      <c r="K63">
        <v>9</v>
      </c>
      <c r="L63">
        <v>4</v>
      </c>
      <c r="M63">
        <v>0</v>
      </c>
      <c r="N63">
        <v>0</v>
      </c>
      <c r="P63">
        <v>4</v>
      </c>
      <c r="R63">
        <v>4</v>
      </c>
      <c r="S63">
        <v>256</v>
      </c>
      <c r="T63">
        <v>99</v>
      </c>
      <c r="V63" t="e">
        <f>+VLOOKUP(housegroup[[#This Row],[owner_id]],player[],2,0)</f>
        <v>#N/A</v>
      </c>
      <c r="W63" t="str">
        <f>+VLOOKUP(housegroup[[#This Row],[group_id]],group[],7,0)</f>
        <v>251007_VerzekeraarsMasterClass</v>
      </c>
    </row>
    <row r="64" spans="1:23" x14ac:dyDescent="0.3">
      <c r="A64">
        <v>1573</v>
      </c>
      <c r="B64" t="s">
        <v>378</v>
      </c>
      <c r="C64" t="s">
        <v>379</v>
      </c>
      <c r="D64">
        <v>2</v>
      </c>
      <c r="E64">
        <v>80000</v>
      </c>
      <c r="F64">
        <v>0</v>
      </c>
      <c r="G64">
        <v>80000</v>
      </c>
      <c r="I64">
        <v>0</v>
      </c>
      <c r="J64" t="s">
        <v>361</v>
      </c>
      <c r="K64">
        <v>9</v>
      </c>
      <c r="L64">
        <v>4</v>
      </c>
      <c r="M64">
        <v>0</v>
      </c>
      <c r="N64">
        <v>0</v>
      </c>
      <c r="P64">
        <v>4</v>
      </c>
      <c r="R64">
        <v>4</v>
      </c>
      <c r="S64">
        <v>260</v>
      </c>
      <c r="T64">
        <v>99</v>
      </c>
      <c r="V64" t="e">
        <f>+VLOOKUP(housegroup[[#This Row],[owner_id]],player[],2,0)</f>
        <v>#N/A</v>
      </c>
      <c r="W64" t="str">
        <f>+VLOOKUP(housegroup[[#This Row],[group_id]],group[],7,0)</f>
        <v>251007_VerzekeraarsMasterClass</v>
      </c>
    </row>
    <row r="65" spans="1:23" x14ac:dyDescent="0.3">
      <c r="A65">
        <v>1574</v>
      </c>
      <c r="B65" t="s">
        <v>380</v>
      </c>
      <c r="C65" t="s">
        <v>381</v>
      </c>
      <c r="D65">
        <v>2</v>
      </c>
      <c r="E65">
        <v>80000</v>
      </c>
      <c r="F65">
        <v>0</v>
      </c>
      <c r="G65">
        <v>80000</v>
      </c>
      <c r="I65">
        <v>0</v>
      </c>
      <c r="J65" t="s">
        <v>361</v>
      </c>
      <c r="K65">
        <v>9</v>
      </c>
      <c r="L65">
        <v>4</v>
      </c>
      <c r="M65">
        <v>0</v>
      </c>
      <c r="N65">
        <v>0</v>
      </c>
      <c r="P65">
        <v>4</v>
      </c>
      <c r="R65">
        <v>4</v>
      </c>
      <c r="S65">
        <v>261</v>
      </c>
      <c r="T65">
        <v>99</v>
      </c>
      <c r="V65" t="e">
        <f>+VLOOKUP(housegroup[[#This Row],[owner_id]],player[],2,0)</f>
        <v>#N/A</v>
      </c>
      <c r="W65" t="str">
        <f>+VLOOKUP(housegroup[[#This Row],[group_id]],group[],7,0)</f>
        <v>251007_VerzekeraarsMasterClass</v>
      </c>
    </row>
    <row r="66" spans="1:23" x14ac:dyDescent="0.3">
      <c r="A66">
        <v>1575</v>
      </c>
      <c r="B66" t="s">
        <v>382</v>
      </c>
      <c r="C66" t="s">
        <v>383</v>
      </c>
      <c r="D66">
        <v>6</v>
      </c>
      <c r="E66">
        <v>200000</v>
      </c>
      <c r="F66">
        <v>0</v>
      </c>
      <c r="G66">
        <v>200000</v>
      </c>
      <c r="I66">
        <v>0</v>
      </c>
      <c r="J66" t="s">
        <v>361</v>
      </c>
      <c r="K66">
        <v>6</v>
      </c>
      <c r="L66">
        <v>6</v>
      </c>
      <c r="M66">
        <v>0</v>
      </c>
      <c r="N66">
        <v>0</v>
      </c>
      <c r="O66">
        <v>4</v>
      </c>
      <c r="P66">
        <v>3</v>
      </c>
      <c r="Q66">
        <v>4</v>
      </c>
      <c r="R66">
        <v>3</v>
      </c>
      <c r="S66">
        <v>262</v>
      </c>
      <c r="T66">
        <v>99</v>
      </c>
      <c r="V66" t="e">
        <f>+VLOOKUP(housegroup[[#This Row],[owner_id]],player[],2,0)</f>
        <v>#N/A</v>
      </c>
      <c r="W66" t="str">
        <f>+VLOOKUP(housegroup[[#This Row],[group_id]],group[],7,0)</f>
        <v>251007_VerzekeraarsMasterClass</v>
      </c>
    </row>
    <row r="67" spans="1:23" x14ac:dyDescent="0.3">
      <c r="A67">
        <v>1576</v>
      </c>
      <c r="B67" t="s">
        <v>384</v>
      </c>
      <c r="C67" t="s">
        <v>385</v>
      </c>
      <c r="D67">
        <v>4</v>
      </c>
      <c r="E67">
        <v>125000</v>
      </c>
      <c r="F67">
        <v>0</v>
      </c>
      <c r="G67">
        <v>125000</v>
      </c>
      <c r="I67">
        <v>0</v>
      </c>
      <c r="J67" t="s">
        <v>361</v>
      </c>
      <c r="K67">
        <v>6</v>
      </c>
      <c r="L67">
        <v>6</v>
      </c>
      <c r="M67">
        <v>0</v>
      </c>
      <c r="N67">
        <v>0</v>
      </c>
      <c r="O67">
        <v>4</v>
      </c>
      <c r="P67">
        <v>3</v>
      </c>
      <c r="Q67">
        <v>4</v>
      </c>
      <c r="R67">
        <v>3</v>
      </c>
      <c r="S67">
        <v>265</v>
      </c>
      <c r="T67">
        <v>99</v>
      </c>
      <c r="V67" t="e">
        <f>+VLOOKUP(housegroup[[#This Row],[owner_id]],player[],2,0)</f>
        <v>#N/A</v>
      </c>
      <c r="W67" t="str">
        <f>+VLOOKUP(housegroup[[#This Row],[group_id]],group[],7,0)</f>
        <v>251007_VerzekeraarsMasterClass</v>
      </c>
    </row>
    <row r="68" spans="1:23" x14ac:dyDescent="0.3">
      <c r="A68">
        <v>1577</v>
      </c>
      <c r="B68" t="s">
        <v>386</v>
      </c>
      <c r="C68" t="s">
        <v>387</v>
      </c>
      <c r="D68">
        <v>4</v>
      </c>
      <c r="E68">
        <v>125000</v>
      </c>
      <c r="F68">
        <v>0</v>
      </c>
      <c r="G68">
        <v>125000</v>
      </c>
      <c r="H68">
        <v>125000</v>
      </c>
      <c r="I68">
        <v>3</v>
      </c>
      <c r="J68" t="s">
        <v>364</v>
      </c>
      <c r="K68">
        <v>6</v>
      </c>
      <c r="L68">
        <v>6</v>
      </c>
      <c r="M68">
        <v>7</v>
      </c>
      <c r="N68">
        <v>6</v>
      </c>
      <c r="O68">
        <v>4</v>
      </c>
      <c r="P68">
        <v>3</v>
      </c>
      <c r="S68">
        <v>266</v>
      </c>
      <c r="T68">
        <v>99</v>
      </c>
      <c r="U68">
        <v>715</v>
      </c>
      <c r="V68" t="str">
        <f>+VLOOKUP(housegroup[[#This Row],[owner_id]],player[],2,0)</f>
        <v>t3p2</v>
      </c>
      <c r="W68" t="str">
        <f>+VLOOKUP(housegroup[[#This Row],[group_id]],group[],7,0)</f>
        <v>251007_VerzekeraarsMasterClass</v>
      </c>
    </row>
    <row r="69" spans="1:23" x14ac:dyDescent="0.3">
      <c r="A69">
        <v>1578</v>
      </c>
      <c r="B69" t="s">
        <v>388</v>
      </c>
      <c r="C69" t="s">
        <v>389</v>
      </c>
      <c r="D69">
        <v>2</v>
      </c>
      <c r="E69">
        <v>70000</v>
      </c>
      <c r="F69">
        <v>0</v>
      </c>
      <c r="G69">
        <v>70000</v>
      </c>
      <c r="H69">
        <v>70000</v>
      </c>
      <c r="I69">
        <v>0</v>
      </c>
      <c r="J69" t="s">
        <v>367</v>
      </c>
      <c r="K69">
        <v>6</v>
      </c>
      <c r="L69">
        <v>6</v>
      </c>
      <c r="M69">
        <v>7</v>
      </c>
      <c r="N69">
        <v>6</v>
      </c>
      <c r="O69">
        <v>4</v>
      </c>
      <c r="P69">
        <v>3</v>
      </c>
      <c r="R69">
        <v>3</v>
      </c>
      <c r="S69">
        <v>270</v>
      </c>
      <c r="T69">
        <v>99</v>
      </c>
      <c r="V69" t="e">
        <f>+VLOOKUP(housegroup[[#This Row],[owner_id]],player[],2,0)</f>
        <v>#N/A</v>
      </c>
      <c r="W69" t="str">
        <f>+VLOOKUP(housegroup[[#This Row],[group_id]],group[],7,0)</f>
        <v>251007_VerzekeraarsMasterClass</v>
      </c>
    </row>
    <row r="70" spans="1:23" x14ac:dyDescent="0.3">
      <c r="A70">
        <v>1579</v>
      </c>
      <c r="B70" t="s">
        <v>390</v>
      </c>
      <c r="C70" t="s">
        <v>391</v>
      </c>
      <c r="D70">
        <v>2</v>
      </c>
      <c r="E70">
        <v>70000</v>
      </c>
      <c r="F70">
        <v>0</v>
      </c>
      <c r="G70">
        <v>70000</v>
      </c>
      <c r="I70">
        <v>0</v>
      </c>
      <c r="J70" t="s">
        <v>361</v>
      </c>
      <c r="K70">
        <v>6</v>
      </c>
      <c r="L70">
        <v>6</v>
      </c>
      <c r="M70">
        <v>0</v>
      </c>
      <c r="N70">
        <v>0</v>
      </c>
      <c r="O70">
        <v>4</v>
      </c>
      <c r="P70">
        <v>3</v>
      </c>
      <c r="Q70">
        <v>4</v>
      </c>
      <c r="R70">
        <v>3</v>
      </c>
      <c r="S70">
        <v>271</v>
      </c>
      <c r="T70">
        <v>99</v>
      </c>
      <c r="V70" t="e">
        <f>+VLOOKUP(housegroup[[#This Row],[owner_id]],player[],2,0)</f>
        <v>#N/A</v>
      </c>
      <c r="W70" t="str">
        <f>+VLOOKUP(housegroup[[#This Row],[group_id]],group[],7,0)</f>
        <v>251007_VerzekeraarsMasterClass</v>
      </c>
    </row>
    <row r="71" spans="1:23" x14ac:dyDescent="0.3">
      <c r="A71">
        <v>1637</v>
      </c>
      <c r="B71" t="s">
        <v>392</v>
      </c>
      <c r="C71" t="s">
        <v>393</v>
      </c>
      <c r="D71">
        <v>6</v>
      </c>
      <c r="E71">
        <v>200000</v>
      </c>
      <c r="F71">
        <v>0</v>
      </c>
      <c r="G71">
        <v>200000</v>
      </c>
      <c r="H71">
        <v>200000</v>
      </c>
      <c r="I71">
        <v>1</v>
      </c>
      <c r="J71" t="s">
        <v>364</v>
      </c>
      <c r="K71">
        <v>9</v>
      </c>
      <c r="L71">
        <v>6</v>
      </c>
      <c r="M71">
        <v>9</v>
      </c>
      <c r="N71">
        <v>7</v>
      </c>
      <c r="S71">
        <v>246</v>
      </c>
      <c r="T71">
        <v>99</v>
      </c>
      <c r="U71">
        <v>717</v>
      </c>
      <c r="V71" t="str">
        <f>+VLOOKUP(housegroup[[#This Row],[owner_id]],player[],2,0)</f>
        <v>t3p4</v>
      </c>
      <c r="W71" t="str">
        <f>+VLOOKUP(housegroup[[#This Row],[group_id]],group[],7,0)</f>
        <v>251007_VerzekeraarsMasterClass</v>
      </c>
    </row>
    <row r="72" spans="1:23" x14ac:dyDescent="0.3">
      <c r="A72">
        <v>1638</v>
      </c>
      <c r="B72" t="s">
        <v>394</v>
      </c>
      <c r="C72" t="s">
        <v>395</v>
      </c>
      <c r="D72">
        <v>9</v>
      </c>
      <c r="E72">
        <v>425000</v>
      </c>
      <c r="F72">
        <v>0</v>
      </c>
      <c r="G72">
        <v>425000</v>
      </c>
      <c r="I72">
        <v>0</v>
      </c>
      <c r="J72" t="s">
        <v>367</v>
      </c>
      <c r="K72">
        <v>9</v>
      </c>
      <c r="L72">
        <v>6</v>
      </c>
      <c r="M72">
        <v>1</v>
      </c>
      <c r="N72">
        <v>2</v>
      </c>
      <c r="S72">
        <v>247</v>
      </c>
      <c r="T72">
        <v>99</v>
      </c>
      <c r="V72" t="e">
        <f>+VLOOKUP(housegroup[[#This Row],[owner_id]],player[],2,0)</f>
        <v>#N/A</v>
      </c>
      <c r="W72" t="str">
        <f>+VLOOKUP(housegroup[[#This Row],[group_id]],group[],7,0)</f>
        <v>251007_VerzekeraarsMasterClass</v>
      </c>
    </row>
    <row r="73" spans="1:23" x14ac:dyDescent="0.3">
      <c r="A73">
        <v>1639</v>
      </c>
      <c r="B73" t="s">
        <v>396</v>
      </c>
      <c r="C73" t="s">
        <v>397</v>
      </c>
      <c r="D73">
        <v>3</v>
      </c>
      <c r="E73">
        <v>100000</v>
      </c>
      <c r="F73">
        <v>0</v>
      </c>
      <c r="G73">
        <v>100000</v>
      </c>
      <c r="I73">
        <v>0</v>
      </c>
      <c r="J73" t="s">
        <v>367</v>
      </c>
      <c r="K73">
        <v>9</v>
      </c>
      <c r="L73">
        <v>6</v>
      </c>
      <c r="M73">
        <v>1</v>
      </c>
      <c r="N73">
        <v>0</v>
      </c>
      <c r="S73">
        <v>250</v>
      </c>
      <c r="T73">
        <v>99</v>
      </c>
      <c r="V73" t="e">
        <f>+VLOOKUP(housegroup[[#This Row],[owner_id]],player[],2,0)</f>
        <v>#N/A</v>
      </c>
      <c r="W73" t="str">
        <f>+VLOOKUP(housegroup[[#This Row],[group_id]],group[],7,0)</f>
        <v>251007_VerzekeraarsMasterClass</v>
      </c>
    </row>
    <row r="74" spans="1:23" x14ac:dyDescent="0.3">
      <c r="A74">
        <v>1640</v>
      </c>
      <c r="B74" t="s">
        <v>398</v>
      </c>
      <c r="C74" t="s">
        <v>399</v>
      </c>
      <c r="D74">
        <v>8</v>
      </c>
      <c r="E74">
        <v>300000</v>
      </c>
      <c r="F74">
        <v>0</v>
      </c>
      <c r="G74">
        <v>300000</v>
      </c>
      <c r="I74">
        <v>0</v>
      </c>
      <c r="J74" t="s">
        <v>367</v>
      </c>
      <c r="K74">
        <v>9</v>
      </c>
      <c r="L74">
        <v>4</v>
      </c>
      <c r="M74">
        <v>0</v>
      </c>
      <c r="N74">
        <v>0</v>
      </c>
      <c r="P74">
        <v>4</v>
      </c>
      <c r="R74">
        <v>4</v>
      </c>
      <c r="S74">
        <v>254</v>
      </c>
      <c r="T74">
        <v>99</v>
      </c>
      <c r="V74" t="e">
        <f>+VLOOKUP(housegroup[[#This Row],[owner_id]],player[],2,0)</f>
        <v>#N/A</v>
      </c>
      <c r="W74" t="str">
        <f>+VLOOKUP(housegroup[[#This Row],[group_id]],group[],7,0)</f>
        <v>251007_VerzekeraarsMasterClass</v>
      </c>
    </row>
    <row r="75" spans="1:23" x14ac:dyDescent="0.3">
      <c r="A75">
        <v>1641</v>
      </c>
      <c r="B75" t="s">
        <v>400</v>
      </c>
      <c r="C75" t="s">
        <v>401</v>
      </c>
      <c r="D75">
        <v>5</v>
      </c>
      <c r="E75">
        <v>160000</v>
      </c>
      <c r="F75">
        <v>0</v>
      </c>
      <c r="G75">
        <v>160000</v>
      </c>
      <c r="I75">
        <v>0</v>
      </c>
      <c r="J75" t="s">
        <v>367</v>
      </c>
      <c r="K75">
        <v>9</v>
      </c>
      <c r="L75">
        <v>4</v>
      </c>
      <c r="M75">
        <v>2</v>
      </c>
      <c r="N75">
        <v>2</v>
      </c>
      <c r="P75">
        <v>4</v>
      </c>
      <c r="S75">
        <v>257</v>
      </c>
      <c r="T75">
        <v>99</v>
      </c>
      <c r="V75" t="e">
        <f>+VLOOKUP(housegroup[[#This Row],[owner_id]],player[],2,0)</f>
        <v>#N/A</v>
      </c>
      <c r="W75" t="str">
        <f>+VLOOKUP(housegroup[[#This Row],[group_id]],group[],7,0)</f>
        <v>251007_VerzekeraarsMasterClass</v>
      </c>
    </row>
    <row r="76" spans="1:23" x14ac:dyDescent="0.3">
      <c r="A76">
        <v>1642</v>
      </c>
      <c r="B76" t="s">
        <v>402</v>
      </c>
      <c r="C76" t="s">
        <v>403</v>
      </c>
      <c r="D76">
        <v>5</v>
      </c>
      <c r="E76">
        <v>160000</v>
      </c>
      <c r="F76">
        <v>0</v>
      </c>
      <c r="G76">
        <v>160000</v>
      </c>
      <c r="I76">
        <v>0</v>
      </c>
      <c r="J76" t="s">
        <v>367</v>
      </c>
      <c r="K76">
        <v>9</v>
      </c>
      <c r="L76">
        <v>4</v>
      </c>
      <c r="M76">
        <v>2</v>
      </c>
      <c r="N76">
        <v>2</v>
      </c>
      <c r="P76">
        <v>4</v>
      </c>
      <c r="S76">
        <v>258</v>
      </c>
      <c r="T76">
        <v>99</v>
      </c>
      <c r="V76" t="e">
        <f>+VLOOKUP(housegroup[[#This Row],[owner_id]],player[],2,0)</f>
        <v>#N/A</v>
      </c>
      <c r="W76" t="str">
        <f>+VLOOKUP(housegroup[[#This Row],[group_id]],group[],7,0)</f>
        <v>251007_VerzekeraarsMasterClass</v>
      </c>
    </row>
    <row r="77" spans="1:23" x14ac:dyDescent="0.3">
      <c r="A77">
        <v>1643</v>
      </c>
      <c r="B77" t="s">
        <v>404</v>
      </c>
      <c r="C77" t="s">
        <v>405</v>
      </c>
      <c r="D77">
        <v>2</v>
      </c>
      <c r="E77">
        <v>80000</v>
      </c>
      <c r="F77">
        <v>0</v>
      </c>
      <c r="G77">
        <v>80000</v>
      </c>
      <c r="H77">
        <v>80000</v>
      </c>
      <c r="I77">
        <v>1</v>
      </c>
      <c r="J77" t="s">
        <v>364</v>
      </c>
      <c r="K77">
        <v>9</v>
      </c>
      <c r="L77">
        <v>4</v>
      </c>
      <c r="M77">
        <v>9</v>
      </c>
      <c r="N77">
        <v>5</v>
      </c>
      <c r="P77">
        <v>4</v>
      </c>
      <c r="S77">
        <v>259</v>
      </c>
      <c r="T77">
        <v>99</v>
      </c>
      <c r="U77">
        <v>716</v>
      </c>
      <c r="V77" t="str">
        <f>+VLOOKUP(housegroup[[#This Row],[owner_id]],player[],2,0)</f>
        <v>t3p3</v>
      </c>
      <c r="W77" t="str">
        <f>+VLOOKUP(housegroup[[#This Row],[group_id]],group[],7,0)</f>
        <v>251007_VerzekeraarsMasterClass</v>
      </c>
    </row>
    <row r="78" spans="1:23" x14ac:dyDescent="0.3">
      <c r="A78">
        <v>1644</v>
      </c>
      <c r="B78" t="s">
        <v>406</v>
      </c>
      <c r="C78" t="s">
        <v>407</v>
      </c>
      <c r="D78">
        <v>6</v>
      </c>
      <c r="E78">
        <v>200000</v>
      </c>
      <c r="F78">
        <v>0</v>
      </c>
      <c r="G78">
        <v>200000</v>
      </c>
      <c r="I78">
        <v>0</v>
      </c>
      <c r="J78" t="s">
        <v>367</v>
      </c>
      <c r="K78">
        <v>6</v>
      </c>
      <c r="L78">
        <v>6</v>
      </c>
      <c r="M78">
        <v>1</v>
      </c>
      <c r="N78">
        <v>1</v>
      </c>
      <c r="O78">
        <v>4</v>
      </c>
      <c r="S78">
        <v>263</v>
      </c>
      <c r="T78">
        <v>99</v>
      </c>
      <c r="V78" t="e">
        <f>+VLOOKUP(housegroup[[#This Row],[owner_id]],player[],2,0)</f>
        <v>#N/A</v>
      </c>
      <c r="W78" t="str">
        <f>+VLOOKUP(housegroup[[#This Row],[group_id]],group[],7,0)</f>
        <v>251007_VerzekeraarsMasterClass</v>
      </c>
    </row>
    <row r="79" spans="1:23" x14ac:dyDescent="0.3">
      <c r="A79">
        <v>1645</v>
      </c>
      <c r="B79" t="s">
        <v>408</v>
      </c>
      <c r="C79" t="s">
        <v>409</v>
      </c>
      <c r="D79">
        <v>6</v>
      </c>
      <c r="E79">
        <v>200000</v>
      </c>
      <c r="F79">
        <v>0</v>
      </c>
      <c r="G79">
        <v>200000</v>
      </c>
      <c r="I79">
        <v>0</v>
      </c>
      <c r="J79" t="s">
        <v>367</v>
      </c>
      <c r="K79">
        <v>6</v>
      </c>
      <c r="L79">
        <v>6</v>
      </c>
      <c r="M79">
        <v>1</v>
      </c>
      <c r="N79">
        <v>2</v>
      </c>
      <c r="O79">
        <v>4</v>
      </c>
      <c r="S79">
        <v>264</v>
      </c>
      <c r="T79">
        <v>99</v>
      </c>
      <c r="V79" t="e">
        <f>+VLOOKUP(housegroup[[#This Row],[owner_id]],player[],2,0)</f>
        <v>#N/A</v>
      </c>
      <c r="W79" t="str">
        <f>+VLOOKUP(housegroup[[#This Row],[group_id]],group[],7,0)</f>
        <v>251007_VerzekeraarsMasterClass</v>
      </c>
    </row>
    <row r="80" spans="1:23" x14ac:dyDescent="0.3">
      <c r="A80">
        <v>1646</v>
      </c>
      <c r="B80" t="s">
        <v>410</v>
      </c>
      <c r="C80" t="s">
        <v>411</v>
      </c>
      <c r="D80">
        <v>4</v>
      </c>
      <c r="E80">
        <v>125000</v>
      </c>
      <c r="F80">
        <v>0</v>
      </c>
      <c r="G80">
        <v>125000</v>
      </c>
      <c r="I80">
        <v>0</v>
      </c>
      <c r="J80" t="s">
        <v>367</v>
      </c>
      <c r="K80">
        <v>6</v>
      </c>
      <c r="L80">
        <v>6</v>
      </c>
      <c r="M80">
        <v>1</v>
      </c>
      <c r="N80">
        <v>0</v>
      </c>
      <c r="O80">
        <v>4</v>
      </c>
      <c r="S80">
        <v>267</v>
      </c>
      <c r="T80">
        <v>99</v>
      </c>
      <c r="V80" t="e">
        <f>+VLOOKUP(housegroup[[#This Row],[owner_id]],player[],2,0)</f>
        <v>#N/A</v>
      </c>
      <c r="W80" t="str">
        <f>+VLOOKUP(housegroup[[#This Row],[group_id]],group[],7,0)</f>
        <v>251007_VerzekeraarsMasterClass</v>
      </c>
    </row>
    <row r="81" spans="1:23" x14ac:dyDescent="0.3">
      <c r="A81">
        <v>1647</v>
      </c>
      <c r="B81" t="s">
        <v>412</v>
      </c>
      <c r="C81" t="s">
        <v>413</v>
      </c>
      <c r="D81">
        <v>4</v>
      </c>
      <c r="E81">
        <v>125000</v>
      </c>
      <c r="F81">
        <v>0</v>
      </c>
      <c r="G81">
        <v>125000</v>
      </c>
      <c r="I81">
        <v>0</v>
      </c>
      <c r="J81" t="s">
        <v>367</v>
      </c>
      <c r="K81">
        <v>6</v>
      </c>
      <c r="L81">
        <v>6</v>
      </c>
      <c r="M81">
        <v>2</v>
      </c>
      <c r="N81">
        <v>2</v>
      </c>
      <c r="O81">
        <v>4</v>
      </c>
      <c r="S81">
        <v>268</v>
      </c>
      <c r="T81">
        <v>99</v>
      </c>
      <c r="V81" t="e">
        <f>+VLOOKUP(housegroup[[#This Row],[owner_id]],player[],2,0)</f>
        <v>#N/A</v>
      </c>
      <c r="W81" t="str">
        <f>+VLOOKUP(housegroup[[#This Row],[group_id]],group[],7,0)</f>
        <v>251007_VerzekeraarsMasterClass</v>
      </c>
    </row>
    <row r="82" spans="1:23" x14ac:dyDescent="0.3">
      <c r="A82">
        <v>1648</v>
      </c>
      <c r="B82" t="s">
        <v>414</v>
      </c>
      <c r="C82" t="s">
        <v>415</v>
      </c>
      <c r="D82">
        <v>2</v>
      </c>
      <c r="E82">
        <v>70000</v>
      </c>
      <c r="F82">
        <v>0</v>
      </c>
      <c r="G82">
        <v>70000</v>
      </c>
      <c r="I82">
        <v>0</v>
      </c>
      <c r="J82" t="s">
        <v>367</v>
      </c>
      <c r="K82">
        <v>6</v>
      </c>
      <c r="L82">
        <v>6</v>
      </c>
      <c r="M82">
        <v>1</v>
      </c>
      <c r="N82">
        <v>1</v>
      </c>
      <c r="O82">
        <v>4</v>
      </c>
      <c r="S82">
        <v>269</v>
      </c>
      <c r="T82">
        <v>99</v>
      </c>
      <c r="V82" t="e">
        <f>+VLOOKUP(housegroup[[#This Row],[owner_id]],player[],2,0)</f>
        <v>#N/A</v>
      </c>
      <c r="W82" t="str">
        <f>+VLOOKUP(housegroup[[#This Row],[group_id]],group[],7,0)</f>
        <v>251007_VerzekeraarsMasterClass</v>
      </c>
    </row>
    <row r="83" spans="1:23" x14ac:dyDescent="0.3">
      <c r="A83">
        <v>1580</v>
      </c>
      <c r="B83" t="s">
        <v>359</v>
      </c>
      <c r="C83" t="s">
        <v>360</v>
      </c>
      <c r="D83">
        <v>9</v>
      </c>
      <c r="E83">
        <v>425000</v>
      </c>
      <c r="F83">
        <v>0</v>
      </c>
      <c r="G83">
        <v>425000</v>
      </c>
      <c r="I83">
        <v>0</v>
      </c>
      <c r="J83" t="s">
        <v>361</v>
      </c>
      <c r="K83">
        <v>9</v>
      </c>
      <c r="L83">
        <v>6</v>
      </c>
      <c r="M83">
        <v>0</v>
      </c>
      <c r="N83">
        <v>0</v>
      </c>
      <c r="P83">
        <v>3</v>
      </c>
      <c r="R83">
        <v>3</v>
      </c>
      <c r="S83">
        <v>245</v>
      </c>
      <c r="T83">
        <v>100</v>
      </c>
      <c r="V83" t="e">
        <f>+VLOOKUP(housegroup[[#This Row],[owner_id]],player[],2,0)</f>
        <v>#N/A</v>
      </c>
      <c r="W83" t="str">
        <f>+VLOOKUP(housegroup[[#This Row],[group_id]],group[],7,0)</f>
        <v>251007_VerzekeraarsMasterClass</v>
      </c>
    </row>
    <row r="84" spans="1:23" x14ac:dyDescent="0.3">
      <c r="A84">
        <v>1581</v>
      </c>
      <c r="B84" t="s">
        <v>362</v>
      </c>
      <c r="C84" t="s">
        <v>363</v>
      </c>
      <c r="D84">
        <v>6</v>
      </c>
      <c r="E84">
        <v>200000</v>
      </c>
      <c r="F84">
        <v>0</v>
      </c>
      <c r="G84">
        <v>200000</v>
      </c>
      <c r="I84">
        <v>0</v>
      </c>
      <c r="J84" t="s">
        <v>361</v>
      </c>
      <c r="K84">
        <v>9</v>
      </c>
      <c r="L84">
        <v>6</v>
      </c>
      <c r="M84">
        <v>0</v>
      </c>
      <c r="N84">
        <v>0</v>
      </c>
      <c r="P84">
        <v>3</v>
      </c>
      <c r="R84">
        <v>3</v>
      </c>
      <c r="S84">
        <v>248</v>
      </c>
      <c r="T84">
        <v>100</v>
      </c>
      <c r="V84" t="e">
        <f>+VLOOKUP(housegroup[[#This Row],[owner_id]],player[],2,0)</f>
        <v>#N/A</v>
      </c>
      <c r="W84" t="str">
        <f>+VLOOKUP(housegroup[[#This Row],[group_id]],group[],7,0)</f>
        <v>251007_VerzekeraarsMasterClass</v>
      </c>
    </row>
    <row r="85" spans="1:23" x14ac:dyDescent="0.3">
      <c r="A85">
        <v>1582</v>
      </c>
      <c r="B85" t="s">
        <v>365</v>
      </c>
      <c r="C85" t="s">
        <v>366</v>
      </c>
      <c r="D85">
        <v>6</v>
      </c>
      <c r="E85">
        <v>200000</v>
      </c>
      <c r="F85">
        <v>0</v>
      </c>
      <c r="G85">
        <v>200000</v>
      </c>
      <c r="I85">
        <v>0</v>
      </c>
      <c r="J85" t="s">
        <v>361</v>
      </c>
      <c r="K85">
        <v>9</v>
      </c>
      <c r="L85">
        <v>6</v>
      </c>
      <c r="M85">
        <v>0</v>
      </c>
      <c r="N85">
        <v>0</v>
      </c>
      <c r="P85">
        <v>3</v>
      </c>
      <c r="R85">
        <v>3</v>
      </c>
      <c r="S85">
        <v>249</v>
      </c>
      <c r="T85">
        <v>100</v>
      </c>
      <c r="V85" t="e">
        <f>+VLOOKUP(housegroup[[#This Row],[owner_id]],player[],2,0)</f>
        <v>#N/A</v>
      </c>
      <c r="W85" t="str">
        <f>+VLOOKUP(housegroup[[#This Row],[group_id]],group[],7,0)</f>
        <v>251007_VerzekeraarsMasterClass</v>
      </c>
    </row>
    <row r="86" spans="1:23" x14ac:dyDescent="0.3">
      <c r="A86">
        <v>1583</v>
      </c>
      <c r="B86" t="s">
        <v>368</v>
      </c>
      <c r="C86" t="s">
        <v>369</v>
      </c>
      <c r="D86">
        <v>3</v>
      </c>
      <c r="E86">
        <v>100000</v>
      </c>
      <c r="F86">
        <v>0</v>
      </c>
      <c r="G86">
        <v>100000</v>
      </c>
      <c r="H86">
        <v>100000</v>
      </c>
      <c r="I86">
        <v>3</v>
      </c>
      <c r="J86" t="s">
        <v>364</v>
      </c>
      <c r="K86">
        <v>9</v>
      </c>
      <c r="L86">
        <v>6</v>
      </c>
      <c r="M86">
        <v>9</v>
      </c>
      <c r="N86">
        <v>7</v>
      </c>
      <c r="P86">
        <v>3</v>
      </c>
      <c r="R86">
        <v>1</v>
      </c>
      <c r="S86">
        <v>251</v>
      </c>
      <c r="T86">
        <v>100</v>
      </c>
      <c r="U86">
        <v>726</v>
      </c>
      <c r="V86" t="str">
        <f>+VLOOKUP(housegroup[[#This Row],[owner_id]],player[],2,0)</f>
        <v>t4p5</v>
      </c>
      <c r="W86" t="str">
        <f>+VLOOKUP(housegroup[[#This Row],[group_id]],group[],7,0)</f>
        <v>251007_VerzekeraarsMasterClass</v>
      </c>
    </row>
    <row r="87" spans="1:23" x14ac:dyDescent="0.3">
      <c r="A87">
        <v>1584</v>
      </c>
      <c r="B87" t="s">
        <v>370</v>
      </c>
      <c r="C87" t="s">
        <v>371</v>
      </c>
      <c r="D87">
        <v>8</v>
      </c>
      <c r="E87">
        <v>300000</v>
      </c>
      <c r="F87">
        <v>0</v>
      </c>
      <c r="G87">
        <v>300000</v>
      </c>
      <c r="I87">
        <v>0</v>
      </c>
      <c r="J87" t="s">
        <v>361</v>
      </c>
      <c r="K87">
        <v>9</v>
      </c>
      <c r="L87">
        <v>4</v>
      </c>
      <c r="M87">
        <v>0</v>
      </c>
      <c r="N87">
        <v>0</v>
      </c>
      <c r="P87">
        <v>3</v>
      </c>
      <c r="R87">
        <v>3</v>
      </c>
      <c r="S87">
        <v>252</v>
      </c>
      <c r="T87">
        <v>100</v>
      </c>
      <c r="V87" t="e">
        <f>+VLOOKUP(housegroup[[#This Row],[owner_id]],player[],2,0)</f>
        <v>#N/A</v>
      </c>
      <c r="W87" t="str">
        <f>+VLOOKUP(housegroup[[#This Row],[group_id]],group[],7,0)</f>
        <v>251007_VerzekeraarsMasterClass</v>
      </c>
    </row>
    <row r="88" spans="1:23" x14ac:dyDescent="0.3">
      <c r="A88">
        <v>1585</v>
      </c>
      <c r="B88" t="s">
        <v>372</v>
      </c>
      <c r="C88" t="s">
        <v>373</v>
      </c>
      <c r="D88">
        <v>8</v>
      </c>
      <c r="E88">
        <v>300000</v>
      </c>
      <c r="F88">
        <v>0</v>
      </c>
      <c r="G88">
        <v>300000</v>
      </c>
      <c r="I88">
        <v>0</v>
      </c>
      <c r="J88" t="s">
        <v>361</v>
      </c>
      <c r="K88">
        <v>9</v>
      </c>
      <c r="L88">
        <v>4</v>
      </c>
      <c r="M88">
        <v>0</v>
      </c>
      <c r="N88">
        <v>0</v>
      </c>
      <c r="P88">
        <v>3</v>
      </c>
      <c r="R88">
        <v>3</v>
      </c>
      <c r="S88">
        <v>253</v>
      </c>
      <c r="T88">
        <v>100</v>
      </c>
      <c r="V88" t="e">
        <f>+VLOOKUP(housegroup[[#This Row],[owner_id]],player[],2,0)</f>
        <v>#N/A</v>
      </c>
      <c r="W88" t="str">
        <f>+VLOOKUP(housegroup[[#This Row],[group_id]],group[],7,0)</f>
        <v>251007_VerzekeraarsMasterClass</v>
      </c>
    </row>
    <row r="89" spans="1:23" x14ac:dyDescent="0.3">
      <c r="A89">
        <v>1586</v>
      </c>
      <c r="B89" t="s">
        <v>374</v>
      </c>
      <c r="C89" t="s">
        <v>375</v>
      </c>
      <c r="D89">
        <v>5</v>
      </c>
      <c r="E89">
        <v>160000</v>
      </c>
      <c r="F89">
        <v>0</v>
      </c>
      <c r="G89">
        <v>160000</v>
      </c>
      <c r="H89">
        <v>160000</v>
      </c>
      <c r="I89">
        <v>3</v>
      </c>
      <c r="J89" t="s">
        <v>364</v>
      </c>
      <c r="K89">
        <v>9</v>
      </c>
      <c r="L89">
        <v>4</v>
      </c>
      <c r="M89">
        <v>10</v>
      </c>
      <c r="N89">
        <v>5</v>
      </c>
      <c r="P89">
        <v>3</v>
      </c>
      <c r="R89">
        <v>3</v>
      </c>
      <c r="S89">
        <v>255</v>
      </c>
      <c r="T89">
        <v>100</v>
      </c>
      <c r="U89">
        <v>723</v>
      </c>
      <c r="V89" t="str">
        <f>+VLOOKUP(housegroup[[#This Row],[owner_id]],player[],2,0)</f>
        <v>t4p2</v>
      </c>
      <c r="W89" t="str">
        <f>+VLOOKUP(housegroup[[#This Row],[group_id]],group[],7,0)</f>
        <v>251007_VerzekeraarsMasterClass</v>
      </c>
    </row>
    <row r="90" spans="1:23" x14ac:dyDescent="0.3">
      <c r="A90">
        <v>1587</v>
      </c>
      <c r="B90" t="s">
        <v>376</v>
      </c>
      <c r="C90" t="s">
        <v>377</v>
      </c>
      <c r="D90">
        <v>5</v>
      </c>
      <c r="E90">
        <v>160000</v>
      </c>
      <c r="F90">
        <v>0</v>
      </c>
      <c r="G90">
        <v>160000</v>
      </c>
      <c r="H90">
        <v>160000</v>
      </c>
      <c r="I90">
        <v>3</v>
      </c>
      <c r="J90" t="s">
        <v>364</v>
      </c>
      <c r="K90">
        <v>9</v>
      </c>
      <c r="L90">
        <v>4</v>
      </c>
      <c r="M90">
        <v>9</v>
      </c>
      <c r="N90">
        <v>5</v>
      </c>
      <c r="P90">
        <v>3</v>
      </c>
      <c r="R90">
        <v>3</v>
      </c>
      <c r="S90">
        <v>256</v>
      </c>
      <c r="T90">
        <v>100</v>
      </c>
      <c r="U90">
        <v>727</v>
      </c>
      <c r="V90" t="str">
        <f>+VLOOKUP(housegroup[[#This Row],[owner_id]],player[],2,0)</f>
        <v>t4p6</v>
      </c>
      <c r="W90" t="str">
        <f>+VLOOKUP(housegroup[[#This Row],[group_id]],group[],7,0)</f>
        <v>251007_VerzekeraarsMasterClass</v>
      </c>
    </row>
    <row r="91" spans="1:23" x14ac:dyDescent="0.3">
      <c r="A91">
        <v>1588</v>
      </c>
      <c r="B91" t="s">
        <v>378</v>
      </c>
      <c r="C91" t="s">
        <v>379</v>
      </c>
      <c r="D91">
        <v>2</v>
      </c>
      <c r="E91">
        <v>80000</v>
      </c>
      <c r="F91">
        <v>0</v>
      </c>
      <c r="G91">
        <v>80000</v>
      </c>
      <c r="I91">
        <v>0</v>
      </c>
      <c r="J91" t="s">
        <v>361</v>
      </c>
      <c r="K91">
        <v>9</v>
      </c>
      <c r="L91">
        <v>4</v>
      </c>
      <c r="M91">
        <v>0</v>
      </c>
      <c r="N91">
        <v>0</v>
      </c>
      <c r="P91">
        <v>3</v>
      </c>
      <c r="R91">
        <v>3</v>
      </c>
      <c r="S91">
        <v>260</v>
      </c>
      <c r="T91">
        <v>100</v>
      </c>
      <c r="V91" t="e">
        <f>+VLOOKUP(housegroup[[#This Row],[owner_id]],player[],2,0)</f>
        <v>#N/A</v>
      </c>
      <c r="W91" t="str">
        <f>+VLOOKUP(housegroup[[#This Row],[group_id]],group[],7,0)</f>
        <v>251007_VerzekeraarsMasterClass</v>
      </c>
    </row>
    <row r="92" spans="1:23" x14ac:dyDescent="0.3">
      <c r="A92">
        <v>1589</v>
      </c>
      <c r="B92" t="s">
        <v>380</v>
      </c>
      <c r="C92" t="s">
        <v>381</v>
      </c>
      <c r="D92">
        <v>2</v>
      </c>
      <c r="E92">
        <v>80000</v>
      </c>
      <c r="F92">
        <v>0</v>
      </c>
      <c r="G92">
        <v>80000</v>
      </c>
      <c r="I92">
        <v>0</v>
      </c>
      <c r="J92" t="s">
        <v>361</v>
      </c>
      <c r="K92">
        <v>9</v>
      </c>
      <c r="L92">
        <v>4</v>
      </c>
      <c r="M92">
        <v>0</v>
      </c>
      <c r="N92">
        <v>0</v>
      </c>
      <c r="P92">
        <v>3</v>
      </c>
      <c r="R92">
        <v>3</v>
      </c>
      <c r="S92">
        <v>261</v>
      </c>
      <c r="T92">
        <v>100</v>
      </c>
      <c r="V92" t="e">
        <f>+VLOOKUP(housegroup[[#This Row],[owner_id]],player[],2,0)</f>
        <v>#N/A</v>
      </c>
      <c r="W92" t="str">
        <f>+VLOOKUP(housegroup[[#This Row],[group_id]],group[],7,0)</f>
        <v>251007_VerzekeraarsMasterClass</v>
      </c>
    </row>
    <row r="93" spans="1:23" x14ac:dyDescent="0.3">
      <c r="A93">
        <v>1590</v>
      </c>
      <c r="B93" t="s">
        <v>382</v>
      </c>
      <c r="C93" t="s">
        <v>383</v>
      </c>
      <c r="D93">
        <v>6</v>
      </c>
      <c r="E93">
        <v>200000</v>
      </c>
      <c r="F93">
        <v>0</v>
      </c>
      <c r="G93">
        <v>200000</v>
      </c>
      <c r="I93">
        <v>0</v>
      </c>
      <c r="J93" t="s">
        <v>361</v>
      </c>
      <c r="K93">
        <v>6</v>
      </c>
      <c r="L93">
        <v>6</v>
      </c>
      <c r="M93">
        <v>0</v>
      </c>
      <c r="N93">
        <v>0</v>
      </c>
      <c r="O93">
        <v>3</v>
      </c>
      <c r="P93">
        <v>3</v>
      </c>
      <c r="Q93">
        <v>3</v>
      </c>
      <c r="R93">
        <v>3</v>
      </c>
      <c r="S93">
        <v>262</v>
      </c>
      <c r="T93">
        <v>100</v>
      </c>
      <c r="V93" t="e">
        <f>+VLOOKUP(housegroup[[#This Row],[owner_id]],player[],2,0)</f>
        <v>#N/A</v>
      </c>
      <c r="W93" t="str">
        <f>+VLOOKUP(housegroup[[#This Row],[group_id]],group[],7,0)</f>
        <v>251007_VerzekeraarsMasterClass</v>
      </c>
    </row>
    <row r="94" spans="1:23" x14ac:dyDescent="0.3">
      <c r="A94">
        <v>1591</v>
      </c>
      <c r="B94" t="s">
        <v>384</v>
      </c>
      <c r="C94" t="s">
        <v>385</v>
      </c>
      <c r="D94">
        <v>4</v>
      </c>
      <c r="E94">
        <v>125000</v>
      </c>
      <c r="F94">
        <v>0</v>
      </c>
      <c r="G94">
        <v>125000</v>
      </c>
      <c r="I94">
        <v>0</v>
      </c>
      <c r="J94" t="s">
        <v>361</v>
      </c>
      <c r="K94">
        <v>6</v>
      </c>
      <c r="L94">
        <v>6</v>
      </c>
      <c r="M94">
        <v>0</v>
      </c>
      <c r="N94">
        <v>0</v>
      </c>
      <c r="O94">
        <v>3</v>
      </c>
      <c r="P94">
        <v>3</v>
      </c>
      <c r="Q94">
        <v>3</v>
      </c>
      <c r="R94">
        <v>3</v>
      </c>
      <c r="S94">
        <v>265</v>
      </c>
      <c r="T94">
        <v>100</v>
      </c>
      <c r="V94" t="e">
        <f>+VLOOKUP(housegroup[[#This Row],[owner_id]],player[],2,0)</f>
        <v>#N/A</v>
      </c>
      <c r="W94" t="str">
        <f>+VLOOKUP(housegroup[[#This Row],[group_id]],group[],7,0)</f>
        <v>251007_VerzekeraarsMasterClass</v>
      </c>
    </row>
    <row r="95" spans="1:23" x14ac:dyDescent="0.3">
      <c r="A95">
        <v>1592</v>
      </c>
      <c r="B95" t="s">
        <v>386</v>
      </c>
      <c r="C95" t="s">
        <v>387</v>
      </c>
      <c r="D95">
        <v>4</v>
      </c>
      <c r="E95">
        <v>125000</v>
      </c>
      <c r="F95">
        <v>0</v>
      </c>
      <c r="G95">
        <v>125000</v>
      </c>
      <c r="H95">
        <v>125000</v>
      </c>
      <c r="I95">
        <v>0</v>
      </c>
      <c r="J95" t="s">
        <v>364</v>
      </c>
      <c r="K95">
        <v>6</v>
      </c>
      <c r="L95">
        <v>6</v>
      </c>
      <c r="M95">
        <v>0</v>
      </c>
      <c r="N95">
        <v>0</v>
      </c>
      <c r="O95">
        <v>3</v>
      </c>
      <c r="P95">
        <v>3</v>
      </c>
      <c r="Q95">
        <v>3</v>
      </c>
      <c r="R95">
        <v>3</v>
      </c>
      <c r="S95">
        <v>266</v>
      </c>
      <c r="T95">
        <v>100</v>
      </c>
      <c r="U95">
        <v>722</v>
      </c>
      <c r="V95" t="str">
        <f>+VLOOKUP(housegroup[[#This Row],[owner_id]],player[],2,0)</f>
        <v>t4p1</v>
      </c>
      <c r="W95" t="str">
        <f>+VLOOKUP(housegroup[[#This Row],[group_id]],group[],7,0)</f>
        <v>251007_VerzekeraarsMasterClass</v>
      </c>
    </row>
    <row r="96" spans="1:23" x14ac:dyDescent="0.3">
      <c r="A96">
        <v>1593</v>
      </c>
      <c r="B96" t="s">
        <v>388</v>
      </c>
      <c r="C96" t="s">
        <v>389</v>
      </c>
      <c r="D96">
        <v>2</v>
      </c>
      <c r="E96">
        <v>70000</v>
      </c>
      <c r="F96">
        <v>0</v>
      </c>
      <c r="G96">
        <v>70000</v>
      </c>
      <c r="H96">
        <v>70000</v>
      </c>
      <c r="I96">
        <v>3</v>
      </c>
      <c r="J96" t="s">
        <v>364</v>
      </c>
      <c r="K96">
        <v>6</v>
      </c>
      <c r="L96">
        <v>6</v>
      </c>
      <c r="M96">
        <v>6</v>
      </c>
      <c r="N96">
        <v>7</v>
      </c>
      <c r="O96">
        <v>3</v>
      </c>
      <c r="P96">
        <v>3</v>
      </c>
      <c r="R96">
        <v>1</v>
      </c>
      <c r="S96">
        <v>270</v>
      </c>
      <c r="T96">
        <v>100</v>
      </c>
      <c r="U96">
        <v>724</v>
      </c>
      <c r="V96" t="str">
        <f>+VLOOKUP(housegroup[[#This Row],[owner_id]],player[],2,0)</f>
        <v>t4p3</v>
      </c>
      <c r="W96" t="str">
        <f>+VLOOKUP(housegroup[[#This Row],[group_id]],group[],7,0)</f>
        <v>251007_VerzekeraarsMasterClass</v>
      </c>
    </row>
    <row r="97" spans="1:23" x14ac:dyDescent="0.3">
      <c r="A97">
        <v>1594</v>
      </c>
      <c r="B97" t="s">
        <v>390</v>
      </c>
      <c r="C97" t="s">
        <v>391</v>
      </c>
      <c r="D97">
        <v>2</v>
      </c>
      <c r="E97">
        <v>70000</v>
      </c>
      <c r="F97">
        <v>0</v>
      </c>
      <c r="G97">
        <v>70000</v>
      </c>
      <c r="H97">
        <v>70000</v>
      </c>
      <c r="I97">
        <v>3</v>
      </c>
      <c r="J97" t="s">
        <v>364</v>
      </c>
      <c r="K97">
        <v>6</v>
      </c>
      <c r="L97">
        <v>6</v>
      </c>
      <c r="M97">
        <v>6</v>
      </c>
      <c r="N97">
        <v>7</v>
      </c>
      <c r="O97">
        <v>3</v>
      </c>
      <c r="P97">
        <v>3</v>
      </c>
      <c r="R97">
        <v>1</v>
      </c>
      <c r="S97">
        <v>271</v>
      </c>
      <c r="T97">
        <v>100</v>
      </c>
      <c r="U97">
        <v>725</v>
      </c>
      <c r="V97" t="str">
        <f>+VLOOKUP(housegroup[[#This Row],[owner_id]],player[],2,0)</f>
        <v>t4p4</v>
      </c>
      <c r="W97" t="str">
        <f>+VLOOKUP(housegroup[[#This Row],[group_id]],group[],7,0)</f>
        <v>251007_VerzekeraarsMasterClass</v>
      </c>
    </row>
    <row r="98" spans="1:23" x14ac:dyDescent="0.3">
      <c r="A98">
        <v>1625</v>
      </c>
      <c r="B98" t="s">
        <v>392</v>
      </c>
      <c r="C98" t="s">
        <v>393</v>
      </c>
      <c r="D98">
        <v>6</v>
      </c>
      <c r="E98">
        <v>200000</v>
      </c>
      <c r="F98">
        <v>0</v>
      </c>
      <c r="G98">
        <v>200000</v>
      </c>
      <c r="I98">
        <v>0</v>
      </c>
      <c r="J98" t="s">
        <v>367</v>
      </c>
      <c r="K98">
        <v>9</v>
      </c>
      <c r="L98">
        <v>6</v>
      </c>
      <c r="M98">
        <v>1</v>
      </c>
      <c r="N98">
        <v>1</v>
      </c>
      <c r="S98">
        <v>246</v>
      </c>
      <c r="T98">
        <v>100</v>
      </c>
      <c r="V98" t="e">
        <f>+VLOOKUP(housegroup[[#This Row],[owner_id]],player[],2,0)</f>
        <v>#N/A</v>
      </c>
      <c r="W98" t="str">
        <f>+VLOOKUP(housegroup[[#This Row],[group_id]],group[],7,0)</f>
        <v>251007_VerzekeraarsMasterClass</v>
      </c>
    </row>
    <row r="99" spans="1:23" x14ac:dyDescent="0.3">
      <c r="A99">
        <v>1626</v>
      </c>
      <c r="B99" t="s">
        <v>394</v>
      </c>
      <c r="C99" t="s">
        <v>395</v>
      </c>
      <c r="D99">
        <v>9</v>
      </c>
      <c r="E99">
        <v>425000</v>
      </c>
      <c r="F99">
        <v>0</v>
      </c>
      <c r="G99">
        <v>425000</v>
      </c>
      <c r="I99">
        <v>0</v>
      </c>
      <c r="J99" t="s">
        <v>367</v>
      </c>
      <c r="K99">
        <v>9</v>
      </c>
      <c r="L99">
        <v>6</v>
      </c>
      <c r="M99">
        <v>1</v>
      </c>
      <c r="N99">
        <v>2</v>
      </c>
      <c r="S99">
        <v>247</v>
      </c>
      <c r="T99">
        <v>100</v>
      </c>
      <c r="V99" t="e">
        <f>+VLOOKUP(housegroup[[#This Row],[owner_id]],player[],2,0)</f>
        <v>#N/A</v>
      </c>
      <c r="W99" t="str">
        <f>+VLOOKUP(housegroup[[#This Row],[group_id]],group[],7,0)</f>
        <v>251007_VerzekeraarsMasterClass</v>
      </c>
    </row>
    <row r="100" spans="1:23" x14ac:dyDescent="0.3">
      <c r="A100">
        <v>1627</v>
      </c>
      <c r="B100" t="s">
        <v>396</v>
      </c>
      <c r="C100" t="s">
        <v>397</v>
      </c>
      <c r="D100">
        <v>3</v>
      </c>
      <c r="E100">
        <v>100000</v>
      </c>
      <c r="F100">
        <v>0</v>
      </c>
      <c r="G100">
        <v>100000</v>
      </c>
      <c r="I100">
        <v>0</v>
      </c>
      <c r="J100" t="s">
        <v>367</v>
      </c>
      <c r="K100">
        <v>9</v>
      </c>
      <c r="L100">
        <v>6</v>
      </c>
      <c r="M100">
        <v>1</v>
      </c>
      <c r="N100">
        <v>0</v>
      </c>
      <c r="S100">
        <v>250</v>
      </c>
      <c r="T100">
        <v>100</v>
      </c>
      <c r="V100" t="e">
        <f>+VLOOKUP(housegroup[[#This Row],[owner_id]],player[],2,0)</f>
        <v>#N/A</v>
      </c>
      <c r="W100" t="str">
        <f>+VLOOKUP(housegroup[[#This Row],[group_id]],group[],7,0)</f>
        <v>251007_VerzekeraarsMasterClass</v>
      </c>
    </row>
    <row r="101" spans="1:23" x14ac:dyDescent="0.3">
      <c r="A101">
        <v>1628</v>
      </c>
      <c r="B101" t="s">
        <v>398</v>
      </c>
      <c r="C101" t="s">
        <v>399</v>
      </c>
      <c r="D101">
        <v>8</v>
      </c>
      <c r="E101">
        <v>300000</v>
      </c>
      <c r="F101">
        <v>0</v>
      </c>
      <c r="G101">
        <v>300000</v>
      </c>
      <c r="I101">
        <v>0</v>
      </c>
      <c r="J101" t="s">
        <v>367</v>
      </c>
      <c r="K101">
        <v>9</v>
      </c>
      <c r="L101">
        <v>4</v>
      </c>
      <c r="M101">
        <v>0</v>
      </c>
      <c r="N101">
        <v>0</v>
      </c>
      <c r="S101">
        <v>254</v>
      </c>
      <c r="T101">
        <v>100</v>
      </c>
      <c r="V101" t="e">
        <f>+VLOOKUP(housegroup[[#This Row],[owner_id]],player[],2,0)</f>
        <v>#N/A</v>
      </c>
      <c r="W101" t="str">
        <f>+VLOOKUP(housegroup[[#This Row],[group_id]],group[],7,0)</f>
        <v>251007_VerzekeraarsMasterClass</v>
      </c>
    </row>
    <row r="102" spans="1:23" x14ac:dyDescent="0.3">
      <c r="A102">
        <v>1629</v>
      </c>
      <c r="B102" t="s">
        <v>400</v>
      </c>
      <c r="C102" t="s">
        <v>401</v>
      </c>
      <c r="D102">
        <v>5</v>
      </c>
      <c r="E102">
        <v>160000</v>
      </c>
      <c r="F102">
        <v>0</v>
      </c>
      <c r="G102">
        <v>160000</v>
      </c>
      <c r="I102">
        <v>0</v>
      </c>
      <c r="J102" t="s">
        <v>367</v>
      </c>
      <c r="K102">
        <v>9</v>
      </c>
      <c r="L102">
        <v>4</v>
      </c>
      <c r="M102">
        <v>2</v>
      </c>
      <c r="N102">
        <v>2</v>
      </c>
      <c r="S102">
        <v>257</v>
      </c>
      <c r="T102">
        <v>100</v>
      </c>
      <c r="V102" t="e">
        <f>+VLOOKUP(housegroup[[#This Row],[owner_id]],player[],2,0)</f>
        <v>#N/A</v>
      </c>
      <c r="W102" t="str">
        <f>+VLOOKUP(housegroup[[#This Row],[group_id]],group[],7,0)</f>
        <v>251007_VerzekeraarsMasterClass</v>
      </c>
    </row>
    <row r="103" spans="1:23" x14ac:dyDescent="0.3">
      <c r="A103">
        <v>1630</v>
      </c>
      <c r="B103" t="s">
        <v>402</v>
      </c>
      <c r="C103" t="s">
        <v>403</v>
      </c>
      <c r="D103">
        <v>5</v>
      </c>
      <c r="E103">
        <v>160000</v>
      </c>
      <c r="F103">
        <v>0</v>
      </c>
      <c r="G103">
        <v>160000</v>
      </c>
      <c r="I103">
        <v>0</v>
      </c>
      <c r="J103" t="s">
        <v>367</v>
      </c>
      <c r="K103">
        <v>9</v>
      </c>
      <c r="L103">
        <v>4</v>
      </c>
      <c r="M103">
        <v>2</v>
      </c>
      <c r="N103">
        <v>2</v>
      </c>
      <c r="S103">
        <v>258</v>
      </c>
      <c r="T103">
        <v>100</v>
      </c>
      <c r="V103" t="e">
        <f>+VLOOKUP(housegroup[[#This Row],[owner_id]],player[],2,0)</f>
        <v>#N/A</v>
      </c>
      <c r="W103" t="str">
        <f>+VLOOKUP(housegroup[[#This Row],[group_id]],group[],7,0)</f>
        <v>251007_VerzekeraarsMasterClass</v>
      </c>
    </row>
    <row r="104" spans="1:23" x14ac:dyDescent="0.3">
      <c r="A104">
        <v>1631</v>
      </c>
      <c r="B104" t="s">
        <v>404</v>
      </c>
      <c r="C104" t="s">
        <v>405</v>
      </c>
      <c r="D104">
        <v>2</v>
      </c>
      <c r="E104">
        <v>80000</v>
      </c>
      <c r="F104">
        <v>0</v>
      </c>
      <c r="G104">
        <v>80000</v>
      </c>
      <c r="I104">
        <v>0</v>
      </c>
      <c r="J104" t="s">
        <v>367</v>
      </c>
      <c r="K104">
        <v>9</v>
      </c>
      <c r="L104">
        <v>4</v>
      </c>
      <c r="M104">
        <v>1</v>
      </c>
      <c r="N104">
        <v>2</v>
      </c>
      <c r="S104">
        <v>259</v>
      </c>
      <c r="T104">
        <v>100</v>
      </c>
      <c r="V104" t="e">
        <f>+VLOOKUP(housegroup[[#This Row],[owner_id]],player[],2,0)</f>
        <v>#N/A</v>
      </c>
      <c r="W104" t="str">
        <f>+VLOOKUP(housegroup[[#This Row],[group_id]],group[],7,0)</f>
        <v>251007_VerzekeraarsMasterClass</v>
      </c>
    </row>
    <row r="105" spans="1:23" x14ac:dyDescent="0.3">
      <c r="A105">
        <v>1632</v>
      </c>
      <c r="B105" t="s">
        <v>406</v>
      </c>
      <c r="C105" t="s">
        <v>407</v>
      </c>
      <c r="D105">
        <v>6</v>
      </c>
      <c r="E105">
        <v>200000</v>
      </c>
      <c r="F105">
        <v>0</v>
      </c>
      <c r="G105">
        <v>200000</v>
      </c>
      <c r="I105">
        <v>0</v>
      </c>
      <c r="J105" t="s">
        <v>367</v>
      </c>
      <c r="K105">
        <v>6</v>
      </c>
      <c r="L105">
        <v>6</v>
      </c>
      <c r="M105">
        <v>1</v>
      </c>
      <c r="N105">
        <v>1</v>
      </c>
      <c r="S105">
        <v>263</v>
      </c>
      <c r="T105">
        <v>100</v>
      </c>
      <c r="V105" t="e">
        <f>+VLOOKUP(housegroup[[#This Row],[owner_id]],player[],2,0)</f>
        <v>#N/A</v>
      </c>
      <c r="W105" t="str">
        <f>+VLOOKUP(housegroup[[#This Row],[group_id]],group[],7,0)</f>
        <v>251007_VerzekeraarsMasterClass</v>
      </c>
    </row>
    <row r="106" spans="1:23" x14ac:dyDescent="0.3">
      <c r="A106">
        <v>1633</v>
      </c>
      <c r="B106" t="s">
        <v>408</v>
      </c>
      <c r="C106" t="s">
        <v>409</v>
      </c>
      <c r="D106">
        <v>6</v>
      </c>
      <c r="E106">
        <v>200000</v>
      </c>
      <c r="F106">
        <v>0</v>
      </c>
      <c r="G106">
        <v>200000</v>
      </c>
      <c r="I106">
        <v>0</v>
      </c>
      <c r="J106" t="s">
        <v>367</v>
      </c>
      <c r="K106">
        <v>6</v>
      </c>
      <c r="L106">
        <v>6</v>
      </c>
      <c r="M106">
        <v>1</v>
      </c>
      <c r="N106">
        <v>2</v>
      </c>
      <c r="S106">
        <v>264</v>
      </c>
      <c r="T106">
        <v>100</v>
      </c>
      <c r="V106" t="e">
        <f>+VLOOKUP(housegroup[[#This Row],[owner_id]],player[],2,0)</f>
        <v>#N/A</v>
      </c>
      <c r="W106" t="str">
        <f>+VLOOKUP(housegroup[[#This Row],[group_id]],group[],7,0)</f>
        <v>251007_VerzekeraarsMasterClass</v>
      </c>
    </row>
    <row r="107" spans="1:23" x14ac:dyDescent="0.3">
      <c r="A107">
        <v>1634</v>
      </c>
      <c r="B107" t="s">
        <v>410</v>
      </c>
      <c r="C107" t="s">
        <v>411</v>
      </c>
      <c r="D107">
        <v>4</v>
      </c>
      <c r="E107">
        <v>125000</v>
      </c>
      <c r="F107">
        <v>0</v>
      </c>
      <c r="G107">
        <v>125000</v>
      </c>
      <c r="I107">
        <v>0</v>
      </c>
      <c r="J107" t="s">
        <v>367</v>
      </c>
      <c r="K107">
        <v>6</v>
      </c>
      <c r="L107">
        <v>6</v>
      </c>
      <c r="M107">
        <v>1</v>
      </c>
      <c r="N107">
        <v>0</v>
      </c>
      <c r="S107">
        <v>267</v>
      </c>
      <c r="T107">
        <v>100</v>
      </c>
      <c r="V107" t="e">
        <f>+VLOOKUP(housegroup[[#This Row],[owner_id]],player[],2,0)</f>
        <v>#N/A</v>
      </c>
      <c r="W107" t="str">
        <f>+VLOOKUP(housegroup[[#This Row],[group_id]],group[],7,0)</f>
        <v>251007_VerzekeraarsMasterClass</v>
      </c>
    </row>
    <row r="108" spans="1:23" x14ac:dyDescent="0.3">
      <c r="A108">
        <v>1635</v>
      </c>
      <c r="B108" t="s">
        <v>412</v>
      </c>
      <c r="C108" t="s">
        <v>413</v>
      </c>
      <c r="D108">
        <v>4</v>
      </c>
      <c r="E108">
        <v>125000</v>
      </c>
      <c r="F108">
        <v>0</v>
      </c>
      <c r="G108">
        <v>125000</v>
      </c>
      <c r="I108">
        <v>0</v>
      </c>
      <c r="J108" t="s">
        <v>367</v>
      </c>
      <c r="K108">
        <v>6</v>
      </c>
      <c r="L108">
        <v>6</v>
      </c>
      <c r="M108">
        <v>2</v>
      </c>
      <c r="N108">
        <v>2</v>
      </c>
      <c r="S108">
        <v>268</v>
      </c>
      <c r="T108">
        <v>100</v>
      </c>
      <c r="V108" t="e">
        <f>+VLOOKUP(housegroup[[#This Row],[owner_id]],player[],2,0)</f>
        <v>#N/A</v>
      </c>
      <c r="W108" t="str">
        <f>+VLOOKUP(housegroup[[#This Row],[group_id]],group[],7,0)</f>
        <v>251007_VerzekeraarsMasterClass</v>
      </c>
    </row>
    <row r="109" spans="1:23" x14ac:dyDescent="0.3">
      <c r="A109">
        <v>1636</v>
      </c>
      <c r="B109" t="s">
        <v>414</v>
      </c>
      <c r="C109" t="s">
        <v>415</v>
      </c>
      <c r="D109">
        <v>2</v>
      </c>
      <c r="E109">
        <v>70000</v>
      </c>
      <c r="F109">
        <v>0</v>
      </c>
      <c r="G109">
        <v>70000</v>
      </c>
      <c r="I109">
        <v>0</v>
      </c>
      <c r="J109" t="s">
        <v>367</v>
      </c>
      <c r="K109">
        <v>6</v>
      </c>
      <c r="L109">
        <v>6</v>
      </c>
      <c r="M109">
        <v>1</v>
      </c>
      <c r="N109">
        <v>1</v>
      </c>
      <c r="S109">
        <v>269</v>
      </c>
      <c r="T109">
        <v>100</v>
      </c>
      <c r="V109" t="e">
        <f>+VLOOKUP(housegroup[[#This Row],[owner_id]],player[],2,0)</f>
        <v>#N/A</v>
      </c>
      <c r="W109" t="str">
        <f>+VLOOKUP(housegroup[[#This Row],[group_id]],group[],7,0)</f>
        <v>251007_VerzekeraarsMasterClass</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137AB-B458-42BF-B02B-2C63FA173561}">
  <dimension ref="A1:H105"/>
  <sheetViews>
    <sheetView workbookViewId="0"/>
  </sheetViews>
  <sheetFormatPr defaultRowHeight="14.4" x14ac:dyDescent="0.3"/>
  <cols>
    <col min="1" max="1" width="5" bestFit="1" customWidth="1"/>
    <col min="2" max="2" width="14.33203125" bestFit="1" customWidth="1"/>
    <col min="3" max="3" width="7.5546875" bestFit="1" customWidth="1"/>
    <col min="4" max="4" width="11.21875" bestFit="1" customWidth="1"/>
    <col min="5" max="5" width="18.6640625" bestFit="1" customWidth="1"/>
    <col min="6" max="6" width="15.33203125" bestFit="1" customWidth="1"/>
    <col min="7" max="7" width="15.77734375" bestFit="1" customWidth="1"/>
    <col min="8" max="8" width="15.109375" bestFit="1" customWidth="1"/>
  </cols>
  <sheetData>
    <row r="1" spans="1:8" x14ac:dyDescent="0.3">
      <c r="A1" t="s">
        <v>0</v>
      </c>
      <c r="B1" t="s">
        <v>83</v>
      </c>
      <c r="C1" t="s">
        <v>336</v>
      </c>
      <c r="D1" t="s">
        <v>337</v>
      </c>
      <c r="E1" t="s">
        <v>338</v>
      </c>
      <c r="F1" t="s">
        <v>224</v>
      </c>
      <c r="G1" t="s">
        <v>60</v>
      </c>
      <c r="H1" t="s">
        <v>151</v>
      </c>
    </row>
    <row r="2" spans="1:8" x14ac:dyDescent="0.3">
      <c r="A2">
        <v>1055</v>
      </c>
      <c r="B2" s="1">
        <v>45937.603773148148</v>
      </c>
      <c r="C2">
        <v>200000</v>
      </c>
      <c r="D2" t="s">
        <v>57</v>
      </c>
      <c r="E2" t="s">
        <v>339</v>
      </c>
      <c r="F2">
        <v>1611</v>
      </c>
      <c r="G2">
        <v>1366</v>
      </c>
      <c r="H2">
        <v>325</v>
      </c>
    </row>
    <row r="3" spans="1:8" x14ac:dyDescent="0.3">
      <c r="A3">
        <v>1084</v>
      </c>
      <c r="B3" s="1">
        <v>45937.614560185182</v>
      </c>
      <c r="C3">
        <v>0</v>
      </c>
      <c r="D3" t="s">
        <v>57</v>
      </c>
      <c r="E3" t="s">
        <v>340</v>
      </c>
      <c r="F3">
        <v>1611</v>
      </c>
      <c r="G3">
        <v>1381</v>
      </c>
      <c r="H3">
        <v>328</v>
      </c>
    </row>
    <row r="4" spans="1:8" x14ac:dyDescent="0.3">
      <c r="A4">
        <v>1099</v>
      </c>
      <c r="B4" s="1">
        <v>45937.619618055556</v>
      </c>
      <c r="C4">
        <v>0</v>
      </c>
      <c r="D4" t="s">
        <v>57</v>
      </c>
      <c r="E4" t="s">
        <v>340</v>
      </c>
      <c r="F4">
        <v>1611</v>
      </c>
      <c r="G4">
        <v>1406</v>
      </c>
      <c r="H4">
        <v>332</v>
      </c>
    </row>
    <row r="5" spans="1:8" x14ac:dyDescent="0.3">
      <c r="A5">
        <v>1130</v>
      </c>
      <c r="B5" s="1">
        <v>45937.626331018517</v>
      </c>
      <c r="C5">
        <v>0</v>
      </c>
      <c r="D5" t="s">
        <v>57</v>
      </c>
      <c r="E5" t="s">
        <v>340</v>
      </c>
      <c r="F5">
        <v>1611</v>
      </c>
      <c r="G5">
        <v>1429</v>
      </c>
      <c r="H5">
        <v>336</v>
      </c>
    </row>
    <row r="6" spans="1:8" x14ac:dyDescent="0.3">
      <c r="A6">
        <v>1057</v>
      </c>
      <c r="B6" s="1">
        <v>45937.604062500002</v>
      </c>
      <c r="C6">
        <v>200000</v>
      </c>
      <c r="D6" t="s">
        <v>57</v>
      </c>
      <c r="E6" t="s">
        <v>339</v>
      </c>
      <c r="F6">
        <v>1612</v>
      </c>
      <c r="G6">
        <v>1367</v>
      </c>
      <c r="H6">
        <v>325</v>
      </c>
    </row>
    <row r="7" spans="1:8" x14ac:dyDescent="0.3">
      <c r="A7">
        <v>1083</v>
      </c>
      <c r="B7" s="1">
        <v>45937.614398148151</v>
      </c>
      <c r="C7">
        <v>0</v>
      </c>
      <c r="D7" t="s">
        <v>57</v>
      </c>
      <c r="E7" t="s">
        <v>340</v>
      </c>
      <c r="F7">
        <v>1612</v>
      </c>
      <c r="G7">
        <v>1386</v>
      </c>
      <c r="H7">
        <v>328</v>
      </c>
    </row>
    <row r="8" spans="1:8" x14ac:dyDescent="0.3">
      <c r="A8">
        <v>1105</v>
      </c>
      <c r="B8" s="1">
        <v>45937.619745370372</v>
      </c>
      <c r="C8">
        <v>0</v>
      </c>
      <c r="D8" t="s">
        <v>57</v>
      </c>
      <c r="E8" t="s">
        <v>340</v>
      </c>
      <c r="F8">
        <v>1612</v>
      </c>
      <c r="G8">
        <v>1410</v>
      </c>
      <c r="H8">
        <v>332</v>
      </c>
    </row>
    <row r="9" spans="1:8" x14ac:dyDescent="0.3">
      <c r="A9">
        <v>1131</v>
      </c>
      <c r="B9" s="1">
        <v>45937.626516203702</v>
      </c>
      <c r="C9">
        <v>200000</v>
      </c>
      <c r="D9" t="s">
        <v>57</v>
      </c>
      <c r="E9" t="s">
        <v>341</v>
      </c>
      <c r="F9">
        <v>1612</v>
      </c>
      <c r="G9">
        <v>1433</v>
      </c>
      <c r="H9">
        <v>336</v>
      </c>
    </row>
    <row r="10" spans="1:8" x14ac:dyDescent="0.3">
      <c r="A10">
        <v>1052</v>
      </c>
      <c r="B10" s="1">
        <v>45937.603750000002</v>
      </c>
      <c r="C10">
        <v>100000</v>
      </c>
      <c r="D10" t="s">
        <v>57</v>
      </c>
      <c r="E10" t="s">
        <v>339</v>
      </c>
      <c r="F10">
        <v>1613</v>
      </c>
      <c r="G10">
        <v>1365</v>
      </c>
      <c r="H10">
        <v>325</v>
      </c>
    </row>
    <row r="11" spans="1:8" x14ac:dyDescent="0.3">
      <c r="A11">
        <v>1080</v>
      </c>
      <c r="B11" s="1">
        <v>45937.614351851851</v>
      </c>
      <c r="C11">
        <v>0</v>
      </c>
      <c r="D11" t="s">
        <v>57</v>
      </c>
      <c r="E11" t="s">
        <v>340</v>
      </c>
      <c r="F11">
        <v>1613</v>
      </c>
      <c r="G11">
        <v>1382</v>
      </c>
      <c r="H11">
        <v>328</v>
      </c>
    </row>
    <row r="12" spans="1:8" x14ac:dyDescent="0.3">
      <c r="A12">
        <v>1097</v>
      </c>
      <c r="B12" s="1">
        <v>45937.619560185187</v>
      </c>
      <c r="C12">
        <v>0</v>
      </c>
      <c r="D12" t="s">
        <v>57</v>
      </c>
      <c r="E12" t="s">
        <v>340</v>
      </c>
      <c r="F12">
        <v>1613</v>
      </c>
      <c r="G12">
        <v>1407</v>
      </c>
      <c r="H12">
        <v>332</v>
      </c>
    </row>
    <row r="13" spans="1:8" x14ac:dyDescent="0.3">
      <c r="A13">
        <v>1122</v>
      </c>
      <c r="B13" s="1">
        <v>45937.625300925924</v>
      </c>
      <c r="C13">
        <v>0</v>
      </c>
      <c r="D13" t="s">
        <v>57</v>
      </c>
      <c r="E13" t="s">
        <v>340</v>
      </c>
      <c r="F13">
        <v>1613</v>
      </c>
      <c r="G13">
        <v>1428</v>
      </c>
      <c r="H13">
        <v>336</v>
      </c>
    </row>
    <row r="14" spans="1:8" x14ac:dyDescent="0.3">
      <c r="A14">
        <v>1056</v>
      </c>
      <c r="B14" s="1">
        <v>45937.603773148148</v>
      </c>
      <c r="C14">
        <v>80000</v>
      </c>
      <c r="D14" t="s">
        <v>57</v>
      </c>
      <c r="E14" t="s">
        <v>339</v>
      </c>
      <c r="F14">
        <v>1619</v>
      </c>
      <c r="G14">
        <v>1363</v>
      </c>
      <c r="H14">
        <v>325</v>
      </c>
    </row>
    <row r="15" spans="1:8" x14ac:dyDescent="0.3">
      <c r="A15">
        <v>1079</v>
      </c>
      <c r="B15" s="1">
        <v>45937.614189814813</v>
      </c>
      <c r="C15">
        <v>0</v>
      </c>
      <c r="D15" t="s">
        <v>57</v>
      </c>
      <c r="E15" t="s">
        <v>340</v>
      </c>
      <c r="F15">
        <v>1619</v>
      </c>
      <c r="G15">
        <v>1385</v>
      </c>
      <c r="H15">
        <v>328</v>
      </c>
    </row>
    <row r="16" spans="1:8" x14ac:dyDescent="0.3">
      <c r="A16">
        <v>1098</v>
      </c>
      <c r="B16" s="1">
        <v>45937.619583333333</v>
      </c>
      <c r="C16">
        <v>0</v>
      </c>
      <c r="D16" t="s">
        <v>57</v>
      </c>
      <c r="E16" t="s">
        <v>340</v>
      </c>
      <c r="F16">
        <v>1619</v>
      </c>
      <c r="G16">
        <v>1409</v>
      </c>
      <c r="H16">
        <v>332</v>
      </c>
    </row>
    <row r="17" spans="1:8" x14ac:dyDescent="0.3">
      <c r="A17">
        <v>1126</v>
      </c>
      <c r="B17" s="1">
        <v>45937.625694444447</v>
      </c>
      <c r="C17">
        <v>0</v>
      </c>
      <c r="D17" t="s">
        <v>57</v>
      </c>
      <c r="E17" t="s">
        <v>340</v>
      </c>
      <c r="F17">
        <v>1619</v>
      </c>
      <c r="G17">
        <v>1430</v>
      </c>
      <c r="H17">
        <v>336</v>
      </c>
    </row>
    <row r="18" spans="1:8" x14ac:dyDescent="0.3">
      <c r="A18">
        <v>1054</v>
      </c>
      <c r="B18" s="1">
        <v>45937.603761574072</v>
      </c>
      <c r="C18">
        <v>125000</v>
      </c>
      <c r="D18" t="s">
        <v>57</v>
      </c>
      <c r="E18" t="s">
        <v>339</v>
      </c>
      <c r="F18">
        <v>1622</v>
      </c>
      <c r="G18">
        <v>1364</v>
      </c>
      <c r="H18">
        <v>325</v>
      </c>
    </row>
    <row r="19" spans="1:8" x14ac:dyDescent="0.3">
      <c r="A19">
        <v>1081</v>
      </c>
      <c r="B19" s="1">
        <v>45937.614363425928</v>
      </c>
      <c r="C19">
        <v>0</v>
      </c>
      <c r="D19" t="s">
        <v>57</v>
      </c>
      <c r="E19" t="s">
        <v>340</v>
      </c>
      <c r="F19">
        <v>1622</v>
      </c>
      <c r="G19">
        <v>1384</v>
      </c>
      <c r="H19">
        <v>328</v>
      </c>
    </row>
    <row r="20" spans="1:8" x14ac:dyDescent="0.3">
      <c r="A20">
        <v>1103</v>
      </c>
      <c r="B20" s="1">
        <v>45937.619641203702</v>
      </c>
      <c r="C20">
        <v>0</v>
      </c>
      <c r="D20" t="s">
        <v>57</v>
      </c>
      <c r="E20" t="s">
        <v>340</v>
      </c>
      <c r="F20">
        <v>1622</v>
      </c>
      <c r="G20">
        <v>1408</v>
      </c>
      <c r="H20">
        <v>332</v>
      </c>
    </row>
    <row r="21" spans="1:8" x14ac:dyDescent="0.3">
      <c r="A21">
        <v>1127</v>
      </c>
      <c r="B21" s="1">
        <v>45937.625706018516</v>
      </c>
      <c r="C21">
        <v>0</v>
      </c>
      <c r="D21" t="s">
        <v>57</v>
      </c>
      <c r="E21" t="s">
        <v>340</v>
      </c>
      <c r="F21">
        <v>1622</v>
      </c>
      <c r="G21">
        <v>1431</v>
      </c>
      <c r="H21">
        <v>336</v>
      </c>
    </row>
    <row r="22" spans="1:8" x14ac:dyDescent="0.3">
      <c r="A22">
        <v>1053</v>
      </c>
      <c r="B22" s="1">
        <v>45937.603750000002</v>
      </c>
      <c r="C22">
        <v>70000</v>
      </c>
      <c r="D22" t="s">
        <v>57</v>
      </c>
      <c r="E22" t="s">
        <v>339</v>
      </c>
      <c r="F22">
        <v>1623</v>
      </c>
      <c r="G22">
        <v>1368</v>
      </c>
      <c r="H22">
        <v>325</v>
      </c>
    </row>
    <row r="23" spans="1:8" x14ac:dyDescent="0.3">
      <c r="A23">
        <v>1082</v>
      </c>
      <c r="B23" s="1">
        <v>45937.614386574074</v>
      </c>
      <c r="C23">
        <v>0</v>
      </c>
      <c r="D23" t="s">
        <v>57</v>
      </c>
      <c r="E23" t="s">
        <v>340</v>
      </c>
      <c r="F23">
        <v>1623</v>
      </c>
      <c r="G23">
        <v>1383</v>
      </c>
      <c r="H23">
        <v>328</v>
      </c>
    </row>
    <row r="24" spans="1:8" x14ac:dyDescent="0.3">
      <c r="A24">
        <v>1100</v>
      </c>
      <c r="B24" s="1">
        <v>45937.619618055556</v>
      </c>
      <c r="C24">
        <v>0</v>
      </c>
      <c r="D24" t="s">
        <v>57</v>
      </c>
      <c r="E24" t="s">
        <v>340</v>
      </c>
      <c r="F24">
        <v>1623</v>
      </c>
      <c r="G24">
        <v>1405</v>
      </c>
      <c r="H24">
        <v>332</v>
      </c>
    </row>
    <row r="25" spans="1:8" x14ac:dyDescent="0.3">
      <c r="A25">
        <v>1125</v>
      </c>
      <c r="B25" s="1">
        <v>45937.625671296293</v>
      </c>
      <c r="C25">
        <v>100000</v>
      </c>
      <c r="D25" t="s">
        <v>57</v>
      </c>
      <c r="E25" t="s">
        <v>341</v>
      </c>
      <c r="F25">
        <v>1623</v>
      </c>
      <c r="G25">
        <v>1432</v>
      </c>
      <c r="H25">
        <v>336</v>
      </c>
    </row>
    <row r="26" spans="1:8" x14ac:dyDescent="0.3">
      <c r="A26">
        <v>1134</v>
      </c>
      <c r="B26" s="1">
        <v>45937.627800925926</v>
      </c>
      <c r="C26">
        <v>425000</v>
      </c>
      <c r="D26" t="s">
        <v>57</v>
      </c>
      <c r="E26" t="s">
        <v>339</v>
      </c>
      <c r="F26">
        <v>1650</v>
      </c>
      <c r="G26">
        <v>1433</v>
      </c>
      <c r="H26">
        <v>336</v>
      </c>
    </row>
    <row r="27" spans="1:8" x14ac:dyDescent="0.3">
      <c r="A27">
        <v>1133</v>
      </c>
      <c r="B27" s="1">
        <v>45937.627615740741</v>
      </c>
      <c r="C27">
        <v>70000</v>
      </c>
      <c r="D27" t="s">
        <v>57</v>
      </c>
      <c r="E27" t="s">
        <v>339</v>
      </c>
      <c r="F27">
        <v>1660</v>
      </c>
      <c r="G27">
        <v>1432</v>
      </c>
      <c r="H27">
        <v>336</v>
      </c>
    </row>
    <row r="28" spans="1:8" x14ac:dyDescent="0.3">
      <c r="A28">
        <v>1059</v>
      </c>
      <c r="B28" s="1">
        <v>45937.605208333334</v>
      </c>
      <c r="C28">
        <v>200000</v>
      </c>
      <c r="D28" t="s">
        <v>57</v>
      </c>
      <c r="E28" t="s">
        <v>339</v>
      </c>
      <c r="F28">
        <v>1596</v>
      </c>
      <c r="G28">
        <v>1355</v>
      </c>
      <c r="H28">
        <v>324</v>
      </c>
    </row>
    <row r="29" spans="1:8" x14ac:dyDescent="0.3">
      <c r="A29">
        <v>1090</v>
      </c>
      <c r="B29" s="1">
        <v>45937.617650462962</v>
      </c>
      <c r="C29">
        <v>0</v>
      </c>
      <c r="D29" t="s">
        <v>57</v>
      </c>
      <c r="E29" t="s">
        <v>340</v>
      </c>
      <c r="F29">
        <v>1596</v>
      </c>
      <c r="G29">
        <v>1389</v>
      </c>
      <c r="H29">
        <v>329</v>
      </c>
    </row>
    <row r="30" spans="1:8" x14ac:dyDescent="0.3">
      <c r="A30">
        <v>1114</v>
      </c>
      <c r="B30" s="1">
        <v>45937.623761574076</v>
      </c>
      <c r="C30">
        <v>0</v>
      </c>
      <c r="D30" t="s">
        <v>57</v>
      </c>
      <c r="E30" t="s">
        <v>340</v>
      </c>
      <c r="F30">
        <v>1596</v>
      </c>
      <c r="G30">
        <v>1422</v>
      </c>
      <c r="H30">
        <v>334</v>
      </c>
    </row>
    <row r="31" spans="1:8" x14ac:dyDescent="0.3">
      <c r="A31">
        <v>1143</v>
      </c>
      <c r="B31" s="1">
        <v>45937.631527777776</v>
      </c>
      <c r="C31">
        <v>0</v>
      </c>
      <c r="D31" t="s">
        <v>57</v>
      </c>
      <c r="E31" t="s">
        <v>340</v>
      </c>
      <c r="F31">
        <v>1596</v>
      </c>
      <c r="G31">
        <v>1437</v>
      </c>
      <c r="H31">
        <v>337</v>
      </c>
    </row>
    <row r="32" spans="1:8" x14ac:dyDescent="0.3">
      <c r="A32">
        <v>1062</v>
      </c>
      <c r="B32" s="1">
        <v>45937.60533564815</v>
      </c>
      <c r="C32">
        <v>200000</v>
      </c>
      <c r="D32" t="s">
        <v>57</v>
      </c>
      <c r="E32" t="s">
        <v>339</v>
      </c>
      <c r="F32">
        <v>1597</v>
      </c>
      <c r="G32">
        <v>1353</v>
      </c>
      <c r="H32">
        <v>324</v>
      </c>
    </row>
    <row r="33" spans="1:8" x14ac:dyDescent="0.3">
      <c r="A33">
        <v>1063</v>
      </c>
      <c r="B33" s="1">
        <v>45937.605891203704</v>
      </c>
      <c r="C33">
        <v>200000</v>
      </c>
      <c r="D33" t="s">
        <v>57</v>
      </c>
      <c r="E33" t="s">
        <v>342</v>
      </c>
      <c r="F33">
        <v>1597</v>
      </c>
      <c r="G33">
        <v>1354</v>
      </c>
      <c r="H33">
        <v>324</v>
      </c>
    </row>
    <row r="34" spans="1:8" x14ac:dyDescent="0.3">
      <c r="A34">
        <v>1087</v>
      </c>
      <c r="B34" s="1">
        <v>45937.617002314815</v>
      </c>
      <c r="C34">
        <v>0</v>
      </c>
      <c r="D34" t="s">
        <v>57</v>
      </c>
      <c r="E34" t="s">
        <v>340</v>
      </c>
      <c r="F34">
        <v>1597</v>
      </c>
      <c r="G34">
        <v>1388</v>
      </c>
      <c r="H34">
        <v>329</v>
      </c>
    </row>
    <row r="35" spans="1:8" x14ac:dyDescent="0.3">
      <c r="A35">
        <v>1109</v>
      </c>
      <c r="B35" s="1">
        <v>45937.623553240737</v>
      </c>
      <c r="C35">
        <v>0</v>
      </c>
      <c r="D35" t="s">
        <v>57</v>
      </c>
      <c r="E35" t="s">
        <v>340</v>
      </c>
      <c r="F35">
        <v>1597</v>
      </c>
      <c r="G35">
        <v>1417</v>
      </c>
      <c r="H35">
        <v>334</v>
      </c>
    </row>
    <row r="36" spans="1:8" x14ac:dyDescent="0.3">
      <c r="A36">
        <v>1141</v>
      </c>
      <c r="B36" s="1">
        <v>45937.630671296298</v>
      </c>
      <c r="C36">
        <v>0</v>
      </c>
      <c r="D36" t="s">
        <v>57</v>
      </c>
      <c r="E36" t="s">
        <v>340</v>
      </c>
      <c r="F36">
        <v>1597</v>
      </c>
      <c r="G36">
        <v>1438</v>
      </c>
      <c r="H36">
        <v>337</v>
      </c>
    </row>
    <row r="37" spans="1:8" x14ac:dyDescent="0.3">
      <c r="A37">
        <v>1064</v>
      </c>
      <c r="B37" s="1">
        <v>45937.60659722222</v>
      </c>
      <c r="C37">
        <v>300000</v>
      </c>
      <c r="D37" t="s">
        <v>57</v>
      </c>
      <c r="E37" t="s">
        <v>339</v>
      </c>
      <c r="F37">
        <v>1600</v>
      </c>
      <c r="G37">
        <v>1354</v>
      </c>
      <c r="H37">
        <v>324</v>
      </c>
    </row>
    <row r="38" spans="1:8" x14ac:dyDescent="0.3">
      <c r="A38">
        <v>1086</v>
      </c>
      <c r="B38" s="1">
        <v>45937.616990740738</v>
      </c>
      <c r="C38">
        <v>0</v>
      </c>
      <c r="D38" t="s">
        <v>57</v>
      </c>
      <c r="E38" t="s">
        <v>340</v>
      </c>
      <c r="F38">
        <v>1600</v>
      </c>
      <c r="G38">
        <v>1387</v>
      </c>
      <c r="H38">
        <v>329</v>
      </c>
    </row>
    <row r="39" spans="1:8" x14ac:dyDescent="0.3">
      <c r="A39">
        <v>1111</v>
      </c>
      <c r="B39" s="1">
        <v>45937.623564814814</v>
      </c>
      <c r="C39">
        <v>0</v>
      </c>
      <c r="D39" t="s">
        <v>57</v>
      </c>
      <c r="E39" t="s">
        <v>340</v>
      </c>
      <c r="F39">
        <v>1600</v>
      </c>
      <c r="G39">
        <v>1418</v>
      </c>
      <c r="H39">
        <v>334</v>
      </c>
    </row>
    <row r="40" spans="1:8" x14ac:dyDescent="0.3">
      <c r="A40">
        <v>1138</v>
      </c>
      <c r="B40" s="1">
        <v>45937.630254629628</v>
      </c>
      <c r="C40">
        <v>0</v>
      </c>
      <c r="D40" t="s">
        <v>57</v>
      </c>
      <c r="E40" t="s">
        <v>340</v>
      </c>
      <c r="F40">
        <v>1600</v>
      </c>
      <c r="G40">
        <v>1435</v>
      </c>
      <c r="H40">
        <v>337</v>
      </c>
    </row>
    <row r="41" spans="1:8" x14ac:dyDescent="0.3">
      <c r="A41">
        <v>1060</v>
      </c>
      <c r="B41" s="1">
        <v>45937.605219907404</v>
      </c>
      <c r="C41">
        <v>160000</v>
      </c>
      <c r="D41" t="s">
        <v>57</v>
      </c>
      <c r="E41" t="s">
        <v>339</v>
      </c>
      <c r="F41">
        <v>1602</v>
      </c>
      <c r="G41">
        <v>1351</v>
      </c>
      <c r="H41">
        <v>324</v>
      </c>
    </row>
    <row r="42" spans="1:8" x14ac:dyDescent="0.3">
      <c r="A42">
        <v>1085</v>
      </c>
      <c r="B42" s="1">
        <v>45937.616990740738</v>
      </c>
      <c r="C42">
        <v>0</v>
      </c>
      <c r="D42" t="s">
        <v>57</v>
      </c>
      <c r="E42" t="s">
        <v>340</v>
      </c>
      <c r="F42">
        <v>1602</v>
      </c>
      <c r="G42">
        <v>1390</v>
      </c>
      <c r="H42">
        <v>329</v>
      </c>
    </row>
    <row r="43" spans="1:8" x14ac:dyDescent="0.3">
      <c r="A43">
        <v>1112</v>
      </c>
      <c r="B43" s="1">
        <v>45937.623599537037</v>
      </c>
      <c r="C43">
        <v>0</v>
      </c>
      <c r="D43" t="s">
        <v>57</v>
      </c>
      <c r="E43" t="s">
        <v>340</v>
      </c>
      <c r="F43">
        <v>1602</v>
      </c>
      <c r="G43">
        <v>1421</v>
      </c>
      <c r="H43">
        <v>334</v>
      </c>
    </row>
    <row r="44" spans="1:8" x14ac:dyDescent="0.3">
      <c r="A44">
        <v>1139</v>
      </c>
      <c r="B44" s="1">
        <v>45937.630474537036</v>
      </c>
      <c r="C44">
        <v>160000</v>
      </c>
      <c r="D44" t="s">
        <v>57</v>
      </c>
      <c r="E44" t="s">
        <v>341</v>
      </c>
      <c r="F44">
        <v>1602</v>
      </c>
      <c r="G44">
        <v>1439</v>
      </c>
      <c r="H44">
        <v>337</v>
      </c>
    </row>
    <row r="45" spans="1:8" x14ac:dyDescent="0.3">
      <c r="A45">
        <v>1061</v>
      </c>
      <c r="B45" s="1">
        <v>45937.60528935185</v>
      </c>
      <c r="C45">
        <v>80000</v>
      </c>
      <c r="D45" t="s">
        <v>57</v>
      </c>
      <c r="E45" t="s">
        <v>339</v>
      </c>
      <c r="F45">
        <v>1604</v>
      </c>
      <c r="G45">
        <v>1352</v>
      </c>
      <c r="H45">
        <v>324</v>
      </c>
    </row>
    <row r="46" spans="1:8" x14ac:dyDescent="0.3">
      <c r="A46">
        <v>1089</v>
      </c>
      <c r="B46" s="1">
        <v>45937.617060185185</v>
      </c>
      <c r="C46">
        <v>0</v>
      </c>
      <c r="D46" t="s">
        <v>57</v>
      </c>
      <c r="E46" t="s">
        <v>340</v>
      </c>
      <c r="F46">
        <v>1604</v>
      </c>
      <c r="G46">
        <v>1392</v>
      </c>
      <c r="H46">
        <v>329</v>
      </c>
    </row>
    <row r="47" spans="1:8" x14ac:dyDescent="0.3">
      <c r="A47">
        <v>1110</v>
      </c>
      <c r="B47" s="1">
        <v>45937.623553240737</v>
      </c>
      <c r="C47">
        <v>0</v>
      </c>
      <c r="D47" t="s">
        <v>57</v>
      </c>
      <c r="E47" t="s">
        <v>340</v>
      </c>
      <c r="F47">
        <v>1604</v>
      </c>
      <c r="G47">
        <v>1420</v>
      </c>
      <c r="H47">
        <v>334</v>
      </c>
    </row>
    <row r="48" spans="1:8" x14ac:dyDescent="0.3">
      <c r="A48">
        <v>1137</v>
      </c>
      <c r="B48" s="1">
        <v>45937.629305555558</v>
      </c>
      <c r="C48">
        <v>0</v>
      </c>
      <c r="D48" t="s">
        <v>57</v>
      </c>
      <c r="E48" t="s">
        <v>340</v>
      </c>
      <c r="F48">
        <v>1604</v>
      </c>
      <c r="G48">
        <v>1440</v>
      </c>
      <c r="H48">
        <v>337</v>
      </c>
    </row>
    <row r="49" spans="1:8" x14ac:dyDescent="0.3">
      <c r="A49">
        <v>1058</v>
      </c>
      <c r="B49" s="1">
        <v>45937.605208333334</v>
      </c>
      <c r="C49">
        <v>70000</v>
      </c>
      <c r="D49" t="s">
        <v>57</v>
      </c>
      <c r="E49" t="s">
        <v>339</v>
      </c>
      <c r="F49">
        <v>1608</v>
      </c>
      <c r="G49">
        <v>1356</v>
      </c>
      <c r="H49">
        <v>324</v>
      </c>
    </row>
    <row r="50" spans="1:8" x14ac:dyDescent="0.3">
      <c r="A50">
        <v>1088</v>
      </c>
      <c r="B50" s="1">
        <v>45937.617060185185</v>
      </c>
      <c r="C50">
        <v>0</v>
      </c>
      <c r="D50" t="s">
        <v>57</v>
      </c>
      <c r="E50" t="s">
        <v>340</v>
      </c>
      <c r="F50">
        <v>1608</v>
      </c>
      <c r="G50">
        <v>1391</v>
      </c>
      <c r="H50">
        <v>329</v>
      </c>
    </row>
    <row r="51" spans="1:8" x14ac:dyDescent="0.3">
      <c r="A51">
        <v>1113</v>
      </c>
      <c r="B51" s="1">
        <v>45937.623611111114</v>
      </c>
      <c r="C51">
        <v>0</v>
      </c>
      <c r="D51" t="s">
        <v>57</v>
      </c>
      <c r="E51" t="s">
        <v>340</v>
      </c>
      <c r="F51">
        <v>1608</v>
      </c>
      <c r="G51">
        <v>1419</v>
      </c>
      <c r="H51">
        <v>334</v>
      </c>
    </row>
    <row r="52" spans="1:8" x14ac:dyDescent="0.3">
      <c r="A52">
        <v>1140</v>
      </c>
      <c r="B52" s="1">
        <v>45937.630520833336</v>
      </c>
      <c r="C52">
        <v>0</v>
      </c>
      <c r="D52" t="s">
        <v>57</v>
      </c>
      <c r="E52" t="s">
        <v>340</v>
      </c>
      <c r="F52">
        <v>1608</v>
      </c>
      <c r="G52">
        <v>1436</v>
      </c>
      <c r="H52">
        <v>337</v>
      </c>
    </row>
    <row r="53" spans="1:8" x14ac:dyDescent="0.3">
      <c r="A53">
        <v>1142</v>
      </c>
      <c r="B53" s="1">
        <v>45937.631238425929</v>
      </c>
      <c r="C53">
        <v>100000</v>
      </c>
      <c r="D53" t="s">
        <v>57</v>
      </c>
      <c r="E53" t="s">
        <v>339</v>
      </c>
      <c r="F53">
        <v>1663</v>
      </c>
      <c r="G53">
        <v>1439</v>
      </c>
      <c r="H53">
        <v>337</v>
      </c>
    </row>
    <row r="54" spans="1:8" x14ac:dyDescent="0.3">
      <c r="A54">
        <v>1046</v>
      </c>
      <c r="B54" s="1">
        <v>45937.60224537037</v>
      </c>
      <c r="C54">
        <v>200000</v>
      </c>
      <c r="D54" t="s">
        <v>57</v>
      </c>
      <c r="E54" t="s">
        <v>339</v>
      </c>
      <c r="F54">
        <v>1566</v>
      </c>
      <c r="G54">
        <v>1340</v>
      </c>
      <c r="H54">
        <v>322</v>
      </c>
    </row>
    <row r="55" spans="1:8" x14ac:dyDescent="0.3">
      <c r="A55">
        <v>1075</v>
      </c>
      <c r="B55" s="1">
        <v>45937.613113425927</v>
      </c>
      <c r="C55">
        <v>0</v>
      </c>
      <c r="D55" t="s">
        <v>57</v>
      </c>
      <c r="E55" t="s">
        <v>340</v>
      </c>
      <c r="F55">
        <v>1566</v>
      </c>
      <c r="G55">
        <v>1375</v>
      </c>
      <c r="H55">
        <v>326</v>
      </c>
    </row>
    <row r="56" spans="1:8" x14ac:dyDescent="0.3">
      <c r="A56">
        <v>1108</v>
      </c>
      <c r="B56" s="1">
        <v>45937.619930555556</v>
      </c>
      <c r="C56">
        <v>0</v>
      </c>
      <c r="D56" t="s">
        <v>57</v>
      </c>
      <c r="E56" t="s">
        <v>340</v>
      </c>
      <c r="F56">
        <v>1566</v>
      </c>
      <c r="G56">
        <v>1403</v>
      </c>
      <c r="H56">
        <v>331</v>
      </c>
    </row>
    <row r="57" spans="1:8" x14ac:dyDescent="0.3">
      <c r="A57">
        <v>1132</v>
      </c>
      <c r="B57" s="1">
        <v>45937.626736111109</v>
      </c>
      <c r="C57">
        <v>0</v>
      </c>
      <c r="D57" t="s">
        <v>57</v>
      </c>
      <c r="E57" t="s">
        <v>340</v>
      </c>
      <c r="F57">
        <v>1566</v>
      </c>
      <c r="G57">
        <v>1423</v>
      </c>
      <c r="H57">
        <v>335</v>
      </c>
    </row>
    <row r="58" spans="1:8" x14ac:dyDescent="0.3">
      <c r="A58">
        <v>1048</v>
      </c>
      <c r="B58" s="1">
        <v>45937.602685185186</v>
      </c>
      <c r="C58">
        <v>200000</v>
      </c>
      <c r="D58" t="s">
        <v>57</v>
      </c>
      <c r="E58" t="s">
        <v>339</v>
      </c>
      <c r="F58">
        <v>1567</v>
      </c>
      <c r="G58">
        <v>1344</v>
      </c>
      <c r="H58">
        <v>322</v>
      </c>
    </row>
    <row r="59" spans="1:8" x14ac:dyDescent="0.3">
      <c r="A59">
        <v>1067</v>
      </c>
      <c r="B59" s="1">
        <v>45937.612673611111</v>
      </c>
      <c r="C59">
        <v>0</v>
      </c>
      <c r="D59" t="s">
        <v>57</v>
      </c>
      <c r="E59" t="s">
        <v>340</v>
      </c>
      <c r="F59">
        <v>1567</v>
      </c>
      <c r="G59">
        <v>1371</v>
      </c>
      <c r="H59">
        <v>326</v>
      </c>
    </row>
    <row r="60" spans="1:8" x14ac:dyDescent="0.3">
      <c r="A60">
        <v>1101</v>
      </c>
      <c r="B60" s="1">
        <v>45937.619641203702</v>
      </c>
      <c r="C60">
        <v>0</v>
      </c>
      <c r="D60" t="s">
        <v>57</v>
      </c>
      <c r="E60" t="s">
        <v>340</v>
      </c>
      <c r="F60">
        <v>1567</v>
      </c>
      <c r="G60">
        <v>1399</v>
      </c>
      <c r="H60">
        <v>331</v>
      </c>
    </row>
    <row r="61" spans="1:8" x14ac:dyDescent="0.3">
      <c r="A61">
        <v>1128</v>
      </c>
      <c r="B61" s="1">
        <v>45937.625891203701</v>
      </c>
      <c r="C61">
        <v>0</v>
      </c>
      <c r="D61" t="s">
        <v>57</v>
      </c>
      <c r="E61" t="s">
        <v>340</v>
      </c>
      <c r="F61">
        <v>1567</v>
      </c>
      <c r="G61">
        <v>1426</v>
      </c>
      <c r="H61">
        <v>335</v>
      </c>
    </row>
    <row r="62" spans="1:8" x14ac:dyDescent="0.3">
      <c r="A62">
        <v>1051</v>
      </c>
      <c r="B62" s="1">
        <v>45937.603043981479</v>
      </c>
      <c r="C62">
        <v>100000</v>
      </c>
      <c r="D62" t="s">
        <v>57</v>
      </c>
      <c r="E62" t="s">
        <v>339</v>
      </c>
      <c r="F62">
        <v>1568</v>
      </c>
      <c r="G62">
        <v>1339</v>
      </c>
      <c r="H62">
        <v>322</v>
      </c>
    </row>
    <row r="63" spans="1:8" x14ac:dyDescent="0.3">
      <c r="A63">
        <v>1066</v>
      </c>
      <c r="B63" s="1">
        <v>45937.612615740742</v>
      </c>
      <c r="C63">
        <v>0</v>
      </c>
      <c r="D63" t="s">
        <v>57</v>
      </c>
      <c r="E63" t="s">
        <v>340</v>
      </c>
      <c r="F63">
        <v>1568</v>
      </c>
      <c r="G63">
        <v>1376</v>
      </c>
      <c r="H63">
        <v>326</v>
      </c>
    </row>
    <row r="64" spans="1:8" x14ac:dyDescent="0.3">
      <c r="A64">
        <v>1104</v>
      </c>
      <c r="B64" s="1">
        <v>45937.619664351849</v>
      </c>
      <c r="C64">
        <v>0</v>
      </c>
      <c r="D64" t="s">
        <v>57</v>
      </c>
      <c r="E64" t="s">
        <v>340</v>
      </c>
      <c r="F64">
        <v>1568</v>
      </c>
      <c r="G64">
        <v>1402</v>
      </c>
      <c r="H64">
        <v>331</v>
      </c>
    </row>
    <row r="65" spans="1:8" x14ac:dyDescent="0.3">
      <c r="A65">
        <v>1121</v>
      </c>
      <c r="B65" s="1">
        <v>45937.624976851854</v>
      </c>
      <c r="C65">
        <v>0</v>
      </c>
      <c r="D65" t="s">
        <v>57</v>
      </c>
      <c r="E65" t="s">
        <v>340</v>
      </c>
      <c r="F65">
        <v>1568</v>
      </c>
      <c r="G65">
        <v>1425</v>
      </c>
      <c r="H65">
        <v>335</v>
      </c>
    </row>
    <row r="66" spans="1:8" x14ac:dyDescent="0.3">
      <c r="A66">
        <v>1049</v>
      </c>
      <c r="B66" s="1">
        <v>45937.602708333332</v>
      </c>
      <c r="C66">
        <v>160000</v>
      </c>
      <c r="D66" t="s">
        <v>57</v>
      </c>
      <c r="E66" t="s">
        <v>339</v>
      </c>
      <c r="F66">
        <v>1571</v>
      </c>
      <c r="G66">
        <v>1357</v>
      </c>
      <c r="H66">
        <v>322</v>
      </c>
    </row>
    <row r="67" spans="1:8" x14ac:dyDescent="0.3">
      <c r="A67">
        <v>1076</v>
      </c>
      <c r="B67" s="1">
        <v>45937.613194444442</v>
      </c>
      <c r="C67">
        <v>179000</v>
      </c>
      <c r="D67" t="s">
        <v>57</v>
      </c>
      <c r="E67" t="s">
        <v>343</v>
      </c>
      <c r="F67">
        <v>1571</v>
      </c>
      <c r="G67">
        <v>1369</v>
      </c>
      <c r="H67">
        <v>326</v>
      </c>
    </row>
    <row r="68" spans="1:8" x14ac:dyDescent="0.3">
      <c r="A68">
        <v>1077</v>
      </c>
      <c r="B68" s="1">
        <v>45937.613194444442</v>
      </c>
      <c r="C68">
        <v>179000</v>
      </c>
      <c r="D68" t="s">
        <v>57</v>
      </c>
      <c r="E68" t="s">
        <v>343</v>
      </c>
      <c r="F68">
        <v>1571</v>
      </c>
      <c r="G68">
        <v>1369</v>
      </c>
      <c r="H68">
        <v>326</v>
      </c>
    </row>
    <row r="69" spans="1:8" x14ac:dyDescent="0.3">
      <c r="A69">
        <v>1078</v>
      </c>
      <c r="B69" s="1">
        <v>45937.613495370373</v>
      </c>
      <c r="C69">
        <v>0</v>
      </c>
      <c r="D69" t="s">
        <v>57</v>
      </c>
      <c r="E69" t="s">
        <v>340</v>
      </c>
      <c r="F69">
        <v>1571</v>
      </c>
      <c r="G69">
        <v>1369</v>
      </c>
      <c r="H69">
        <v>326</v>
      </c>
    </row>
    <row r="70" spans="1:8" x14ac:dyDescent="0.3">
      <c r="A70">
        <v>1107</v>
      </c>
      <c r="B70" s="1">
        <v>45937.619872685187</v>
      </c>
      <c r="C70">
        <v>0</v>
      </c>
      <c r="D70" t="s">
        <v>57</v>
      </c>
      <c r="E70" t="s">
        <v>340</v>
      </c>
      <c r="F70">
        <v>1571</v>
      </c>
      <c r="G70">
        <v>1401</v>
      </c>
      <c r="H70">
        <v>331</v>
      </c>
    </row>
    <row r="71" spans="1:8" x14ac:dyDescent="0.3">
      <c r="A71">
        <v>1129</v>
      </c>
      <c r="B71" s="1">
        <v>45937.626284722224</v>
      </c>
      <c r="C71">
        <v>160000</v>
      </c>
      <c r="D71" t="s">
        <v>57</v>
      </c>
      <c r="E71" t="s">
        <v>341</v>
      </c>
      <c r="F71">
        <v>1571</v>
      </c>
      <c r="G71">
        <v>1434</v>
      </c>
      <c r="H71">
        <v>335</v>
      </c>
    </row>
    <row r="72" spans="1:8" x14ac:dyDescent="0.3">
      <c r="A72">
        <v>1047</v>
      </c>
      <c r="B72" s="1">
        <v>45937.60255787037</v>
      </c>
      <c r="C72">
        <v>125000</v>
      </c>
      <c r="D72" t="s">
        <v>57</v>
      </c>
      <c r="E72" t="s">
        <v>339</v>
      </c>
      <c r="F72">
        <v>1577</v>
      </c>
      <c r="G72">
        <v>1342</v>
      </c>
      <c r="H72">
        <v>322</v>
      </c>
    </row>
    <row r="73" spans="1:8" x14ac:dyDescent="0.3">
      <c r="A73">
        <v>1065</v>
      </c>
      <c r="B73" s="1">
        <v>45937.612581018519</v>
      </c>
      <c r="C73">
        <v>0</v>
      </c>
      <c r="D73" t="s">
        <v>57</v>
      </c>
      <c r="E73" t="s">
        <v>340</v>
      </c>
      <c r="F73">
        <v>1577</v>
      </c>
      <c r="G73">
        <v>1370</v>
      </c>
      <c r="H73">
        <v>326</v>
      </c>
    </row>
    <row r="74" spans="1:8" x14ac:dyDescent="0.3">
      <c r="A74">
        <v>1102</v>
      </c>
      <c r="B74" s="1">
        <v>45937.619641203702</v>
      </c>
      <c r="C74">
        <v>0</v>
      </c>
      <c r="D74" t="s">
        <v>57</v>
      </c>
      <c r="E74" t="s">
        <v>340</v>
      </c>
      <c r="F74">
        <v>1577</v>
      </c>
      <c r="G74">
        <v>1404</v>
      </c>
      <c r="H74">
        <v>331</v>
      </c>
    </row>
    <row r="75" spans="1:8" x14ac:dyDescent="0.3">
      <c r="A75">
        <v>1124</v>
      </c>
      <c r="B75" s="1">
        <v>45937.625439814816</v>
      </c>
      <c r="C75">
        <v>0</v>
      </c>
      <c r="D75" t="s">
        <v>57</v>
      </c>
      <c r="E75" t="s">
        <v>340</v>
      </c>
      <c r="F75">
        <v>1577</v>
      </c>
      <c r="G75">
        <v>1424</v>
      </c>
      <c r="H75">
        <v>335</v>
      </c>
    </row>
    <row r="76" spans="1:8" x14ac:dyDescent="0.3">
      <c r="A76">
        <v>1050</v>
      </c>
      <c r="B76" s="1">
        <v>45937.602743055555</v>
      </c>
      <c r="C76">
        <v>70000</v>
      </c>
      <c r="D76" t="s">
        <v>57</v>
      </c>
      <c r="E76" t="s">
        <v>339</v>
      </c>
      <c r="F76">
        <v>1578</v>
      </c>
      <c r="G76">
        <v>1341</v>
      </c>
      <c r="H76">
        <v>322</v>
      </c>
    </row>
    <row r="77" spans="1:8" x14ac:dyDescent="0.3">
      <c r="A77">
        <v>1074</v>
      </c>
      <c r="B77" s="1">
        <v>45937.612893518519</v>
      </c>
      <c r="C77">
        <v>0</v>
      </c>
      <c r="D77" t="s">
        <v>57</v>
      </c>
      <c r="E77" t="s">
        <v>340</v>
      </c>
      <c r="F77">
        <v>1578</v>
      </c>
      <c r="G77">
        <v>1372</v>
      </c>
      <c r="H77">
        <v>326</v>
      </c>
    </row>
    <row r="78" spans="1:8" x14ac:dyDescent="0.3">
      <c r="A78">
        <v>1106</v>
      </c>
      <c r="B78" s="1">
        <v>45937.619745370372</v>
      </c>
      <c r="C78">
        <v>0</v>
      </c>
      <c r="D78" t="s">
        <v>57</v>
      </c>
      <c r="E78" t="s">
        <v>340</v>
      </c>
      <c r="F78">
        <v>1578</v>
      </c>
      <c r="G78">
        <v>1400</v>
      </c>
      <c r="H78">
        <v>331</v>
      </c>
    </row>
    <row r="79" spans="1:8" x14ac:dyDescent="0.3">
      <c r="A79">
        <v>1123</v>
      </c>
      <c r="B79" s="1">
        <v>45937.625324074077</v>
      </c>
      <c r="C79">
        <v>70000</v>
      </c>
      <c r="D79" t="s">
        <v>57</v>
      </c>
      <c r="E79" t="s">
        <v>341</v>
      </c>
      <c r="F79">
        <v>1578</v>
      </c>
      <c r="G79">
        <v>1427</v>
      </c>
      <c r="H79">
        <v>335</v>
      </c>
    </row>
    <row r="80" spans="1:8" x14ac:dyDescent="0.3">
      <c r="A80">
        <v>1135</v>
      </c>
      <c r="B80" s="1">
        <v>45937.628344907411</v>
      </c>
      <c r="C80">
        <v>200000</v>
      </c>
      <c r="D80" t="s">
        <v>57</v>
      </c>
      <c r="E80" t="s">
        <v>339</v>
      </c>
      <c r="F80">
        <v>1637</v>
      </c>
      <c r="G80">
        <v>1434</v>
      </c>
      <c r="H80">
        <v>335</v>
      </c>
    </row>
    <row r="81" spans="1:8" x14ac:dyDescent="0.3">
      <c r="A81">
        <v>1136</v>
      </c>
      <c r="B81" s="1">
        <v>45937.628506944442</v>
      </c>
      <c r="C81">
        <v>80000</v>
      </c>
      <c r="D81" t="s">
        <v>57</v>
      </c>
      <c r="E81" t="s">
        <v>339</v>
      </c>
      <c r="F81">
        <v>1643</v>
      </c>
      <c r="G81">
        <v>1427</v>
      </c>
      <c r="H81">
        <v>335</v>
      </c>
    </row>
    <row r="82" spans="1:8" x14ac:dyDescent="0.3">
      <c r="A82">
        <v>1042</v>
      </c>
      <c r="B82" s="1">
        <v>45937.601226851853</v>
      </c>
      <c r="C82">
        <v>100000</v>
      </c>
      <c r="D82" t="s">
        <v>57</v>
      </c>
      <c r="E82" t="s">
        <v>339</v>
      </c>
      <c r="F82">
        <v>1583</v>
      </c>
      <c r="G82">
        <v>1349</v>
      </c>
      <c r="H82">
        <v>323</v>
      </c>
    </row>
    <row r="83" spans="1:8" x14ac:dyDescent="0.3">
      <c r="A83">
        <v>1073</v>
      </c>
      <c r="B83" s="1">
        <v>45937.612824074073</v>
      </c>
      <c r="C83">
        <v>0</v>
      </c>
      <c r="D83" t="s">
        <v>57</v>
      </c>
      <c r="E83" t="s">
        <v>340</v>
      </c>
      <c r="F83">
        <v>1583</v>
      </c>
      <c r="G83">
        <v>1379</v>
      </c>
      <c r="H83">
        <v>327</v>
      </c>
    </row>
    <row r="84" spans="1:8" x14ac:dyDescent="0.3">
      <c r="A84">
        <v>1093</v>
      </c>
      <c r="B84" s="1">
        <v>45937.618414351855</v>
      </c>
      <c r="C84">
        <v>0</v>
      </c>
      <c r="D84" t="s">
        <v>57</v>
      </c>
      <c r="E84" t="s">
        <v>340</v>
      </c>
      <c r="F84">
        <v>1583</v>
      </c>
      <c r="G84">
        <v>1393</v>
      </c>
      <c r="H84">
        <v>330</v>
      </c>
    </row>
    <row r="85" spans="1:8" x14ac:dyDescent="0.3">
      <c r="A85">
        <v>1117</v>
      </c>
      <c r="B85" s="1">
        <v>45937.624710648146</v>
      </c>
      <c r="C85">
        <v>0</v>
      </c>
      <c r="D85" t="s">
        <v>57</v>
      </c>
      <c r="E85" t="s">
        <v>340</v>
      </c>
      <c r="F85">
        <v>1583</v>
      </c>
      <c r="G85">
        <v>1412</v>
      </c>
      <c r="H85">
        <v>333</v>
      </c>
    </row>
    <row r="86" spans="1:8" x14ac:dyDescent="0.3">
      <c r="A86">
        <v>1044</v>
      </c>
      <c r="B86" s="1">
        <v>45937.601238425923</v>
      </c>
      <c r="C86">
        <v>160000</v>
      </c>
      <c r="D86" t="s">
        <v>57</v>
      </c>
      <c r="E86" t="s">
        <v>339</v>
      </c>
      <c r="F86">
        <v>1586</v>
      </c>
      <c r="G86">
        <v>1347</v>
      </c>
      <c r="H86">
        <v>323</v>
      </c>
    </row>
    <row r="87" spans="1:8" x14ac:dyDescent="0.3">
      <c r="A87">
        <v>1072</v>
      </c>
      <c r="B87" s="1">
        <v>45937.61277777778</v>
      </c>
      <c r="C87">
        <v>0</v>
      </c>
      <c r="D87" t="s">
        <v>57</v>
      </c>
      <c r="E87" t="s">
        <v>340</v>
      </c>
      <c r="F87">
        <v>1586</v>
      </c>
      <c r="G87">
        <v>1380</v>
      </c>
      <c r="H87">
        <v>327</v>
      </c>
    </row>
    <row r="88" spans="1:8" x14ac:dyDescent="0.3">
      <c r="A88">
        <v>1095</v>
      </c>
      <c r="B88" s="1">
        <v>45937.618437500001</v>
      </c>
      <c r="C88">
        <v>0</v>
      </c>
      <c r="D88" t="s">
        <v>57</v>
      </c>
      <c r="E88" t="s">
        <v>340</v>
      </c>
      <c r="F88">
        <v>1586</v>
      </c>
      <c r="G88">
        <v>1397</v>
      </c>
      <c r="H88">
        <v>330</v>
      </c>
    </row>
    <row r="89" spans="1:8" x14ac:dyDescent="0.3">
      <c r="A89">
        <v>1116</v>
      </c>
      <c r="B89" s="1">
        <v>45937.624710648146</v>
      </c>
      <c r="C89">
        <v>0</v>
      </c>
      <c r="D89" t="s">
        <v>57</v>
      </c>
      <c r="E89" t="s">
        <v>340</v>
      </c>
      <c r="F89">
        <v>1586</v>
      </c>
      <c r="G89">
        <v>1415</v>
      </c>
      <c r="H89">
        <v>333</v>
      </c>
    </row>
    <row r="90" spans="1:8" x14ac:dyDescent="0.3">
      <c r="A90">
        <v>1041</v>
      </c>
      <c r="B90" s="1">
        <v>45937.601226851853</v>
      </c>
      <c r="C90">
        <v>160000</v>
      </c>
      <c r="D90" t="s">
        <v>57</v>
      </c>
      <c r="E90" t="s">
        <v>339</v>
      </c>
      <c r="F90">
        <v>1587</v>
      </c>
      <c r="G90">
        <v>1350</v>
      </c>
      <c r="H90">
        <v>323</v>
      </c>
    </row>
    <row r="91" spans="1:8" x14ac:dyDescent="0.3">
      <c r="A91">
        <v>1068</v>
      </c>
      <c r="B91" s="1">
        <v>45937.612719907411</v>
      </c>
      <c r="C91">
        <v>0</v>
      </c>
      <c r="D91" t="s">
        <v>57</v>
      </c>
      <c r="E91" t="s">
        <v>340</v>
      </c>
      <c r="F91">
        <v>1587</v>
      </c>
      <c r="G91">
        <v>1374</v>
      </c>
      <c r="H91">
        <v>327</v>
      </c>
    </row>
    <row r="92" spans="1:8" x14ac:dyDescent="0.3">
      <c r="A92">
        <v>1094</v>
      </c>
      <c r="B92" s="1">
        <v>45937.618425925924</v>
      </c>
      <c r="C92">
        <v>0</v>
      </c>
      <c r="D92" t="s">
        <v>57</v>
      </c>
      <c r="E92" t="s">
        <v>340</v>
      </c>
      <c r="F92">
        <v>1587</v>
      </c>
      <c r="G92">
        <v>1395</v>
      </c>
      <c r="H92">
        <v>330</v>
      </c>
    </row>
    <row r="93" spans="1:8" x14ac:dyDescent="0.3">
      <c r="A93">
        <v>1115</v>
      </c>
      <c r="B93" s="1">
        <v>45937.624699074076</v>
      </c>
      <c r="C93">
        <v>0</v>
      </c>
      <c r="D93" t="s">
        <v>57</v>
      </c>
      <c r="E93" t="s">
        <v>340</v>
      </c>
      <c r="F93">
        <v>1587</v>
      </c>
      <c r="G93">
        <v>1414</v>
      </c>
      <c r="H93">
        <v>333</v>
      </c>
    </row>
    <row r="94" spans="1:8" x14ac:dyDescent="0.3">
      <c r="A94">
        <v>1043</v>
      </c>
      <c r="B94" s="1">
        <v>45937.601226851853</v>
      </c>
      <c r="C94">
        <v>125000</v>
      </c>
      <c r="D94" t="s">
        <v>57</v>
      </c>
      <c r="E94" t="s">
        <v>339</v>
      </c>
      <c r="F94">
        <v>1592</v>
      </c>
      <c r="G94">
        <v>1348</v>
      </c>
      <c r="H94">
        <v>323</v>
      </c>
    </row>
    <row r="95" spans="1:8" x14ac:dyDescent="0.3">
      <c r="A95">
        <v>1069</v>
      </c>
      <c r="B95" s="1">
        <v>45937.61273148148</v>
      </c>
      <c r="C95">
        <v>0</v>
      </c>
      <c r="D95" t="s">
        <v>57</v>
      </c>
      <c r="E95" t="s">
        <v>340</v>
      </c>
      <c r="F95">
        <v>1592</v>
      </c>
      <c r="G95">
        <v>1373</v>
      </c>
      <c r="H95">
        <v>327</v>
      </c>
    </row>
    <row r="96" spans="1:8" x14ac:dyDescent="0.3">
      <c r="A96">
        <v>1096</v>
      </c>
      <c r="B96" s="1">
        <v>45937.618530092594</v>
      </c>
      <c r="C96">
        <v>0</v>
      </c>
      <c r="D96" t="s">
        <v>57</v>
      </c>
      <c r="E96" t="s">
        <v>340</v>
      </c>
      <c r="F96">
        <v>1592</v>
      </c>
      <c r="G96">
        <v>1394</v>
      </c>
      <c r="H96">
        <v>330</v>
      </c>
    </row>
    <row r="97" spans="1:8" x14ac:dyDescent="0.3">
      <c r="A97">
        <v>1118</v>
      </c>
      <c r="B97" s="1">
        <v>45937.624722222223</v>
      </c>
      <c r="C97">
        <v>0</v>
      </c>
      <c r="D97" t="s">
        <v>57</v>
      </c>
      <c r="E97" t="s">
        <v>340</v>
      </c>
      <c r="F97">
        <v>1592</v>
      </c>
      <c r="G97">
        <v>1413</v>
      </c>
      <c r="H97">
        <v>333</v>
      </c>
    </row>
    <row r="98" spans="1:8" x14ac:dyDescent="0.3">
      <c r="A98">
        <v>1045</v>
      </c>
      <c r="B98" s="1">
        <v>45937.601261574076</v>
      </c>
      <c r="C98">
        <v>70000</v>
      </c>
      <c r="D98" t="s">
        <v>57</v>
      </c>
      <c r="E98" t="s">
        <v>339</v>
      </c>
      <c r="F98">
        <v>1593</v>
      </c>
      <c r="G98">
        <v>1345</v>
      </c>
      <c r="H98">
        <v>323</v>
      </c>
    </row>
    <row r="99" spans="1:8" x14ac:dyDescent="0.3">
      <c r="A99">
        <v>1071</v>
      </c>
      <c r="B99" s="1">
        <v>45937.612766203703</v>
      </c>
      <c r="C99">
        <v>0</v>
      </c>
      <c r="D99" t="s">
        <v>57</v>
      </c>
      <c r="E99" t="s">
        <v>340</v>
      </c>
      <c r="F99">
        <v>1593</v>
      </c>
      <c r="G99">
        <v>1378</v>
      </c>
      <c r="H99">
        <v>327</v>
      </c>
    </row>
    <row r="100" spans="1:8" x14ac:dyDescent="0.3">
      <c r="A100">
        <v>1091</v>
      </c>
      <c r="B100" s="1">
        <v>45937.618402777778</v>
      </c>
      <c r="C100">
        <v>0</v>
      </c>
      <c r="D100" t="s">
        <v>57</v>
      </c>
      <c r="E100" t="s">
        <v>340</v>
      </c>
      <c r="F100">
        <v>1593</v>
      </c>
      <c r="G100">
        <v>1398</v>
      </c>
      <c r="H100">
        <v>330</v>
      </c>
    </row>
    <row r="101" spans="1:8" x14ac:dyDescent="0.3">
      <c r="A101">
        <v>1119</v>
      </c>
      <c r="B101" s="1">
        <v>45937.6247337963</v>
      </c>
      <c r="C101">
        <v>0</v>
      </c>
      <c r="D101" t="s">
        <v>57</v>
      </c>
      <c r="E101" t="s">
        <v>340</v>
      </c>
      <c r="F101">
        <v>1593</v>
      </c>
      <c r="G101">
        <v>1411</v>
      </c>
      <c r="H101">
        <v>333</v>
      </c>
    </row>
    <row r="102" spans="1:8" x14ac:dyDescent="0.3">
      <c r="A102">
        <v>1040</v>
      </c>
      <c r="B102" s="1">
        <v>45937.601226851853</v>
      </c>
      <c r="C102">
        <v>70000</v>
      </c>
      <c r="D102" t="s">
        <v>57</v>
      </c>
      <c r="E102" t="s">
        <v>339</v>
      </c>
      <c r="F102">
        <v>1594</v>
      </c>
      <c r="G102">
        <v>1343</v>
      </c>
      <c r="H102">
        <v>323</v>
      </c>
    </row>
    <row r="103" spans="1:8" x14ac:dyDescent="0.3">
      <c r="A103">
        <v>1070</v>
      </c>
      <c r="B103" s="1">
        <v>45937.61273148148</v>
      </c>
      <c r="C103">
        <v>0</v>
      </c>
      <c r="D103" t="s">
        <v>57</v>
      </c>
      <c r="E103" t="s">
        <v>340</v>
      </c>
      <c r="F103">
        <v>1594</v>
      </c>
      <c r="G103">
        <v>1377</v>
      </c>
      <c r="H103">
        <v>327</v>
      </c>
    </row>
    <row r="104" spans="1:8" x14ac:dyDescent="0.3">
      <c r="A104">
        <v>1092</v>
      </c>
      <c r="B104" s="1">
        <v>45937.618414351855</v>
      </c>
      <c r="C104">
        <v>0</v>
      </c>
      <c r="D104" t="s">
        <v>57</v>
      </c>
      <c r="E104" t="s">
        <v>340</v>
      </c>
      <c r="F104">
        <v>1594</v>
      </c>
      <c r="G104">
        <v>1396</v>
      </c>
      <c r="H104">
        <v>330</v>
      </c>
    </row>
    <row r="105" spans="1:8" x14ac:dyDescent="0.3">
      <c r="A105">
        <v>1120</v>
      </c>
      <c r="B105" s="1">
        <v>45937.624745370369</v>
      </c>
      <c r="C105">
        <v>0</v>
      </c>
      <c r="D105" t="s">
        <v>57</v>
      </c>
      <c r="E105" t="s">
        <v>340</v>
      </c>
      <c r="F105">
        <v>1594</v>
      </c>
      <c r="G105">
        <v>1416</v>
      </c>
      <c r="H105">
        <v>333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2CBA8-DCE6-45BF-B45E-5D0B1D37F3FA}">
  <dimension ref="A1:E18"/>
  <sheetViews>
    <sheetView workbookViewId="0"/>
  </sheetViews>
  <sheetFormatPr defaultRowHeight="14.4" x14ac:dyDescent="0.3"/>
  <cols>
    <col min="1" max="1" width="4.88671875" bestFit="1" customWidth="1"/>
    <col min="2" max="2" width="18.33203125" bestFit="1" customWidth="1"/>
    <col min="3" max="3" width="15.33203125" bestFit="1" customWidth="1"/>
    <col min="4" max="4" width="16.6640625" bestFit="1" customWidth="1"/>
    <col min="5" max="5" width="10.5546875" bestFit="1" customWidth="1"/>
  </cols>
  <sheetData>
    <row r="1" spans="1:5" x14ac:dyDescent="0.3">
      <c r="A1" t="s">
        <v>0</v>
      </c>
      <c r="B1" t="s">
        <v>1</v>
      </c>
      <c r="C1" t="s">
        <v>227</v>
      </c>
      <c r="D1" t="s">
        <v>223</v>
      </c>
      <c r="E1" t="s">
        <v>318</v>
      </c>
    </row>
    <row r="2" spans="1:5" x14ac:dyDescent="0.3">
      <c r="A2">
        <v>239</v>
      </c>
      <c r="B2" t="s">
        <v>319</v>
      </c>
      <c r="C2">
        <v>4</v>
      </c>
      <c r="D2">
        <v>138</v>
      </c>
      <c r="E2">
        <v>246</v>
      </c>
    </row>
    <row r="3" spans="1:5" x14ac:dyDescent="0.3">
      <c r="A3">
        <v>241</v>
      </c>
      <c r="B3" t="s">
        <v>320</v>
      </c>
      <c r="C3">
        <v>3</v>
      </c>
      <c r="D3">
        <v>138</v>
      </c>
      <c r="E3">
        <v>247</v>
      </c>
    </row>
    <row r="4" spans="1:5" x14ac:dyDescent="0.3">
      <c r="A4">
        <v>248</v>
      </c>
      <c r="B4" t="s">
        <v>321</v>
      </c>
      <c r="C4">
        <v>3</v>
      </c>
      <c r="D4">
        <v>140</v>
      </c>
      <c r="E4">
        <v>247</v>
      </c>
    </row>
    <row r="5" spans="1:5" x14ac:dyDescent="0.3">
      <c r="A5">
        <v>253</v>
      </c>
      <c r="B5" t="s">
        <v>322</v>
      </c>
      <c r="C5">
        <v>2</v>
      </c>
      <c r="D5">
        <v>142</v>
      </c>
      <c r="E5">
        <v>250</v>
      </c>
    </row>
    <row r="6" spans="1:5" x14ac:dyDescent="0.3">
      <c r="A6">
        <v>246</v>
      </c>
      <c r="B6" t="s">
        <v>323</v>
      </c>
      <c r="C6">
        <v>4</v>
      </c>
      <c r="D6">
        <v>141</v>
      </c>
      <c r="E6">
        <v>257</v>
      </c>
    </row>
    <row r="7" spans="1:5" x14ac:dyDescent="0.3">
      <c r="A7">
        <v>255</v>
      </c>
      <c r="B7" t="s">
        <v>324</v>
      </c>
      <c r="C7">
        <v>3</v>
      </c>
      <c r="D7">
        <v>138</v>
      </c>
      <c r="E7">
        <v>257</v>
      </c>
    </row>
    <row r="8" spans="1:5" x14ac:dyDescent="0.3">
      <c r="A8">
        <v>240</v>
      </c>
      <c r="B8" t="s">
        <v>325</v>
      </c>
      <c r="C8">
        <v>3</v>
      </c>
      <c r="D8">
        <v>138</v>
      </c>
      <c r="E8">
        <v>258</v>
      </c>
    </row>
    <row r="9" spans="1:5" x14ac:dyDescent="0.3">
      <c r="A9">
        <v>252</v>
      </c>
      <c r="B9" t="s">
        <v>326</v>
      </c>
      <c r="C9">
        <v>4</v>
      </c>
      <c r="D9">
        <v>141</v>
      </c>
      <c r="E9">
        <v>258</v>
      </c>
    </row>
    <row r="10" spans="1:5" x14ac:dyDescent="0.3">
      <c r="A10">
        <v>237</v>
      </c>
      <c r="B10" t="s">
        <v>327</v>
      </c>
      <c r="C10">
        <v>2</v>
      </c>
      <c r="D10">
        <v>137</v>
      </c>
      <c r="E10">
        <v>259</v>
      </c>
    </row>
    <row r="11" spans="1:5" x14ac:dyDescent="0.3">
      <c r="A11">
        <v>249</v>
      </c>
      <c r="B11" t="s">
        <v>328</v>
      </c>
      <c r="C11">
        <v>2</v>
      </c>
      <c r="D11">
        <v>141</v>
      </c>
      <c r="E11">
        <v>259</v>
      </c>
    </row>
    <row r="12" spans="1:5" x14ac:dyDescent="0.3">
      <c r="A12">
        <v>242</v>
      </c>
      <c r="B12" t="s">
        <v>329</v>
      </c>
      <c r="C12">
        <v>2</v>
      </c>
      <c r="D12">
        <v>138</v>
      </c>
      <c r="E12">
        <v>263</v>
      </c>
    </row>
    <row r="13" spans="1:5" x14ac:dyDescent="0.3">
      <c r="A13">
        <v>238</v>
      </c>
      <c r="B13" t="s">
        <v>330</v>
      </c>
      <c r="C13">
        <v>1</v>
      </c>
      <c r="D13">
        <v>137</v>
      </c>
      <c r="E13">
        <v>264</v>
      </c>
    </row>
    <row r="14" spans="1:5" x14ac:dyDescent="0.3">
      <c r="A14">
        <v>243</v>
      </c>
      <c r="B14" t="s">
        <v>331</v>
      </c>
      <c r="C14">
        <v>3</v>
      </c>
      <c r="D14">
        <v>138</v>
      </c>
      <c r="E14">
        <v>264</v>
      </c>
    </row>
    <row r="15" spans="1:5" x14ac:dyDescent="0.3">
      <c r="A15">
        <v>254</v>
      </c>
      <c r="B15" t="s">
        <v>332</v>
      </c>
      <c r="C15">
        <v>2</v>
      </c>
      <c r="D15">
        <v>142</v>
      </c>
      <c r="E15">
        <v>267</v>
      </c>
    </row>
    <row r="16" spans="1:5" x14ac:dyDescent="0.3">
      <c r="A16">
        <v>244</v>
      </c>
      <c r="B16" t="s">
        <v>333</v>
      </c>
      <c r="C16">
        <v>4</v>
      </c>
      <c r="D16">
        <v>138</v>
      </c>
      <c r="E16">
        <v>268</v>
      </c>
    </row>
    <row r="17" spans="1:5" x14ac:dyDescent="0.3">
      <c r="A17">
        <v>251</v>
      </c>
      <c r="B17" t="s">
        <v>334</v>
      </c>
      <c r="C17">
        <v>3</v>
      </c>
      <c r="D17">
        <v>141</v>
      </c>
      <c r="E17">
        <v>268</v>
      </c>
    </row>
    <row r="18" spans="1:5" x14ac:dyDescent="0.3">
      <c r="A18">
        <v>250</v>
      </c>
      <c r="B18" t="s">
        <v>335</v>
      </c>
      <c r="C18">
        <v>2</v>
      </c>
      <c r="D18">
        <v>141</v>
      </c>
      <c r="E18">
        <v>269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4A9F6-1966-4360-BC62-A1E9BC28FF07}">
  <dimension ref="A1:F4"/>
  <sheetViews>
    <sheetView workbookViewId="0"/>
  </sheetViews>
  <sheetFormatPr defaultRowHeight="14.4" x14ac:dyDescent="0.3"/>
  <cols>
    <col min="1" max="1" width="4.88671875" bestFit="1" customWidth="1"/>
    <col min="2" max="2" width="19" bestFit="1" customWidth="1"/>
    <col min="3" max="3" width="28.44140625" bestFit="1" customWidth="1"/>
    <col min="4" max="4" width="50.6640625" bestFit="1" customWidth="1"/>
    <col min="5" max="5" width="12.77734375" bestFit="1" customWidth="1"/>
    <col min="6" max="6" width="13.6640625" bestFit="1" customWidth="1"/>
  </cols>
  <sheetData>
    <row r="1" spans="1:6" x14ac:dyDescent="0.3">
      <c r="A1" t="s">
        <v>0</v>
      </c>
      <c r="B1" t="s">
        <v>1</v>
      </c>
      <c r="C1" t="s">
        <v>55</v>
      </c>
      <c r="D1" t="s">
        <v>310</v>
      </c>
      <c r="E1" t="s">
        <v>9</v>
      </c>
      <c r="F1" t="s">
        <v>311</v>
      </c>
    </row>
    <row r="2" spans="1:6" x14ac:dyDescent="0.3">
      <c r="A2">
        <v>18</v>
      </c>
      <c r="B2" t="s">
        <v>312</v>
      </c>
      <c r="C2" t="s">
        <v>313</v>
      </c>
      <c r="D2" t="s">
        <v>314</v>
      </c>
      <c r="E2">
        <v>22</v>
      </c>
      <c r="F2">
        <v>10</v>
      </c>
    </row>
    <row r="3" spans="1:6" x14ac:dyDescent="0.3">
      <c r="A3">
        <v>19</v>
      </c>
      <c r="B3" t="s">
        <v>315</v>
      </c>
      <c r="C3" t="s">
        <v>315</v>
      </c>
      <c r="D3" t="s">
        <v>57</v>
      </c>
      <c r="E3">
        <v>22</v>
      </c>
      <c r="F3">
        <v>20</v>
      </c>
    </row>
    <row r="4" spans="1:6" x14ac:dyDescent="0.3">
      <c r="A4">
        <v>20</v>
      </c>
      <c r="B4" t="s">
        <v>316</v>
      </c>
      <c r="C4" t="s">
        <v>316</v>
      </c>
      <c r="D4" t="s">
        <v>317</v>
      </c>
      <c r="E4">
        <v>22</v>
      </c>
      <c r="F4">
        <v>30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B5B51-0418-4C79-8CB0-18505F9E7153}">
  <dimension ref="A1:S10"/>
  <sheetViews>
    <sheetView workbookViewId="0"/>
  </sheetViews>
  <sheetFormatPr defaultRowHeight="14.4" x14ac:dyDescent="0.3"/>
  <cols>
    <col min="1" max="1" width="4.88671875" bestFit="1" customWidth="1"/>
    <col min="2" max="2" width="22.109375" bestFit="1" customWidth="1"/>
    <col min="3" max="3" width="29" bestFit="1" customWidth="1"/>
    <col min="4" max="4" width="80.88671875" bestFit="1" customWidth="1"/>
    <col min="5" max="5" width="14.77734375" bestFit="1" customWidth="1"/>
    <col min="6" max="6" width="24.21875" bestFit="1" customWidth="1"/>
    <col min="7" max="7" width="22.77734375" bestFit="1" customWidth="1"/>
    <col min="8" max="8" width="23.109375" bestFit="1" customWidth="1"/>
    <col min="9" max="9" width="28.44140625" bestFit="1" customWidth="1"/>
    <col min="10" max="10" width="23.77734375" bestFit="1" customWidth="1"/>
    <col min="11" max="11" width="23.109375" bestFit="1" customWidth="1"/>
    <col min="12" max="12" width="22.44140625" bestFit="1" customWidth="1"/>
    <col min="13" max="13" width="23.21875" bestFit="1" customWidth="1"/>
    <col min="14" max="15" width="16.77734375" bestFit="1" customWidth="1"/>
    <col min="16" max="16" width="16.21875" bestFit="1" customWidth="1"/>
    <col min="17" max="17" width="20.21875" bestFit="1" customWidth="1"/>
    <col min="18" max="18" width="21.77734375" bestFit="1" customWidth="1"/>
    <col min="19" max="19" width="9.33203125" bestFit="1" customWidth="1"/>
  </cols>
  <sheetData>
    <row r="1" spans="1:19" x14ac:dyDescent="0.3">
      <c r="A1" t="s">
        <v>0</v>
      </c>
      <c r="B1" t="s">
        <v>273</v>
      </c>
      <c r="C1" t="s">
        <v>1</v>
      </c>
      <c r="D1" t="s">
        <v>55</v>
      </c>
      <c r="E1" t="s">
        <v>274</v>
      </c>
      <c r="F1" t="s">
        <v>275</v>
      </c>
      <c r="G1" t="s">
        <v>276</v>
      </c>
      <c r="H1" t="s">
        <v>277</v>
      </c>
      <c r="I1" t="s">
        <v>278</v>
      </c>
      <c r="J1" t="s">
        <v>279</v>
      </c>
      <c r="K1" t="s">
        <v>280</v>
      </c>
      <c r="L1" t="s">
        <v>281</v>
      </c>
      <c r="M1" t="s">
        <v>282</v>
      </c>
      <c r="N1" t="s">
        <v>283</v>
      </c>
      <c r="O1" t="s">
        <v>284</v>
      </c>
      <c r="P1" t="s">
        <v>285</v>
      </c>
      <c r="Q1" t="s">
        <v>286</v>
      </c>
      <c r="R1" t="s">
        <v>287</v>
      </c>
      <c r="S1" t="s">
        <v>288</v>
      </c>
    </row>
    <row r="2" spans="1:19" x14ac:dyDescent="0.3">
      <c r="A2">
        <v>137</v>
      </c>
      <c r="B2" t="s">
        <v>289</v>
      </c>
      <c r="C2" t="s">
        <v>290</v>
      </c>
      <c r="D2" t="s">
        <v>291</v>
      </c>
      <c r="E2">
        <v>6000</v>
      </c>
      <c r="F2">
        <v>0</v>
      </c>
      <c r="G2">
        <v>0</v>
      </c>
      <c r="H2">
        <v>1</v>
      </c>
      <c r="I2">
        <v>0</v>
      </c>
      <c r="J2">
        <v>1</v>
      </c>
      <c r="K2">
        <v>0</v>
      </c>
      <c r="L2">
        <v>0</v>
      </c>
      <c r="M2">
        <v>0</v>
      </c>
      <c r="N2">
        <v>0</v>
      </c>
      <c r="O2">
        <v>0</v>
      </c>
      <c r="P2">
        <v>1</v>
      </c>
      <c r="Q2">
        <v>18</v>
      </c>
      <c r="R2">
        <v>20</v>
      </c>
      <c r="S2">
        <v>10</v>
      </c>
    </row>
    <row r="3" spans="1:19" x14ac:dyDescent="0.3">
      <c r="A3">
        <v>138</v>
      </c>
      <c r="B3" t="s">
        <v>292</v>
      </c>
      <c r="C3" t="s">
        <v>293</v>
      </c>
      <c r="D3" t="s">
        <v>294</v>
      </c>
      <c r="E3">
        <v>10000</v>
      </c>
      <c r="F3">
        <v>0</v>
      </c>
      <c r="G3">
        <v>0</v>
      </c>
      <c r="H3">
        <v>0</v>
      </c>
      <c r="I3">
        <v>0</v>
      </c>
      <c r="J3">
        <v>1</v>
      </c>
      <c r="K3">
        <v>1</v>
      </c>
      <c r="L3">
        <v>0</v>
      </c>
      <c r="M3">
        <v>0</v>
      </c>
      <c r="N3">
        <v>0</v>
      </c>
      <c r="O3">
        <v>0</v>
      </c>
      <c r="P3">
        <v>1</v>
      </c>
      <c r="Q3">
        <v>18</v>
      </c>
      <c r="R3">
        <v>10</v>
      </c>
      <c r="S3">
        <v>10</v>
      </c>
    </row>
    <row r="4" spans="1:19" x14ac:dyDescent="0.3">
      <c r="A4">
        <v>140</v>
      </c>
      <c r="B4" t="s">
        <v>295</v>
      </c>
      <c r="C4" t="s">
        <v>295</v>
      </c>
      <c r="D4" t="s">
        <v>296</v>
      </c>
      <c r="E4">
        <v>8000</v>
      </c>
      <c r="F4">
        <v>0</v>
      </c>
      <c r="G4">
        <v>0</v>
      </c>
      <c r="H4">
        <v>1</v>
      </c>
      <c r="I4">
        <v>0</v>
      </c>
      <c r="J4">
        <v>1</v>
      </c>
      <c r="K4">
        <v>0</v>
      </c>
      <c r="L4">
        <v>0</v>
      </c>
      <c r="M4">
        <v>0</v>
      </c>
      <c r="N4">
        <v>0</v>
      </c>
      <c r="O4">
        <v>0</v>
      </c>
      <c r="P4">
        <v>1</v>
      </c>
      <c r="Q4">
        <v>18</v>
      </c>
      <c r="R4">
        <v>70</v>
      </c>
      <c r="S4">
        <v>10</v>
      </c>
    </row>
    <row r="5" spans="1:19" x14ac:dyDescent="0.3">
      <c r="A5">
        <v>141</v>
      </c>
      <c r="B5" t="s">
        <v>297</v>
      </c>
      <c r="C5" t="s">
        <v>298</v>
      </c>
      <c r="D5" t="s">
        <v>299</v>
      </c>
      <c r="E5">
        <v>8000</v>
      </c>
      <c r="F5">
        <v>0</v>
      </c>
      <c r="G5">
        <v>0</v>
      </c>
      <c r="H5">
        <v>1</v>
      </c>
      <c r="I5">
        <v>0</v>
      </c>
      <c r="J5">
        <v>1</v>
      </c>
      <c r="K5">
        <v>1</v>
      </c>
      <c r="L5">
        <v>0</v>
      </c>
      <c r="M5">
        <v>0</v>
      </c>
      <c r="N5">
        <v>0</v>
      </c>
      <c r="O5">
        <v>0</v>
      </c>
      <c r="P5">
        <v>1</v>
      </c>
      <c r="Q5">
        <v>18</v>
      </c>
      <c r="R5">
        <v>80</v>
      </c>
      <c r="S5">
        <v>10</v>
      </c>
    </row>
    <row r="6" spans="1:19" x14ac:dyDescent="0.3">
      <c r="A6">
        <v>142</v>
      </c>
      <c r="B6" t="s">
        <v>300</v>
      </c>
      <c r="C6" t="s">
        <v>300</v>
      </c>
      <c r="D6" t="s">
        <v>301</v>
      </c>
      <c r="E6">
        <v>1000</v>
      </c>
      <c r="F6">
        <v>0</v>
      </c>
      <c r="G6">
        <v>0</v>
      </c>
      <c r="H6">
        <v>0</v>
      </c>
      <c r="I6">
        <v>0</v>
      </c>
      <c r="J6">
        <v>0</v>
      </c>
      <c r="K6">
        <v>1</v>
      </c>
      <c r="L6">
        <v>0</v>
      </c>
      <c r="M6">
        <v>0</v>
      </c>
      <c r="N6">
        <v>0</v>
      </c>
      <c r="O6">
        <v>1</v>
      </c>
      <c r="P6">
        <v>1</v>
      </c>
      <c r="Q6">
        <v>18</v>
      </c>
      <c r="R6">
        <v>50</v>
      </c>
      <c r="S6">
        <v>10</v>
      </c>
    </row>
    <row r="7" spans="1:19" x14ac:dyDescent="0.3">
      <c r="A7">
        <v>143</v>
      </c>
      <c r="B7" t="s">
        <v>302</v>
      </c>
      <c r="C7" t="s">
        <v>302</v>
      </c>
      <c r="D7" t="s">
        <v>303</v>
      </c>
      <c r="E7">
        <v>0</v>
      </c>
      <c r="F7">
        <v>0</v>
      </c>
      <c r="G7">
        <v>25</v>
      </c>
      <c r="H7">
        <v>1</v>
      </c>
      <c r="I7">
        <v>0</v>
      </c>
      <c r="J7">
        <v>0</v>
      </c>
      <c r="K7">
        <v>0</v>
      </c>
      <c r="L7">
        <v>0</v>
      </c>
      <c r="M7">
        <v>25</v>
      </c>
      <c r="N7">
        <v>1</v>
      </c>
      <c r="O7">
        <v>0</v>
      </c>
      <c r="P7">
        <v>0</v>
      </c>
      <c r="Q7">
        <v>19</v>
      </c>
      <c r="R7">
        <v>10</v>
      </c>
      <c r="S7">
        <v>10</v>
      </c>
    </row>
    <row r="8" spans="1:19" x14ac:dyDescent="0.3">
      <c r="A8">
        <v>144</v>
      </c>
      <c r="B8" t="s">
        <v>304</v>
      </c>
      <c r="C8" t="s">
        <v>304</v>
      </c>
      <c r="D8" t="s">
        <v>305</v>
      </c>
      <c r="E8">
        <v>0</v>
      </c>
      <c r="F8">
        <v>0</v>
      </c>
      <c r="G8">
        <v>50</v>
      </c>
      <c r="H8">
        <v>2</v>
      </c>
      <c r="I8">
        <v>0</v>
      </c>
      <c r="J8">
        <v>0</v>
      </c>
      <c r="K8">
        <v>0</v>
      </c>
      <c r="L8">
        <v>0</v>
      </c>
      <c r="M8">
        <v>50</v>
      </c>
      <c r="N8">
        <v>1</v>
      </c>
      <c r="O8">
        <v>0</v>
      </c>
      <c r="P8">
        <v>0</v>
      </c>
      <c r="Q8">
        <v>19</v>
      </c>
      <c r="R8">
        <v>20</v>
      </c>
      <c r="S8">
        <v>10</v>
      </c>
    </row>
    <row r="9" spans="1:19" x14ac:dyDescent="0.3">
      <c r="A9">
        <v>145</v>
      </c>
      <c r="B9" t="s">
        <v>306</v>
      </c>
      <c r="C9" t="s">
        <v>306</v>
      </c>
      <c r="D9" t="s">
        <v>307</v>
      </c>
      <c r="E9">
        <v>0</v>
      </c>
      <c r="F9">
        <v>50</v>
      </c>
      <c r="G9">
        <v>0</v>
      </c>
      <c r="H9">
        <v>1</v>
      </c>
      <c r="I9">
        <v>0</v>
      </c>
      <c r="J9">
        <v>0</v>
      </c>
      <c r="K9">
        <v>0</v>
      </c>
      <c r="L9">
        <v>0</v>
      </c>
      <c r="M9">
        <v>0</v>
      </c>
      <c r="N9">
        <v>1</v>
      </c>
      <c r="O9">
        <v>0</v>
      </c>
      <c r="P9">
        <v>0</v>
      </c>
      <c r="Q9">
        <v>19</v>
      </c>
      <c r="R9">
        <v>30</v>
      </c>
      <c r="S9">
        <v>10</v>
      </c>
    </row>
    <row r="10" spans="1:19" x14ac:dyDescent="0.3">
      <c r="A10">
        <v>146</v>
      </c>
      <c r="B10" t="s">
        <v>308</v>
      </c>
      <c r="C10" t="s">
        <v>308</v>
      </c>
      <c r="D10" t="s">
        <v>309</v>
      </c>
      <c r="E10">
        <v>0</v>
      </c>
      <c r="F10">
        <v>0</v>
      </c>
      <c r="G10">
        <v>20</v>
      </c>
      <c r="H10">
        <v>0</v>
      </c>
      <c r="I10">
        <v>0</v>
      </c>
      <c r="J10">
        <v>1</v>
      </c>
      <c r="K10">
        <v>1</v>
      </c>
      <c r="L10">
        <v>0</v>
      </c>
      <c r="M10">
        <v>0</v>
      </c>
      <c r="N10">
        <v>1</v>
      </c>
      <c r="O10">
        <v>0</v>
      </c>
      <c r="P10">
        <v>0</v>
      </c>
      <c r="Q10">
        <v>20</v>
      </c>
      <c r="R10">
        <v>10</v>
      </c>
      <c r="S10">
        <v>10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70E8A-2782-457A-BE64-B051F919B26E}">
  <dimension ref="A1:F7"/>
  <sheetViews>
    <sheetView workbookViewId="0"/>
  </sheetViews>
  <sheetFormatPr defaultRowHeight="14.4" x14ac:dyDescent="0.3"/>
  <cols>
    <col min="1" max="1" width="4.88671875" bestFit="1" customWidth="1"/>
    <col min="2" max="2" width="18.5546875" bestFit="1" customWidth="1"/>
    <col min="3" max="3" width="18.77734375" bestFit="1" customWidth="1"/>
    <col min="4" max="4" width="41.21875" bestFit="1" customWidth="1"/>
    <col min="5" max="5" width="9.77734375" bestFit="1" customWidth="1"/>
    <col min="6" max="6" width="16.33203125" bestFit="1" customWidth="1"/>
  </cols>
  <sheetData>
    <row r="1" spans="1:6" x14ac:dyDescent="0.3">
      <c r="A1" t="s">
        <v>0</v>
      </c>
      <c r="B1" t="s">
        <v>257</v>
      </c>
      <c r="C1" t="s">
        <v>258</v>
      </c>
      <c r="D1" t="s">
        <v>259</v>
      </c>
      <c r="E1" t="s">
        <v>260</v>
      </c>
      <c r="F1" t="s">
        <v>54</v>
      </c>
    </row>
    <row r="2" spans="1:6" x14ac:dyDescent="0.3">
      <c r="A2">
        <v>32</v>
      </c>
      <c r="B2">
        <v>1</v>
      </c>
      <c r="C2" t="s">
        <v>261</v>
      </c>
      <c r="D2" t="s">
        <v>262</v>
      </c>
      <c r="E2">
        <v>0</v>
      </c>
      <c r="F2">
        <v>13</v>
      </c>
    </row>
    <row r="3" spans="1:6" x14ac:dyDescent="0.3">
      <c r="A3">
        <v>33</v>
      </c>
      <c r="B3">
        <v>2</v>
      </c>
      <c r="C3" t="s">
        <v>263</v>
      </c>
      <c r="D3" t="s">
        <v>264</v>
      </c>
      <c r="E3">
        <v>0</v>
      </c>
      <c r="F3">
        <v>13</v>
      </c>
    </row>
    <row r="4" spans="1:6" x14ac:dyDescent="0.3">
      <c r="A4">
        <v>34</v>
      </c>
      <c r="B4">
        <v>3</v>
      </c>
      <c r="C4" t="s">
        <v>265</v>
      </c>
      <c r="D4" t="s">
        <v>266</v>
      </c>
      <c r="E4">
        <v>0</v>
      </c>
      <c r="F4">
        <v>13</v>
      </c>
    </row>
    <row r="5" spans="1:6" x14ac:dyDescent="0.3">
      <c r="A5">
        <v>35</v>
      </c>
      <c r="B5">
        <v>4</v>
      </c>
      <c r="C5" t="s">
        <v>267</v>
      </c>
      <c r="D5" t="s">
        <v>268</v>
      </c>
      <c r="E5">
        <v>0</v>
      </c>
      <c r="F5">
        <v>13</v>
      </c>
    </row>
    <row r="6" spans="1:6" x14ac:dyDescent="0.3">
      <c r="A6">
        <v>36</v>
      </c>
      <c r="B6">
        <v>5</v>
      </c>
      <c r="C6" t="s">
        <v>269</v>
      </c>
      <c r="D6" t="s">
        <v>270</v>
      </c>
      <c r="E6">
        <v>0</v>
      </c>
      <c r="F6">
        <v>13</v>
      </c>
    </row>
    <row r="7" spans="1:6" x14ac:dyDescent="0.3">
      <c r="A7">
        <v>37</v>
      </c>
      <c r="B7">
        <v>6</v>
      </c>
      <c r="C7" t="s">
        <v>271</v>
      </c>
      <c r="D7" t="s">
        <v>272</v>
      </c>
      <c r="E7">
        <v>1</v>
      </c>
      <c r="F7">
        <v>13</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7B408-2C62-4A70-8C3B-54F6F282BFCD}">
  <dimension ref="A1:O3"/>
  <sheetViews>
    <sheetView workbookViewId="0"/>
  </sheetViews>
  <sheetFormatPr defaultRowHeight="14.4" x14ac:dyDescent="0.3"/>
  <cols>
    <col min="1" max="1" width="4.88671875" bestFit="1" customWidth="1"/>
    <col min="2" max="2" width="34.33203125" bestFit="1" customWidth="1"/>
    <col min="3" max="5" width="22.88671875" bestFit="1" customWidth="1"/>
    <col min="6" max="6" width="28.5546875" bestFit="1" customWidth="1"/>
    <col min="7" max="7" width="28" bestFit="1" customWidth="1"/>
    <col min="8" max="8" width="26.6640625" bestFit="1" customWidth="1"/>
    <col min="9" max="9" width="25.33203125" bestFit="1" customWidth="1"/>
    <col min="10" max="10" width="24.77734375" bestFit="1" customWidth="1"/>
    <col min="11" max="11" width="12.44140625" bestFit="1" customWidth="1"/>
    <col min="12" max="12" width="24.33203125" bestFit="1" customWidth="1"/>
    <col min="13" max="13" width="25.33203125" bestFit="1" customWidth="1"/>
    <col min="14" max="14" width="13.77734375" bestFit="1" customWidth="1"/>
    <col min="15" max="15" width="15.109375" bestFit="1" customWidth="1"/>
  </cols>
  <sheetData>
    <row r="1" spans="1:15" x14ac:dyDescent="0.3">
      <c r="A1" t="s">
        <v>0</v>
      </c>
      <c r="B1" t="s">
        <v>1</v>
      </c>
      <c r="C1" t="s">
        <v>243</v>
      </c>
      <c r="D1" t="s">
        <v>244</v>
      </c>
      <c r="E1" t="s">
        <v>245</v>
      </c>
      <c r="F1" t="s">
        <v>246</v>
      </c>
      <c r="G1" t="s">
        <v>247</v>
      </c>
      <c r="H1" t="s">
        <v>248</v>
      </c>
      <c r="I1" t="s">
        <v>249</v>
      </c>
      <c r="J1" t="s">
        <v>250</v>
      </c>
      <c r="K1" t="s">
        <v>251</v>
      </c>
      <c r="L1" t="s">
        <v>252</v>
      </c>
      <c r="M1" t="s">
        <v>253</v>
      </c>
      <c r="N1" t="s">
        <v>254</v>
      </c>
      <c r="O1" t="s">
        <v>19</v>
      </c>
    </row>
    <row r="2" spans="1:15" x14ac:dyDescent="0.3">
      <c r="A2">
        <v>74</v>
      </c>
      <c r="B2" t="s">
        <v>255</v>
      </c>
      <c r="C2">
        <v>0</v>
      </c>
      <c r="D2">
        <v>0</v>
      </c>
      <c r="E2">
        <v>0</v>
      </c>
      <c r="F2">
        <v>0</v>
      </c>
      <c r="G2">
        <v>0</v>
      </c>
      <c r="H2">
        <v>0</v>
      </c>
      <c r="I2">
        <v>-2</v>
      </c>
      <c r="J2">
        <v>-1</v>
      </c>
      <c r="K2">
        <v>0</v>
      </c>
      <c r="L2">
        <v>0</v>
      </c>
      <c r="M2">
        <v>0</v>
      </c>
      <c r="N2">
        <v>132</v>
      </c>
    </row>
    <row r="3" spans="1:15" x14ac:dyDescent="0.3">
      <c r="A3">
        <v>75</v>
      </c>
      <c r="B3" t="s">
        <v>256</v>
      </c>
      <c r="C3">
        <v>0</v>
      </c>
      <c r="D3">
        <v>0</v>
      </c>
      <c r="E3">
        <v>0</v>
      </c>
      <c r="F3">
        <v>0</v>
      </c>
      <c r="G3">
        <v>0</v>
      </c>
      <c r="H3">
        <v>0</v>
      </c>
      <c r="I3">
        <v>0</v>
      </c>
      <c r="J3">
        <v>0</v>
      </c>
      <c r="K3">
        <v>50000</v>
      </c>
      <c r="L3">
        <v>2</v>
      </c>
      <c r="M3">
        <v>2</v>
      </c>
      <c r="N3">
        <v>133</v>
      </c>
      <c r="O3">
        <v>32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28301-514F-44E2-B81F-436E990C4F79}">
  <dimension ref="A1:F6"/>
  <sheetViews>
    <sheetView workbookViewId="0"/>
  </sheetViews>
  <sheetFormatPr defaultRowHeight="14.4" x14ac:dyDescent="0.3"/>
  <cols>
    <col min="1" max="1" width="4.88671875" bestFit="1" customWidth="1"/>
    <col min="2" max="2" width="32.77734375" bestFit="1" customWidth="1"/>
    <col min="3" max="4" width="80.88671875" bestFit="1" customWidth="1"/>
    <col min="5" max="5" width="15.33203125" bestFit="1" customWidth="1"/>
    <col min="6" max="6" width="12.77734375" bestFit="1" customWidth="1"/>
  </cols>
  <sheetData>
    <row r="1" spans="1:6" x14ac:dyDescent="0.3">
      <c r="A1" t="s">
        <v>0</v>
      </c>
      <c r="B1" t="s">
        <v>1</v>
      </c>
      <c r="C1" t="s">
        <v>226</v>
      </c>
      <c r="D1" t="s">
        <v>85</v>
      </c>
      <c r="E1" t="s">
        <v>227</v>
      </c>
      <c r="F1" t="s">
        <v>9</v>
      </c>
    </row>
    <row r="2" spans="1:6" x14ac:dyDescent="0.3">
      <c r="A2">
        <v>129</v>
      </c>
      <c r="B2" t="s">
        <v>228</v>
      </c>
      <c r="C2" t="s">
        <v>229</v>
      </c>
      <c r="D2" t="s">
        <v>230</v>
      </c>
      <c r="E2">
        <v>0</v>
      </c>
      <c r="F2">
        <v>22</v>
      </c>
    </row>
    <row r="3" spans="1:6" x14ac:dyDescent="0.3">
      <c r="A3">
        <v>130</v>
      </c>
      <c r="B3" t="s">
        <v>231</v>
      </c>
      <c r="C3" t="s">
        <v>232</v>
      </c>
      <c r="D3" t="s">
        <v>233</v>
      </c>
      <c r="E3">
        <v>1</v>
      </c>
      <c r="F3">
        <v>22</v>
      </c>
    </row>
    <row r="4" spans="1:6" x14ac:dyDescent="0.3">
      <c r="A4">
        <v>131</v>
      </c>
      <c r="B4" t="s">
        <v>234</v>
      </c>
      <c r="C4" t="s">
        <v>235</v>
      </c>
      <c r="D4" t="s">
        <v>236</v>
      </c>
      <c r="E4">
        <v>2</v>
      </c>
      <c r="F4">
        <v>22</v>
      </c>
    </row>
    <row r="5" spans="1:6" x14ac:dyDescent="0.3">
      <c r="A5">
        <v>132</v>
      </c>
      <c r="B5" t="s">
        <v>237</v>
      </c>
      <c r="C5" t="s">
        <v>238</v>
      </c>
      <c r="D5" t="s">
        <v>239</v>
      </c>
      <c r="E5">
        <v>3</v>
      </c>
      <c r="F5">
        <v>22</v>
      </c>
    </row>
    <row r="6" spans="1:6" x14ac:dyDescent="0.3">
      <c r="A6">
        <v>133</v>
      </c>
      <c r="B6" t="s">
        <v>240</v>
      </c>
      <c r="C6" t="s">
        <v>241</v>
      </c>
      <c r="D6" t="s">
        <v>242</v>
      </c>
      <c r="E6">
        <v>4</v>
      </c>
      <c r="F6">
        <v>22</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776C7-35DD-43E3-A7CE-9A8338D443DF}">
  <dimension ref="A1:F185"/>
  <sheetViews>
    <sheetView workbookViewId="0">
      <selection activeCell="F1" sqref="F1"/>
    </sheetView>
  </sheetViews>
  <sheetFormatPr defaultRowHeight="14.4" x14ac:dyDescent="0.3"/>
  <cols>
    <col min="1" max="1" width="4.88671875" bestFit="1" customWidth="1"/>
    <col min="2" max="2" width="16.6640625" bestFit="1" customWidth="1"/>
    <col min="3" max="3" width="15.77734375" bestFit="1" customWidth="1"/>
    <col min="4" max="4" width="44.88671875" bestFit="1" customWidth="1"/>
  </cols>
  <sheetData>
    <row r="1" spans="1:6" x14ac:dyDescent="0.3">
      <c r="A1" t="s">
        <v>0</v>
      </c>
      <c r="B1" t="s">
        <v>223</v>
      </c>
      <c r="C1" t="s">
        <v>60</v>
      </c>
      <c r="D1" t="s">
        <v>484</v>
      </c>
      <c r="E1" t="s">
        <v>485</v>
      </c>
      <c r="F1" t="s">
        <v>486</v>
      </c>
    </row>
    <row r="2" spans="1:6" x14ac:dyDescent="0.3">
      <c r="A2">
        <v>332</v>
      </c>
      <c r="B2">
        <v>144</v>
      </c>
      <c r="C2">
        <v>1365</v>
      </c>
    </row>
    <row r="3" spans="1:6" x14ac:dyDescent="0.3">
      <c r="A3">
        <v>333</v>
      </c>
      <c r="B3">
        <v>146</v>
      </c>
      <c r="C3">
        <v>1365</v>
      </c>
    </row>
    <row r="4" spans="1:6" x14ac:dyDescent="0.3">
      <c r="A4">
        <v>380</v>
      </c>
      <c r="B4">
        <v>143</v>
      </c>
      <c r="C4">
        <v>1382</v>
      </c>
    </row>
    <row r="5" spans="1:6" x14ac:dyDescent="0.3">
      <c r="A5">
        <v>381</v>
      </c>
      <c r="B5">
        <v>144</v>
      </c>
      <c r="C5">
        <v>1382</v>
      </c>
    </row>
    <row r="6" spans="1:6" x14ac:dyDescent="0.3">
      <c r="A6">
        <v>382</v>
      </c>
      <c r="B6">
        <v>146</v>
      </c>
      <c r="C6">
        <v>1382</v>
      </c>
    </row>
    <row r="7" spans="1:6" x14ac:dyDescent="0.3">
      <c r="A7">
        <v>426</v>
      </c>
      <c r="B7">
        <v>144</v>
      </c>
      <c r="C7">
        <v>1407</v>
      </c>
    </row>
    <row r="8" spans="1:6" x14ac:dyDescent="0.3">
      <c r="A8">
        <v>427</v>
      </c>
      <c r="B8">
        <v>145</v>
      </c>
      <c r="C8">
        <v>1407</v>
      </c>
    </row>
    <row r="9" spans="1:6" x14ac:dyDescent="0.3">
      <c r="A9">
        <v>428</v>
      </c>
      <c r="B9">
        <v>146</v>
      </c>
      <c r="C9">
        <v>1407</v>
      </c>
    </row>
    <row r="10" spans="1:6" x14ac:dyDescent="0.3">
      <c r="A10">
        <v>466</v>
      </c>
      <c r="B10">
        <v>144</v>
      </c>
      <c r="C10">
        <v>1428</v>
      </c>
    </row>
    <row r="11" spans="1:6" x14ac:dyDescent="0.3">
      <c r="A11">
        <v>329</v>
      </c>
      <c r="B11">
        <v>143</v>
      </c>
      <c r="C11">
        <v>1366</v>
      </c>
    </row>
    <row r="12" spans="1:6" x14ac:dyDescent="0.3">
      <c r="A12">
        <v>375</v>
      </c>
      <c r="B12">
        <v>143</v>
      </c>
      <c r="C12">
        <v>1381</v>
      </c>
    </row>
    <row r="13" spans="1:6" x14ac:dyDescent="0.3">
      <c r="A13">
        <v>376</v>
      </c>
      <c r="B13">
        <v>144</v>
      </c>
      <c r="C13">
        <v>1381</v>
      </c>
    </row>
    <row r="14" spans="1:6" x14ac:dyDescent="0.3">
      <c r="A14">
        <v>431</v>
      </c>
      <c r="B14">
        <v>144</v>
      </c>
      <c r="C14">
        <v>1406</v>
      </c>
    </row>
    <row r="15" spans="1:6" x14ac:dyDescent="0.3">
      <c r="A15">
        <v>456</v>
      </c>
      <c r="B15">
        <v>144</v>
      </c>
      <c r="C15">
        <v>1429</v>
      </c>
    </row>
    <row r="16" spans="1:6" x14ac:dyDescent="0.3">
      <c r="A16">
        <v>457</v>
      </c>
      <c r="B16">
        <v>146</v>
      </c>
      <c r="C16">
        <v>1429</v>
      </c>
    </row>
    <row r="17" spans="1:3" x14ac:dyDescent="0.3">
      <c r="A17">
        <v>331</v>
      </c>
      <c r="B17">
        <v>146</v>
      </c>
      <c r="C17">
        <v>1368</v>
      </c>
    </row>
    <row r="18" spans="1:3" x14ac:dyDescent="0.3">
      <c r="A18">
        <v>458</v>
      </c>
      <c r="B18">
        <v>144</v>
      </c>
      <c r="C18">
        <v>1432</v>
      </c>
    </row>
    <row r="19" spans="1:3" x14ac:dyDescent="0.3">
      <c r="A19">
        <v>459</v>
      </c>
      <c r="B19">
        <v>145</v>
      </c>
      <c r="C19">
        <v>1432</v>
      </c>
    </row>
    <row r="20" spans="1:3" x14ac:dyDescent="0.3">
      <c r="A20">
        <v>338</v>
      </c>
      <c r="B20">
        <v>143</v>
      </c>
      <c r="C20">
        <v>1363</v>
      </c>
    </row>
    <row r="21" spans="1:3" x14ac:dyDescent="0.3">
      <c r="A21">
        <v>339</v>
      </c>
      <c r="B21">
        <v>144</v>
      </c>
      <c r="C21">
        <v>1363</v>
      </c>
    </row>
    <row r="22" spans="1:3" x14ac:dyDescent="0.3">
      <c r="A22">
        <v>370</v>
      </c>
      <c r="B22">
        <v>144</v>
      </c>
      <c r="C22">
        <v>1385</v>
      </c>
    </row>
    <row r="23" spans="1:3" x14ac:dyDescent="0.3">
      <c r="A23">
        <v>371</v>
      </c>
      <c r="B23">
        <v>145</v>
      </c>
      <c r="C23">
        <v>1385</v>
      </c>
    </row>
    <row r="24" spans="1:3" x14ac:dyDescent="0.3">
      <c r="A24">
        <v>432</v>
      </c>
      <c r="B24">
        <v>143</v>
      </c>
      <c r="C24">
        <v>1409</v>
      </c>
    </row>
    <row r="25" spans="1:3" x14ac:dyDescent="0.3">
      <c r="A25">
        <v>433</v>
      </c>
      <c r="B25">
        <v>144</v>
      </c>
      <c r="C25">
        <v>1409</v>
      </c>
    </row>
    <row r="26" spans="1:3" x14ac:dyDescent="0.3">
      <c r="A26">
        <v>464</v>
      </c>
      <c r="B26">
        <v>145</v>
      </c>
      <c r="C26">
        <v>1430</v>
      </c>
    </row>
    <row r="27" spans="1:3" x14ac:dyDescent="0.3">
      <c r="A27">
        <v>465</v>
      </c>
      <c r="B27">
        <v>146</v>
      </c>
      <c r="C27">
        <v>1430</v>
      </c>
    </row>
    <row r="28" spans="1:3" x14ac:dyDescent="0.3">
      <c r="A28">
        <v>327</v>
      </c>
      <c r="B28">
        <v>144</v>
      </c>
      <c r="C28">
        <v>1364</v>
      </c>
    </row>
    <row r="29" spans="1:3" x14ac:dyDescent="0.3">
      <c r="A29">
        <v>328</v>
      </c>
      <c r="B29">
        <v>146</v>
      </c>
      <c r="C29">
        <v>1364</v>
      </c>
    </row>
    <row r="30" spans="1:3" x14ac:dyDescent="0.3">
      <c r="A30">
        <v>372</v>
      </c>
      <c r="B30">
        <v>144</v>
      </c>
      <c r="C30">
        <v>1384</v>
      </c>
    </row>
    <row r="31" spans="1:3" x14ac:dyDescent="0.3">
      <c r="A31">
        <v>373</v>
      </c>
      <c r="B31">
        <v>145</v>
      </c>
      <c r="C31">
        <v>1384</v>
      </c>
    </row>
    <row r="32" spans="1:3" x14ac:dyDescent="0.3">
      <c r="A32">
        <v>374</v>
      </c>
      <c r="B32">
        <v>146</v>
      </c>
      <c r="C32">
        <v>1384</v>
      </c>
    </row>
    <row r="33" spans="1:3" x14ac:dyDescent="0.3">
      <c r="A33">
        <v>418</v>
      </c>
      <c r="B33">
        <v>143</v>
      </c>
      <c r="C33">
        <v>1408</v>
      </c>
    </row>
    <row r="34" spans="1:3" x14ac:dyDescent="0.3">
      <c r="A34">
        <v>419</v>
      </c>
      <c r="B34">
        <v>144</v>
      </c>
      <c r="C34">
        <v>1408</v>
      </c>
    </row>
    <row r="35" spans="1:3" x14ac:dyDescent="0.3">
      <c r="A35">
        <v>420</v>
      </c>
      <c r="B35">
        <v>145</v>
      </c>
      <c r="C35">
        <v>1408</v>
      </c>
    </row>
    <row r="36" spans="1:3" x14ac:dyDescent="0.3">
      <c r="A36">
        <v>421</v>
      </c>
      <c r="B36">
        <v>146</v>
      </c>
      <c r="C36">
        <v>1408</v>
      </c>
    </row>
    <row r="37" spans="1:3" x14ac:dyDescent="0.3">
      <c r="A37">
        <v>460</v>
      </c>
      <c r="B37">
        <v>143</v>
      </c>
      <c r="C37">
        <v>1431</v>
      </c>
    </row>
    <row r="38" spans="1:3" x14ac:dyDescent="0.3">
      <c r="A38">
        <v>461</v>
      </c>
      <c r="B38">
        <v>144</v>
      </c>
      <c r="C38">
        <v>1431</v>
      </c>
    </row>
    <row r="39" spans="1:3" x14ac:dyDescent="0.3">
      <c r="A39">
        <v>462</v>
      </c>
      <c r="B39">
        <v>145</v>
      </c>
      <c r="C39">
        <v>1431</v>
      </c>
    </row>
    <row r="40" spans="1:3" x14ac:dyDescent="0.3">
      <c r="A40">
        <v>463</v>
      </c>
      <c r="B40">
        <v>146</v>
      </c>
      <c r="C40">
        <v>1431</v>
      </c>
    </row>
    <row r="41" spans="1:3" x14ac:dyDescent="0.3">
      <c r="A41">
        <v>334</v>
      </c>
      <c r="B41">
        <v>143</v>
      </c>
      <c r="C41">
        <v>1367</v>
      </c>
    </row>
    <row r="42" spans="1:3" x14ac:dyDescent="0.3">
      <c r="A42">
        <v>335</v>
      </c>
      <c r="B42">
        <v>144</v>
      </c>
      <c r="C42">
        <v>1367</v>
      </c>
    </row>
    <row r="43" spans="1:3" x14ac:dyDescent="0.3">
      <c r="A43">
        <v>336</v>
      </c>
      <c r="B43">
        <v>145</v>
      </c>
      <c r="C43">
        <v>1367</v>
      </c>
    </row>
    <row r="44" spans="1:3" x14ac:dyDescent="0.3">
      <c r="A44">
        <v>377</v>
      </c>
      <c r="B44">
        <v>143</v>
      </c>
      <c r="C44">
        <v>1386</v>
      </c>
    </row>
    <row r="45" spans="1:3" x14ac:dyDescent="0.3">
      <c r="A45">
        <v>378</v>
      </c>
      <c r="B45">
        <v>144</v>
      </c>
      <c r="C45">
        <v>1386</v>
      </c>
    </row>
    <row r="46" spans="1:3" x14ac:dyDescent="0.3">
      <c r="A46">
        <v>379</v>
      </c>
      <c r="B46">
        <v>145</v>
      </c>
      <c r="C46">
        <v>1386</v>
      </c>
    </row>
    <row r="47" spans="1:3" x14ac:dyDescent="0.3">
      <c r="A47">
        <v>407</v>
      </c>
      <c r="B47">
        <v>143</v>
      </c>
      <c r="C47">
        <v>1410</v>
      </c>
    </row>
    <row r="48" spans="1:3" x14ac:dyDescent="0.3">
      <c r="A48">
        <v>408</v>
      </c>
      <c r="B48">
        <v>144</v>
      </c>
      <c r="C48">
        <v>1410</v>
      </c>
    </row>
    <row r="49" spans="1:3" x14ac:dyDescent="0.3">
      <c r="A49">
        <v>409</v>
      </c>
      <c r="B49">
        <v>145</v>
      </c>
      <c r="C49">
        <v>1410</v>
      </c>
    </row>
    <row r="50" spans="1:3" x14ac:dyDescent="0.3">
      <c r="A50">
        <v>467</v>
      </c>
      <c r="B50">
        <v>143</v>
      </c>
      <c r="C50">
        <v>1433</v>
      </c>
    </row>
    <row r="51" spans="1:3" x14ac:dyDescent="0.3">
      <c r="A51">
        <v>468</v>
      </c>
      <c r="B51">
        <v>144</v>
      </c>
      <c r="C51">
        <v>1433</v>
      </c>
    </row>
    <row r="52" spans="1:3" x14ac:dyDescent="0.3">
      <c r="A52">
        <v>337</v>
      </c>
      <c r="B52">
        <v>146</v>
      </c>
      <c r="C52">
        <v>1352</v>
      </c>
    </row>
    <row r="53" spans="1:3" x14ac:dyDescent="0.3">
      <c r="A53">
        <v>388</v>
      </c>
      <c r="B53">
        <v>146</v>
      </c>
      <c r="C53">
        <v>1392</v>
      </c>
    </row>
    <row r="54" spans="1:3" x14ac:dyDescent="0.3">
      <c r="A54">
        <v>445</v>
      </c>
      <c r="B54">
        <v>146</v>
      </c>
      <c r="C54">
        <v>1420</v>
      </c>
    </row>
    <row r="55" spans="1:3" x14ac:dyDescent="0.3">
      <c r="A55">
        <v>498</v>
      </c>
      <c r="B55">
        <v>143</v>
      </c>
      <c r="C55">
        <v>1440</v>
      </c>
    </row>
    <row r="56" spans="1:3" x14ac:dyDescent="0.3">
      <c r="A56">
        <v>499</v>
      </c>
      <c r="B56">
        <v>144</v>
      </c>
      <c r="C56">
        <v>1440</v>
      </c>
    </row>
    <row r="57" spans="1:3" x14ac:dyDescent="0.3">
      <c r="A57">
        <v>500</v>
      </c>
      <c r="B57">
        <v>143</v>
      </c>
      <c r="C57">
        <v>1437</v>
      </c>
    </row>
    <row r="58" spans="1:3" x14ac:dyDescent="0.3">
      <c r="A58">
        <v>501</v>
      </c>
      <c r="B58">
        <v>144</v>
      </c>
      <c r="C58">
        <v>1437</v>
      </c>
    </row>
    <row r="59" spans="1:3" x14ac:dyDescent="0.3">
      <c r="A59">
        <v>340</v>
      </c>
      <c r="B59">
        <v>143</v>
      </c>
      <c r="C59">
        <v>1356</v>
      </c>
    </row>
    <row r="60" spans="1:3" x14ac:dyDescent="0.3">
      <c r="A60">
        <v>385</v>
      </c>
      <c r="B60">
        <v>144</v>
      </c>
      <c r="C60">
        <v>1391</v>
      </c>
    </row>
    <row r="61" spans="1:3" x14ac:dyDescent="0.3">
      <c r="A61">
        <v>386</v>
      </c>
      <c r="B61">
        <v>145</v>
      </c>
      <c r="C61">
        <v>1390</v>
      </c>
    </row>
    <row r="62" spans="1:3" x14ac:dyDescent="0.3">
      <c r="A62">
        <v>387</v>
      </c>
      <c r="B62">
        <v>146</v>
      </c>
      <c r="C62">
        <v>1390</v>
      </c>
    </row>
    <row r="63" spans="1:3" x14ac:dyDescent="0.3">
      <c r="A63">
        <v>494</v>
      </c>
      <c r="B63">
        <v>143</v>
      </c>
      <c r="C63">
        <v>1439</v>
      </c>
    </row>
    <row r="64" spans="1:3" x14ac:dyDescent="0.3">
      <c r="A64">
        <v>495</v>
      </c>
      <c r="B64">
        <v>144</v>
      </c>
      <c r="C64">
        <v>1439</v>
      </c>
    </row>
    <row r="65" spans="1:3" x14ac:dyDescent="0.3">
      <c r="A65">
        <v>496</v>
      </c>
      <c r="B65">
        <v>145</v>
      </c>
      <c r="C65">
        <v>1439</v>
      </c>
    </row>
    <row r="66" spans="1:3" x14ac:dyDescent="0.3">
      <c r="A66">
        <v>497</v>
      </c>
      <c r="B66">
        <v>146</v>
      </c>
      <c r="C66">
        <v>1439</v>
      </c>
    </row>
    <row r="67" spans="1:3" x14ac:dyDescent="0.3">
      <c r="A67">
        <v>344</v>
      </c>
      <c r="B67">
        <v>144</v>
      </c>
      <c r="C67">
        <v>1353</v>
      </c>
    </row>
    <row r="68" spans="1:3" x14ac:dyDescent="0.3">
      <c r="A68">
        <v>345</v>
      </c>
      <c r="B68">
        <v>146</v>
      </c>
      <c r="C68">
        <v>1353</v>
      </c>
    </row>
    <row r="69" spans="1:3" x14ac:dyDescent="0.3">
      <c r="A69">
        <v>391</v>
      </c>
      <c r="B69">
        <v>144</v>
      </c>
      <c r="C69">
        <v>1388</v>
      </c>
    </row>
    <row r="70" spans="1:3" x14ac:dyDescent="0.3">
      <c r="A70">
        <v>392</v>
      </c>
      <c r="B70">
        <v>146</v>
      </c>
      <c r="C70">
        <v>1388</v>
      </c>
    </row>
    <row r="71" spans="1:3" x14ac:dyDescent="0.3">
      <c r="A71">
        <v>446</v>
      </c>
      <c r="B71">
        <v>143</v>
      </c>
      <c r="C71">
        <v>1417</v>
      </c>
    </row>
    <row r="72" spans="1:3" x14ac:dyDescent="0.3">
      <c r="A72">
        <v>447</v>
      </c>
      <c r="B72">
        <v>144</v>
      </c>
      <c r="C72">
        <v>1417</v>
      </c>
    </row>
    <row r="73" spans="1:3" x14ac:dyDescent="0.3">
      <c r="A73">
        <v>448</v>
      </c>
      <c r="B73">
        <v>145</v>
      </c>
      <c r="C73">
        <v>1417</v>
      </c>
    </row>
    <row r="74" spans="1:3" x14ac:dyDescent="0.3">
      <c r="A74">
        <v>449</v>
      </c>
      <c r="B74">
        <v>146</v>
      </c>
      <c r="C74">
        <v>1417</v>
      </c>
    </row>
    <row r="75" spans="1:3" x14ac:dyDescent="0.3">
      <c r="A75">
        <v>491</v>
      </c>
      <c r="B75">
        <v>143</v>
      </c>
      <c r="C75">
        <v>1438</v>
      </c>
    </row>
    <row r="76" spans="1:3" x14ac:dyDescent="0.3">
      <c r="A76">
        <v>492</v>
      </c>
      <c r="B76">
        <v>144</v>
      </c>
      <c r="C76">
        <v>1438</v>
      </c>
    </row>
    <row r="77" spans="1:3" x14ac:dyDescent="0.3">
      <c r="A77">
        <v>493</v>
      </c>
      <c r="B77">
        <v>146</v>
      </c>
      <c r="C77">
        <v>1438</v>
      </c>
    </row>
    <row r="78" spans="1:3" x14ac:dyDescent="0.3">
      <c r="A78">
        <v>341</v>
      </c>
      <c r="B78">
        <v>144</v>
      </c>
      <c r="C78">
        <v>1354</v>
      </c>
    </row>
    <row r="79" spans="1:3" x14ac:dyDescent="0.3">
      <c r="A79">
        <v>342</v>
      </c>
      <c r="B79">
        <v>145</v>
      </c>
      <c r="C79">
        <v>1354</v>
      </c>
    </row>
    <row r="80" spans="1:3" x14ac:dyDescent="0.3">
      <c r="A80">
        <v>343</v>
      </c>
      <c r="B80">
        <v>146</v>
      </c>
      <c r="C80">
        <v>1354</v>
      </c>
    </row>
    <row r="81" spans="1:3" x14ac:dyDescent="0.3">
      <c r="A81">
        <v>383</v>
      </c>
      <c r="B81">
        <v>145</v>
      </c>
      <c r="C81">
        <v>1387</v>
      </c>
    </row>
    <row r="82" spans="1:3" x14ac:dyDescent="0.3">
      <c r="A82">
        <v>384</v>
      </c>
      <c r="B82">
        <v>146</v>
      </c>
      <c r="C82">
        <v>1387</v>
      </c>
    </row>
    <row r="83" spans="1:3" x14ac:dyDescent="0.3">
      <c r="A83">
        <v>434</v>
      </c>
      <c r="B83">
        <v>144</v>
      </c>
      <c r="C83">
        <v>1418</v>
      </c>
    </row>
    <row r="84" spans="1:3" x14ac:dyDescent="0.3">
      <c r="A84">
        <v>435</v>
      </c>
      <c r="B84">
        <v>145</v>
      </c>
      <c r="C84">
        <v>1418</v>
      </c>
    </row>
    <row r="85" spans="1:3" x14ac:dyDescent="0.3">
      <c r="A85">
        <v>436</v>
      </c>
      <c r="B85">
        <v>146</v>
      </c>
      <c r="C85">
        <v>1418</v>
      </c>
    </row>
    <row r="86" spans="1:3" x14ac:dyDescent="0.3">
      <c r="A86">
        <v>487</v>
      </c>
      <c r="B86">
        <v>143</v>
      </c>
      <c r="C86">
        <v>1435</v>
      </c>
    </row>
    <row r="87" spans="1:3" x14ac:dyDescent="0.3">
      <c r="A87">
        <v>488</v>
      </c>
      <c r="B87">
        <v>144</v>
      </c>
      <c r="C87">
        <v>1435</v>
      </c>
    </row>
    <row r="88" spans="1:3" x14ac:dyDescent="0.3">
      <c r="A88">
        <v>489</v>
      </c>
      <c r="B88">
        <v>145</v>
      </c>
      <c r="C88">
        <v>1435</v>
      </c>
    </row>
    <row r="89" spans="1:3" x14ac:dyDescent="0.3">
      <c r="A89">
        <v>490</v>
      </c>
      <c r="B89">
        <v>146</v>
      </c>
      <c r="C89">
        <v>1435</v>
      </c>
    </row>
    <row r="90" spans="1:3" x14ac:dyDescent="0.3">
      <c r="A90">
        <v>319</v>
      </c>
      <c r="B90">
        <v>144</v>
      </c>
      <c r="C90">
        <v>1339</v>
      </c>
    </row>
    <row r="91" spans="1:3" x14ac:dyDescent="0.3">
      <c r="A91">
        <v>482</v>
      </c>
      <c r="B91">
        <v>143</v>
      </c>
      <c r="C91">
        <v>1425</v>
      </c>
    </row>
    <row r="92" spans="1:3" x14ac:dyDescent="0.3">
      <c r="A92">
        <v>483</v>
      </c>
      <c r="B92">
        <v>144</v>
      </c>
      <c r="C92">
        <v>1425</v>
      </c>
    </row>
    <row r="93" spans="1:3" x14ac:dyDescent="0.3">
      <c r="A93">
        <v>321</v>
      </c>
      <c r="B93">
        <v>143</v>
      </c>
      <c r="C93">
        <v>1342</v>
      </c>
    </row>
    <row r="94" spans="1:3" x14ac:dyDescent="0.3">
      <c r="A94">
        <v>322</v>
      </c>
      <c r="B94">
        <v>144</v>
      </c>
      <c r="C94">
        <v>1342</v>
      </c>
    </row>
    <row r="95" spans="1:3" x14ac:dyDescent="0.3">
      <c r="A95">
        <v>357</v>
      </c>
      <c r="B95">
        <v>144</v>
      </c>
      <c r="C95">
        <v>1370</v>
      </c>
    </row>
    <row r="96" spans="1:3" x14ac:dyDescent="0.3">
      <c r="A96">
        <v>358</v>
      </c>
      <c r="B96">
        <v>146</v>
      </c>
      <c r="C96">
        <v>1370</v>
      </c>
    </row>
    <row r="97" spans="1:3" x14ac:dyDescent="0.3">
      <c r="A97">
        <v>414</v>
      </c>
      <c r="B97">
        <v>143</v>
      </c>
      <c r="C97">
        <v>1404</v>
      </c>
    </row>
    <row r="98" spans="1:3" x14ac:dyDescent="0.3">
      <c r="A98">
        <v>415</v>
      </c>
      <c r="B98">
        <v>144</v>
      </c>
      <c r="C98">
        <v>1404</v>
      </c>
    </row>
    <row r="99" spans="1:3" x14ac:dyDescent="0.3">
      <c r="A99">
        <v>416</v>
      </c>
      <c r="B99">
        <v>145</v>
      </c>
      <c r="C99">
        <v>1404</v>
      </c>
    </row>
    <row r="100" spans="1:3" x14ac:dyDescent="0.3">
      <c r="A100">
        <v>417</v>
      </c>
      <c r="B100">
        <v>146</v>
      </c>
      <c r="C100">
        <v>1404</v>
      </c>
    </row>
    <row r="101" spans="1:3" x14ac:dyDescent="0.3">
      <c r="A101">
        <v>469</v>
      </c>
      <c r="B101">
        <v>143</v>
      </c>
      <c r="C101">
        <v>1424</v>
      </c>
    </row>
    <row r="102" spans="1:3" x14ac:dyDescent="0.3">
      <c r="A102">
        <v>470</v>
      </c>
      <c r="B102">
        <v>144</v>
      </c>
      <c r="C102">
        <v>1424</v>
      </c>
    </row>
    <row r="103" spans="1:3" x14ac:dyDescent="0.3">
      <c r="A103">
        <v>471</v>
      </c>
      <c r="B103">
        <v>145</v>
      </c>
      <c r="C103">
        <v>1424</v>
      </c>
    </row>
    <row r="104" spans="1:3" x14ac:dyDescent="0.3">
      <c r="A104">
        <v>472</v>
      </c>
      <c r="B104">
        <v>146</v>
      </c>
      <c r="C104">
        <v>1424</v>
      </c>
    </row>
    <row r="105" spans="1:3" x14ac:dyDescent="0.3">
      <c r="A105">
        <v>323</v>
      </c>
      <c r="B105">
        <v>146</v>
      </c>
      <c r="C105">
        <v>1341</v>
      </c>
    </row>
    <row r="106" spans="1:3" x14ac:dyDescent="0.3">
      <c r="A106">
        <v>361</v>
      </c>
      <c r="B106">
        <v>143</v>
      </c>
      <c r="C106">
        <v>1372</v>
      </c>
    </row>
    <row r="107" spans="1:3" x14ac:dyDescent="0.3">
      <c r="A107">
        <v>362</v>
      </c>
      <c r="B107">
        <v>146</v>
      </c>
      <c r="C107">
        <v>1372</v>
      </c>
    </row>
    <row r="108" spans="1:3" x14ac:dyDescent="0.3">
      <c r="A108">
        <v>429</v>
      </c>
      <c r="B108">
        <v>143</v>
      </c>
      <c r="C108">
        <v>1400</v>
      </c>
    </row>
    <row r="109" spans="1:3" x14ac:dyDescent="0.3">
      <c r="A109">
        <v>430</v>
      </c>
      <c r="B109">
        <v>146</v>
      </c>
      <c r="C109">
        <v>1400</v>
      </c>
    </row>
    <row r="110" spans="1:3" x14ac:dyDescent="0.3">
      <c r="A110">
        <v>484</v>
      </c>
      <c r="B110">
        <v>143</v>
      </c>
      <c r="C110">
        <v>1427</v>
      </c>
    </row>
    <row r="111" spans="1:3" x14ac:dyDescent="0.3">
      <c r="A111">
        <v>485</v>
      </c>
      <c r="B111">
        <v>144</v>
      </c>
      <c r="C111">
        <v>1427</v>
      </c>
    </row>
    <row r="112" spans="1:3" x14ac:dyDescent="0.3">
      <c r="A112">
        <v>486</v>
      </c>
      <c r="B112">
        <v>146</v>
      </c>
      <c r="C112">
        <v>1427</v>
      </c>
    </row>
    <row r="113" spans="1:3" x14ac:dyDescent="0.3">
      <c r="A113">
        <v>481</v>
      </c>
      <c r="B113">
        <v>144</v>
      </c>
      <c r="C113">
        <v>1434</v>
      </c>
    </row>
    <row r="114" spans="1:3" x14ac:dyDescent="0.3">
      <c r="A114">
        <v>325</v>
      </c>
      <c r="B114">
        <v>145</v>
      </c>
      <c r="C114">
        <v>1344</v>
      </c>
    </row>
    <row r="115" spans="1:3" x14ac:dyDescent="0.3">
      <c r="A115">
        <v>326</v>
      </c>
      <c r="B115">
        <v>146</v>
      </c>
      <c r="C115">
        <v>1344</v>
      </c>
    </row>
    <row r="116" spans="1:3" x14ac:dyDescent="0.3">
      <c r="A116">
        <v>363</v>
      </c>
      <c r="B116">
        <v>143</v>
      </c>
      <c r="C116">
        <v>1371</v>
      </c>
    </row>
    <row r="117" spans="1:3" x14ac:dyDescent="0.3">
      <c r="A117">
        <v>364</v>
      </c>
      <c r="B117">
        <v>144</v>
      </c>
      <c r="C117">
        <v>1371</v>
      </c>
    </row>
    <row r="118" spans="1:3" x14ac:dyDescent="0.3">
      <c r="A118">
        <v>365</v>
      </c>
      <c r="B118">
        <v>145</v>
      </c>
      <c r="C118">
        <v>1371</v>
      </c>
    </row>
    <row r="119" spans="1:3" x14ac:dyDescent="0.3">
      <c r="A119">
        <v>366</v>
      </c>
      <c r="B119">
        <v>146</v>
      </c>
      <c r="C119">
        <v>1371</v>
      </c>
    </row>
    <row r="120" spans="1:3" x14ac:dyDescent="0.3">
      <c r="A120">
        <v>410</v>
      </c>
      <c r="B120">
        <v>143</v>
      </c>
      <c r="C120">
        <v>1399</v>
      </c>
    </row>
    <row r="121" spans="1:3" x14ac:dyDescent="0.3">
      <c r="A121">
        <v>411</v>
      </c>
      <c r="B121">
        <v>144</v>
      </c>
      <c r="C121">
        <v>1399</v>
      </c>
    </row>
    <row r="122" spans="1:3" x14ac:dyDescent="0.3">
      <c r="A122">
        <v>412</v>
      </c>
      <c r="B122">
        <v>145</v>
      </c>
      <c r="C122">
        <v>1399</v>
      </c>
    </row>
    <row r="123" spans="1:3" x14ac:dyDescent="0.3">
      <c r="A123">
        <v>413</v>
      </c>
      <c r="B123">
        <v>146</v>
      </c>
      <c r="C123">
        <v>1399</v>
      </c>
    </row>
    <row r="124" spans="1:3" x14ac:dyDescent="0.3">
      <c r="A124">
        <v>477</v>
      </c>
      <c r="B124">
        <v>143</v>
      </c>
      <c r="C124">
        <v>1426</v>
      </c>
    </row>
    <row r="125" spans="1:3" x14ac:dyDescent="0.3">
      <c r="A125">
        <v>478</v>
      </c>
      <c r="B125">
        <v>144</v>
      </c>
      <c r="C125">
        <v>1426</v>
      </c>
    </row>
    <row r="126" spans="1:3" x14ac:dyDescent="0.3">
      <c r="A126">
        <v>479</v>
      </c>
      <c r="B126">
        <v>145</v>
      </c>
      <c r="C126">
        <v>1426</v>
      </c>
    </row>
    <row r="127" spans="1:3" x14ac:dyDescent="0.3">
      <c r="A127">
        <v>480</v>
      </c>
      <c r="B127">
        <v>146</v>
      </c>
      <c r="C127">
        <v>1426</v>
      </c>
    </row>
    <row r="128" spans="1:3" x14ac:dyDescent="0.3">
      <c r="A128">
        <v>330</v>
      </c>
      <c r="B128">
        <v>146</v>
      </c>
      <c r="C128">
        <v>1340</v>
      </c>
    </row>
    <row r="129" spans="1:3" x14ac:dyDescent="0.3">
      <c r="A129">
        <v>367</v>
      </c>
      <c r="B129">
        <v>143</v>
      </c>
      <c r="C129">
        <v>1375</v>
      </c>
    </row>
    <row r="130" spans="1:3" x14ac:dyDescent="0.3">
      <c r="A130">
        <v>368</v>
      </c>
      <c r="B130">
        <v>144</v>
      </c>
      <c r="C130">
        <v>1375</v>
      </c>
    </row>
    <row r="131" spans="1:3" x14ac:dyDescent="0.3">
      <c r="A131">
        <v>369</v>
      </c>
      <c r="B131">
        <v>146</v>
      </c>
      <c r="C131">
        <v>1375</v>
      </c>
    </row>
    <row r="132" spans="1:3" x14ac:dyDescent="0.3">
      <c r="A132">
        <v>422</v>
      </c>
      <c r="B132">
        <v>143</v>
      </c>
      <c r="C132">
        <v>1403</v>
      </c>
    </row>
    <row r="133" spans="1:3" x14ac:dyDescent="0.3">
      <c r="A133">
        <v>423</v>
      </c>
      <c r="B133">
        <v>144</v>
      </c>
      <c r="C133">
        <v>1403</v>
      </c>
    </row>
    <row r="134" spans="1:3" x14ac:dyDescent="0.3">
      <c r="A134">
        <v>424</v>
      </c>
      <c r="B134">
        <v>145</v>
      </c>
      <c r="C134">
        <v>1403</v>
      </c>
    </row>
    <row r="135" spans="1:3" x14ac:dyDescent="0.3">
      <c r="A135">
        <v>425</v>
      </c>
      <c r="B135">
        <v>146</v>
      </c>
      <c r="C135">
        <v>1403</v>
      </c>
    </row>
    <row r="136" spans="1:3" x14ac:dyDescent="0.3">
      <c r="A136">
        <v>473</v>
      </c>
      <c r="B136">
        <v>143</v>
      </c>
      <c r="C136">
        <v>1423</v>
      </c>
    </row>
    <row r="137" spans="1:3" x14ac:dyDescent="0.3">
      <c r="A137">
        <v>474</v>
      </c>
      <c r="B137">
        <v>144</v>
      </c>
      <c r="C137">
        <v>1423</v>
      </c>
    </row>
    <row r="138" spans="1:3" x14ac:dyDescent="0.3">
      <c r="A138">
        <v>475</v>
      </c>
      <c r="B138">
        <v>145</v>
      </c>
      <c r="C138">
        <v>1423</v>
      </c>
    </row>
    <row r="139" spans="1:3" x14ac:dyDescent="0.3">
      <c r="A139">
        <v>476</v>
      </c>
      <c r="B139">
        <v>146</v>
      </c>
      <c r="C139">
        <v>1423</v>
      </c>
    </row>
    <row r="140" spans="1:3" x14ac:dyDescent="0.3">
      <c r="A140">
        <v>393</v>
      </c>
      <c r="B140">
        <v>143</v>
      </c>
      <c r="C140">
        <v>1394</v>
      </c>
    </row>
    <row r="141" spans="1:3" x14ac:dyDescent="0.3">
      <c r="A141">
        <v>346</v>
      </c>
      <c r="B141">
        <v>144</v>
      </c>
      <c r="C141">
        <v>1380</v>
      </c>
    </row>
    <row r="142" spans="1:3" x14ac:dyDescent="0.3">
      <c r="A142">
        <v>347</v>
      </c>
      <c r="B142">
        <v>145</v>
      </c>
      <c r="C142">
        <v>1380</v>
      </c>
    </row>
    <row r="143" spans="1:3" x14ac:dyDescent="0.3">
      <c r="A143">
        <v>348</v>
      </c>
      <c r="B143">
        <v>146</v>
      </c>
      <c r="C143">
        <v>1380</v>
      </c>
    </row>
    <row r="144" spans="1:3" x14ac:dyDescent="0.3">
      <c r="A144">
        <v>394</v>
      </c>
      <c r="B144">
        <v>143</v>
      </c>
      <c r="C144">
        <v>1397</v>
      </c>
    </row>
    <row r="145" spans="1:3" x14ac:dyDescent="0.3">
      <c r="A145">
        <v>395</v>
      </c>
      <c r="B145">
        <v>144</v>
      </c>
      <c r="C145">
        <v>1397</v>
      </c>
    </row>
    <row r="146" spans="1:3" x14ac:dyDescent="0.3">
      <c r="A146">
        <v>396</v>
      </c>
      <c r="B146">
        <v>145</v>
      </c>
      <c r="C146">
        <v>1397</v>
      </c>
    </row>
    <row r="147" spans="1:3" x14ac:dyDescent="0.3">
      <c r="A147">
        <v>397</v>
      </c>
      <c r="B147">
        <v>146</v>
      </c>
      <c r="C147">
        <v>1397</v>
      </c>
    </row>
    <row r="148" spans="1:3" x14ac:dyDescent="0.3">
      <c r="A148">
        <v>450</v>
      </c>
      <c r="B148">
        <v>144</v>
      </c>
      <c r="C148">
        <v>1415</v>
      </c>
    </row>
    <row r="149" spans="1:3" x14ac:dyDescent="0.3">
      <c r="A149">
        <v>451</v>
      </c>
      <c r="B149">
        <v>146</v>
      </c>
      <c r="C149">
        <v>1415</v>
      </c>
    </row>
    <row r="150" spans="1:3" x14ac:dyDescent="0.3">
      <c r="A150">
        <v>320</v>
      </c>
      <c r="B150">
        <v>146</v>
      </c>
      <c r="C150">
        <v>1345</v>
      </c>
    </row>
    <row r="151" spans="1:3" x14ac:dyDescent="0.3">
      <c r="A151">
        <v>356</v>
      </c>
      <c r="B151">
        <v>146</v>
      </c>
      <c r="C151">
        <v>1378</v>
      </c>
    </row>
    <row r="152" spans="1:3" x14ac:dyDescent="0.3">
      <c r="A152">
        <v>406</v>
      </c>
      <c r="B152">
        <v>146</v>
      </c>
      <c r="C152">
        <v>1398</v>
      </c>
    </row>
    <row r="153" spans="1:3" x14ac:dyDescent="0.3">
      <c r="A153">
        <v>353</v>
      </c>
      <c r="B153">
        <v>143</v>
      </c>
      <c r="C153">
        <v>1377</v>
      </c>
    </row>
    <row r="154" spans="1:3" x14ac:dyDescent="0.3">
      <c r="A154">
        <v>354</v>
      </c>
      <c r="B154">
        <v>144</v>
      </c>
      <c r="C154">
        <v>1377</v>
      </c>
    </row>
    <row r="155" spans="1:3" x14ac:dyDescent="0.3">
      <c r="A155">
        <v>355</v>
      </c>
      <c r="B155">
        <v>145</v>
      </c>
      <c r="C155">
        <v>1377</v>
      </c>
    </row>
    <row r="156" spans="1:3" x14ac:dyDescent="0.3">
      <c r="A156">
        <v>398</v>
      </c>
      <c r="B156">
        <v>143</v>
      </c>
      <c r="C156">
        <v>1396</v>
      </c>
    </row>
    <row r="157" spans="1:3" x14ac:dyDescent="0.3">
      <c r="A157">
        <v>399</v>
      </c>
      <c r="B157">
        <v>144</v>
      </c>
      <c r="C157">
        <v>1396</v>
      </c>
    </row>
    <row r="158" spans="1:3" x14ac:dyDescent="0.3">
      <c r="A158">
        <v>400</v>
      </c>
      <c r="B158">
        <v>145</v>
      </c>
      <c r="C158">
        <v>1396</v>
      </c>
    </row>
    <row r="159" spans="1:3" x14ac:dyDescent="0.3">
      <c r="A159">
        <v>401</v>
      </c>
      <c r="B159">
        <v>146</v>
      </c>
      <c r="C159">
        <v>1396</v>
      </c>
    </row>
    <row r="160" spans="1:3" x14ac:dyDescent="0.3">
      <c r="A160">
        <v>437</v>
      </c>
      <c r="B160">
        <v>143</v>
      </c>
      <c r="C160">
        <v>1416</v>
      </c>
    </row>
    <row r="161" spans="1:3" x14ac:dyDescent="0.3">
      <c r="A161">
        <v>438</v>
      </c>
      <c r="B161">
        <v>144</v>
      </c>
      <c r="C161">
        <v>1416</v>
      </c>
    </row>
    <row r="162" spans="1:3" x14ac:dyDescent="0.3">
      <c r="A162">
        <v>439</v>
      </c>
      <c r="B162">
        <v>145</v>
      </c>
      <c r="C162">
        <v>1416</v>
      </c>
    </row>
    <row r="163" spans="1:3" x14ac:dyDescent="0.3">
      <c r="A163">
        <v>440</v>
      </c>
      <c r="B163">
        <v>146</v>
      </c>
      <c r="C163">
        <v>1416</v>
      </c>
    </row>
    <row r="164" spans="1:3" x14ac:dyDescent="0.3">
      <c r="A164">
        <v>318</v>
      </c>
      <c r="B164">
        <v>144</v>
      </c>
      <c r="C164">
        <v>1349</v>
      </c>
    </row>
    <row r="165" spans="1:3" x14ac:dyDescent="0.3">
      <c r="A165">
        <v>359</v>
      </c>
      <c r="B165">
        <v>143</v>
      </c>
      <c r="C165">
        <v>1379</v>
      </c>
    </row>
    <row r="166" spans="1:3" x14ac:dyDescent="0.3">
      <c r="A166">
        <v>360</v>
      </c>
      <c r="B166">
        <v>144</v>
      </c>
      <c r="C166">
        <v>1379</v>
      </c>
    </row>
    <row r="167" spans="1:3" x14ac:dyDescent="0.3">
      <c r="A167">
        <v>402</v>
      </c>
      <c r="B167">
        <v>143</v>
      </c>
      <c r="C167">
        <v>1393</v>
      </c>
    </row>
    <row r="168" spans="1:3" x14ac:dyDescent="0.3">
      <c r="A168">
        <v>403</v>
      </c>
      <c r="B168">
        <v>144</v>
      </c>
      <c r="C168">
        <v>1393</v>
      </c>
    </row>
    <row r="169" spans="1:3" x14ac:dyDescent="0.3">
      <c r="A169">
        <v>404</v>
      </c>
      <c r="B169">
        <v>145</v>
      </c>
      <c r="C169">
        <v>1393</v>
      </c>
    </row>
    <row r="170" spans="1:3" x14ac:dyDescent="0.3">
      <c r="A170">
        <v>405</v>
      </c>
      <c r="B170">
        <v>146</v>
      </c>
      <c r="C170">
        <v>1393</v>
      </c>
    </row>
    <row r="171" spans="1:3" x14ac:dyDescent="0.3">
      <c r="A171">
        <v>441</v>
      </c>
      <c r="B171">
        <v>143</v>
      </c>
      <c r="C171">
        <v>1412</v>
      </c>
    </row>
    <row r="172" spans="1:3" x14ac:dyDescent="0.3">
      <c r="A172">
        <v>442</v>
      </c>
      <c r="B172">
        <v>144</v>
      </c>
      <c r="C172">
        <v>1412</v>
      </c>
    </row>
    <row r="173" spans="1:3" x14ac:dyDescent="0.3">
      <c r="A173">
        <v>443</v>
      </c>
      <c r="B173">
        <v>145</v>
      </c>
      <c r="C173">
        <v>1412</v>
      </c>
    </row>
    <row r="174" spans="1:3" x14ac:dyDescent="0.3">
      <c r="A174">
        <v>444</v>
      </c>
      <c r="B174">
        <v>146</v>
      </c>
      <c r="C174">
        <v>1412</v>
      </c>
    </row>
    <row r="175" spans="1:3" x14ac:dyDescent="0.3">
      <c r="A175">
        <v>324</v>
      </c>
      <c r="B175">
        <v>146</v>
      </c>
      <c r="C175">
        <v>1350</v>
      </c>
    </row>
    <row r="176" spans="1:3" x14ac:dyDescent="0.3">
      <c r="A176">
        <v>349</v>
      </c>
      <c r="B176">
        <v>143</v>
      </c>
      <c r="C176">
        <v>1374</v>
      </c>
    </row>
    <row r="177" spans="1:3" x14ac:dyDescent="0.3">
      <c r="A177">
        <v>350</v>
      </c>
      <c r="B177">
        <v>144</v>
      </c>
      <c r="C177">
        <v>1374</v>
      </c>
    </row>
    <row r="178" spans="1:3" x14ac:dyDescent="0.3">
      <c r="A178">
        <v>351</v>
      </c>
      <c r="B178">
        <v>145</v>
      </c>
      <c r="C178">
        <v>1374</v>
      </c>
    </row>
    <row r="179" spans="1:3" x14ac:dyDescent="0.3">
      <c r="A179">
        <v>352</v>
      </c>
      <c r="B179">
        <v>146</v>
      </c>
      <c r="C179">
        <v>1374</v>
      </c>
    </row>
    <row r="180" spans="1:3" x14ac:dyDescent="0.3">
      <c r="A180">
        <v>389</v>
      </c>
      <c r="B180">
        <v>144</v>
      </c>
      <c r="C180">
        <v>1395</v>
      </c>
    </row>
    <row r="181" spans="1:3" x14ac:dyDescent="0.3">
      <c r="A181">
        <v>390</v>
      </c>
      <c r="B181">
        <v>146</v>
      </c>
      <c r="C181">
        <v>1395</v>
      </c>
    </row>
    <row r="182" spans="1:3" x14ac:dyDescent="0.3">
      <c r="A182">
        <v>452</v>
      </c>
      <c r="B182">
        <v>143</v>
      </c>
      <c r="C182">
        <v>1414</v>
      </c>
    </row>
    <row r="183" spans="1:3" x14ac:dyDescent="0.3">
      <c r="A183">
        <v>453</v>
      </c>
      <c r="B183">
        <v>144</v>
      </c>
      <c r="C183">
        <v>1414</v>
      </c>
    </row>
    <row r="184" spans="1:3" x14ac:dyDescent="0.3">
      <c r="A184">
        <v>454</v>
      </c>
      <c r="B184">
        <v>145</v>
      </c>
      <c r="C184">
        <v>1414</v>
      </c>
    </row>
    <row r="185" spans="1:3" x14ac:dyDescent="0.3">
      <c r="A185">
        <v>455</v>
      </c>
      <c r="B185">
        <v>146</v>
      </c>
      <c r="C185">
        <v>1414</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082F-0683-4C9F-886C-D4DFCC81A71D}">
  <dimension ref="A1:E158"/>
  <sheetViews>
    <sheetView workbookViewId="0"/>
  </sheetViews>
  <sheetFormatPr defaultRowHeight="14.4" x14ac:dyDescent="0.3"/>
  <cols>
    <col min="1" max="1" width="5" bestFit="1" customWidth="1"/>
    <col min="2" max="2" width="16.88671875" bestFit="1" customWidth="1"/>
    <col min="3" max="3" width="16.6640625" bestFit="1" customWidth="1"/>
    <col min="4" max="4" width="15.33203125" bestFit="1" customWidth="1"/>
    <col min="5" max="5" width="15.109375" bestFit="1" customWidth="1"/>
  </cols>
  <sheetData>
    <row r="1" spans="1:5" x14ac:dyDescent="0.3">
      <c r="A1" t="s">
        <v>0</v>
      </c>
      <c r="B1" t="s">
        <v>222</v>
      </c>
      <c r="C1" t="s">
        <v>223</v>
      </c>
      <c r="D1" t="s">
        <v>224</v>
      </c>
      <c r="E1" t="s">
        <v>225</v>
      </c>
    </row>
    <row r="2" spans="1:5" x14ac:dyDescent="0.3">
      <c r="A2">
        <v>1141</v>
      </c>
      <c r="B2">
        <v>1</v>
      </c>
      <c r="C2">
        <v>137</v>
      </c>
      <c r="D2">
        <v>1611</v>
      </c>
      <c r="E2">
        <v>-1</v>
      </c>
    </row>
    <row r="3" spans="1:5" x14ac:dyDescent="0.3">
      <c r="A3">
        <v>1170</v>
      </c>
      <c r="B3">
        <v>2</v>
      </c>
      <c r="C3">
        <v>141</v>
      </c>
      <c r="D3">
        <v>1611</v>
      </c>
      <c r="E3">
        <v>-1</v>
      </c>
    </row>
    <row r="4" spans="1:5" x14ac:dyDescent="0.3">
      <c r="A4">
        <v>1190</v>
      </c>
      <c r="B4">
        <v>3</v>
      </c>
      <c r="C4">
        <v>142</v>
      </c>
      <c r="D4">
        <v>1611</v>
      </c>
      <c r="E4">
        <v>-1</v>
      </c>
    </row>
    <row r="5" spans="1:5" x14ac:dyDescent="0.3">
      <c r="A5">
        <v>1191</v>
      </c>
      <c r="B5">
        <v>3</v>
      </c>
      <c r="C5">
        <v>140</v>
      </c>
      <c r="D5">
        <v>1611</v>
      </c>
      <c r="E5">
        <v>-1</v>
      </c>
    </row>
    <row r="6" spans="1:5" x14ac:dyDescent="0.3">
      <c r="A6">
        <v>1148</v>
      </c>
      <c r="B6">
        <v>1</v>
      </c>
      <c r="C6">
        <v>138</v>
      </c>
      <c r="D6">
        <v>1612</v>
      </c>
      <c r="E6">
        <v>-1</v>
      </c>
    </row>
    <row r="7" spans="1:5" x14ac:dyDescent="0.3">
      <c r="A7">
        <v>1171</v>
      </c>
      <c r="B7">
        <v>2</v>
      </c>
      <c r="C7">
        <v>137</v>
      </c>
      <c r="D7">
        <v>1612</v>
      </c>
      <c r="E7">
        <v>-1</v>
      </c>
    </row>
    <row r="8" spans="1:5" x14ac:dyDescent="0.3">
      <c r="A8">
        <v>1172</v>
      </c>
      <c r="B8">
        <v>2</v>
      </c>
      <c r="C8">
        <v>140</v>
      </c>
      <c r="D8">
        <v>1612</v>
      </c>
      <c r="E8">
        <v>-1</v>
      </c>
    </row>
    <row r="9" spans="1:5" x14ac:dyDescent="0.3">
      <c r="A9">
        <v>1173</v>
      </c>
      <c r="B9">
        <v>2</v>
      </c>
      <c r="C9">
        <v>141</v>
      </c>
      <c r="D9">
        <v>1612</v>
      </c>
      <c r="E9">
        <v>-1</v>
      </c>
    </row>
    <row r="10" spans="1:5" x14ac:dyDescent="0.3">
      <c r="A10">
        <v>1147</v>
      </c>
      <c r="B10">
        <v>1</v>
      </c>
      <c r="C10">
        <v>137</v>
      </c>
      <c r="D10">
        <v>1613</v>
      </c>
      <c r="E10">
        <v>-1</v>
      </c>
    </row>
    <row r="11" spans="1:5" x14ac:dyDescent="0.3">
      <c r="A11">
        <v>1269</v>
      </c>
      <c r="B11">
        <v>4</v>
      </c>
      <c r="C11">
        <v>142</v>
      </c>
      <c r="D11">
        <v>1613</v>
      </c>
      <c r="E11">
        <v>-1</v>
      </c>
    </row>
    <row r="12" spans="1:5" x14ac:dyDescent="0.3">
      <c r="A12">
        <v>1150</v>
      </c>
      <c r="B12">
        <v>1</v>
      </c>
      <c r="C12">
        <v>137</v>
      </c>
      <c r="D12">
        <v>1619</v>
      </c>
      <c r="E12">
        <v>-1</v>
      </c>
    </row>
    <row r="13" spans="1:5" x14ac:dyDescent="0.3">
      <c r="A13">
        <v>1151</v>
      </c>
      <c r="B13">
        <v>1</v>
      </c>
      <c r="C13">
        <v>140</v>
      </c>
      <c r="D13">
        <v>1619</v>
      </c>
      <c r="E13">
        <v>-1</v>
      </c>
    </row>
    <row r="14" spans="1:5" x14ac:dyDescent="0.3">
      <c r="A14">
        <v>1138</v>
      </c>
      <c r="B14">
        <v>1</v>
      </c>
      <c r="C14">
        <v>137</v>
      </c>
      <c r="D14">
        <v>1622</v>
      </c>
      <c r="E14">
        <v>-1</v>
      </c>
    </row>
    <row r="15" spans="1:5" x14ac:dyDescent="0.3">
      <c r="A15">
        <v>1139</v>
      </c>
      <c r="B15">
        <v>1</v>
      </c>
      <c r="C15">
        <v>140</v>
      </c>
      <c r="D15">
        <v>1622</v>
      </c>
      <c r="E15">
        <v>-1</v>
      </c>
    </row>
    <row r="16" spans="1:5" x14ac:dyDescent="0.3">
      <c r="A16">
        <v>1140</v>
      </c>
      <c r="B16">
        <v>1</v>
      </c>
      <c r="C16">
        <v>141</v>
      </c>
      <c r="D16">
        <v>1622</v>
      </c>
      <c r="E16">
        <v>-1</v>
      </c>
    </row>
    <row r="17" spans="1:5" x14ac:dyDescent="0.3">
      <c r="A17">
        <v>1169</v>
      </c>
      <c r="B17">
        <v>2</v>
      </c>
      <c r="C17">
        <v>138</v>
      </c>
      <c r="D17">
        <v>1622</v>
      </c>
      <c r="E17">
        <v>-1</v>
      </c>
    </row>
    <row r="18" spans="1:5" x14ac:dyDescent="0.3">
      <c r="A18">
        <v>1146</v>
      </c>
      <c r="B18">
        <v>1</v>
      </c>
      <c r="C18">
        <v>142</v>
      </c>
      <c r="D18">
        <v>1623</v>
      </c>
      <c r="E18">
        <v>3</v>
      </c>
    </row>
    <row r="19" spans="1:5" x14ac:dyDescent="0.3">
      <c r="A19">
        <v>1226</v>
      </c>
      <c r="B19">
        <v>4</v>
      </c>
      <c r="C19">
        <v>138</v>
      </c>
      <c r="D19">
        <v>1649</v>
      </c>
      <c r="E19">
        <v>-1</v>
      </c>
    </row>
    <row r="20" spans="1:5" x14ac:dyDescent="0.3">
      <c r="A20">
        <v>1227</v>
      </c>
      <c r="B20">
        <v>4</v>
      </c>
      <c r="C20">
        <v>138</v>
      </c>
      <c r="D20">
        <v>1650</v>
      </c>
      <c r="E20">
        <v>-1</v>
      </c>
    </row>
    <row r="21" spans="1:5" x14ac:dyDescent="0.3">
      <c r="A21">
        <v>1228</v>
      </c>
      <c r="B21">
        <v>4</v>
      </c>
      <c r="C21">
        <v>140</v>
      </c>
      <c r="D21">
        <v>1650</v>
      </c>
      <c r="E21">
        <v>-1</v>
      </c>
    </row>
    <row r="22" spans="1:5" x14ac:dyDescent="0.3">
      <c r="A22">
        <v>1270</v>
      </c>
      <c r="B22">
        <v>4</v>
      </c>
      <c r="C22">
        <v>137</v>
      </c>
      <c r="D22">
        <v>1650</v>
      </c>
      <c r="E22">
        <v>-1</v>
      </c>
    </row>
    <row r="23" spans="1:5" x14ac:dyDescent="0.3">
      <c r="A23">
        <v>1271</v>
      </c>
      <c r="B23">
        <v>4</v>
      </c>
      <c r="C23">
        <v>141</v>
      </c>
      <c r="D23">
        <v>1650</v>
      </c>
      <c r="E23">
        <v>-1</v>
      </c>
    </row>
    <row r="24" spans="1:5" x14ac:dyDescent="0.3">
      <c r="A24">
        <v>1229</v>
      </c>
      <c r="B24">
        <v>4</v>
      </c>
      <c r="C24">
        <v>142</v>
      </c>
      <c r="D24">
        <v>1651</v>
      </c>
      <c r="E24">
        <v>-1</v>
      </c>
    </row>
    <row r="25" spans="1:5" x14ac:dyDescent="0.3">
      <c r="A25">
        <v>1230</v>
      </c>
      <c r="B25">
        <v>4</v>
      </c>
      <c r="C25">
        <v>141</v>
      </c>
      <c r="D25">
        <v>1653</v>
      </c>
      <c r="E25">
        <v>-1</v>
      </c>
    </row>
    <row r="26" spans="1:5" x14ac:dyDescent="0.3">
      <c r="A26">
        <v>1231</v>
      </c>
      <c r="B26">
        <v>4</v>
      </c>
      <c r="C26">
        <v>138</v>
      </c>
      <c r="D26">
        <v>1653</v>
      </c>
      <c r="E26">
        <v>-1</v>
      </c>
    </row>
    <row r="27" spans="1:5" x14ac:dyDescent="0.3">
      <c r="A27">
        <v>1232</v>
      </c>
      <c r="B27">
        <v>4</v>
      </c>
      <c r="C27">
        <v>138</v>
      </c>
      <c r="D27">
        <v>1654</v>
      </c>
      <c r="E27">
        <v>-1</v>
      </c>
    </row>
    <row r="28" spans="1:5" x14ac:dyDescent="0.3">
      <c r="A28">
        <v>1233</v>
      </c>
      <c r="B28">
        <v>4</v>
      </c>
      <c r="C28">
        <v>141</v>
      </c>
      <c r="D28">
        <v>1654</v>
      </c>
      <c r="E28">
        <v>-1</v>
      </c>
    </row>
    <row r="29" spans="1:5" x14ac:dyDescent="0.3">
      <c r="A29">
        <v>1234</v>
      </c>
      <c r="B29">
        <v>4</v>
      </c>
      <c r="C29">
        <v>137</v>
      </c>
      <c r="D29">
        <v>1655</v>
      </c>
      <c r="E29">
        <v>-1</v>
      </c>
    </row>
    <row r="30" spans="1:5" x14ac:dyDescent="0.3">
      <c r="A30">
        <v>1235</v>
      </c>
      <c r="B30">
        <v>4</v>
      </c>
      <c r="C30">
        <v>141</v>
      </c>
      <c r="D30">
        <v>1655</v>
      </c>
      <c r="E30">
        <v>-1</v>
      </c>
    </row>
    <row r="31" spans="1:5" x14ac:dyDescent="0.3">
      <c r="A31">
        <v>1236</v>
      </c>
      <c r="B31">
        <v>4</v>
      </c>
      <c r="C31">
        <v>138</v>
      </c>
      <c r="D31">
        <v>1656</v>
      </c>
      <c r="E31">
        <v>-1</v>
      </c>
    </row>
    <row r="32" spans="1:5" x14ac:dyDescent="0.3">
      <c r="A32">
        <v>1237</v>
      </c>
      <c r="B32">
        <v>4</v>
      </c>
      <c r="C32">
        <v>137</v>
      </c>
      <c r="D32">
        <v>1657</v>
      </c>
      <c r="E32">
        <v>-1</v>
      </c>
    </row>
    <row r="33" spans="1:5" x14ac:dyDescent="0.3">
      <c r="A33">
        <v>1238</v>
      </c>
      <c r="B33">
        <v>4</v>
      </c>
      <c r="C33">
        <v>138</v>
      </c>
      <c r="D33">
        <v>1657</v>
      </c>
      <c r="E33">
        <v>-1</v>
      </c>
    </row>
    <row r="34" spans="1:5" x14ac:dyDescent="0.3">
      <c r="A34">
        <v>1239</v>
      </c>
      <c r="B34">
        <v>4</v>
      </c>
      <c r="C34">
        <v>142</v>
      </c>
      <c r="D34">
        <v>1658</v>
      </c>
      <c r="E34">
        <v>-1</v>
      </c>
    </row>
    <row r="35" spans="1:5" x14ac:dyDescent="0.3">
      <c r="A35">
        <v>1240</v>
      </c>
      <c r="B35">
        <v>4</v>
      </c>
      <c r="C35">
        <v>138</v>
      </c>
      <c r="D35">
        <v>1659</v>
      </c>
      <c r="E35">
        <v>-1</v>
      </c>
    </row>
    <row r="36" spans="1:5" x14ac:dyDescent="0.3">
      <c r="A36">
        <v>1241</v>
      </c>
      <c r="B36">
        <v>4</v>
      </c>
      <c r="C36">
        <v>141</v>
      </c>
      <c r="D36">
        <v>1659</v>
      </c>
      <c r="E36">
        <v>-1</v>
      </c>
    </row>
    <row r="37" spans="1:5" x14ac:dyDescent="0.3">
      <c r="A37">
        <v>1242</v>
      </c>
      <c r="B37">
        <v>4</v>
      </c>
      <c r="C37">
        <v>141</v>
      </c>
      <c r="D37">
        <v>1660</v>
      </c>
      <c r="E37">
        <v>-1</v>
      </c>
    </row>
    <row r="38" spans="1:5" x14ac:dyDescent="0.3">
      <c r="A38">
        <v>1268</v>
      </c>
      <c r="B38">
        <v>4</v>
      </c>
      <c r="C38">
        <v>138</v>
      </c>
      <c r="D38">
        <v>1660</v>
      </c>
      <c r="E38">
        <v>-1</v>
      </c>
    </row>
    <row r="39" spans="1:5" x14ac:dyDescent="0.3">
      <c r="A39">
        <v>1156</v>
      </c>
      <c r="B39">
        <v>1</v>
      </c>
      <c r="C39">
        <v>137</v>
      </c>
      <c r="D39">
        <v>1596</v>
      </c>
      <c r="E39">
        <v>-1</v>
      </c>
    </row>
    <row r="40" spans="1:5" x14ac:dyDescent="0.3">
      <c r="A40">
        <v>1157</v>
      </c>
      <c r="B40">
        <v>1</v>
      </c>
      <c r="C40">
        <v>142</v>
      </c>
      <c r="D40">
        <v>1596</v>
      </c>
      <c r="E40">
        <v>-1</v>
      </c>
    </row>
    <row r="41" spans="1:5" x14ac:dyDescent="0.3">
      <c r="A41">
        <v>1174</v>
      </c>
      <c r="B41">
        <v>2</v>
      </c>
      <c r="C41">
        <v>141</v>
      </c>
      <c r="D41">
        <v>1596</v>
      </c>
      <c r="E41">
        <v>-1</v>
      </c>
    </row>
    <row r="42" spans="1:5" x14ac:dyDescent="0.3">
      <c r="A42">
        <v>1246</v>
      </c>
      <c r="B42">
        <v>3</v>
      </c>
      <c r="C42">
        <v>138</v>
      </c>
      <c r="D42">
        <v>1596</v>
      </c>
      <c r="E42">
        <v>-1</v>
      </c>
    </row>
    <row r="43" spans="1:5" x14ac:dyDescent="0.3">
      <c r="A43">
        <v>1247</v>
      </c>
      <c r="B43">
        <v>3</v>
      </c>
      <c r="C43">
        <v>140</v>
      </c>
      <c r="D43">
        <v>1596</v>
      </c>
      <c r="E43">
        <v>-1</v>
      </c>
    </row>
    <row r="44" spans="1:5" x14ac:dyDescent="0.3">
      <c r="A44">
        <v>1154</v>
      </c>
      <c r="B44">
        <v>1</v>
      </c>
      <c r="C44">
        <v>142</v>
      </c>
      <c r="D44">
        <v>1597</v>
      </c>
      <c r="E44">
        <v>-1</v>
      </c>
    </row>
    <row r="45" spans="1:5" x14ac:dyDescent="0.3">
      <c r="A45">
        <v>1155</v>
      </c>
      <c r="B45">
        <v>1</v>
      </c>
      <c r="C45">
        <v>140</v>
      </c>
      <c r="D45">
        <v>1597</v>
      </c>
      <c r="E45">
        <v>-1</v>
      </c>
    </row>
    <row r="46" spans="1:5" x14ac:dyDescent="0.3">
      <c r="A46">
        <v>1178</v>
      </c>
      <c r="B46">
        <v>2</v>
      </c>
      <c r="C46">
        <v>138</v>
      </c>
      <c r="D46">
        <v>1597</v>
      </c>
      <c r="E46">
        <v>-1</v>
      </c>
    </row>
    <row r="47" spans="1:5" x14ac:dyDescent="0.3">
      <c r="A47">
        <v>1179</v>
      </c>
      <c r="B47">
        <v>2</v>
      </c>
      <c r="C47">
        <v>137</v>
      </c>
      <c r="D47">
        <v>1597</v>
      </c>
      <c r="E47">
        <v>-1</v>
      </c>
    </row>
    <row r="48" spans="1:5" x14ac:dyDescent="0.3">
      <c r="A48">
        <v>1180</v>
      </c>
      <c r="B48">
        <v>2</v>
      </c>
      <c r="C48">
        <v>141</v>
      </c>
      <c r="D48">
        <v>1597</v>
      </c>
      <c r="E48">
        <v>-1</v>
      </c>
    </row>
    <row r="49" spans="1:5" x14ac:dyDescent="0.3">
      <c r="A49">
        <v>1152</v>
      </c>
      <c r="B49">
        <v>1</v>
      </c>
      <c r="C49">
        <v>137</v>
      </c>
      <c r="D49">
        <v>1600</v>
      </c>
      <c r="E49">
        <v>-1</v>
      </c>
    </row>
    <row r="50" spans="1:5" x14ac:dyDescent="0.3">
      <c r="A50">
        <v>1153</v>
      </c>
      <c r="B50">
        <v>1</v>
      </c>
      <c r="C50">
        <v>140</v>
      </c>
      <c r="D50">
        <v>1600</v>
      </c>
      <c r="E50">
        <v>-1</v>
      </c>
    </row>
    <row r="51" spans="1:5" x14ac:dyDescent="0.3">
      <c r="A51">
        <v>1243</v>
      </c>
      <c r="B51">
        <v>3</v>
      </c>
      <c r="C51">
        <v>138</v>
      </c>
      <c r="D51">
        <v>1600</v>
      </c>
      <c r="E51">
        <v>-1</v>
      </c>
    </row>
    <row r="52" spans="1:5" x14ac:dyDescent="0.3">
      <c r="A52">
        <v>1244</v>
      </c>
      <c r="B52">
        <v>3</v>
      </c>
      <c r="C52">
        <v>142</v>
      </c>
      <c r="D52">
        <v>1600</v>
      </c>
      <c r="E52">
        <v>-1</v>
      </c>
    </row>
    <row r="53" spans="1:5" x14ac:dyDescent="0.3">
      <c r="A53">
        <v>1245</v>
      </c>
      <c r="B53">
        <v>3</v>
      </c>
      <c r="C53">
        <v>141</v>
      </c>
      <c r="D53">
        <v>1600</v>
      </c>
      <c r="E53">
        <v>-1</v>
      </c>
    </row>
    <row r="54" spans="1:5" x14ac:dyDescent="0.3">
      <c r="A54">
        <v>1149</v>
      </c>
      <c r="B54">
        <v>1</v>
      </c>
      <c r="C54">
        <v>141</v>
      </c>
      <c r="D54">
        <v>1604</v>
      </c>
      <c r="E54">
        <v>-1</v>
      </c>
    </row>
    <row r="55" spans="1:5" x14ac:dyDescent="0.3">
      <c r="A55">
        <v>1175</v>
      </c>
      <c r="B55">
        <v>2</v>
      </c>
      <c r="C55">
        <v>137</v>
      </c>
      <c r="D55">
        <v>1604</v>
      </c>
      <c r="E55">
        <v>-1</v>
      </c>
    </row>
    <row r="56" spans="1:5" x14ac:dyDescent="0.3">
      <c r="A56">
        <v>1176</v>
      </c>
      <c r="B56">
        <v>2</v>
      </c>
      <c r="C56">
        <v>140</v>
      </c>
      <c r="D56">
        <v>1604</v>
      </c>
      <c r="E56">
        <v>-1</v>
      </c>
    </row>
    <row r="57" spans="1:5" x14ac:dyDescent="0.3">
      <c r="A57">
        <v>1248</v>
      </c>
      <c r="B57">
        <v>3</v>
      </c>
      <c r="C57">
        <v>138</v>
      </c>
      <c r="D57">
        <v>1604</v>
      </c>
      <c r="E57">
        <v>-1</v>
      </c>
    </row>
    <row r="58" spans="1:5" x14ac:dyDescent="0.3">
      <c r="A58">
        <v>1279</v>
      </c>
      <c r="B58">
        <v>4</v>
      </c>
      <c r="C58">
        <v>142</v>
      </c>
      <c r="D58">
        <v>1604</v>
      </c>
      <c r="E58">
        <v>-1</v>
      </c>
    </row>
    <row r="59" spans="1:5" x14ac:dyDescent="0.3">
      <c r="A59">
        <v>1251</v>
      </c>
      <c r="B59">
        <v>4</v>
      </c>
      <c r="C59">
        <v>138</v>
      </c>
      <c r="D59">
        <v>1661</v>
      </c>
      <c r="E59">
        <v>-1</v>
      </c>
    </row>
    <row r="60" spans="1:5" x14ac:dyDescent="0.3">
      <c r="A60">
        <v>1252</v>
      </c>
      <c r="B60">
        <v>4</v>
      </c>
      <c r="C60">
        <v>138</v>
      </c>
      <c r="D60">
        <v>1662</v>
      </c>
      <c r="E60">
        <v>-1</v>
      </c>
    </row>
    <row r="61" spans="1:5" x14ac:dyDescent="0.3">
      <c r="A61">
        <v>1253</v>
      </c>
      <c r="B61">
        <v>4</v>
      </c>
      <c r="C61">
        <v>140</v>
      </c>
      <c r="D61">
        <v>1662</v>
      </c>
      <c r="E61">
        <v>-1</v>
      </c>
    </row>
    <row r="62" spans="1:5" x14ac:dyDescent="0.3">
      <c r="A62">
        <v>1254</v>
      </c>
      <c r="B62">
        <v>4</v>
      </c>
      <c r="C62">
        <v>142</v>
      </c>
      <c r="D62">
        <v>1663</v>
      </c>
      <c r="E62">
        <v>-1</v>
      </c>
    </row>
    <row r="63" spans="1:5" x14ac:dyDescent="0.3">
      <c r="A63">
        <v>1275</v>
      </c>
      <c r="B63">
        <v>4</v>
      </c>
      <c r="C63">
        <v>138</v>
      </c>
      <c r="D63">
        <v>1663</v>
      </c>
      <c r="E63">
        <v>-1</v>
      </c>
    </row>
    <row r="64" spans="1:5" x14ac:dyDescent="0.3">
      <c r="A64">
        <v>1276</v>
      </c>
      <c r="B64">
        <v>4</v>
      </c>
      <c r="C64">
        <v>137</v>
      </c>
      <c r="D64">
        <v>1663</v>
      </c>
      <c r="E64">
        <v>-1</v>
      </c>
    </row>
    <row r="65" spans="1:5" x14ac:dyDescent="0.3">
      <c r="A65">
        <v>1277</v>
      </c>
      <c r="B65">
        <v>4</v>
      </c>
      <c r="C65">
        <v>140</v>
      </c>
      <c r="D65">
        <v>1663</v>
      </c>
      <c r="E65">
        <v>-1</v>
      </c>
    </row>
    <row r="66" spans="1:5" x14ac:dyDescent="0.3">
      <c r="A66">
        <v>1278</v>
      </c>
      <c r="B66">
        <v>4</v>
      </c>
      <c r="C66">
        <v>141</v>
      </c>
      <c r="D66">
        <v>1663</v>
      </c>
      <c r="E66">
        <v>-1</v>
      </c>
    </row>
    <row r="67" spans="1:5" x14ac:dyDescent="0.3">
      <c r="A67">
        <v>1255</v>
      </c>
      <c r="B67">
        <v>4</v>
      </c>
      <c r="C67">
        <v>141</v>
      </c>
      <c r="D67">
        <v>1665</v>
      </c>
      <c r="E67">
        <v>-1</v>
      </c>
    </row>
    <row r="68" spans="1:5" x14ac:dyDescent="0.3">
      <c r="A68">
        <v>1256</v>
      </c>
      <c r="B68">
        <v>4</v>
      </c>
      <c r="C68">
        <v>138</v>
      </c>
      <c r="D68">
        <v>1665</v>
      </c>
      <c r="E68">
        <v>-1</v>
      </c>
    </row>
    <row r="69" spans="1:5" x14ac:dyDescent="0.3">
      <c r="A69">
        <v>1257</v>
      </c>
      <c r="B69">
        <v>4</v>
      </c>
      <c r="C69">
        <v>138</v>
      </c>
      <c r="D69">
        <v>1666</v>
      </c>
      <c r="E69">
        <v>-1</v>
      </c>
    </row>
    <row r="70" spans="1:5" x14ac:dyDescent="0.3">
      <c r="A70">
        <v>1258</v>
      </c>
      <c r="B70">
        <v>4</v>
      </c>
      <c r="C70">
        <v>141</v>
      </c>
      <c r="D70">
        <v>1666</v>
      </c>
      <c r="E70">
        <v>-1</v>
      </c>
    </row>
    <row r="71" spans="1:5" x14ac:dyDescent="0.3">
      <c r="A71">
        <v>1259</v>
      </c>
      <c r="B71">
        <v>4</v>
      </c>
      <c r="C71">
        <v>137</v>
      </c>
      <c r="D71">
        <v>1667</v>
      </c>
      <c r="E71">
        <v>-1</v>
      </c>
    </row>
    <row r="72" spans="1:5" x14ac:dyDescent="0.3">
      <c r="A72">
        <v>1260</v>
      </c>
      <c r="B72">
        <v>4</v>
      </c>
      <c r="C72">
        <v>141</v>
      </c>
      <c r="D72">
        <v>1667</v>
      </c>
      <c r="E72">
        <v>-1</v>
      </c>
    </row>
    <row r="73" spans="1:5" x14ac:dyDescent="0.3">
      <c r="A73">
        <v>1261</v>
      </c>
      <c r="B73">
        <v>4</v>
      </c>
      <c r="C73">
        <v>138</v>
      </c>
      <c r="D73">
        <v>1668</v>
      </c>
      <c r="E73">
        <v>-1</v>
      </c>
    </row>
    <row r="74" spans="1:5" x14ac:dyDescent="0.3">
      <c r="A74">
        <v>1262</v>
      </c>
      <c r="B74">
        <v>4</v>
      </c>
      <c r="C74">
        <v>137</v>
      </c>
      <c r="D74">
        <v>1669</v>
      </c>
      <c r="E74">
        <v>-1</v>
      </c>
    </row>
    <row r="75" spans="1:5" x14ac:dyDescent="0.3">
      <c r="A75">
        <v>1263</v>
      </c>
      <c r="B75">
        <v>4</v>
      </c>
      <c r="C75">
        <v>138</v>
      </c>
      <c r="D75">
        <v>1669</v>
      </c>
      <c r="E75">
        <v>-1</v>
      </c>
    </row>
    <row r="76" spans="1:5" x14ac:dyDescent="0.3">
      <c r="A76">
        <v>1264</v>
      </c>
      <c r="B76">
        <v>4</v>
      </c>
      <c r="C76">
        <v>142</v>
      </c>
      <c r="D76">
        <v>1670</v>
      </c>
      <c r="E76">
        <v>-1</v>
      </c>
    </row>
    <row r="77" spans="1:5" x14ac:dyDescent="0.3">
      <c r="A77">
        <v>1265</v>
      </c>
      <c r="B77">
        <v>4</v>
      </c>
      <c r="C77">
        <v>138</v>
      </c>
      <c r="D77">
        <v>1671</v>
      </c>
      <c r="E77">
        <v>-1</v>
      </c>
    </row>
    <row r="78" spans="1:5" x14ac:dyDescent="0.3">
      <c r="A78">
        <v>1266</v>
      </c>
      <c r="B78">
        <v>4</v>
      </c>
      <c r="C78">
        <v>141</v>
      </c>
      <c r="D78">
        <v>1671</v>
      </c>
      <c r="E78">
        <v>-1</v>
      </c>
    </row>
    <row r="79" spans="1:5" x14ac:dyDescent="0.3">
      <c r="A79">
        <v>1267</v>
      </c>
      <c r="B79">
        <v>4</v>
      </c>
      <c r="C79">
        <v>141</v>
      </c>
      <c r="D79">
        <v>1672</v>
      </c>
      <c r="E79">
        <v>-1</v>
      </c>
    </row>
    <row r="80" spans="1:5" x14ac:dyDescent="0.3">
      <c r="A80">
        <v>1142</v>
      </c>
      <c r="B80">
        <v>1</v>
      </c>
      <c r="C80">
        <v>137</v>
      </c>
      <c r="D80">
        <v>1566</v>
      </c>
      <c r="E80">
        <v>-1</v>
      </c>
    </row>
    <row r="81" spans="1:5" x14ac:dyDescent="0.3">
      <c r="A81">
        <v>1143</v>
      </c>
      <c r="B81">
        <v>1</v>
      </c>
      <c r="C81">
        <v>142</v>
      </c>
      <c r="D81">
        <v>1566</v>
      </c>
      <c r="E81">
        <v>-1</v>
      </c>
    </row>
    <row r="82" spans="1:5" x14ac:dyDescent="0.3">
      <c r="A82">
        <v>1144</v>
      </c>
      <c r="B82">
        <v>1</v>
      </c>
      <c r="C82">
        <v>140</v>
      </c>
      <c r="D82">
        <v>1566</v>
      </c>
      <c r="E82">
        <v>-1</v>
      </c>
    </row>
    <row r="83" spans="1:5" x14ac:dyDescent="0.3">
      <c r="A83">
        <v>1145</v>
      </c>
      <c r="B83">
        <v>1</v>
      </c>
      <c r="C83">
        <v>141</v>
      </c>
      <c r="D83">
        <v>1566</v>
      </c>
      <c r="E83">
        <v>-1</v>
      </c>
    </row>
    <row r="84" spans="1:5" x14ac:dyDescent="0.3">
      <c r="A84">
        <v>1168</v>
      </c>
      <c r="B84">
        <v>2</v>
      </c>
      <c r="C84">
        <v>138</v>
      </c>
      <c r="D84">
        <v>1566</v>
      </c>
      <c r="E84">
        <v>-1</v>
      </c>
    </row>
    <row r="85" spans="1:5" x14ac:dyDescent="0.3">
      <c r="A85">
        <v>1135</v>
      </c>
      <c r="B85">
        <v>1</v>
      </c>
      <c r="C85">
        <v>142</v>
      </c>
      <c r="D85">
        <v>1567</v>
      </c>
      <c r="E85">
        <v>-1</v>
      </c>
    </row>
    <row r="86" spans="1:5" x14ac:dyDescent="0.3">
      <c r="A86">
        <v>1136</v>
      </c>
      <c r="B86">
        <v>1</v>
      </c>
      <c r="C86">
        <v>140</v>
      </c>
      <c r="D86">
        <v>1567</v>
      </c>
      <c r="E86">
        <v>-1</v>
      </c>
    </row>
    <row r="87" spans="1:5" x14ac:dyDescent="0.3">
      <c r="A87">
        <v>1137</v>
      </c>
      <c r="B87">
        <v>1</v>
      </c>
      <c r="C87">
        <v>141</v>
      </c>
      <c r="D87">
        <v>1567</v>
      </c>
      <c r="E87">
        <v>-1</v>
      </c>
    </row>
    <row r="88" spans="1:5" x14ac:dyDescent="0.3">
      <c r="A88">
        <v>1186</v>
      </c>
      <c r="B88">
        <v>3</v>
      </c>
      <c r="C88">
        <v>138</v>
      </c>
      <c r="D88">
        <v>1567</v>
      </c>
      <c r="E88">
        <v>-1</v>
      </c>
    </row>
    <row r="89" spans="1:5" x14ac:dyDescent="0.3">
      <c r="A89">
        <v>1187</v>
      </c>
      <c r="B89">
        <v>3</v>
      </c>
      <c r="C89">
        <v>137</v>
      </c>
      <c r="D89">
        <v>1567</v>
      </c>
      <c r="E89">
        <v>-1</v>
      </c>
    </row>
    <row r="90" spans="1:5" x14ac:dyDescent="0.3">
      <c r="A90">
        <v>1166</v>
      </c>
      <c r="B90">
        <v>2</v>
      </c>
      <c r="C90">
        <v>142</v>
      </c>
      <c r="D90">
        <v>1568</v>
      </c>
      <c r="E90">
        <v>-1</v>
      </c>
    </row>
    <row r="91" spans="1:5" x14ac:dyDescent="0.3">
      <c r="A91">
        <v>1167</v>
      </c>
      <c r="B91">
        <v>2</v>
      </c>
      <c r="C91">
        <v>140</v>
      </c>
      <c r="D91">
        <v>1568</v>
      </c>
      <c r="E91">
        <v>-1</v>
      </c>
    </row>
    <row r="92" spans="1:5" x14ac:dyDescent="0.3">
      <c r="A92">
        <v>1188</v>
      </c>
      <c r="B92">
        <v>3</v>
      </c>
      <c r="C92">
        <v>138</v>
      </c>
      <c r="D92">
        <v>1568</v>
      </c>
      <c r="E92">
        <v>-1</v>
      </c>
    </row>
    <row r="93" spans="1:5" x14ac:dyDescent="0.3">
      <c r="A93">
        <v>1189</v>
      </c>
      <c r="B93">
        <v>3</v>
      </c>
      <c r="C93">
        <v>141</v>
      </c>
      <c r="D93">
        <v>1568</v>
      </c>
      <c r="E93">
        <v>-1</v>
      </c>
    </row>
    <row r="94" spans="1:5" x14ac:dyDescent="0.3">
      <c r="A94">
        <v>1129</v>
      </c>
      <c r="B94">
        <v>1</v>
      </c>
      <c r="C94">
        <v>137</v>
      </c>
      <c r="D94">
        <v>1577</v>
      </c>
      <c r="E94">
        <v>-1</v>
      </c>
    </row>
    <row r="95" spans="1:5" x14ac:dyDescent="0.3">
      <c r="A95">
        <v>1130</v>
      </c>
      <c r="B95">
        <v>1</v>
      </c>
      <c r="C95">
        <v>140</v>
      </c>
      <c r="D95">
        <v>1577</v>
      </c>
      <c r="E95">
        <v>-1</v>
      </c>
    </row>
    <row r="96" spans="1:5" x14ac:dyDescent="0.3">
      <c r="A96">
        <v>1131</v>
      </c>
      <c r="B96">
        <v>1</v>
      </c>
      <c r="C96">
        <v>141</v>
      </c>
      <c r="D96">
        <v>1577</v>
      </c>
      <c r="E96">
        <v>-1</v>
      </c>
    </row>
    <row r="97" spans="1:5" x14ac:dyDescent="0.3">
      <c r="A97">
        <v>1162</v>
      </c>
      <c r="B97">
        <v>2</v>
      </c>
      <c r="C97">
        <v>138</v>
      </c>
      <c r="D97">
        <v>1577</v>
      </c>
      <c r="E97">
        <v>-1</v>
      </c>
    </row>
    <row r="98" spans="1:5" x14ac:dyDescent="0.3">
      <c r="A98">
        <v>1163</v>
      </c>
      <c r="B98">
        <v>2</v>
      </c>
      <c r="C98">
        <v>142</v>
      </c>
      <c r="D98">
        <v>1577</v>
      </c>
      <c r="E98">
        <v>-1</v>
      </c>
    </row>
    <row r="99" spans="1:5" x14ac:dyDescent="0.3">
      <c r="A99">
        <v>1132</v>
      </c>
      <c r="B99">
        <v>1</v>
      </c>
      <c r="C99">
        <v>142</v>
      </c>
      <c r="D99">
        <v>1578</v>
      </c>
      <c r="E99">
        <v>-1</v>
      </c>
    </row>
    <row r="100" spans="1:5" x14ac:dyDescent="0.3">
      <c r="A100">
        <v>1209</v>
      </c>
      <c r="B100">
        <v>4</v>
      </c>
      <c r="C100">
        <v>138</v>
      </c>
      <c r="D100">
        <v>1637</v>
      </c>
      <c r="E100">
        <v>-1</v>
      </c>
    </row>
    <row r="101" spans="1:5" x14ac:dyDescent="0.3">
      <c r="A101">
        <v>1272</v>
      </c>
      <c r="B101">
        <v>4</v>
      </c>
      <c r="C101">
        <v>137</v>
      </c>
      <c r="D101">
        <v>1637</v>
      </c>
      <c r="E101">
        <v>-1</v>
      </c>
    </row>
    <row r="102" spans="1:5" x14ac:dyDescent="0.3">
      <c r="A102">
        <v>1210</v>
      </c>
      <c r="B102">
        <v>4</v>
      </c>
      <c r="C102">
        <v>138</v>
      </c>
      <c r="D102">
        <v>1638</v>
      </c>
      <c r="E102">
        <v>-1</v>
      </c>
    </row>
    <row r="103" spans="1:5" x14ac:dyDescent="0.3">
      <c r="A103">
        <v>1211</v>
      </c>
      <c r="B103">
        <v>4</v>
      </c>
      <c r="C103">
        <v>140</v>
      </c>
      <c r="D103">
        <v>1638</v>
      </c>
      <c r="E103">
        <v>-1</v>
      </c>
    </row>
    <row r="104" spans="1:5" x14ac:dyDescent="0.3">
      <c r="A104">
        <v>1212</v>
      </c>
      <c r="B104">
        <v>4</v>
      </c>
      <c r="C104">
        <v>142</v>
      </c>
      <c r="D104">
        <v>1639</v>
      </c>
      <c r="E104">
        <v>-1</v>
      </c>
    </row>
    <row r="105" spans="1:5" x14ac:dyDescent="0.3">
      <c r="A105">
        <v>1213</v>
      </c>
      <c r="B105">
        <v>4</v>
      </c>
      <c r="C105">
        <v>141</v>
      </c>
      <c r="D105">
        <v>1641</v>
      </c>
      <c r="E105">
        <v>-1</v>
      </c>
    </row>
    <row r="106" spans="1:5" x14ac:dyDescent="0.3">
      <c r="A106">
        <v>1214</v>
      </c>
      <c r="B106">
        <v>4</v>
      </c>
      <c r="C106">
        <v>138</v>
      </c>
      <c r="D106">
        <v>1641</v>
      </c>
      <c r="E106">
        <v>-1</v>
      </c>
    </row>
    <row r="107" spans="1:5" x14ac:dyDescent="0.3">
      <c r="A107">
        <v>1215</v>
      </c>
      <c r="B107">
        <v>4</v>
      </c>
      <c r="C107">
        <v>138</v>
      </c>
      <c r="D107">
        <v>1642</v>
      </c>
      <c r="E107">
        <v>-1</v>
      </c>
    </row>
    <row r="108" spans="1:5" x14ac:dyDescent="0.3">
      <c r="A108">
        <v>1216</v>
      </c>
      <c r="B108">
        <v>4</v>
      </c>
      <c r="C108">
        <v>141</v>
      </c>
      <c r="D108">
        <v>1642</v>
      </c>
      <c r="E108">
        <v>-1</v>
      </c>
    </row>
    <row r="109" spans="1:5" x14ac:dyDescent="0.3">
      <c r="A109">
        <v>1217</v>
      </c>
      <c r="B109">
        <v>4</v>
      </c>
      <c r="C109">
        <v>137</v>
      </c>
      <c r="D109">
        <v>1643</v>
      </c>
      <c r="E109">
        <v>-1</v>
      </c>
    </row>
    <row r="110" spans="1:5" x14ac:dyDescent="0.3">
      <c r="A110">
        <v>1218</v>
      </c>
      <c r="B110">
        <v>4</v>
      </c>
      <c r="C110">
        <v>141</v>
      </c>
      <c r="D110">
        <v>1643</v>
      </c>
      <c r="E110">
        <v>-1</v>
      </c>
    </row>
    <row r="111" spans="1:5" x14ac:dyDescent="0.3">
      <c r="A111">
        <v>1273</v>
      </c>
      <c r="B111">
        <v>4</v>
      </c>
      <c r="C111">
        <v>138</v>
      </c>
      <c r="D111">
        <v>1643</v>
      </c>
      <c r="E111">
        <v>-1</v>
      </c>
    </row>
    <row r="112" spans="1:5" x14ac:dyDescent="0.3">
      <c r="A112">
        <v>1274</v>
      </c>
      <c r="B112">
        <v>4</v>
      </c>
      <c r="C112">
        <v>140</v>
      </c>
      <c r="D112">
        <v>1643</v>
      </c>
      <c r="E112">
        <v>-1</v>
      </c>
    </row>
    <row r="113" spans="1:5" x14ac:dyDescent="0.3">
      <c r="A113">
        <v>1219</v>
      </c>
      <c r="B113">
        <v>4</v>
      </c>
      <c r="C113">
        <v>138</v>
      </c>
      <c r="D113">
        <v>1644</v>
      </c>
      <c r="E113">
        <v>-1</v>
      </c>
    </row>
    <row r="114" spans="1:5" x14ac:dyDescent="0.3">
      <c r="A114">
        <v>1220</v>
      </c>
      <c r="B114">
        <v>4</v>
      </c>
      <c r="C114">
        <v>137</v>
      </c>
      <c r="D114">
        <v>1645</v>
      </c>
      <c r="E114">
        <v>-1</v>
      </c>
    </row>
    <row r="115" spans="1:5" x14ac:dyDescent="0.3">
      <c r="A115">
        <v>1221</v>
      </c>
      <c r="B115">
        <v>4</v>
      </c>
      <c r="C115">
        <v>138</v>
      </c>
      <c r="D115">
        <v>1645</v>
      </c>
      <c r="E115">
        <v>-1</v>
      </c>
    </row>
    <row r="116" spans="1:5" x14ac:dyDescent="0.3">
      <c r="A116">
        <v>1222</v>
      </c>
      <c r="B116">
        <v>4</v>
      </c>
      <c r="C116">
        <v>142</v>
      </c>
      <c r="D116">
        <v>1646</v>
      </c>
      <c r="E116">
        <v>-1</v>
      </c>
    </row>
    <row r="117" spans="1:5" x14ac:dyDescent="0.3">
      <c r="A117">
        <v>1223</v>
      </c>
      <c r="B117">
        <v>4</v>
      </c>
      <c r="C117">
        <v>138</v>
      </c>
      <c r="D117">
        <v>1647</v>
      </c>
      <c r="E117">
        <v>-1</v>
      </c>
    </row>
    <row r="118" spans="1:5" x14ac:dyDescent="0.3">
      <c r="A118">
        <v>1224</v>
      </c>
      <c r="B118">
        <v>4</v>
      </c>
      <c r="C118">
        <v>141</v>
      </c>
      <c r="D118">
        <v>1647</v>
      </c>
      <c r="E118">
        <v>-1</v>
      </c>
    </row>
    <row r="119" spans="1:5" x14ac:dyDescent="0.3">
      <c r="A119">
        <v>1225</v>
      </c>
      <c r="B119">
        <v>4</v>
      </c>
      <c r="C119">
        <v>141</v>
      </c>
      <c r="D119">
        <v>1648</v>
      </c>
      <c r="E119">
        <v>-1</v>
      </c>
    </row>
    <row r="120" spans="1:5" x14ac:dyDescent="0.3">
      <c r="A120">
        <v>1164</v>
      </c>
      <c r="B120">
        <v>2</v>
      </c>
      <c r="C120">
        <v>138</v>
      </c>
      <c r="D120">
        <v>1583</v>
      </c>
      <c r="E120">
        <v>-1</v>
      </c>
    </row>
    <row r="121" spans="1:5" x14ac:dyDescent="0.3">
      <c r="A121">
        <v>1165</v>
      </c>
      <c r="B121">
        <v>2</v>
      </c>
      <c r="C121">
        <v>141</v>
      </c>
      <c r="D121">
        <v>1583</v>
      </c>
      <c r="E121">
        <v>-1</v>
      </c>
    </row>
    <row r="122" spans="1:5" x14ac:dyDescent="0.3">
      <c r="A122">
        <v>1182</v>
      </c>
      <c r="B122">
        <v>3</v>
      </c>
      <c r="C122">
        <v>137</v>
      </c>
      <c r="D122">
        <v>1583</v>
      </c>
      <c r="E122">
        <v>-1</v>
      </c>
    </row>
    <row r="123" spans="1:5" x14ac:dyDescent="0.3">
      <c r="A123">
        <v>1183</v>
      </c>
      <c r="B123">
        <v>3</v>
      </c>
      <c r="C123">
        <v>142</v>
      </c>
      <c r="D123">
        <v>1583</v>
      </c>
      <c r="E123">
        <v>-1</v>
      </c>
    </row>
    <row r="124" spans="1:5" x14ac:dyDescent="0.3">
      <c r="A124">
        <v>1184</v>
      </c>
      <c r="B124">
        <v>3</v>
      </c>
      <c r="C124">
        <v>140</v>
      </c>
      <c r="D124">
        <v>1583</v>
      </c>
      <c r="E124">
        <v>-1</v>
      </c>
    </row>
    <row r="125" spans="1:5" x14ac:dyDescent="0.3">
      <c r="A125">
        <v>1126</v>
      </c>
      <c r="B125">
        <v>1</v>
      </c>
      <c r="C125">
        <v>137</v>
      </c>
      <c r="D125">
        <v>1586</v>
      </c>
      <c r="E125">
        <v>-1</v>
      </c>
    </row>
    <row r="126" spans="1:5" x14ac:dyDescent="0.3">
      <c r="A126">
        <v>1127</v>
      </c>
      <c r="B126">
        <v>1</v>
      </c>
      <c r="C126">
        <v>140</v>
      </c>
      <c r="D126">
        <v>1586</v>
      </c>
      <c r="E126">
        <v>-1</v>
      </c>
    </row>
    <row r="127" spans="1:5" x14ac:dyDescent="0.3">
      <c r="A127">
        <v>1158</v>
      </c>
      <c r="B127">
        <v>2</v>
      </c>
      <c r="C127">
        <v>142</v>
      </c>
      <c r="D127">
        <v>1586</v>
      </c>
      <c r="E127">
        <v>-1</v>
      </c>
    </row>
    <row r="128" spans="1:5" x14ac:dyDescent="0.3">
      <c r="A128">
        <v>1181</v>
      </c>
      <c r="B128">
        <v>3</v>
      </c>
      <c r="C128">
        <v>141</v>
      </c>
      <c r="D128">
        <v>1586</v>
      </c>
      <c r="E128">
        <v>-1</v>
      </c>
    </row>
    <row r="129" spans="1:5" x14ac:dyDescent="0.3">
      <c r="A129">
        <v>1133</v>
      </c>
      <c r="B129">
        <v>1</v>
      </c>
      <c r="C129">
        <v>137</v>
      </c>
      <c r="D129">
        <v>1587</v>
      </c>
      <c r="E129">
        <v>-1</v>
      </c>
    </row>
    <row r="130" spans="1:5" x14ac:dyDescent="0.3">
      <c r="A130">
        <v>1134</v>
      </c>
      <c r="B130">
        <v>1</v>
      </c>
      <c r="C130">
        <v>141</v>
      </c>
      <c r="D130">
        <v>1587</v>
      </c>
      <c r="E130">
        <v>-1</v>
      </c>
    </row>
    <row r="131" spans="1:5" x14ac:dyDescent="0.3">
      <c r="A131">
        <v>1177</v>
      </c>
      <c r="B131">
        <v>3</v>
      </c>
      <c r="C131">
        <v>138</v>
      </c>
      <c r="D131">
        <v>1587</v>
      </c>
      <c r="E131">
        <v>-1</v>
      </c>
    </row>
    <row r="132" spans="1:5" x14ac:dyDescent="0.3">
      <c r="A132">
        <v>1249</v>
      </c>
      <c r="B132">
        <v>4</v>
      </c>
      <c r="C132">
        <v>140</v>
      </c>
      <c r="D132">
        <v>1587</v>
      </c>
      <c r="E132">
        <v>-1</v>
      </c>
    </row>
    <row r="133" spans="1:5" x14ac:dyDescent="0.3">
      <c r="A133">
        <v>1128</v>
      </c>
      <c r="B133">
        <v>1</v>
      </c>
      <c r="C133">
        <v>142</v>
      </c>
      <c r="D133">
        <v>1593</v>
      </c>
      <c r="E133">
        <v>-1</v>
      </c>
    </row>
    <row r="134" spans="1:5" x14ac:dyDescent="0.3">
      <c r="A134">
        <v>1161</v>
      </c>
      <c r="B134">
        <v>2</v>
      </c>
      <c r="C134">
        <v>141</v>
      </c>
      <c r="D134">
        <v>1593</v>
      </c>
      <c r="E134">
        <v>-1</v>
      </c>
    </row>
    <row r="135" spans="1:5" x14ac:dyDescent="0.3">
      <c r="A135">
        <v>1185</v>
      </c>
      <c r="B135">
        <v>3</v>
      </c>
      <c r="C135">
        <v>137</v>
      </c>
      <c r="D135">
        <v>1593</v>
      </c>
      <c r="E135">
        <v>-1</v>
      </c>
    </row>
    <row r="136" spans="1:5" x14ac:dyDescent="0.3">
      <c r="A136">
        <v>1250</v>
      </c>
      <c r="B136">
        <v>4</v>
      </c>
      <c r="C136">
        <v>140</v>
      </c>
      <c r="D136">
        <v>1593</v>
      </c>
      <c r="E136">
        <v>-1</v>
      </c>
    </row>
    <row r="137" spans="1:5" x14ac:dyDescent="0.3">
      <c r="A137">
        <v>1123</v>
      </c>
      <c r="B137">
        <v>1</v>
      </c>
      <c r="C137">
        <v>138</v>
      </c>
      <c r="D137">
        <v>1594</v>
      </c>
      <c r="E137">
        <v>-1</v>
      </c>
    </row>
    <row r="138" spans="1:5" x14ac:dyDescent="0.3">
      <c r="A138">
        <v>1124</v>
      </c>
      <c r="B138">
        <v>1</v>
      </c>
      <c r="C138">
        <v>142</v>
      </c>
      <c r="D138">
        <v>1594</v>
      </c>
      <c r="E138">
        <v>-1</v>
      </c>
    </row>
    <row r="139" spans="1:5" x14ac:dyDescent="0.3">
      <c r="A139">
        <v>1125</v>
      </c>
      <c r="B139">
        <v>1</v>
      </c>
      <c r="C139">
        <v>141</v>
      </c>
      <c r="D139">
        <v>1594</v>
      </c>
      <c r="E139">
        <v>-1</v>
      </c>
    </row>
    <row r="140" spans="1:5" x14ac:dyDescent="0.3">
      <c r="A140">
        <v>1159</v>
      </c>
      <c r="B140">
        <v>2</v>
      </c>
      <c r="C140">
        <v>137</v>
      </c>
      <c r="D140">
        <v>1594</v>
      </c>
      <c r="E140">
        <v>-1</v>
      </c>
    </row>
    <row r="141" spans="1:5" x14ac:dyDescent="0.3">
      <c r="A141">
        <v>1160</v>
      </c>
      <c r="B141">
        <v>2</v>
      </c>
      <c r="C141">
        <v>140</v>
      </c>
      <c r="D141">
        <v>1594</v>
      </c>
      <c r="E141">
        <v>-1</v>
      </c>
    </row>
    <row r="142" spans="1:5" x14ac:dyDescent="0.3">
      <c r="A142">
        <v>1192</v>
      </c>
      <c r="B142">
        <v>4</v>
      </c>
      <c r="C142">
        <v>138</v>
      </c>
      <c r="D142">
        <v>1625</v>
      </c>
      <c r="E142">
        <v>-1</v>
      </c>
    </row>
    <row r="143" spans="1:5" x14ac:dyDescent="0.3">
      <c r="A143">
        <v>1193</v>
      </c>
      <c r="B143">
        <v>4</v>
      </c>
      <c r="C143">
        <v>138</v>
      </c>
      <c r="D143">
        <v>1626</v>
      </c>
      <c r="E143">
        <v>-1</v>
      </c>
    </row>
    <row r="144" spans="1:5" x14ac:dyDescent="0.3">
      <c r="A144">
        <v>1194</v>
      </c>
      <c r="B144">
        <v>4</v>
      </c>
      <c r="C144">
        <v>140</v>
      </c>
      <c r="D144">
        <v>1626</v>
      </c>
      <c r="E144">
        <v>-1</v>
      </c>
    </row>
    <row r="145" spans="1:5" x14ac:dyDescent="0.3">
      <c r="A145">
        <v>1195</v>
      </c>
      <c r="B145">
        <v>4</v>
      </c>
      <c r="C145">
        <v>142</v>
      </c>
      <c r="D145">
        <v>1627</v>
      </c>
      <c r="E145">
        <v>-1</v>
      </c>
    </row>
    <row r="146" spans="1:5" x14ac:dyDescent="0.3">
      <c r="A146">
        <v>1196</v>
      </c>
      <c r="B146">
        <v>4</v>
      </c>
      <c r="C146">
        <v>141</v>
      </c>
      <c r="D146">
        <v>1629</v>
      </c>
      <c r="E146">
        <v>-1</v>
      </c>
    </row>
    <row r="147" spans="1:5" x14ac:dyDescent="0.3">
      <c r="A147">
        <v>1197</v>
      </c>
      <c r="B147">
        <v>4</v>
      </c>
      <c r="C147">
        <v>138</v>
      </c>
      <c r="D147">
        <v>1629</v>
      </c>
      <c r="E147">
        <v>-1</v>
      </c>
    </row>
    <row r="148" spans="1:5" x14ac:dyDescent="0.3">
      <c r="A148">
        <v>1198</v>
      </c>
      <c r="B148">
        <v>4</v>
      </c>
      <c r="C148">
        <v>138</v>
      </c>
      <c r="D148">
        <v>1630</v>
      </c>
      <c r="E148">
        <v>-1</v>
      </c>
    </row>
    <row r="149" spans="1:5" x14ac:dyDescent="0.3">
      <c r="A149">
        <v>1199</v>
      </c>
      <c r="B149">
        <v>4</v>
      </c>
      <c r="C149">
        <v>141</v>
      </c>
      <c r="D149">
        <v>1630</v>
      </c>
      <c r="E149">
        <v>-1</v>
      </c>
    </row>
    <row r="150" spans="1:5" x14ac:dyDescent="0.3">
      <c r="A150">
        <v>1200</v>
      </c>
      <c r="B150">
        <v>4</v>
      </c>
      <c r="C150">
        <v>137</v>
      </c>
      <c r="D150">
        <v>1631</v>
      </c>
      <c r="E150">
        <v>-1</v>
      </c>
    </row>
    <row r="151" spans="1:5" x14ac:dyDescent="0.3">
      <c r="A151">
        <v>1201</v>
      </c>
      <c r="B151">
        <v>4</v>
      </c>
      <c r="C151">
        <v>141</v>
      </c>
      <c r="D151">
        <v>1631</v>
      </c>
      <c r="E151">
        <v>-1</v>
      </c>
    </row>
    <row r="152" spans="1:5" x14ac:dyDescent="0.3">
      <c r="A152">
        <v>1202</v>
      </c>
      <c r="B152">
        <v>4</v>
      </c>
      <c r="C152">
        <v>138</v>
      </c>
      <c r="D152">
        <v>1632</v>
      </c>
      <c r="E152">
        <v>-1</v>
      </c>
    </row>
    <row r="153" spans="1:5" x14ac:dyDescent="0.3">
      <c r="A153">
        <v>1203</v>
      </c>
      <c r="B153">
        <v>4</v>
      </c>
      <c r="C153">
        <v>137</v>
      </c>
      <c r="D153">
        <v>1633</v>
      </c>
      <c r="E153">
        <v>-1</v>
      </c>
    </row>
    <row r="154" spans="1:5" x14ac:dyDescent="0.3">
      <c r="A154">
        <v>1204</v>
      </c>
      <c r="B154">
        <v>4</v>
      </c>
      <c r="C154">
        <v>138</v>
      </c>
      <c r="D154">
        <v>1633</v>
      </c>
      <c r="E154">
        <v>-1</v>
      </c>
    </row>
    <row r="155" spans="1:5" x14ac:dyDescent="0.3">
      <c r="A155">
        <v>1205</v>
      </c>
      <c r="B155">
        <v>4</v>
      </c>
      <c r="C155">
        <v>142</v>
      </c>
      <c r="D155">
        <v>1634</v>
      </c>
      <c r="E155">
        <v>-1</v>
      </c>
    </row>
    <row r="156" spans="1:5" x14ac:dyDescent="0.3">
      <c r="A156">
        <v>1206</v>
      </c>
      <c r="B156">
        <v>4</v>
      </c>
      <c r="C156">
        <v>138</v>
      </c>
      <c r="D156">
        <v>1635</v>
      </c>
      <c r="E156">
        <v>-1</v>
      </c>
    </row>
    <row r="157" spans="1:5" x14ac:dyDescent="0.3">
      <c r="A157">
        <v>1207</v>
      </c>
      <c r="B157">
        <v>4</v>
      </c>
      <c r="C157">
        <v>141</v>
      </c>
      <c r="D157">
        <v>1635</v>
      </c>
      <c r="E157">
        <v>-1</v>
      </c>
    </row>
    <row r="158" spans="1:5" x14ac:dyDescent="0.3">
      <c r="A158">
        <v>1208</v>
      </c>
      <c r="B158">
        <v>4</v>
      </c>
      <c r="C158">
        <v>141</v>
      </c>
      <c r="D158">
        <v>1636</v>
      </c>
      <c r="E158">
        <v>-1</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B8C4A-D717-4338-BF0D-FC6DCBB54C93}">
  <dimension ref="A1:E65"/>
  <sheetViews>
    <sheetView workbookViewId="0">
      <selection activeCell="I2" sqref="I2"/>
    </sheetView>
  </sheetViews>
  <sheetFormatPr defaultRowHeight="14.4" x14ac:dyDescent="0.3"/>
  <cols>
    <col min="1" max="1" width="4.88671875" bestFit="1" customWidth="1"/>
    <col min="2" max="2" width="7.33203125" bestFit="1" customWidth="1"/>
    <col min="3" max="3" width="9.21875" bestFit="1" customWidth="1"/>
    <col min="4" max="4" width="10.33203125" bestFit="1" customWidth="1"/>
    <col min="5" max="5" width="15.5546875" bestFit="1" customWidth="1"/>
  </cols>
  <sheetData>
    <row r="1" spans="1:5" x14ac:dyDescent="0.3">
      <c r="A1" t="s">
        <v>0</v>
      </c>
      <c r="B1" t="s">
        <v>72</v>
      </c>
      <c r="C1" t="s">
        <v>155</v>
      </c>
      <c r="D1" t="s">
        <v>156</v>
      </c>
      <c r="E1" t="s">
        <v>157</v>
      </c>
    </row>
    <row r="2" spans="1:5" x14ac:dyDescent="0.3">
      <c r="A2">
        <v>698</v>
      </c>
      <c r="B2" t="s">
        <v>158</v>
      </c>
      <c r="C2" t="s">
        <v>57</v>
      </c>
      <c r="D2">
        <v>97</v>
      </c>
      <c r="E2">
        <v>124</v>
      </c>
    </row>
    <row r="3" spans="1:5" x14ac:dyDescent="0.3">
      <c r="A3">
        <v>699</v>
      </c>
      <c r="B3" t="s">
        <v>159</v>
      </c>
      <c r="C3" t="s">
        <v>57</v>
      </c>
      <c r="D3">
        <v>97</v>
      </c>
      <c r="E3">
        <v>126</v>
      </c>
    </row>
    <row r="4" spans="1:5" x14ac:dyDescent="0.3">
      <c r="A4">
        <v>700</v>
      </c>
      <c r="B4" t="s">
        <v>160</v>
      </c>
      <c r="C4" t="s">
        <v>57</v>
      </c>
      <c r="D4">
        <v>97</v>
      </c>
      <c r="E4">
        <v>123</v>
      </c>
    </row>
    <row r="5" spans="1:5" x14ac:dyDescent="0.3">
      <c r="A5">
        <v>701</v>
      </c>
      <c r="B5" t="s">
        <v>161</v>
      </c>
      <c r="C5" t="s">
        <v>57</v>
      </c>
      <c r="D5">
        <v>97</v>
      </c>
      <c r="E5">
        <v>125</v>
      </c>
    </row>
    <row r="6" spans="1:5" x14ac:dyDescent="0.3">
      <c r="A6">
        <v>702</v>
      </c>
      <c r="B6" t="s">
        <v>162</v>
      </c>
      <c r="C6" t="s">
        <v>57</v>
      </c>
      <c r="D6">
        <v>97</v>
      </c>
      <c r="E6">
        <v>127</v>
      </c>
    </row>
    <row r="7" spans="1:5" x14ac:dyDescent="0.3">
      <c r="A7">
        <v>703</v>
      </c>
      <c r="B7" t="s">
        <v>163</v>
      </c>
      <c r="C7" t="s">
        <v>57</v>
      </c>
      <c r="D7">
        <v>97</v>
      </c>
      <c r="E7">
        <v>128</v>
      </c>
    </row>
    <row r="8" spans="1:5" x14ac:dyDescent="0.3">
      <c r="A8">
        <v>704</v>
      </c>
      <c r="B8" t="s">
        <v>164</v>
      </c>
      <c r="C8" t="s">
        <v>57</v>
      </c>
      <c r="D8">
        <v>97</v>
      </c>
      <c r="E8">
        <v>126</v>
      </c>
    </row>
    <row r="9" spans="1:5" x14ac:dyDescent="0.3">
      <c r="A9">
        <v>705</v>
      </c>
      <c r="B9" t="s">
        <v>165</v>
      </c>
      <c r="C9" t="s">
        <v>57</v>
      </c>
      <c r="D9">
        <v>97</v>
      </c>
      <c r="E9">
        <v>126</v>
      </c>
    </row>
    <row r="10" spans="1:5" x14ac:dyDescent="0.3">
      <c r="A10">
        <v>706</v>
      </c>
      <c r="B10" t="s">
        <v>166</v>
      </c>
      <c r="C10" t="s">
        <v>57</v>
      </c>
      <c r="D10">
        <v>98</v>
      </c>
      <c r="E10">
        <v>124</v>
      </c>
    </row>
    <row r="11" spans="1:5" x14ac:dyDescent="0.3">
      <c r="A11">
        <v>707</v>
      </c>
      <c r="B11" t="s">
        <v>167</v>
      </c>
      <c r="C11" t="s">
        <v>57</v>
      </c>
      <c r="D11">
        <v>98</v>
      </c>
      <c r="E11">
        <v>126</v>
      </c>
    </row>
    <row r="12" spans="1:5" x14ac:dyDescent="0.3">
      <c r="A12">
        <v>708</v>
      </c>
      <c r="B12" t="s">
        <v>168</v>
      </c>
      <c r="C12" t="s">
        <v>57</v>
      </c>
      <c r="D12">
        <v>98</v>
      </c>
      <c r="E12">
        <v>123</v>
      </c>
    </row>
    <row r="13" spans="1:5" x14ac:dyDescent="0.3">
      <c r="A13">
        <v>709</v>
      </c>
      <c r="B13" t="s">
        <v>169</v>
      </c>
      <c r="C13" t="s">
        <v>57</v>
      </c>
      <c r="D13">
        <v>98</v>
      </c>
      <c r="E13">
        <v>125</v>
      </c>
    </row>
    <row r="14" spans="1:5" x14ac:dyDescent="0.3">
      <c r="A14">
        <v>710</v>
      </c>
      <c r="B14" t="s">
        <v>170</v>
      </c>
      <c r="C14" t="s">
        <v>57</v>
      </c>
      <c r="D14">
        <v>98</v>
      </c>
      <c r="E14">
        <v>127</v>
      </c>
    </row>
    <row r="15" spans="1:5" x14ac:dyDescent="0.3">
      <c r="A15">
        <v>711</v>
      </c>
      <c r="B15" t="s">
        <v>171</v>
      </c>
      <c r="C15" t="s">
        <v>57</v>
      </c>
      <c r="D15">
        <v>98</v>
      </c>
      <c r="E15">
        <v>128</v>
      </c>
    </row>
    <row r="16" spans="1:5" x14ac:dyDescent="0.3">
      <c r="A16">
        <v>712</v>
      </c>
      <c r="B16" t="s">
        <v>172</v>
      </c>
      <c r="C16" t="s">
        <v>57</v>
      </c>
      <c r="D16">
        <v>98</v>
      </c>
      <c r="E16">
        <v>126</v>
      </c>
    </row>
    <row r="17" spans="1:5" x14ac:dyDescent="0.3">
      <c r="A17">
        <v>713</v>
      </c>
      <c r="B17" t="s">
        <v>173</v>
      </c>
      <c r="C17" t="s">
        <v>57</v>
      </c>
      <c r="D17">
        <v>98</v>
      </c>
      <c r="E17">
        <v>126</v>
      </c>
    </row>
    <row r="18" spans="1:5" x14ac:dyDescent="0.3">
      <c r="A18">
        <v>714</v>
      </c>
      <c r="B18" t="s">
        <v>174</v>
      </c>
      <c r="C18" t="s">
        <v>57</v>
      </c>
      <c r="D18">
        <v>99</v>
      </c>
      <c r="E18">
        <v>124</v>
      </c>
    </row>
    <row r="19" spans="1:5" x14ac:dyDescent="0.3">
      <c r="A19">
        <v>715</v>
      </c>
      <c r="B19" t="s">
        <v>175</v>
      </c>
      <c r="C19" t="s">
        <v>57</v>
      </c>
      <c r="D19">
        <v>99</v>
      </c>
      <c r="E19">
        <v>126</v>
      </c>
    </row>
    <row r="20" spans="1:5" x14ac:dyDescent="0.3">
      <c r="A20">
        <v>716</v>
      </c>
      <c r="B20" t="s">
        <v>176</v>
      </c>
      <c r="C20" t="s">
        <v>57</v>
      </c>
      <c r="D20">
        <v>99</v>
      </c>
      <c r="E20">
        <v>123</v>
      </c>
    </row>
    <row r="21" spans="1:5" x14ac:dyDescent="0.3">
      <c r="A21">
        <v>717</v>
      </c>
      <c r="B21" t="s">
        <v>177</v>
      </c>
      <c r="C21" t="s">
        <v>57</v>
      </c>
      <c r="D21">
        <v>99</v>
      </c>
      <c r="E21">
        <v>125</v>
      </c>
    </row>
    <row r="22" spans="1:5" x14ac:dyDescent="0.3">
      <c r="A22">
        <v>718</v>
      </c>
      <c r="B22" t="s">
        <v>178</v>
      </c>
      <c r="C22" t="s">
        <v>57</v>
      </c>
      <c r="D22">
        <v>99</v>
      </c>
      <c r="E22">
        <v>127</v>
      </c>
    </row>
    <row r="23" spans="1:5" x14ac:dyDescent="0.3">
      <c r="A23">
        <v>719</v>
      </c>
      <c r="B23" t="s">
        <v>179</v>
      </c>
      <c r="C23" t="s">
        <v>57</v>
      </c>
      <c r="D23">
        <v>99</v>
      </c>
      <c r="E23">
        <v>128</v>
      </c>
    </row>
    <row r="24" spans="1:5" x14ac:dyDescent="0.3">
      <c r="A24">
        <v>720</v>
      </c>
      <c r="B24" t="s">
        <v>180</v>
      </c>
      <c r="C24" t="s">
        <v>57</v>
      </c>
      <c r="D24">
        <v>99</v>
      </c>
      <c r="E24">
        <v>126</v>
      </c>
    </row>
    <row r="25" spans="1:5" x14ac:dyDescent="0.3">
      <c r="A25">
        <v>721</v>
      </c>
      <c r="B25" t="s">
        <v>181</v>
      </c>
      <c r="C25" t="s">
        <v>57</v>
      </c>
      <c r="D25">
        <v>99</v>
      </c>
      <c r="E25">
        <v>126</v>
      </c>
    </row>
    <row r="26" spans="1:5" x14ac:dyDescent="0.3">
      <c r="A26">
        <v>722</v>
      </c>
      <c r="B26" t="s">
        <v>182</v>
      </c>
      <c r="C26" t="s">
        <v>57</v>
      </c>
      <c r="D26">
        <v>100</v>
      </c>
      <c r="E26">
        <v>124</v>
      </c>
    </row>
    <row r="27" spans="1:5" x14ac:dyDescent="0.3">
      <c r="A27">
        <v>723</v>
      </c>
      <c r="B27" t="s">
        <v>183</v>
      </c>
      <c r="C27" t="s">
        <v>57</v>
      </c>
      <c r="D27">
        <v>100</v>
      </c>
      <c r="E27">
        <v>126</v>
      </c>
    </row>
    <row r="28" spans="1:5" x14ac:dyDescent="0.3">
      <c r="A28">
        <v>724</v>
      </c>
      <c r="B28" t="s">
        <v>184</v>
      </c>
      <c r="C28" t="s">
        <v>57</v>
      </c>
      <c r="D28">
        <v>100</v>
      </c>
      <c r="E28">
        <v>123</v>
      </c>
    </row>
    <row r="29" spans="1:5" x14ac:dyDescent="0.3">
      <c r="A29">
        <v>725</v>
      </c>
      <c r="B29" t="s">
        <v>185</v>
      </c>
      <c r="C29" t="s">
        <v>57</v>
      </c>
      <c r="D29">
        <v>100</v>
      </c>
      <c r="E29">
        <v>125</v>
      </c>
    </row>
    <row r="30" spans="1:5" x14ac:dyDescent="0.3">
      <c r="A30">
        <v>726</v>
      </c>
      <c r="B30" t="s">
        <v>186</v>
      </c>
      <c r="C30" t="s">
        <v>57</v>
      </c>
      <c r="D30">
        <v>100</v>
      </c>
      <c r="E30">
        <v>127</v>
      </c>
    </row>
    <row r="31" spans="1:5" x14ac:dyDescent="0.3">
      <c r="A31">
        <v>727</v>
      </c>
      <c r="B31" t="s">
        <v>187</v>
      </c>
      <c r="C31" t="s">
        <v>57</v>
      </c>
      <c r="D31">
        <v>100</v>
      </c>
      <c r="E31">
        <v>128</v>
      </c>
    </row>
    <row r="32" spans="1:5" x14ac:dyDescent="0.3">
      <c r="A32">
        <v>728</v>
      </c>
      <c r="B32" t="s">
        <v>188</v>
      </c>
      <c r="C32" t="s">
        <v>57</v>
      </c>
      <c r="D32">
        <v>100</v>
      </c>
      <c r="E32">
        <v>126</v>
      </c>
    </row>
    <row r="33" spans="1:5" x14ac:dyDescent="0.3">
      <c r="A33">
        <v>729</v>
      </c>
      <c r="B33" t="s">
        <v>189</v>
      </c>
      <c r="C33" t="s">
        <v>57</v>
      </c>
      <c r="D33">
        <v>100</v>
      </c>
      <c r="E33">
        <v>126</v>
      </c>
    </row>
    <row r="34" spans="1:5" x14ac:dyDescent="0.3">
      <c r="A34">
        <v>730</v>
      </c>
      <c r="B34" t="s">
        <v>190</v>
      </c>
      <c r="C34" t="s">
        <v>57</v>
      </c>
      <c r="D34">
        <v>101</v>
      </c>
      <c r="E34">
        <v>124</v>
      </c>
    </row>
    <row r="35" spans="1:5" x14ac:dyDescent="0.3">
      <c r="A35">
        <v>731</v>
      </c>
      <c r="B35" t="s">
        <v>191</v>
      </c>
      <c r="C35" t="s">
        <v>57</v>
      </c>
      <c r="D35">
        <v>101</v>
      </c>
      <c r="E35">
        <v>126</v>
      </c>
    </row>
    <row r="36" spans="1:5" x14ac:dyDescent="0.3">
      <c r="A36">
        <v>732</v>
      </c>
      <c r="B36" t="s">
        <v>192</v>
      </c>
      <c r="C36" t="s">
        <v>57</v>
      </c>
      <c r="D36">
        <v>101</v>
      </c>
      <c r="E36">
        <v>123</v>
      </c>
    </row>
    <row r="37" spans="1:5" x14ac:dyDescent="0.3">
      <c r="A37">
        <v>733</v>
      </c>
      <c r="B37" t="s">
        <v>193</v>
      </c>
      <c r="C37" t="s">
        <v>57</v>
      </c>
      <c r="D37">
        <v>101</v>
      </c>
      <c r="E37">
        <v>125</v>
      </c>
    </row>
    <row r="38" spans="1:5" x14ac:dyDescent="0.3">
      <c r="A38">
        <v>734</v>
      </c>
      <c r="B38" t="s">
        <v>194</v>
      </c>
      <c r="C38" t="s">
        <v>57</v>
      </c>
      <c r="D38">
        <v>101</v>
      </c>
      <c r="E38">
        <v>127</v>
      </c>
    </row>
    <row r="39" spans="1:5" x14ac:dyDescent="0.3">
      <c r="A39">
        <v>735</v>
      </c>
      <c r="B39" t="s">
        <v>195</v>
      </c>
      <c r="C39" t="s">
        <v>57</v>
      </c>
      <c r="D39">
        <v>101</v>
      </c>
      <c r="E39">
        <v>128</v>
      </c>
    </row>
    <row r="40" spans="1:5" x14ac:dyDescent="0.3">
      <c r="A40">
        <v>736</v>
      </c>
      <c r="B40" t="s">
        <v>196</v>
      </c>
      <c r="C40" t="s">
        <v>57</v>
      </c>
      <c r="D40">
        <v>101</v>
      </c>
      <c r="E40">
        <v>126</v>
      </c>
    </row>
    <row r="41" spans="1:5" x14ac:dyDescent="0.3">
      <c r="A41">
        <v>737</v>
      </c>
      <c r="B41" t="s">
        <v>197</v>
      </c>
      <c r="C41" t="s">
        <v>57</v>
      </c>
      <c r="D41">
        <v>101</v>
      </c>
      <c r="E41">
        <v>126</v>
      </c>
    </row>
    <row r="42" spans="1:5" x14ac:dyDescent="0.3">
      <c r="A42">
        <v>738</v>
      </c>
      <c r="B42" t="s">
        <v>198</v>
      </c>
      <c r="C42" t="s">
        <v>57</v>
      </c>
      <c r="D42">
        <v>102</v>
      </c>
      <c r="E42">
        <v>124</v>
      </c>
    </row>
    <row r="43" spans="1:5" x14ac:dyDescent="0.3">
      <c r="A43">
        <v>739</v>
      </c>
      <c r="B43" t="s">
        <v>199</v>
      </c>
      <c r="C43" t="s">
        <v>57</v>
      </c>
      <c r="D43">
        <v>102</v>
      </c>
      <c r="E43">
        <v>126</v>
      </c>
    </row>
    <row r="44" spans="1:5" x14ac:dyDescent="0.3">
      <c r="A44">
        <v>740</v>
      </c>
      <c r="B44" t="s">
        <v>200</v>
      </c>
      <c r="C44" t="s">
        <v>57</v>
      </c>
      <c r="D44">
        <v>102</v>
      </c>
      <c r="E44">
        <v>123</v>
      </c>
    </row>
    <row r="45" spans="1:5" x14ac:dyDescent="0.3">
      <c r="A45">
        <v>741</v>
      </c>
      <c r="B45" t="s">
        <v>201</v>
      </c>
      <c r="C45" t="s">
        <v>57</v>
      </c>
      <c r="D45">
        <v>102</v>
      </c>
      <c r="E45">
        <v>125</v>
      </c>
    </row>
    <row r="46" spans="1:5" x14ac:dyDescent="0.3">
      <c r="A46">
        <v>742</v>
      </c>
      <c r="B46" t="s">
        <v>202</v>
      </c>
      <c r="C46" t="s">
        <v>57</v>
      </c>
      <c r="D46">
        <v>102</v>
      </c>
      <c r="E46">
        <v>127</v>
      </c>
    </row>
    <row r="47" spans="1:5" x14ac:dyDescent="0.3">
      <c r="A47">
        <v>743</v>
      </c>
      <c r="B47" t="s">
        <v>203</v>
      </c>
      <c r="C47" t="s">
        <v>57</v>
      </c>
      <c r="D47">
        <v>102</v>
      </c>
      <c r="E47">
        <v>128</v>
      </c>
    </row>
    <row r="48" spans="1:5" x14ac:dyDescent="0.3">
      <c r="A48">
        <v>744</v>
      </c>
      <c r="B48" t="s">
        <v>204</v>
      </c>
      <c r="C48" t="s">
        <v>57</v>
      </c>
      <c r="D48">
        <v>102</v>
      </c>
      <c r="E48">
        <v>126</v>
      </c>
    </row>
    <row r="49" spans="1:5" x14ac:dyDescent="0.3">
      <c r="A49">
        <v>745</v>
      </c>
      <c r="B49" t="s">
        <v>205</v>
      </c>
      <c r="C49" t="s">
        <v>57</v>
      </c>
      <c r="D49">
        <v>102</v>
      </c>
      <c r="E49">
        <v>126</v>
      </c>
    </row>
    <row r="50" spans="1:5" x14ac:dyDescent="0.3">
      <c r="A50">
        <v>746</v>
      </c>
      <c r="B50" t="s">
        <v>206</v>
      </c>
      <c r="C50" t="s">
        <v>57</v>
      </c>
      <c r="D50">
        <v>103</v>
      </c>
      <c r="E50">
        <v>124</v>
      </c>
    </row>
    <row r="51" spans="1:5" x14ac:dyDescent="0.3">
      <c r="A51">
        <v>747</v>
      </c>
      <c r="B51" t="s">
        <v>207</v>
      </c>
      <c r="C51" t="s">
        <v>57</v>
      </c>
      <c r="D51">
        <v>103</v>
      </c>
      <c r="E51">
        <v>126</v>
      </c>
    </row>
    <row r="52" spans="1:5" x14ac:dyDescent="0.3">
      <c r="A52">
        <v>748</v>
      </c>
      <c r="B52" t="s">
        <v>208</v>
      </c>
      <c r="C52" t="s">
        <v>57</v>
      </c>
      <c r="D52">
        <v>103</v>
      </c>
      <c r="E52">
        <v>123</v>
      </c>
    </row>
    <row r="53" spans="1:5" x14ac:dyDescent="0.3">
      <c r="A53">
        <v>749</v>
      </c>
      <c r="B53" t="s">
        <v>209</v>
      </c>
      <c r="C53" t="s">
        <v>57</v>
      </c>
      <c r="D53">
        <v>103</v>
      </c>
      <c r="E53">
        <v>125</v>
      </c>
    </row>
    <row r="54" spans="1:5" x14ac:dyDescent="0.3">
      <c r="A54">
        <v>750</v>
      </c>
      <c r="B54" t="s">
        <v>210</v>
      </c>
      <c r="C54" t="s">
        <v>57</v>
      </c>
      <c r="D54">
        <v>103</v>
      </c>
      <c r="E54">
        <v>127</v>
      </c>
    </row>
    <row r="55" spans="1:5" x14ac:dyDescent="0.3">
      <c r="A55">
        <v>751</v>
      </c>
      <c r="B55" t="s">
        <v>211</v>
      </c>
      <c r="C55" t="s">
        <v>57</v>
      </c>
      <c r="D55">
        <v>103</v>
      </c>
      <c r="E55">
        <v>128</v>
      </c>
    </row>
    <row r="56" spans="1:5" x14ac:dyDescent="0.3">
      <c r="A56">
        <v>752</v>
      </c>
      <c r="B56" t="s">
        <v>212</v>
      </c>
      <c r="C56" t="s">
        <v>57</v>
      </c>
      <c r="D56">
        <v>103</v>
      </c>
      <c r="E56">
        <v>126</v>
      </c>
    </row>
    <row r="57" spans="1:5" x14ac:dyDescent="0.3">
      <c r="A57">
        <v>753</v>
      </c>
      <c r="B57" t="s">
        <v>213</v>
      </c>
      <c r="C57" t="s">
        <v>57</v>
      </c>
      <c r="D57">
        <v>103</v>
      </c>
      <c r="E57">
        <v>126</v>
      </c>
    </row>
    <row r="58" spans="1:5" x14ac:dyDescent="0.3">
      <c r="A58">
        <v>754</v>
      </c>
      <c r="B58" t="s">
        <v>214</v>
      </c>
      <c r="C58" t="s">
        <v>57</v>
      </c>
      <c r="D58">
        <v>104</v>
      </c>
      <c r="E58">
        <v>124</v>
      </c>
    </row>
    <row r="59" spans="1:5" x14ac:dyDescent="0.3">
      <c r="A59">
        <v>755</v>
      </c>
      <c r="B59" t="s">
        <v>215</v>
      </c>
      <c r="C59" t="s">
        <v>57</v>
      </c>
      <c r="D59">
        <v>104</v>
      </c>
      <c r="E59">
        <v>126</v>
      </c>
    </row>
    <row r="60" spans="1:5" x14ac:dyDescent="0.3">
      <c r="A60">
        <v>756</v>
      </c>
      <c r="B60" t="s">
        <v>216</v>
      </c>
      <c r="C60" t="s">
        <v>57</v>
      </c>
      <c r="D60">
        <v>104</v>
      </c>
      <c r="E60">
        <v>123</v>
      </c>
    </row>
    <row r="61" spans="1:5" x14ac:dyDescent="0.3">
      <c r="A61">
        <v>757</v>
      </c>
      <c r="B61" t="s">
        <v>217</v>
      </c>
      <c r="C61" t="s">
        <v>57</v>
      </c>
      <c r="D61">
        <v>104</v>
      </c>
      <c r="E61">
        <v>125</v>
      </c>
    </row>
    <row r="62" spans="1:5" x14ac:dyDescent="0.3">
      <c r="A62">
        <v>758</v>
      </c>
      <c r="B62" t="s">
        <v>218</v>
      </c>
      <c r="C62" t="s">
        <v>57</v>
      </c>
      <c r="D62">
        <v>104</v>
      </c>
      <c r="E62">
        <v>127</v>
      </c>
    </row>
    <row r="63" spans="1:5" x14ac:dyDescent="0.3">
      <c r="A63">
        <v>759</v>
      </c>
      <c r="B63" t="s">
        <v>219</v>
      </c>
      <c r="C63" t="s">
        <v>57</v>
      </c>
      <c r="D63">
        <v>104</v>
      </c>
      <c r="E63">
        <v>128</v>
      </c>
    </row>
    <row r="64" spans="1:5" x14ac:dyDescent="0.3">
      <c r="A64">
        <v>760</v>
      </c>
      <c r="B64" t="s">
        <v>220</v>
      </c>
      <c r="C64" t="s">
        <v>57</v>
      </c>
      <c r="D64">
        <v>104</v>
      </c>
      <c r="E64">
        <v>126</v>
      </c>
    </row>
    <row r="65" spans="1:5" x14ac:dyDescent="0.3">
      <c r="A65">
        <v>761</v>
      </c>
      <c r="B65" t="s">
        <v>221</v>
      </c>
      <c r="C65" t="s">
        <v>57</v>
      </c>
      <c r="D65">
        <v>104</v>
      </c>
      <c r="E65">
        <v>126</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2CAA7-F7DA-4B68-BF92-205AAEC1964B}">
  <dimension ref="A3:B4"/>
  <sheetViews>
    <sheetView topLeftCell="D1" workbookViewId="0">
      <selection activeCell="A3" sqref="A3"/>
    </sheetView>
  </sheetViews>
  <sheetFormatPr defaultRowHeight="14.4" x14ac:dyDescent="0.3"/>
  <cols>
    <col min="1" max="1" width="33.44140625" bestFit="1" customWidth="1"/>
    <col min="2" max="2" width="31.21875" bestFit="1" customWidth="1"/>
  </cols>
  <sheetData>
    <row r="3" spans="1:2" x14ac:dyDescent="0.3">
      <c r="A3" t="s">
        <v>489</v>
      </c>
      <c r="B3" t="s">
        <v>490</v>
      </c>
    </row>
    <row r="4" spans="1:2" x14ac:dyDescent="0.3">
      <c r="A4">
        <v>592000</v>
      </c>
      <c r="B4">
        <v>15060</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6D07F-BEEC-4405-8DB6-CF2582DCE14D}">
  <sheetPr>
    <tabColor rgb="FFFFFF00"/>
  </sheetPr>
  <dimension ref="A1:CA121"/>
  <sheetViews>
    <sheetView tabSelected="1" topLeftCell="AQ1" zoomScale="97" zoomScaleNormal="10" workbookViewId="0">
      <selection activeCell="AZ19" sqref="AZ19"/>
    </sheetView>
  </sheetViews>
  <sheetFormatPr defaultRowHeight="14.4" x14ac:dyDescent="0.3"/>
  <cols>
    <col min="1" max="1" width="5" bestFit="1" customWidth="1"/>
    <col min="2" max="2" width="14.33203125" bestFit="1" customWidth="1"/>
    <col min="3" max="3" width="15" bestFit="1" customWidth="1"/>
    <col min="4" max="4" width="12.88671875" bestFit="1" customWidth="1"/>
    <col min="5" max="5" width="11.6640625" bestFit="1" customWidth="1"/>
    <col min="6" max="6" width="19.21875" bestFit="1" customWidth="1"/>
    <col min="7" max="7" width="17.88671875" bestFit="1" customWidth="1"/>
    <col min="8" max="8" width="30.109375" bestFit="1" customWidth="1"/>
    <col min="9" max="9" width="12" bestFit="1" customWidth="1"/>
    <col min="10" max="10" width="28.21875" bestFit="1" customWidth="1"/>
    <col min="11" max="11" width="30.5546875" bestFit="1" customWidth="1"/>
    <col min="12" max="12" width="20.33203125" bestFit="1" customWidth="1"/>
    <col min="13" max="13" width="20.88671875" bestFit="1" customWidth="1"/>
    <col min="14" max="14" width="19.109375" bestFit="1" customWidth="1"/>
    <col min="15" max="15" width="25.6640625" bestFit="1" customWidth="1"/>
    <col min="16" max="16" width="29.77734375" bestFit="1" customWidth="1"/>
    <col min="17" max="17" width="28" bestFit="1" customWidth="1"/>
    <col min="18" max="18" width="30.33203125" bestFit="1" customWidth="1"/>
    <col min="19" max="19" width="26.21875" bestFit="1" customWidth="1"/>
    <col min="20" max="20" width="26.77734375" bestFit="1" customWidth="1"/>
    <col min="21" max="21" width="25" bestFit="1" customWidth="1"/>
    <col min="22" max="22" width="17.77734375" bestFit="1" customWidth="1"/>
    <col min="23" max="23" width="22.44140625" bestFit="1" customWidth="1"/>
    <col min="24" max="24" width="20.44140625" bestFit="1" customWidth="1"/>
    <col min="25" max="25" width="21.5546875" bestFit="1" customWidth="1"/>
    <col min="26" max="26" width="19.44140625" bestFit="1" customWidth="1"/>
    <col min="27" max="27" width="17.6640625" bestFit="1" customWidth="1"/>
    <col min="28" max="28" width="19.88671875" bestFit="1" customWidth="1"/>
    <col min="29" max="29" width="20.77734375" bestFit="1" customWidth="1"/>
    <col min="30" max="30" width="18.5546875" bestFit="1" customWidth="1"/>
    <col min="31" max="31" width="17.33203125" bestFit="1" customWidth="1"/>
    <col min="32" max="32" width="20.88671875" bestFit="1" customWidth="1"/>
    <col min="33" max="33" width="23.33203125" bestFit="1" customWidth="1"/>
    <col min="34" max="34" width="22.77734375" bestFit="1" customWidth="1"/>
    <col min="35" max="35" width="24.5546875" bestFit="1" customWidth="1"/>
    <col min="36" max="36" width="24" bestFit="1" customWidth="1"/>
    <col min="37" max="37" width="19.88671875" bestFit="1" customWidth="1"/>
    <col min="38" max="38" width="19.21875" bestFit="1" customWidth="1"/>
    <col min="39" max="39" width="14.44140625" bestFit="1" customWidth="1"/>
    <col min="40" max="40" width="10.88671875" bestFit="1" customWidth="1"/>
    <col min="41" max="41" width="15.109375" bestFit="1" customWidth="1"/>
    <col min="42" max="42" width="20.109375" bestFit="1" customWidth="1"/>
    <col min="43" max="43" width="19.88671875" bestFit="1" customWidth="1"/>
    <col min="44" max="44" width="21.21875" bestFit="1" customWidth="1"/>
    <col min="45" max="45" width="25.88671875" bestFit="1" customWidth="1"/>
    <col min="46" max="46" width="31.33203125" bestFit="1" customWidth="1"/>
    <col min="47" max="47" width="43.21875" bestFit="1" customWidth="1"/>
    <col min="48" max="48" width="42.109375" bestFit="1" customWidth="1"/>
    <col min="65" max="65" width="17.6640625" bestFit="1" customWidth="1"/>
    <col min="66" max="66" width="9.88671875" bestFit="1" customWidth="1"/>
    <col min="67" max="67" width="12.33203125" bestFit="1" customWidth="1"/>
    <col min="69" max="69" width="12.5546875" bestFit="1" customWidth="1"/>
    <col min="73" max="73" width="12.77734375" bestFit="1" customWidth="1"/>
    <col min="74" max="74" width="12" bestFit="1" customWidth="1"/>
    <col min="75" max="75" width="12.21875" bestFit="1" customWidth="1"/>
    <col min="76" max="76" width="12" bestFit="1" customWidth="1"/>
    <col min="77" max="77" width="11.6640625" bestFit="1" customWidth="1"/>
    <col min="78" max="78" width="12" bestFit="1" customWidth="1"/>
  </cols>
  <sheetData>
    <row r="1" spans="1:79" x14ac:dyDescent="0.3">
      <c r="A1" t="s">
        <v>0</v>
      </c>
      <c r="B1" t="s">
        <v>119</v>
      </c>
      <c r="C1" t="s">
        <v>6</v>
      </c>
      <c r="D1" t="s">
        <v>5</v>
      </c>
      <c r="E1" t="s">
        <v>120</v>
      </c>
      <c r="F1" t="s">
        <v>121</v>
      </c>
      <c r="G1" t="s">
        <v>122</v>
      </c>
      <c r="H1" t="s">
        <v>123</v>
      </c>
      <c r="I1" t="s">
        <v>124</v>
      </c>
      <c r="J1" t="s">
        <v>125</v>
      </c>
      <c r="K1" t="s">
        <v>126</v>
      </c>
      <c r="L1" t="s">
        <v>127</v>
      </c>
      <c r="M1" t="s">
        <v>128</v>
      </c>
      <c r="N1" t="s">
        <v>129</v>
      </c>
      <c r="O1" t="s">
        <v>39</v>
      </c>
      <c r="P1" t="s">
        <v>130</v>
      </c>
      <c r="Q1" t="s">
        <v>131</v>
      </c>
      <c r="R1" t="s">
        <v>132</v>
      </c>
      <c r="S1" t="s">
        <v>133</v>
      </c>
      <c r="T1" t="s">
        <v>134</v>
      </c>
      <c r="U1" t="s">
        <v>35</v>
      </c>
      <c r="V1" t="s">
        <v>135</v>
      </c>
      <c r="W1" t="s">
        <v>8</v>
      </c>
      <c r="X1" t="s">
        <v>4</v>
      </c>
      <c r="Y1" t="s">
        <v>136</v>
      </c>
      <c r="Z1" t="s">
        <v>137</v>
      </c>
      <c r="AA1" t="s">
        <v>138</v>
      </c>
      <c r="AB1" t="s">
        <v>139</v>
      </c>
      <c r="AC1" t="s">
        <v>140</v>
      </c>
      <c r="AD1" t="s">
        <v>141</v>
      </c>
      <c r="AE1" t="s">
        <v>142</v>
      </c>
      <c r="AF1" t="s">
        <v>143</v>
      </c>
      <c r="AG1" t="s">
        <v>144</v>
      </c>
      <c r="AH1" t="s">
        <v>145</v>
      </c>
      <c r="AI1" t="s">
        <v>146</v>
      </c>
      <c r="AJ1" t="s">
        <v>147</v>
      </c>
      <c r="AK1" t="s">
        <v>148</v>
      </c>
      <c r="AL1" t="s">
        <v>149</v>
      </c>
      <c r="AM1" t="s">
        <v>84</v>
      </c>
      <c r="AN1" t="s">
        <v>150</v>
      </c>
      <c r="AO1" t="s">
        <v>151</v>
      </c>
      <c r="AP1" t="s">
        <v>152</v>
      </c>
      <c r="AQ1" t="s">
        <v>153</v>
      </c>
      <c r="AR1" t="s">
        <v>154</v>
      </c>
      <c r="AS1" t="s">
        <v>487</v>
      </c>
      <c r="AT1" t="s">
        <v>488</v>
      </c>
      <c r="AU1" t="s">
        <v>491</v>
      </c>
      <c r="AV1" t="s">
        <v>492</v>
      </c>
    </row>
    <row r="2" spans="1:79" ht="43.2" x14ac:dyDescent="0.3">
      <c r="A2">
        <v>1321</v>
      </c>
      <c r="B2" s="1">
        <v>45937.479733796295</v>
      </c>
      <c r="C2">
        <v>75000</v>
      </c>
      <c r="D2">
        <v>40000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F2" t="s">
        <v>57</v>
      </c>
      <c r="AG2">
        <v>0</v>
      </c>
      <c r="AH2">
        <v>0</v>
      </c>
      <c r="AI2">
        <v>0</v>
      </c>
      <c r="AJ2">
        <v>0</v>
      </c>
      <c r="AK2">
        <v>0</v>
      </c>
      <c r="AL2">
        <v>0</v>
      </c>
      <c r="AM2" t="s">
        <v>86</v>
      </c>
      <c r="AN2">
        <v>698</v>
      </c>
      <c r="AO2">
        <v>318</v>
      </c>
      <c r="AR2" t="s">
        <v>57</v>
      </c>
      <c r="AS2">
        <f>+VLOOKUP(playerround[[#This Row],[player_id]],player[],5,0)</f>
        <v>124</v>
      </c>
      <c r="AT2" s="3">
        <f>+VLOOKUP(playerround[[#This Row],[groupround_id]],groupround[],6,FALSE)</f>
        <v>0</v>
      </c>
      <c r="AU2">
        <f>playerround[[#This Row],[mortgage_payment]]+playerround[[#This Row],[spent_savings_for_buying_house]]</f>
        <v>0</v>
      </c>
      <c r="AV2">
        <f>playerround[[#This Row],[cost_fluvial_damage]]+playerround[[#This Row],[cost_pluvial_damage]]</f>
        <v>0</v>
      </c>
      <c r="BM2" s="2" t="s">
        <v>493</v>
      </c>
      <c r="BN2" s="2" t="s">
        <v>494</v>
      </c>
      <c r="BO2" s="2" t="s">
        <v>495</v>
      </c>
      <c r="BP2" s="2" t="s">
        <v>496</v>
      </c>
      <c r="BQ2" s="2" t="s">
        <v>497</v>
      </c>
      <c r="BR2" s="2" t="s">
        <v>498</v>
      </c>
      <c r="BS2" s="2" t="s">
        <v>499</v>
      </c>
      <c r="BU2" s="2" t="s">
        <v>493</v>
      </c>
      <c r="BV2" s="2" t="s">
        <v>500</v>
      </c>
      <c r="BW2" s="2" t="s">
        <v>501</v>
      </c>
      <c r="BX2" s="2" t="s">
        <v>502</v>
      </c>
      <c r="BY2" s="2" t="s">
        <v>503</v>
      </c>
      <c r="BZ2" s="2" t="s">
        <v>504</v>
      </c>
      <c r="CA2" s="2" t="s">
        <v>505</v>
      </c>
    </row>
    <row r="3" spans="1:79" x14ac:dyDescent="0.3">
      <c r="A3">
        <v>1365</v>
      </c>
      <c r="B3" s="1">
        <v>45937.479733796295</v>
      </c>
      <c r="C3">
        <v>75000</v>
      </c>
      <c r="D3">
        <v>40000</v>
      </c>
      <c r="E3">
        <v>0</v>
      </c>
      <c r="F3">
        <v>10000</v>
      </c>
      <c r="G3">
        <v>0</v>
      </c>
      <c r="H3">
        <v>0</v>
      </c>
      <c r="I3">
        <v>15000</v>
      </c>
      <c r="J3">
        <v>6000</v>
      </c>
      <c r="K3">
        <v>7000</v>
      </c>
      <c r="L3">
        <v>0</v>
      </c>
      <c r="M3">
        <v>0</v>
      </c>
      <c r="N3">
        <v>2000</v>
      </c>
      <c r="O3">
        <v>0</v>
      </c>
      <c r="P3">
        <v>-1</v>
      </c>
      <c r="Q3">
        <v>1</v>
      </c>
      <c r="R3">
        <v>2</v>
      </c>
      <c r="S3">
        <v>0</v>
      </c>
      <c r="T3">
        <v>0</v>
      </c>
      <c r="U3">
        <v>0</v>
      </c>
      <c r="V3">
        <v>7</v>
      </c>
      <c r="W3">
        <v>4</v>
      </c>
      <c r="X3">
        <v>110000</v>
      </c>
      <c r="Y3">
        <v>0</v>
      </c>
      <c r="Z3">
        <v>0</v>
      </c>
      <c r="AA3">
        <v>0</v>
      </c>
      <c r="AB3">
        <v>100000</v>
      </c>
      <c r="AC3">
        <v>100000</v>
      </c>
      <c r="AD3">
        <v>90000</v>
      </c>
      <c r="AF3" t="s">
        <v>57</v>
      </c>
      <c r="AG3">
        <v>6</v>
      </c>
      <c r="AH3">
        <v>9</v>
      </c>
      <c r="AI3">
        <v>0</v>
      </c>
      <c r="AJ3">
        <v>0</v>
      </c>
      <c r="AK3">
        <v>2</v>
      </c>
      <c r="AL3">
        <v>1</v>
      </c>
      <c r="AM3" t="s">
        <v>99</v>
      </c>
      <c r="AN3">
        <v>698</v>
      </c>
      <c r="AO3">
        <v>325</v>
      </c>
      <c r="AQ3">
        <v>1613</v>
      </c>
      <c r="AR3" t="s">
        <v>57</v>
      </c>
      <c r="AS3">
        <f>+VLOOKUP(playerround[[#This Row],[player_id]],player[],5,0)</f>
        <v>124</v>
      </c>
      <c r="AT3">
        <f>+VLOOKUP(playerround[[#This Row],[groupround_id]],groupround[],6,FALSE)</f>
        <v>1</v>
      </c>
      <c r="AU3">
        <f>playerround[[#This Row],[mortgage_payment]]+playerround[[#This Row],[spent_savings_for_buying_house]]</f>
        <v>10000</v>
      </c>
      <c r="AV3">
        <f>playerround[[#This Row],[cost_fluvial_damage]]+playerround[[#This Row],[cost_pluvial_damage]]</f>
        <v>0</v>
      </c>
      <c r="BM3">
        <v>123</v>
      </c>
      <c r="BN3">
        <f t="shared" ref="BN3:BN8" si="0">SUMIF(AS:AS,BM3,F:F)</f>
        <v>113000</v>
      </c>
      <c r="BO3">
        <f t="shared" ref="BO3:BO8" si="1">SUMIF(AS:AS,BM3,E:E)</f>
        <v>52400</v>
      </c>
      <c r="BP3">
        <f t="shared" ref="BP3:BP8" si="2">SUMIF(AS:AS,BM3,K:K)</f>
        <v>32650</v>
      </c>
      <c r="BQ3">
        <f t="shared" ref="BQ3:BQ8" si="3">SUMIF(AS:AS,BM3,J:J)</f>
        <v>53000</v>
      </c>
      <c r="BR3">
        <f t="shared" ref="BR3:BR8" si="4">SUMIF(AS:AS,BM3,AV:AV)</f>
        <v>48000</v>
      </c>
      <c r="BS3">
        <f>SUMIF(AS:AS,BM3,C:C)</f>
        <v>1200000</v>
      </c>
      <c r="BU3">
        <v>123</v>
      </c>
      <c r="BV3">
        <f t="shared" ref="BV3:BV8" si="5">BN3/BS3</f>
        <v>9.4166666666666662E-2</v>
      </c>
      <c r="BW3">
        <f t="shared" ref="BW3:BW8" si="6">BO3/BS3</f>
        <v>4.3666666666666666E-2</v>
      </c>
      <c r="BX3">
        <f t="shared" ref="BX3:BX8" si="7">BP3/BS3</f>
        <v>2.7208333333333334E-2</v>
      </c>
      <c r="BY3">
        <f t="shared" ref="BY3:BY8" si="8">BQ3/BS3</f>
        <v>4.4166666666666667E-2</v>
      </c>
      <c r="BZ3">
        <f t="shared" ref="BZ3:BZ8" si="9">BR3/BS3</f>
        <v>0.04</v>
      </c>
      <c r="CA3">
        <f>1-SUM(BV3:BZ3)</f>
        <v>0.75079166666666663</v>
      </c>
    </row>
    <row r="4" spans="1:79" x14ac:dyDescent="0.3">
      <c r="A4">
        <v>1382</v>
      </c>
      <c r="B4" s="1">
        <v>45937.479733796295</v>
      </c>
      <c r="C4">
        <v>75000</v>
      </c>
      <c r="D4">
        <v>40000</v>
      </c>
      <c r="E4">
        <v>0</v>
      </c>
      <c r="F4">
        <v>10000</v>
      </c>
      <c r="G4">
        <v>0</v>
      </c>
      <c r="H4">
        <v>0</v>
      </c>
      <c r="I4">
        <v>15000</v>
      </c>
      <c r="J4">
        <v>0</v>
      </c>
      <c r="K4">
        <v>9500</v>
      </c>
      <c r="L4">
        <v>0</v>
      </c>
      <c r="M4">
        <v>0</v>
      </c>
      <c r="N4">
        <v>2500</v>
      </c>
      <c r="O4">
        <v>0</v>
      </c>
      <c r="P4">
        <v>0</v>
      </c>
      <c r="Q4">
        <v>0</v>
      </c>
      <c r="R4">
        <v>3</v>
      </c>
      <c r="S4">
        <v>0</v>
      </c>
      <c r="T4">
        <v>0</v>
      </c>
      <c r="U4">
        <v>0</v>
      </c>
      <c r="V4">
        <v>10</v>
      </c>
      <c r="W4">
        <v>4</v>
      </c>
      <c r="X4">
        <v>110000</v>
      </c>
      <c r="Y4">
        <v>100000</v>
      </c>
      <c r="Z4">
        <v>90000</v>
      </c>
      <c r="AA4">
        <v>0</v>
      </c>
      <c r="AB4">
        <v>0</v>
      </c>
      <c r="AC4">
        <v>100000</v>
      </c>
      <c r="AD4">
        <v>80000</v>
      </c>
      <c r="AF4" t="s">
        <v>57</v>
      </c>
      <c r="AG4">
        <v>6</v>
      </c>
      <c r="AH4">
        <v>9</v>
      </c>
      <c r="AI4">
        <v>0</v>
      </c>
      <c r="AJ4">
        <v>0</v>
      </c>
      <c r="AK4">
        <v>2</v>
      </c>
      <c r="AL4">
        <v>1</v>
      </c>
      <c r="AM4" t="s">
        <v>99</v>
      </c>
      <c r="AN4">
        <v>698</v>
      </c>
      <c r="AO4">
        <v>328</v>
      </c>
      <c r="AP4">
        <v>1613</v>
      </c>
      <c r="AQ4">
        <v>1613</v>
      </c>
      <c r="AR4" t="s">
        <v>57</v>
      </c>
      <c r="AS4">
        <f>+VLOOKUP(playerround[[#This Row],[player_id]],player[],5,0)</f>
        <v>124</v>
      </c>
      <c r="AT4">
        <f>+VLOOKUP(playerround[[#This Row],[groupround_id]],groupround[],6,FALSE)</f>
        <v>2</v>
      </c>
      <c r="AU4">
        <f>playerround[[#This Row],[mortgage_payment]]+playerround[[#This Row],[spent_savings_for_buying_house]]</f>
        <v>10000</v>
      </c>
      <c r="AV4">
        <f>playerround[[#This Row],[cost_fluvial_damage]]+playerround[[#This Row],[cost_pluvial_damage]]</f>
        <v>0</v>
      </c>
      <c r="BM4">
        <v>124</v>
      </c>
      <c r="BN4">
        <f t="shared" si="0"/>
        <v>156000</v>
      </c>
      <c r="BO4">
        <f t="shared" si="1"/>
        <v>23325</v>
      </c>
      <c r="BP4">
        <f t="shared" si="2"/>
        <v>58675</v>
      </c>
      <c r="BQ4">
        <f t="shared" si="3"/>
        <v>67000</v>
      </c>
      <c r="BR4">
        <f t="shared" si="4"/>
        <v>32000</v>
      </c>
      <c r="BS4">
        <f t="shared" ref="BS4:BS8" si="10">SUMIF(AS:AS,BM4,C:C)</f>
        <v>1500000</v>
      </c>
      <c r="BU4">
        <v>124</v>
      </c>
      <c r="BV4">
        <f t="shared" si="5"/>
        <v>0.104</v>
      </c>
      <c r="BW4">
        <f t="shared" si="6"/>
        <v>1.555E-2</v>
      </c>
      <c r="BX4">
        <f t="shared" si="7"/>
        <v>3.9116666666666668E-2</v>
      </c>
      <c r="BY4">
        <f t="shared" si="8"/>
        <v>4.4666666666666667E-2</v>
      </c>
      <c r="BZ4">
        <f t="shared" si="9"/>
        <v>2.1333333333333333E-2</v>
      </c>
      <c r="CA4">
        <f t="shared" ref="CA4:CA8" si="11">1-SUM(BV4:BZ4)</f>
        <v>0.77533333333333332</v>
      </c>
    </row>
    <row r="5" spans="1:79" x14ac:dyDescent="0.3">
      <c r="A5">
        <v>1407</v>
      </c>
      <c r="B5" s="1">
        <v>45937.479733796295</v>
      </c>
      <c r="C5">
        <v>75000</v>
      </c>
      <c r="D5">
        <v>40000</v>
      </c>
      <c r="E5">
        <v>0</v>
      </c>
      <c r="F5">
        <v>10000</v>
      </c>
      <c r="G5">
        <v>0</v>
      </c>
      <c r="H5">
        <v>0</v>
      </c>
      <c r="I5">
        <v>15000</v>
      </c>
      <c r="J5">
        <v>0</v>
      </c>
      <c r="K5">
        <v>10750</v>
      </c>
      <c r="L5">
        <v>0</v>
      </c>
      <c r="M5">
        <v>0</v>
      </c>
      <c r="N5">
        <v>1750</v>
      </c>
      <c r="O5">
        <v>0</v>
      </c>
      <c r="P5">
        <v>0</v>
      </c>
      <c r="Q5">
        <v>0</v>
      </c>
      <c r="R5">
        <v>3</v>
      </c>
      <c r="S5">
        <v>0</v>
      </c>
      <c r="T5">
        <v>0</v>
      </c>
      <c r="U5">
        <v>0</v>
      </c>
      <c r="V5">
        <v>13</v>
      </c>
      <c r="W5">
        <v>4</v>
      </c>
      <c r="X5">
        <v>110000</v>
      </c>
      <c r="Y5">
        <v>100000</v>
      </c>
      <c r="Z5">
        <v>80000</v>
      </c>
      <c r="AA5">
        <v>0</v>
      </c>
      <c r="AB5">
        <v>0</v>
      </c>
      <c r="AC5">
        <v>100000</v>
      </c>
      <c r="AD5">
        <v>70000</v>
      </c>
      <c r="AF5" t="s">
        <v>57</v>
      </c>
      <c r="AG5">
        <v>6</v>
      </c>
      <c r="AH5">
        <v>9</v>
      </c>
      <c r="AI5">
        <v>-2</v>
      </c>
      <c r="AJ5">
        <v>-1</v>
      </c>
      <c r="AK5">
        <v>2</v>
      </c>
      <c r="AL5">
        <v>1</v>
      </c>
      <c r="AM5" t="s">
        <v>99</v>
      </c>
      <c r="AN5">
        <v>698</v>
      </c>
      <c r="AO5">
        <v>332</v>
      </c>
      <c r="AP5">
        <v>1613</v>
      </c>
      <c r="AQ5">
        <v>1613</v>
      </c>
      <c r="AR5" t="s">
        <v>57</v>
      </c>
      <c r="AS5">
        <f>+VLOOKUP(playerround[[#This Row],[player_id]],player[],5,0)</f>
        <v>124</v>
      </c>
      <c r="AT5">
        <f>+VLOOKUP(playerround[[#This Row],[groupround_id]],groupround[],6,FALSE)</f>
        <v>3</v>
      </c>
      <c r="AU5">
        <f>playerround[[#This Row],[mortgage_payment]]+playerround[[#This Row],[spent_savings_for_buying_house]]</f>
        <v>10000</v>
      </c>
      <c r="AV5">
        <f>playerround[[#This Row],[cost_fluvial_damage]]+playerround[[#This Row],[cost_pluvial_damage]]</f>
        <v>0</v>
      </c>
      <c r="BM5">
        <v>125</v>
      </c>
      <c r="BN5">
        <f t="shared" si="0"/>
        <v>161000</v>
      </c>
      <c r="BO5">
        <f t="shared" si="1"/>
        <v>20700</v>
      </c>
      <c r="BP5">
        <f t="shared" si="2"/>
        <v>90350</v>
      </c>
      <c r="BQ5">
        <f t="shared" si="3"/>
        <v>85000</v>
      </c>
      <c r="BR5">
        <f t="shared" si="4"/>
        <v>24000</v>
      </c>
      <c r="BS5">
        <f t="shared" si="10"/>
        <v>1800000</v>
      </c>
      <c r="BU5">
        <v>125</v>
      </c>
      <c r="BV5">
        <f t="shared" si="5"/>
        <v>8.9444444444444438E-2</v>
      </c>
      <c r="BW5">
        <f t="shared" si="6"/>
        <v>1.15E-2</v>
      </c>
      <c r="BX5">
        <f t="shared" si="7"/>
        <v>5.0194444444444444E-2</v>
      </c>
      <c r="BY5">
        <f t="shared" si="8"/>
        <v>4.7222222222222221E-2</v>
      </c>
      <c r="BZ5">
        <f t="shared" si="9"/>
        <v>1.3333333333333334E-2</v>
      </c>
      <c r="CA5">
        <f t="shared" si="11"/>
        <v>0.78830555555555559</v>
      </c>
    </row>
    <row r="6" spans="1:79" x14ac:dyDescent="0.3">
      <c r="A6">
        <v>1428</v>
      </c>
      <c r="B6" s="1">
        <v>45937.479733796295</v>
      </c>
      <c r="C6">
        <v>75000</v>
      </c>
      <c r="D6">
        <v>40000</v>
      </c>
      <c r="E6">
        <v>0</v>
      </c>
      <c r="F6">
        <v>10000</v>
      </c>
      <c r="G6">
        <v>0</v>
      </c>
      <c r="H6">
        <v>0</v>
      </c>
      <c r="I6">
        <v>20000</v>
      </c>
      <c r="J6">
        <v>1000</v>
      </c>
      <c r="K6">
        <v>5000</v>
      </c>
      <c r="L6">
        <v>0</v>
      </c>
      <c r="M6">
        <v>4000</v>
      </c>
      <c r="N6">
        <v>-3250</v>
      </c>
      <c r="O6">
        <v>0</v>
      </c>
      <c r="P6">
        <v>0</v>
      </c>
      <c r="Q6">
        <v>0</v>
      </c>
      <c r="R6">
        <v>2</v>
      </c>
      <c r="S6">
        <v>0</v>
      </c>
      <c r="T6">
        <v>1</v>
      </c>
      <c r="U6">
        <v>0</v>
      </c>
      <c r="V6">
        <v>16</v>
      </c>
      <c r="W6">
        <v>4</v>
      </c>
      <c r="X6">
        <v>110000</v>
      </c>
      <c r="Y6">
        <v>100000</v>
      </c>
      <c r="Z6">
        <v>70000</v>
      </c>
      <c r="AA6">
        <v>0</v>
      </c>
      <c r="AB6">
        <v>0</v>
      </c>
      <c r="AC6">
        <v>100000</v>
      </c>
      <c r="AD6">
        <v>60000</v>
      </c>
      <c r="AF6" t="s">
        <v>57</v>
      </c>
      <c r="AG6">
        <v>6</v>
      </c>
      <c r="AH6">
        <v>9</v>
      </c>
      <c r="AI6">
        <v>-2</v>
      </c>
      <c r="AJ6">
        <v>-1</v>
      </c>
      <c r="AK6">
        <v>1</v>
      </c>
      <c r="AL6">
        <v>1</v>
      </c>
      <c r="AM6" t="s">
        <v>99</v>
      </c>
      <c r="AN6">
        <v>698</v>
      </c>
      <c r="AO6">
        <v>336</v>
      </c>
      <c r="AP6">
        <v>1613</v>
      </c>
      <c r="AQ6">
        <v>1613</v>
      </c>
      <c r="AR6" t="s">
        <v>57</v>
      </c>
      <c r="AS6">
        <f>+VLOOKUP(playerround[[#This Row],[player_id]],player[],5,0)</f>
        <v>124</v>
      </c>
      <c r="AT6">
        <f>+VLOOKUP(playerround[[#This Row],[groupround_id]],groupround[],6,FALSE)</f>
        <v>4</v>
      </c>
      <c r="AU6">
        <f>playerround[[#This Row],[mortgage_payment]]+playerround[[#This Row],[spent_savings_for_buying_house]]</f>
        <v>10000</v>
      </c>
      <c r="AV6">
        <f>playerround[[#This Row],[cost_fluvial_damage]]+playerround[[#This Row],[cost_pluvial_damage]]</f>
        <v>4000</v>
      </c>
      <c r="BM6">
        <v>126</v>
      </c>
      <c r="BN6">
        <f t="shared" si="0"/>
        <v>250000</v>
      </c>
      <c r="BO6">
        <f t="shared" si="1"/>
        <v>0</v>
      </c>
      <c r="BP6">
        <f t="shared" si="2"/>
        <v>160475</v>
      </c>
      <c r="BQ6">
        <f t="shared" si="3"/>
        <v>112000</v>
      </c>
      <c r="BR6">
        <f t="shared" si="4"/>
        <v>12000</v>
      </c>
      <c r="BS6">
        <f t="shared" si="10"/>
        <v>2200000</v>
      </c>
      <c r="BU6">
        <v>126</v>
      </c>
      <c r="BV6">
        <f t="shared" si="5"/>
        <v>0.11363636363636363</v>
      </c>
      <c r="BW6">
        <f t="shared" si="6"/>
        <v>0</v>
      </c>
      <c r="BX6">
        <f t="shared" si="7"/>
        <v>7.2943181818181824E-2</v>
      </c>
      <c r="BY6">
        <f t="shared" si="8"/>
        <v>5.0909090909090911E-2</v>
      </c>
      <c r="BZ6">
        <f t="shared" si="9"/>
        <v>5.454545454545455E-3</v>
      </c>
      <c r="CA6">
        <f t="shared" si="11"/>
        <v>0.75705681818181814</v>
      </c>
    </row>
    <row r="7" spans="1:79" x14ac:dyDescent="0.3">
      <c r="A7">
        <v>1358</v>
      </c>
      <c r="B7" s="1">
        <v>45937.597245370373</v>
      </c>
      <c r="C7">
        <v>110000</v>
      </c>
      <c r="D7">
        <v>60000</v>
      </c>
      <c r="E7">
        <v>0</v>
      </c>
      <c r="F7">
        <v>0</v>
      </c>
      <c r="G7">
        <v>0</v>
      </c>
      <c r="H7">
        <v>0</v>
      </c>
      <c r="I7">
        <v>0</v>
      </c>
      <c r="J7">
        <v>0</v>
      </c>
      <c r="K7">
        <v>0</v>
      </c>
      <c r="L7">
        <v>0</v>
      </c>
      <c r="M7">
        <v>0</v>
      </c>
      <c r="N7">
        <v>30000</v>
      </c>
      <c r="O7">
        <v>0</v>
      </c>
      <c r="P7">
        <v>0</v>
      </c>
      <c r="Q7">
        <v>0</v>
      </c>
      <c r="R7">
        <v>0</v>
      </c>
      <c r="S7">
        <v>0</v>
      </c>
      <c r="T7">
        <v>0</v>
      </c>
      <c r="U7">
        <v>0</v>
      </c>
      <c r="V7">
        <v>5</v>
      </c>
      <c r="W7">
        <v>6</v>
      </c>
      <c r="X7">
        <v>170000</v>
      </c>
      <c r="Y7">
        <v>0</v>
      </c>
      <c r="Z7">
        <v>0</v>
      </c>
      <c r="AA7">
        <v>0</v>
      </c>
      <c r="AB7">
        <v>0</v>
      </c>
      <c r="AC7">
        <v>0</v>
      </c>
      <c r="AD7">
        <v>0</v>
      </c>
      <c r="AF7" t="s">
        <v>57</v>
      </c>
      <c r="AG7">
        <v>0</v>
      </c>
      <c r="AH7">
        <v>0</v>
      </c>
      <c r="AI7">
        <v>0</v>
      </c>
      <c r="AJ7">
        <v>0</v>
      </c>
      <c r="AK7">
        <v>0</v>
      </c>
      <c r="AL7">
        <v>0</v>
      </c>
      <c r="AM7" t="s">
        <v>86</v>
      </c>
      <c r="AN7">
        <v>699</v>
      </c>
      <c r="AO7">
        <v>318</v>
      </c>
      <c r="AR7" t="s">
        <v>57</v>
      </c>
      <c r="AS7">
        <f>+VLOOKUP(playerround[[#This Row],[player_id]],player[],5,0)</f>
        <v>126</v>
      </c>
      <c r="AT7">
        <f>+VLOOKUP(playerround[[#This Row],[groupround_id]],groupround[],6,FALSE)</f>
        <v>0</v>
      </c>
      <c r="AU7">
        <f>playerround[[#This Row],[mortgage_payment]]+playerround[[#This Row],[spent_savings_for_buying_house]]</f>
        <v>0</v>
      </c>
      <c r="AV7">
        <f>playerround[[#This Row],[cost_fluvial_damage]]+playerround[[#This Row],[cost_pluvial_damage]]</f>
        <v>0</v>
      </c>
      <c r="BM7">
        <v>127</v>
      </c>
      <c r="BN7">
        <f t="shared" si="0"/>
        <v>250000</v>
      </c>
      <c r="BO7">
        <f t="shared" si="1"/>
        <v>0</v>
      </c>
      <c r="BP7">
        <f t="shared" si="2"/>
        <v>264750</v>
      </c>
      <c r="BQ7">
        <f t="shared" si="3"/>
        <v>131000</v>
      </c>
      <c r="BR7">
        <f t="shared" si="4"/>
        <v>8000</v>
      </c>
      <c r="BS7">
        <f t="shared" si="10"/>
        <v>2600000</v>
      </c>
      <c r="BU7">
        <v>127</v>
      </c>
      <c r="BV7">
        <f t="shared" si="5"/>
        <v>9.6153846153846159E-2</v>
      </c>
      <c r="BW7">
        <f t="shared" si="6"/>
        <v>0</v>
      </c>
      <c r="BX7">
        <f t="shared" si="7"/>
        <v>0.10182692307692308</v>
      </c>
      <c r="BY7">
        <f t="shared" si="8"/>
        <v>5.0384615384615382E-2</v>
      </c>
      <c r="BZ7">
        <f t="shared" si="9"/>
        <v>3.0769230769230769E-3</v>
      </c>
      <c r="CA7">
        <f t="shared" si="11"/>
        <v>0.74855769230769231</v>
      </c>
    </row>
    <row r="8" spans="1:79" x14ac:dyDescent="0.3">
      <c r="A8">
        <v>1366</v>
      </c>
      <c r="B8" s="1">
        <v>45937.597245370373</v>
      </c>
      <c r="C8">
        <v>110000</v>
      </c>
      <c r="D8">
        <v>60000</v>
      </c>
      <c r="E8">
        <v>0</v>
      </c>
      <c r="F8">
        <v>17000</v>
      </c>
      <c r="G8">
        <v>0</v>
      </c>
      <c r="H8">
        <v>30000</v>
      </c>
      <c r="I8">
        <v>15000</v>
      </c>
      <c r="J8">
        <v>6000</v>
      </c>
      <c r="K8">
        <v>5000</v>
      </c>
      <c r="L8">
        <v>0</v>
      </c>
      <c r="M8">
        <v>0</v>
      </c>
      <c r="N8">
        <v>7000</v>
      </c>
      <c r="O8">
        <v>0</v>
      </c>
      <c r="P8">
        <v>0</v>
      </c>
      <c r="Q8">
        <v>1</v>
      </c>
      <c r="R8">
        <v>1</v>
      </c>
      <c r="S8">
        <v>0</v>
      </c>
      <c r="T8">
        <v>0</v>
      </c>
      <c r="U8">
        <v>0</v>
      </c>
      <c r="V8">
        <v>7</v>
      </c>
      <c r="W8">
        <v>6</v>
      </c>
      <c r="X8">
        <v>170000</v>
      </c>
      <c r="Y8">
        <v>0</v>
      </c>
      <c r="Z8">
        <v>0</v>
      </c>
      <c r="AA8">
        <v>0</v>
      </c>
      <c r="AB8">
        <v>200000</v>
      </c>
      <c r="AC8">
        <v>170000</v>
      </c>
      <c r="AD8">
        <v>153000</v>
      </c>
      <c r="AF8" t="s">
        <v>57</v>
      </c>
      <c r="AG8">
        <v>6</v>
      </c>
      <c r="AH8">
        <v>9</v>
      </c>
      <c r="AI8">
        <v>0</v>
      </c>
      <c r="AJ8">
        <v>0</v>
      </c>
      <c r="AK8">
        <v>1</v>
      </c>
      <c r="AL8">
        <v>0</v>
      </c>
      <c r="AM8" t="s">
        <v>99</v>
      </c>
      <c r="AN8">
        <v>699</v>
      </c>
      <c r="AO8">
        <v>325</v>
      </c>
      <c r="AQ8">
        <v>1611</v>
      </c>
      <c r="AR8" t="s">
        <v>57</v>
      </c>
      <c r="AS8">
        <f>+VLOOKUP(playerround[[#This Row],[player_id]],player[],5,0)</f>
        <v>126</v>
      </c>
      <c r="AT8">
        <f>+VLOOKUP(playerround[[#This Row],[groupround_id]],groupround[],6,FALSE)</f>
        <v>1</v>
      </c>
      <c r="AU8">
        <f>playerround[[#This Row],[mortgage_payment]]+playerround[[#This Row],[spent_savings_for_buying_house]]</f>
        <v>47000</v>
      </c>
      <c r="AV8">
        <f>playerround[[#This Row],[cost_fluvial_damage]]+playerround[[#This Row],[cost_pluvial_damage]]</f>
        <v>0</v>
      </c>
      <c r="BM8">
        <v>128</v>
      </c>
      <c r="BN8">
        <f t="shared" si="0"/>
        <v>354000</v>
      </c>
      <c r="BO8">
        <f t="shared" si="1"/>
        <v>0</v>
      </c>
      <c r="BP8">
        <f t="shared" si="2"/>
        <v>363675</v>
      </c>
      <c r="BQ8">
        <f t="shared" si="3"/>
        <v>144000</v>
      </c>
      <c r="BR8">
        <f t="shared" si="4"/>
        <v>12000</v>
      </c>
      <c r="BS8">
        <f t="shared" si="10"/>
        <v>3800000</v>
      </c>
      <c r="BU8">
        <v>128</v>
      </c>
      <c r="BV8">
        <f t="shared" si="5"/>
        <v>9.3157894736842106E-2</v>
      </c>
      <c r="BW8">
        <f t="shared" si="6"/>
        <v>0</v>
      </c>
      <c r="BX8">
        <f t="shared" si="7"/>
        <v>9.5703947368421055E-2</v>
      </c>
      <c r="BY8">
        <f t="shared" si="8"/>
        <v>3.7894736842105266E-2</v>
      </c>
      <c r="BZ8">
        <f t="shared" si="9"/>
        <v>3.1578947368421052E-3</v>
      </c>
      <c r="CA8">
        <f t="shared" si="11"/>
        <v>0.77008552631578953</v>
      </c>
    </row>
    <row r="9" spans="1:79" x14ac:dyDescent="0.3">
      <c r="A9">
        <v>1381</v>
      </c>
      <c r="B9" s="1">
        <v>45937.597245370373</v>
      </c>
      <c r="C9">
        <v>110000</v>
      </c>
      <c r="D9">
        <v>60000</v>
      </c>
      <c r="E9">
        <v>0</v>
      </c>
      <c r="F9">
        <v>17000</v>
      </c>
      <c r="G9">
        <v>0</v>
      </c>
      <c r="H9">
        <v>0</v>
      </c>
      <c r="I9">
        <v>15000</v>
      </c>
      <c r="J9">
        <v>8000</v>
      </c>
      <c r="K9">
        <v>15000</v>
      </c>
      <c r="L9">
        <v>0</v>
      </c>
      <c r="M9">
        <v>0</v>
      </c>
      <c r="N9">
        <v>2000</v>
      </c>
      <c r="O9">
        <v>0</v>
      </c>
      <c r="P9">
        <v>0</v>
      </c>
      <c r="Q9">
        <v>1</v>
      </c>
      <c r="R9">
        <v>3</v>
      </c>
      <c r="S9">
        <v>0</v>
      </c>
      <c r="T9">
        <v>0</v>
      </c>
      <c r="U9">
        <v>0</v>
      </c>
      <c r="V9">
        <v>11</v>
      </c>
      <c r="W9">
        <v>6</v>
      </c>
      <c r="X9">
        <v>170000</v>
      </c>
      <c r="Y9">
        <v>170000</v>
      </c>
      <c r="Z9">
        <v>153000</v>
      </c>
      <c r="AA9">
        <v>0</v>
      </c>
      <c r="AB9">
        <v>0</v>
      </c>
      <c r="AC9">
        <v>170000</v>
      </c>
      <c r="AD9">
        <v>136000</v>
      </c>
      <c r="AF9" t="s">
        <v>57</v>
      </c>
      <c r="AG9">
        <v>6</v>
      </c>
      <c r="AH9">
        <v>9</v>
      </c>
      <c r="AI9">
        <v>0</v>
      </c>
      <c r="AJ9">
        <v>0</v>
      </c>
      <c r="AK9">
        <v>2</v>
      </c>
      <c r="AL9">
        <v>1</v>
      </c>
      <c r="AM9" t="s">
        <v>99</v>
      </c>
      <c r="AN9">
        <v>699</v>
      </c>
      <c r="AO9">
        <v>328</v>
      </c>
      <c r="AP9">
        <v>1611</v>
      </c>
      <c r="AQ9">
        <v>1611</v>
      </c>
      <c r="AR9" t="s">
        <v>57</v>
      </c>
      <c r="AS9">
        <f>+VLOOKUP(playerround[[#This Row],[player_id]],player[],5,0)</f>
        <v>126</v>
      </c>
      <c r="AT9">
        <f>+VLOOKUP(playerround[[#This Row],[groupround_id]],groupround[],6,FALSE)</f>
        <v>2</v>
      </c>
      <c r="AU9">
        <f>playerround[[#This Row],[mortgage_payment]]+playerround[[#This Row],[spent_savings_for_buying_house]]</f>
        <v>17000</v>
      </c>
      <c r="AV9">
        <f>playerround[[#This Row],[cost_fluvial_damage]]+playerround[[#This Row],[cost_pluvial_damage]]</f>
        <v>0</v>
      </c>
    </row>
    <row r="10" spans="1:79" x14ac:dyDescent="0.3">
      <c r="A10">
        <v>1406</v>
      </c>
      <c r="B10" s="1">
        <v>45937.597245370373</v>
      </c>
      <c r="C10">
        <v>110000</v>
      </c>
      <c r="D10">
        <v>60000</v>
      </c>
      <c r="E10">
        <v>0</v>
      </c>
      <c r="F10">
        <v>17000</v>
      </c>
      <c r="G10">
        <v>0</v>
      </c>
      <c r="H10">
        <v>0</v>
      </c>
      <c r="I10">
        <v>15000</v>
      </c>
      <c r="J10">
        <v>9000</v>
      </c>
      <c r="K10">
        <v>10000</v>
      </c>
      <c r="L10">
        <v>0</v>
      </c>
      <c r="M10">
        <v>0</v>
      </c>
      <c r="N10">
        <v>1000</v>
      </c>
      <c r="O10">
        <v>0</v>
      </c>
      <c r="P10">
        <v>0</v>
      </c>
      <c r="Q10">
        <v>1</v>
      </c>
      <c r="R10">
        <v>2</v>
      </c>
      <c r="S10">
        <v>0</v>
      </c>
      <c r="T10">
        <v>0</v>
      </c>
      <c r="U10">
        <v>0</v>
      </c>
      <c r="V10">
        <v>14</v>
      </c>
      <c r="W10">
        <v>6</v>
      </c>
      <c r="X10">
        <v>170000</v>
      </c>
      <c r="Y10">
        <v>170000</v>
      </c>
      <c r="Z10">
        <v>136000</v>
      </c>
      <c r="AA10">
        <v>0</v>
      </c>
      <c r="AB10">
        <v>0</v>
      </c>
      <c r="AC10">
        <v>170000</v>
      </c>
      <c r="AD10">
        <v>119000</v>
      </c>
      <c r="AF10" t="s">
        <v>57</v>
      </c>
      <c r="AG10">
        <v>6</v>
      </c>
      <c r="AH10">
        <v>9</v>
      </c>
      <c r="AI10">
        <v>-2</v>
      </c>
      <c r="AJ10">
        <v>-1</v>
      </c>
      <c r="AK10">
        <v>3</v>
      </c>
      <c r="AL10">
        <v>2</v>
      </c>
      <c r="AM10" t="s">
        <v>99</v>
      </c>
      <c r="AN10">
        <v>699</v>
      </c>
      <c r="AO10">
        <v>332</v>
      </c>
      <c r="AP10">
        <v>1611</v>
      </c>
      <c r="AQ10">
        <v>1611</v>
      </c>
      <c r="AR10" t="s">
        <v>57</v>
      </c>
      <c r="AS10">
        <f>+VLOOKUP(playerround[[#This Row],[player_id]],player[],5,0)</f>
        <v>126</v>
      </c>
      <c r="AT10">
        <f>+VLOOKUP(playerround[[#This Row],[groupround_id]],groupround[],6,FALSE)</f>
        <v>3</v>
      </c>
      <c r="AU10">
        <f>playerround[[#This Row],[mortgage_payment]]+playerround[[#This Row],[spent_savings_for_buying_house]]</f>
        <v>17000</v>
      </c>
      <c r="AV10">
        <f>playerround[[#This Row],[cost_fluvial_damage]]+playerround[[#This Row],[cost_pluvial_damage]]</f>
        <v>0</v>
      </c>
    </row>
    <row r="11" spans="1:79" x14ac:dyDescent="0.3">
      <c r="A11">
        <v>1429</v>
      </c>
      <c r="B11" s="1">
        <v>45937.597245370373</v>
      </c>
      <c r="C11">
        <v>110000</v>
      </c>
      <c r="D11">
        <v>60000</v>
      </c>
      <c r="E11">
        <v>0</v>
      </c>
      <c r="F11">
        <v>17000</v>
      </c>
      <c r="G11">
        <v>0</v>
      </c>
      <c r="H11">
        <v>0</v>
      </c>
      <c r="I11">
        <v>20000</v>
      </c>
      <c r="J11">
        <v>0</v>
      </c>
      <c r="K11">
        <v>14000</v>
      </c>
      <c r="L11">
        <v>0</v>
      </c>
      <c r="M11">
        <v>0</v>
      </c>
      <c r="N11">
        <v>0</v>
      </c>
      <c r="O11">
        <v>0</v>
      </c>
      <c r="P11">
        <v>0</v>
      </c>
      <c r="Q11">
        <v>0</v>
      </c>
      <c r="R11">
        <v>2</v>
      </c>
      <c r="S11">
        <v>0</v>
      </c>
      <c r="T11">
        <v>0</v>
      </c>
      <c r="U11">
        <v>0</v>
      </c>
      <c r="V11">
        <v>18</v>
      </c>
      <c r="W11">
        <v>6</v>
      </c>
      <c r="X11">
        <v>170000</v>
      </c>
      <c r="Y11">
        <v>170000</v>
      </c>
      <c r="Z11">
        <v>119000</v>
      </c>
      <c r="AA11">
        <v>0</v>
      </c>
      <c r="AB11">
        <v>0</v>
      </c>
      <c r="AC11">
        <v>170000</v>
      </c>
      <c r="AD11">
        <v>102000</v>
      </c>
      <c r="AF11" t="s">
        <v>57</v>
      </c>
      <c r="AG11">
        <v>6</v>
      </c>
      <c r="AH11">
        <v>9</v>
      </c>
      <c r="AI11">
        <v>-2</v>
      </c>
      <c r="AJ11">
        <v>-1</v>
      </c>
      <c r="AK11">
        <v>4</v>
      </c>
      <c r="AL11">
        <v>3</v>
      </c>
      <c r="AM11" t="s">
        <v>99</v>
      </c>
      <c r="AN11">
        <v>699</v>
      </c>
      <c r="AO11">
        <v>336</v>
      </c>
      <c r="AP11">
        <v>1611</v>
      </c>
      <c r="AQ11">
        <v>1611</v>
      </c>
      <c r="AR11" t="s">
        <v>57</v>
      </c>
      <c r="AS11">
        <f>+VLOOKUP(playerround[[#This Row],[player_id]],player[],5,0)</f>
        <v>126</v>
      </c>
      <c r="AT11">
        <f>+VLOOKUP(playerround[[#This Row],[groupround_id]],groupround[],6,FALSE)</f>
        <v>4</v>
      </c>
      <c r="AU11">
        <f>playerround[[#This Row],[mortgage_payment]]+playerround[[#This Row],[spent_savings_for_buying_house]]</f>
        <v>17000</v>
      </c>
      <c r="AV11">
        <f>playerround[[#This Row],[cost_fluvial_damage]]+playerround[[#This Row],[cost_pluvial_damage]]</f>
        <v>0</v>
      </c>
    </row>
    <row r="12" spans="1:79" x14ac:dyDescent="0.3">
      <c r="A12">
        <v>1362</v>
      </c>
      <c r="B12" s="1">
        <v>45937.598113425927</v>
      </c>
      <c r="C12">
        <v>60000</v>
      </c>
      <c r="D12">
        <v>30000</v>
      </c>
      <c r="E12">
        <v>0</v>
      </c>
      <c r="F12">
        <v>0</v>
      </c>
      <c r="G12">
        <v>0</v>
      </c>
      <c r="H12">
        <v>0</v>
      </c>
      <c r="I12">
        <v>0</v>
      </c>
      <c r="J12">
        <v>0</v>
      </c>
      <c r="K12">
        <v>0</v>
      </c>
      <c r="L12">
        <v>0</v>
      </c>
      <c r="M12">
        <v>0</v>
      </c>
      <c r="N12">
        <v>0</v>
      </c>
      <c r="O12">
        <v>0</v>
      </c>
      <c r="P12">
        <v>0</v>
      </c>
      <c r="Q12">
        <v>0</v>
      </c>
      <c r="R12">
        <v>0</v>
      </c>
      <c r="S12">
        <v>0</v>
      </c>
      <c r="T12">
        <v>0</v>
      </c>
      <c r="U12">
        <v>0</v>
      </c>
      <c r="V12">
        <v>5</v>
      </c>
      <c r="W12">
        <v>3</v>
      </c>
      <c r="X12">
        <v>80000</v>
      </c>
      <c r="Y12">
        <v>0</v>
      </c>
      <c r="Z12">
        <v>0</v>
      </c>
      <c r="AA12">
        <v>0</v>
      </c>
      <c r="AB12">
        <v>0</v>
      </c>
      <c r="AC12">
        <v>0</v>
      </c>
      <c r="AD12">
        <v>0</v>
      </c>
      <c r="AF12" t="s">
        <v>57</v>
      </c>
      <c r="AG12">
        <v>0</v>
      </c>
      <c r="AH12">
        <v>0</v>
      </c>
      <c r="AI12">
        <v>0</v>
      </c>
      <c r="AJ12">
        <v>0</v>
      </c>
      <c r="AK12">
        <v>0</v>
      </c>
      <c r="AL12">
        <v>0</v>
      </c>
      <c r="AM12" t="s">
        <v>86</v>
      </c>
      <c r="AN12">
        <v>700</v>
      </c>
      <c r="AO12">
        <v>318</v>
      </c>
      <c r="AR12" t="s">
        <v>57</v>
      </c>
      <c r="AS12">
        <f>+VLOOKUP(playerround[[#This Row],[player_id]],player[],5,0)</f>
        <v>123</v>
      </c>
      <c r="AT12">
        <f>+VLOOKUP(playerround[[#This Row],[groupround_id]],groupround[],6,FALSE)</f>
        <v>0</v>
      </c>
      <c r="AU12">
        <f>playerround[[#This Row],[mortgage_payment]]+playerround[[#This Row],[spent_savings_for_buying_house]]</f>
        <v>0</v>
      </c>
      <c r="AV12">
        <f>playerround[[#This Row],[cost_fluvial_damage]]+playerround[[#This Row],[cost_pluvial_damage]]</f>
        <v>0</v>
      </c>
    </row>
    <row r="13" spans="1:79" x14ac:dyDescent="0.3">
      <c r="A13">
        <v>1368</v>
      </c>
      <c r="B13" s="1">
        <v>45937.598113425927</v>
      </c>
      <c r="C13">
        <v>60000</v>
      </c>
      <c r="D13">
        <v>30000</v>
      </c>
      <c r="E13">
        <v>0</v>
      </c>
      <c r="F13">
        <v>7000</v>
      </c>
      <c r="G13">
        <v>0</v>
      </c>
      <c r="H13">
        <v>0</v>
      </c>
      <c r="I13">
        <v>20000</v>
      </c>
      <c r="J13">
        <v>1000</v>
      </c>
      <c r="K13">
        <v>1400</v>
      </c>
      <c r="L13">
        <v>8000</v>
      </c>
      <c r="M13">
        <v>0</v>
      </c>
      <c r="N13">
        <v>-7400</v>
      </c>
      <c r="O13">
        <v>0</v>
      </c>
      <c r="P13">
        <v>-1</v>
      </c>
      <c r="Q13">
        <v>0</v>
      </c>
      <c r="R13">
        <v>0</v>
      </c>
      <c r="S13">
        <v>3</v>
      </c>
      <c r="T13">
        <v>0</v>
      </c>
      <c r="U13">
        <v>0</v>
      </c>
      <c r="V13">
        <v>1</v>
      </c>
      <c r="W13">
        <v>3</v>
      </c>
      <c r="X13">
        <v>80000</v>
      </c>
      <c r="Y13">
        <v>0</v>
      </c>
      <c r="Z13">
        <v>0</v>
      </c>
      <c r="AA13">
        <v>0</v>
      </c>
      <c r="AB13">
        <v>70000</v>
      </c>
      <c r="AC13">
        <v>70000</v>
      </c>
      <c r="AD13">
        <v>63000</v>
      </c>
      <c r="AF13" t="s">
        <v>57</v>
      </c>
      <c r="AG13">
        <v>6</v>
      </c>
      <c r="AH13">
        <v>6</v>
      </c>
      <c r="AI13">
        <v>0</v>
      </c>
      <c r="AJ13">
        <v>0</v>
      </c>
      <c r="AK13">
        <v>1</v>
      </c>
      <c r="AL13">
        <v>1</v>
      </c>
      <c r="AM13" t="s">
        <v>99</v>
      </c>
      <c r="AN13">
        <v>700</v>
      </c>
      <c r="AO13">
        <v>325</v>
      </c>
      <c r="AQ13">
        <v>1623</v>
      </c>
      <c r="AR13" t="s">
        <v>57</v>
      </c>
      <c r="AS13">
        <f>+VLOOKUP(playerround[[#This Row],[player_id]],player[],5,0)</f>
        <v>123</v>
      </c>
      <c r="AT13">
        <f>+VLOOKUP(playerround[[#This Row],[groupround_id]],groupround[],6,FALSE)</f>
        <v>1</v>
      </c>
      <c r="AU13">
        <f>playerround[[#This Row],[mortgage_payment]]+playerround[[#This Row],[spent_savings_for_buying_house]]</f>
        <v>7000</v>
      </c>
      <c r="AV13">
        <f>playerround[[#This Row],[cost_fluvial_damage]]+playerround[[#This Row],[cost_pluvial_damage]]</f>
        <v>8000</v>
      </c>
    </row>
    <row r="14" spans="1:79" x14ac:dyDescent="0.3">
      <c r="A14">
        <v>1383</v>
      </c>
      <c r="B14" s="1">
        <v>45937.598113425927</v>
      </c>
      <c r="C14">
        <v>60000</v>
      </c>
      <c r="D14">
        <v>30000</v>
      </c>
      <c r="E14">
        <v>7400</v>
      </c>
      <c r="F14">
        <v>7000</v>
      </c>
      <c r="G14">
        <v>0</v>
      </c>
      <c r="H14">
        <v>0</v>
      </c>
      <c r="I14">
        <v>20000</v>
      </c>
      <c r="J14">
        <v>0</v>
      </c>
      <c r="K14">
        <v>0</v>
      </c>
      <c r="L14">
        <v>0</v>
      </c>
      <c r="M14">
        <v>0</v>
      </c>
      <c r="N14">
        <v>-4400</v>
      </c>
      <c r="O14">
        <v>0</v>
      </c>
      <c r="P14">
        <v>0</v>
      </c>
      <c r="Q14">
        <v>0</v>
      </c>
      <c r="R14">
        <v>0</v>
      </c>
      <c r="S14">
        <v>0</v>
      </c>
      <c r="T14">
        <v>0</v>
      </c>
      <c r="U14">
        <v>1</v>
      </c>
      <c r="V14">
        <v>0</v>
      </c>
      <c r="W14">
        <v>3</v>
      </c>
      <c r="X14">
        <v>80000</v>
      </c>
      <c r="Y14">
        <v>70000</v>
      </c>
      <c r="Z14">
        <v>63000</v>
      </c>
      <c r="AA14">
        <v>0</v>
      </c>
      <c r="AB14">
        <v>0</v>
      </c>
      <c r="AC14">
        <v>70000</v>
      </c>
      <c r="AD14">
        <v>56000</v>
      </c>
      <c r="AF14" t="s">
        <v>57</v>
      </c>
      <c r="AG14">
        <v>6</v>
      </c>
      <c r="AH14">
        <v>6</v>
      </c>
      <c r="AI14">
        <v>0</v>
      </c>
      <c r="AJ14">
        <v>0</v>
      </c>
      <c r="AK14">
        <v>0</v>
      </c>
      <c r="AL14">
        <v>0</v>
      </c>
      <c r="AM14" t="s">
        <v>99</v>
      </c>
      <c r="AN14">
        <v>700</v>
      </c>
      <c r="AO14">
        <v>328</v>
      </c>
      <c r="AP14">
        <v>1623</v>
      </c>
      <c r="AQ14">
        <v>1623</v>
      </c>
      <c r="AR14" t="s">
        <v>57</v>
      </c>
      <c r="AS14">
        <f>+VLOOKUP(playerround[[#This Row],[player_id]],player[],5,0)</f>
        <v>123</v>
      </c>
      <c r="AT14">
        <f>+VLOOKUP(playerround[[#This Row],[groupround_id]],groupround[],6,FALSE)</f>
        <v>2</v>
      </c>
      <c r="AU14">
        <f>playerround[[#This Row],[mortgage_payment]]+playerround[[#This Row],[spent_savings_for_buying_house]]</f>
        <v>7000</v>
      </c>
      <c r="AV14">
        <f>playerround[[#This Row],[cost_fluvial_damage]]+playerround[[#This Row],[cost_pluvial_damage]]</f>
        <v>0</v>
      </c>
    </row>
    <row r="15" spans="1:79" x14ac:dyDescent="0.3">
      <c r="A15">
        <v>1405</v>
      </c>
      <c r="B15" s="1">
        <v>45937.598113425927</v>
      </c>
      <c r="C15">
        <v>60000</v>
      </c>
      <c r="D15">
        <v>30000</v>
      </c>
      <c r="E15">
        <v>4400</v>
      </c>
      <c r="F15">
        <v>7000</v>
      </c>
      <c r="G15">
        <v>0</v>
      </c>
      <c r="H15">
        <v>0</v>
      </c>
      <c r="I15">
        <v>20000</v>
      </c>
      <c r="J15">
        <v>0</v>
      </c>
      <c r="K15">
        <v>0</v>
      </c>
      <c r="L15">
        <v>4000</v>
      </c>
      <c r="M15">
        <v>0</v>
      </c>
      <c r="N15">
        <v>-5400</v>
      </c>
      <c r="O15">
        <v>0</v>
      </c>
      <c r="P15">
        <v>0</v>
      </c>
      <c r="Q15">
        <v>0</v>
      </c>
      <c r="R15">
        <v>0</v>
      </c>
      <c r="S15">
        <v>2</v>
      </c>
      <c r="T15">
        <v>0</v>
      </c>
      <c r="U15">
        <v>1</v>
      </c>
      <c r="V15">
        <v>-3</v>
      </c>
      <c r="W15">
        <v>3</v>
      </c>
      <c r="X15">
        <v>80000</v>
      </c>
      <c r="Y15">
        <v>70000</v>
      </c>
      <c r="Z15">
        <v>56000</v>
      </c>
      <c r="AA15">
        <v>0</v>
      </c>
      <c r="AB15">
        <v>0</v>
      </c>
      <c r="AC15">
        <v>70000</v>
      </c>
      <c r="AD15">
        <v>49000</v>
      </c>
      <c r="AF15" t="s">
        <v>57</v>
      </c>
      <c r="AG15">
        <v>6</v>
      </c>
      <c r="AH15">
        <v>6</v>
      </c>
      <c r="AI15">
        <v>-2</v>
      </c>
      <c r="AJ15">
        <v>-1</v>
      </c>
      <c r="AK15">
        <v>0</v>
      </c>
      <c r="AL15">
        <v>0</v>
      </c>
      <c r="AM15" t="s">
        <v>99</v>
      </c>
      <c r="AN15">
        <v>700</v>
      </c>
      <c r="AO15">
        <v>332</v>
      </c>
      <c r="AP15">
        <v>1623</v>
      </c>
      <c r="AQ15">
        <v>1623</v>
      </c>
      <c r="AR15" t="s">
        <v>57</v>
      </c>
      <c r="AS15">
        <f>+VLOOKUP(playerround[[#This Row],[player_id]],player[],5,0)</f>
        <v>123</v>
      </c>
      <c r="AT15">
        <f>+VLOOKUP(playerround[[#This Row],[groupround_id]],groupround[],6,FALSE)</f>
        <v>3</v>
      </c>
      <c r="AU15">
        <f>playerround[[#This Row],[mortgage_payment]]+playerround[[#This Row],[spent_savings_for_buying_house]]</f>
        <v>7000</v>
      </c>
      <c r="AV15">
        <f>playerround[[#This Row],[cost_fluvial_damage]]+playerround[[#This Row],[cost_pluvial_damage]]</f>
        <v>4000</v>
      </c>
    </row>
    <row r="16" spans="1:79" x14ac:dyDescent="0.3">
      <c r="A16">
        <v>1432</v>
      </c>
      <c r="B16" s="1">
        <v>45937.598113425927</v>
      </c>
      <c r="C16">
        <v>60000</v>
      </c>
      <c r="D16">
        <v>30000</v>
      </c>
      <c r="E16">
        <v>5400</v>
      </c>
      <c r="F16">
        <v>7000</v>
      </c>
      <c r="G16">
        <v>51000</v>
      </c>
      <c r="H16">
        <v>0</v>
      </c>
      <c r="I16">
        <v>20000</v>
      </c>
      <c r="J16">
        <v>10000</v>
      </c>
      <c r="K16">
        <v>6500</v>
      </c>
      <c r="L16">
        <v>0</v>
      </c>
      <c r="M16">
        <v>4000</v>
      </c>
      <c r="N16">
        <v>28100</v>
      </c>
      <c r="O16">
        <v>1</v>
      </c>
      <c r="P16">
        <v>-1</v>
      </c>
      <c r="Q16">
        <v>0</v>
      </c>
      <c r="R16">
        <v>3</v>
      </c>
      <c r="S16">
        <v>1</v>
      </c>
      <c r="T16">
        <v>1</v>
      </c>
      <c r="U16">
        <v>1</v>
      </c>
      <c r="V16">
        <v>-5</v>
      </c>
      <c r="W16">
        <v>3</v>
      </c>
      <c r="X16">
        <v>80000</v>
      </c>
      <c r="Y16">
        <v>70000</v>
      </c>
      <c r="Z16">
        <v>49000</v>
      </c>
      <c r="AA16">
        <v>100000</v>
      </c>
      <c r="AB16">
        <v>70000</v>
      </c>
      <c r="AC16">
        <v>70000</v>
      </c>
      <c r="AD16">
        <v>63000</v>
      </c>
      <c r="AE16">
        <v>35</v>
      </c>
      <c r="AF16" t="s">
        <v>57</v>
      </c>
      <c r="AG16">
        <v>6</v>
      </c>
      <c r="AH16">
        <v>6</v>
      </c>
      <c r="AI16">
        <v>-2</v>
      </c>
      <c r="AJ16">
        <v>-1</v>
      </c>
      <c r="AK16">
        <v>2</v>
      </c>
      <c r="AL16">
        <v>2</v>
      </c>
      <c r="AM16" t="s">
        <v>99</v>
      </c>
      <c r="AN16">
        <v>700</v>
      </c>
      <c r="AO16">
        <v>336</v>
      </c>
      <c r="AP16">
        <v>1623</v>
      </c>
      <c r="AQ16">
        <v>1660</v>
      </c>
      <c r="AR16" t="s">
        <v>57</v>
      </c>
      <c r="AS16">
        <f>+VLOOKUP(playerround[[#This Row],[player_id]],player[],5,0)</f>
        <v>123</v>
      </c>
      <c r="AT16">
        <f>+VLOOKUP(playerround[[#This Row],[groupround_id]],groupround[],6,FALSE)</f>
        <v>4</v>
      </c>
      <c r="AU16">
        <f>playerround[[#This Row],[mortgage_payment]]+playerround[[#This Row],[spent_savings_for_buying_house]]</f>
        <v>7000</v>
      </c>
      <c r="AV16">
        <f>playerround[[#This Row],[cost_fluvial_damage]]+playerround[[#This Row],[cost_pluvial_damage]]</f>
        <v>4000</v>
      </c>
    </row>
    <row r="17" spans="1:48" x14ac:dyDescent="0.3">
      <c r="A17">
        <v>1360</v>
      </c>
      <c r="B17" s="1">
        <v>45937.597615740742</v>
      </c>
      <c r="C17">
        <v>90000</v>
      </c>
      <c r="D17">
        <v>50000</v>
      </c>
      <c r="E17">
        <v>0</v>
      </c>
      <c r="F17">
        <v>0</v>
      </c>
      <c r="G17">
        <v>0</v>
      </c>
      <c r="H17">
        <v>0</v>
      </c>
      <c r="I17">
        <v>0</v>
      </c>
      <c r="J17">
        <v>0</v>
      </c>
      <c r="K17">
        <v>0</v>
      </c>
      <c r="L17">
        <v>0</v>
      </c>
      <c r="M17">
        <v>0</v>
      </c>
      <c r="N17">
        <v>15000</v>
      </c>
      <c r="O17">
        <v>0</v>
      </c>
      <c r="P17">
        <v>0</v>
      </c>
      <c r="Q17">
        <v>0</v>
      </c>
      <c r="R17">
        <v>0</v>
      </c>
      <c r="S17">
        <v>0</v>
      </c>
      <c r="T17">
        <v>0</v>
      </c>
      <c r="U17">
        <v>0</v>
      </c>
      <c r="V17">
        <v>5</v>
      </c>
      <c r="W17">
        <v>5</v>
      </c>
      <c r="X17">
        <v>130000</v>
      </c>
      <c r="Y17">
        <v>0</v>
      </c>
      <c r="Z17">
        <v>0</v>
      </c>
      <c r="AA17">
        <v>0</v>
      </c>
      <c r="AB17">
        <v>0</v>
      </c>
      <c r="AC17">
        <v>0</v>
      </c>
      <c r="AD17">
        <v>0</v>
      </c>
      <c r="AF17" t="s">
        <v>57</v>
      </c>
      <c r="AG17">
        <v>0</v>
      </c>
      <c r="AH17">
        <v>0</v>
      </c>
      <c r="AI17">
        <v>0</v>
      </c>
      <c r="AJ17">
        <v>0</v>
      </c>
      <c r="AK17">
        <v>0</v>
      </c>
      <c r="AL17">
        <v>0</v>
      </c>
      <c r="AM17" t="s">
        <v>86</v>
      </c>
      <c r="AN17">
        <v>701</v>
      </c>
      <c r="AO17">
        <v>318</v>
      </c>
      <c r="AR17" t="s">
        <v>57</v>
      </c>
      <c r="AS17">
        <f>+VLOOKUP(playerround[[#This Row],[player_id]],player[],5,0)</f>
        <v>125</v>
      </c>
      <c r="AT17">
        <f>+VLOOKUP(playerround[[#This Row],[groupround_id]],groupround[],6,FALSE)</f>
        <v>0</v>
      </c>
      <c r="AU17">
        <f>playerround[[#This Row],[mortgage_payment]]+playerround[[#This Row],[spent_savings_for_buying_house]]</f>
        <v>0</v>
      </c>
      <c r="AV17">
        <f>playerround[[#This Row],[cost_fluvial_damage]]+playerround[[#This Row],[cost_pluvial_damage]]</f>
        <v>0</v>
      </c>
    </row>
    <row r="18" spans="1:48" x14ac:dyDescent="0.3">
      <c r="A18">
        <v>1363</v>
      </c>
      <c r="B18" s="1">
        <v>45937.597615740742</v>
      </c>
      <c r="C18">
        <v>90000</v>
      </c>
      <c r="D18">
        <v>50000</v>
      </c>
      <c r="E18">
        <v>0</v>
      </c>
      <c r="F18">
        <v>8000</v>
      </c>
      <c r="G18">
        <v>0</v>
      </c>
      <c r="H18">
        <v>0</v>
      </c>
      <c r="I18">
        <v>20000</v>
      </c>
      <c r="J18">
        <v>14000</v>
      </c>
      <c r="K18">
        <v>6000</v>
      </c>
      <c r="L18">
        <v>0</v>
      </c>
      <c r="M18">
        <v>0</v>
      </c>
      <c r="N18">
        <v>7000</v>
      </c>
      <c r="O18">
        <v>0</v>
      </c>
      <c r="P18">
        <v>-3</v>
      </c>
      <c r="Q18">
        <v>2</v>
      </c>
      <c r="R18">
        <v>3</v>
      </c>
      <c r="S18">
        <v>0</v>
      </c>
      <c r="T18">
        <v>0</v>
      </c>
      <c r="U18">
        <v>0</v>
      </c>
      <c r="V18">
        <v>7</v>
      </c>
      <c r="W18">
        <v>5</v>
      </c>
      <c r="X18">
        <v>130000</v>
      </c>
      <c r="Y18">
        <v>0</v>
      </c>
      <c r="Z18">
        <v>0</v>
      </c>
      <c r="AA18">
        <v>0</v>
      </c>
      <c r="AB18">
        <v>80000</v>
      </c>
      <c r="AC18">
        <v>80000</v>
      </c>
      <c r="AD18">
        <v>72000</v>
      </c>
      <c r="AF18" t="s">
        <v>57</v>
      </c>
      <c r="AG18">
        <v>4</v>
      </c>
      <c r="AH18">
        <v>9</v>
      </c>
      <c r="AI18">
        <v>0</v>
      </c>
      <c r="AJ18">
        <v>0</v>
      </c>
      <c r="AK18">
        <v>2</v>
      </c>
      <c r="AL18">
        <v>0</v>
      </c>
      <c r="AM18" t="s">
        <v>99</v>
      </c>
      <c r="AN18">
        <v>701</v>
      </c>
      <c r="AO18">
        <v>325</v>
      </c>
      <c r="AQ18">
        <v>1619</v>
      </c>
      <c r="AR18" t="s">
        <v>57</v>
      </c>
      <c r="AS18">
        <f>+VLOOKUP(playerround[[#This Row],[player_id]],player[],5,0)</f>
        <v>125</v>
      </c>
      <c r="AT18">
        <f>+VLOOKUP(playerround[[#This Row],[groupround_id]],groupround[],6,FALSE)</f>
        <v>1</v>
      </c>
      <c r="AU18">
        <f>playerround[[#This Row],[mortgage_payment]]+playerround[[#This Row],[spent_savings_for_buying_house]]</f>
        <v>8000</v>
      </c>
      <c r="AV18">
        <f>playerround[[#This Row],[cost_fluvial_damage]]+playerround[[#This Row],[cost_pluvial_damage]]</f>
        <v>0</v>
      </c>
    </row>
    <row r="19" spans="1:48" x14ac:dyDescent="0.3">
      <c r="A19">
        <v>1385</v>
      </c>
      <c r="B19" s="1">
        <v>45937.597615740742</v>
      </c>
      <c r="C19">
        <v>90000</v>
      </c>
      <c r="D19">
        <v>50000</v>
      </c>
      <c r="E19">
        <v>0</v>
      </c>
      <c r="F19">
        <v>8000</v>
      </c>
      <c r="G19">
        <v>0</v>
      </c>
      <c r="H19">
        <v>0</v>
      </c>
      <c r="I19">
        <v>20000</v>
      </c>
      <c r="J19">
        <v>0</v>
      </c>
      <c r="K19">
        <v>8500</v>
      </c>
      <c r="L19">
        <v>0</v>
      </c>
      <c r="M19">
        <v>0</v>
      </c>
      <c r="N19">
        <v>10500</v>
      </c>
      <c r="O19">
        <v>0</v>
      </c>
      <c r="P19">
        <v>0</v>
      </c>
      <c r="Q19">
        <v>0</v>
      </c>
      <c r="R19">
        <v>3</v>
      </c>
      <c r="S19">
        <v>0</v>
      </c>
      <c r="T19">
        <v>0</v>
      </c>
      <c r="U19">
        <v>0</v>
      </c>
      <c r="V19">
        <v>10</v>
      </c>
      <c r="W19">
        <v>5</v>
      </c>
      <c r="X19">
        <v>130000</v>
      </c>
      <c r="Y19">
        <v>80000</v>
      </c>
      <c r="Z19">
        <v>72000</v>
      </c>
      <c r="AA19">
        <v>0</v>
      </c>
      <c r="AB19">
        <v>0</v>
      </c>
      <c r="AC19">
        <v>80000</v>
      </c>
      <c r="AD19">
        <v>64000</v>
      </c>
      <c r="AF19" t="s">
        <v>57</v>
      </c>
      <c r="AG19">
        <v>4</v>
      </c>
      <c r="AH19">
        <v>9</v>
      </c>
      <c r="AI19">
        <v>0</v>
      </c>
      <c r="AJ19">
        <v>0</v>
      </c>
      <c r="AK19">
        <v>2</v>
      </c>
      <c r="AL19">
        <v>0</v>
      </c>
      <c r="AM19" t="s">
        <v>99</v>
      </c>
      <c r="AN19">
        <v>701</v>
      </c>
      <c r="AO19">
        <v>328</v>
      </c>
      <c r="AP19">
        <v>1619</v>
      </c>
      <c r="AQ19">
        <v>1619</v>
      </c>
      <c r="AR19" t="s">
        <v>57</v>
      </c>
      <c r="AS19">
        <f>+VLOOKUP(playerround[[#This Row],[player_id]],player[],5,0)</f>
        <v>125</v>
      </c>
      <c r="AT19">
        <f>+VLOOKUP(playerround[[#This Row],[groupround_id]],groupround[],6,FALSE)</f>
        <v>2</v>
      </c>
      <c r="AU19">
        <f>playerround[[#This Row],[mortgage_payment]]+playerround[[#This Row],[spent_savings_for_buying_house]]</f>
        <v>8000</v>
      </c>
      <c r="AV19">
        <f>playerround[[#This Row],[cost_fluvial_damage]]+playerround[[#This Row],[cost_pluvial_damage]]</f>
        <v>0</v>
      </c>
    </row>
    <row r="20" spans="1:48" x14ac:dyDescent="0.3">
      <c r="A20">
        <v>1409</v>
      </c>
      <c r="B20" s="1">
        <v>45937.597615740742</v>
      </c>
      <c r="C20">
        <v>90000</v>
      </c>
      <c r="D20">
        <v>50000</v>
      </c>
      <c r="E20">
        <v>0</v>
      </c>
      <c r="F20">
        <v>8000</v>
      </c>
      <c r="G20">
        <v>0</v>
      </c>
      <c r="H20">
        <v>0</v>
      </c>
      <c r="I20">
        <v>20000</v>
      </c>
      <c r="J20">
        <v>0</v>
      </c>
      <c r="K20">
        <v>6000</v>
      </c>
      <c r="L20">
        <v>0</v>
      </c>
      <c r="M20">
        <v>0</v>
      </c>
      <c r="N20">
        <v>16500</v>
      </c>
      <c r="O20">
        <v>0</v>
      </c>
      <c r="P20">
        <v>0</v>
      </c>
      <c r="Q20">
        <v>0</v>
      </c>
      <c r="R20">
        <v>3</v>
      </c>
      <c r="S20">
        <v>0</v>
      </c>
      <c r="T20">
        <v>0</v>
      </c>
      <c r="U20">
        <v>0</v>
      </c>
      <c r="V20">
        <v>13</v>
      </c>
      <c r="W20">
        <v>5</v>
      </c>
      <c r="X20">
        <v>130000</v>
      </c>
      <c r="Y20">
        <v>80000</v>
      </c>
      <c r="Z20">
        <v>64000</v>
      </c>
      <c r="AA20">
        <v>0</v>
      </c>
      <c r="AB20">
        <v>0</v>
      </c>
      <c r="AC20">
        <v>80000</v>
      </c>
      <c r="AD20">
        <v>56000</v>
      </c>
      <c r="AF20" t="s">
        <v>57</v>
      </c>
      <c r="AG20">
        <v>4</v>
      </c>
      <c r="AH20">
        <v>9</v>
      </c>
      <c r="AI20">
        <v>-2</v>
      </c>
      <c r="AJ20">
        <v>-1</v>
      </c>
      <c r="AK20">
        <v>2</v>
      </c>
      <c r="AL20">
        <v>0</v>
      </c>
      <c r="AM20" t="s">
        <v>99</v>
      </c>
      <c r="AN20">
        <v>701</v>
      </c>
      <c r="AO20">
        <v>332</v>
      </c>
      <c r="AP20">
        <v>1619</v>
      </c>
      <c r="AQ20">
        <v>1619</v>
      </c>
      <c r="AR20" t="s">
        <v>57</v>
      </c>
      <c r="AS20">
        <f>+VLOOKUP(playerround[[#This Row],[player_id]],player[],5,0)</f>
        <v>125</v>
      </c>
      <c r="AT20">
        <f>+VLOOKUP(playerround[[#This Row],[groupround_id]],groupround[],6,FALSE)</f>
        <v>3</v>
      </c>
      <c r="AU20">
        <f>playerround[[#This Row],[mortgage_payment]]+playerround[[#This Row],[spent_savings_for_buying_house]]</f>
        <v>8000</v>
      </c>
      <c r="AV20">
        <f>playerround[[#This Row],[cost_fluvial_damage]]+playerround[[#This Row],[cost_pluvial_damage]]</f>
        <v>0</v>
      </c>
    </row>
    <row r="21" spans="1:48" x14ac:dyDescent="0.3">
      <c r="A21">
        <v>1430</v>
      </c>
      <c r="B21" s="1">
        <v>45937.597615740742</v>
      </c>
      <c r="C21">
        <v>90000</v>
      </c>
      <c r="D21">
        <v>50000</v>
      </c>
      <c r="E21">
        <v>0</v>
      </c>
      <c r="F21">
        <v>8000</v>
      </c>
      <c r="G21">
        <v>0</v>
      </c>
      <c r="H21">
        <v>0</v>
      </c>
      <c r="I21">
        <v>20000</v>
      </c>
      <c r="J21">
        <v>0</v>
      </c>
      <c r="K21">
        <v>6100</v>
      </c>
      <c r="L21">
        <v>0</v>
      </c>
      <c r="M21">
        <v>4000</v>
      </c>
      <c r="N21">
        <v>18400</v>
      </c>
      <c r="O21">
        <v>0</v>
      </c>
      <c r="P21">
        <v>0</v>
      </c>
      <c r="Q21">
        <v>0</v>
      </c>
      <c r="R21">
        <v>1</v>
      </c>
      <c r="S21">
        <v>0</v>
      </c>
      <c r="T21">
        <v>1</v>
      </c>
      <c r="U21">
        <v>0</v>
      </c>
      <c r="V21">
        <v>13</v>
      </c>
      <c r="W21">
        <v>5</v>
      </c>
      <c r="X21">
        <v>130000</v>
      </c>
      <c r="Y21">
        <v>80000</v>
      </c>
      <c r="Z21">
        <v>56000</v>
      </c>
      <c r="AA21">
        <v>0</v>
      </c>
      <c r="AB21">
        <v>0</v>
      </c>
      <c r="AC21">
        <v>80000</v>
      </c>
      <c r="AD21">
        <v>48000</v>
      </c>
      <c r="AF21" t="s">
        <v>57</v>
      </c>
      <c r="AG21">
        <v>4</v>
      </c>
      <c r="AH21">
        <v>9</v>
      </c>
      <c r="AI21">
        <v>-2</v>
      </c>
      <c r="AJ21">
        <v>-1</v>
      </c>
      <c r="AK21">
        <v>3</v>
      </c>
      <c r="AL21">
        <v>1</v>
      </c>
      <c r="AM21" t="s">
        <v>99</v>
      </c>
      <c r="AN21">
        <v>701</v>
      </c>
      <c r="AO21">
        <v>336</v>
      </c>
      <c r="AP21">
        <v>1619</v>
      </c>
      <c r="AQ21">
        <v>1619</v>
      </c>
      <c r="AR21" t="s">
        <v>57</v>
      </c>
      <c r="AS21">
        <f>+VLOOKUP(playerround[[#This Row],[player_id]],player[],5,0)</f>
        <v>125</v>
      </c>
      <c r="AT21">
        <f>+VLOOKUP(playerround[[#This Row],[groupround_id]],groupround[],6,FALSE)</f>
        <v>4</v>
      </c>
      <c r="AU21">
        <f>playerround[[#This Row],[mortgage_payment]]+playerround[[#This Row],[spent_savings_for_buying_house]]</f>
        <v>8000</v>
      </c>
      <c r="AV21">
        <f>playerround[[#This Row],[cost_fluvial_damage]]+playerround[[#This Row],[cost_pluvial_damage]]</f>
        <v>4000</v>
      </c>
    </row>
    <row r="22" spans="1:48" x14ac:dyDescent="0.3">
      <c r="A22">
        <v>1361</v>
      </c>
      <c r="B22" s="1">
        <v>45937.59783564815</v>
      </c>
      <c r="C22">
        <v>130000</v>
      </c>
      <c r="D22">
        <v>75000</v>
      </c>
      <c r="E22">
        <v>0</v>
      </c>
      <c r="F22">
        <v>0</v>
      </c>
      <c r="G22">
        <v>0</v>
      </c>
      <c r="H22">
        <v>0</v>
      </c>
      <c r="I22">
        <v>0</v>
      </c>
      <c r="J22">
        <v>0</v>
      </c>
      <c r="K22">
        <v>0</v>
      </c>
      <c r="L22">
        <v>0</v>
      </c>
      <c r="M22">
        <v>0</v>
      </c>
      <c r="N22">
        <v>50000</v>
      </c>
      <c r="O22">
        <v>0</v>
      </c>
      <c r="P22">
        <v>0</v>
      </c>
      <c r="Q22">
        <v>0</v>
      </c>
      <c r="R22">
        <v>0</v>
      </c>
      <c r="S22">
        <v>0</v>
      </c>
      <c r="T22">
        <v>0</v>
      </c>
      <c r="U22">
        <v>0</v>
      </c>
      <c r="V22">
        <v>5</v>
      </c>
      <c r="W22">
        <v>7</v>
      </c>
      <c r="X22">
        <v>200000</v>
      </c>
      <c r="Y22">
        <v>0</v>
      </c>
      <c r="Z22">
        <v>0</v>
      </c>
      <c r="AA22">
        <v>0</v>
      </c>
      <c r="AB22">
        <v>0</v>
      </c>
      <c r="AC22">
        <v>0</v>
      </c>
      <c r="AD22">
        <v>0</v>
      </c>
      <c r="AF22" t="s">
        <v>57</v>
      </c>
      <c r="AG22">
        <v>0</v>
      </c>
      <c r="AH22">
        <v>0</v>
      </c>
      <c r="AI22">
        <v>0</v>
      </c>
      <c r="AJ22">
        <v>0</v>
      </c>
      <c r="AK22">
        <v>0</v>
      </c>
      <c r="AL22">
        <v>0</v>
      </c>
      <c r="AM22" t="s">
        <v>86</v>
      </c>
      <c r="AN22">
        <v>702</v>
      </c>
      <c r="AO22">
        <v>318</v>
      </c>
      <c r="AR22" t="s">
        <v>57</v>
      </c>
      <c r="AS22">
        <f>+VLOOKUP(playerround[[#This Row],[player_id]],player[],5,0)</f>
        <v>127</v>
      </c>
      <c r="AT22">
        <f>+VLOOKUP(playerround[[#This Row],[groupround_id]],groupround[],6,FALSE)</f>
        <v>0</v>
      </c>
      <c r="AU22">
        <f>playerround[[#This Row],[mortgage_payment]]+playerround[[#This Row],[spent_savings_for_buying_house]]</f>
        <v>0</v>
      </c>
      <c r="AV22">
        <f>playerround[[#This Row],[cost_fluvial_damage]]+playerround[[#This Row],[cost_pluvial_damage]]</f>
        <v>0</v>
      </c>
    </row>
    <row r="23" spans="1:48" x14ac:dyDescent="0.3">
      <c r="A23">
        <v>1364</v>
      </c>
      <c r="B23" s="1">
        <v>45937.59783564815</v>
      </c>
      <c r="C23">
        <v>130000</v>
      </c>
      <c r="D23">
        <v>75000</v>
      </c>
      <c r="E23">
        <v>0</v>
      </c>
      <c r="F23">
        <v>12500</v>
      </c>
      <c r="G23">
        <v>0</v>
      </c>
      <c r="H23">
        <v>0</v>
      </c>
      <c r="I23">
        <v>20000</v>
      </c>
      <c r="J23">
        <v>22000</v>
      </c>
      <c r="K23">
        <v>8750</v>
      </c>
      <c r="L23">
        <v>4000</v>
      </c>
      <c r="M23">
        <v>0</v>
      </c>
      <c r="N23">
        <v>37750</v>
      </c>
      <c r="O23">
        <v>0</v>
      </c>
      <c r="P23">
        <v>-3</v>
      </c>
      <c r="Q23">
        <v>3</v>
      </c>
      <c r="R23">
        <v>2</v>
      </c>
      <c r="S23">
        <v>2</v>
      </c>
      <c r="T23">
        <v>0</v>
      </c>
      <c r="U23">
        <v>0</v>
      </c>
      <c r="V23">
        <v>5</v>
      </c>
      <c r="W23">
        <v>7</v>
      </c>
      <c r="X23">
        <v>200000</v>
      </c>
      <c r="Y23">
        <v>0</v>
      </c>
      <c r="Z23">
        <v>0</v>
      </c>
      <c r="AA23">
        <v>0</v>
      </c>
      <c r="AB23">
        <v>125000</v>
      </c>
      <c r="AC23">
        <v>125000</v>
      </c>
      <c r="AD23">
        <v>112500</v>
      </c>
      <c r="AF23" t="s">
        <v>57</v>
      </c>
      <c r="AG23">
        <v>6</v>
      </c>
      <c r="AH23">
        <v>6</v>
      </c>
      <c r="AI23">
        <v>0</v>
      </c>
      <c r="AJ23">
        <v>0</v>
      </c>
      <c r="AK23">
        <v>4</v>
      </c>
      <c r="AL23">
        <v>2</v>
      </c>
      <c r="AM23" t="s">
        <v>99</v>
      </c>
      <c r="AN23">
        <v>702</v>
      </c>
      <c r="AO23">
        <v>325</v>
      </c>
      <c r="AQ23">
        <v>1622</v>
      </c>
      <c r="AR23" t="s">
        <v>57</v>
      </c>
      <c r="AS23">
        <f>+VLOOKUP(playerround[[#This Row],[player_id]],player[],5,0)</f>
        <v>127</v>
      </c>
      <c r="AT23">
        <f>+VLOOKUP(playerround[[#This Row],[groupround_id]],groupround[],6,FALSE)</f>
        <v>1</v>
      </c>
      <c r="AU23">
        <f>playerround[[#This Row],[mortgage_payment]]+playerround[[#This Row],[spent_savings_for_buying_house]]</f>
        <v>12500</v>
      </c>
      <c r="AV23">
        <f>playerround[[#This Row],[cost_fluvial_damage]]+playerround[[#This Row],[cost_pluvial_damage]]</f>
        <v>4000</v>
      </c>
    </row>
    <row r="24" spans="1:48" x14ac:dyDescent="0.3">
      <c r="A24">
        <v>1384</v>
      </c>
      <c r="B24" s="1">
        <v>45937.59783564815</v>
      </c>
      <c r="C24">
        <v>130000</v>
      </c>
      <c r="D24">
        <v>75000</v>
      </c>
      <c r="E24">
        <v>0</v>
      </c>
      <c r="F24">
        <v>12500</v>
      </c>
      <c r="G24">
        <v>0</v>
      </c>
      <c r="H24">
        <v>0</v>
      </c>
      <c r="I24">
        <v>20000</v>
      </c>
      <c r="J24">
        <v>10000</v>
      </c>
      <c r="K24">
        <v>15250</v>
      </c>
      <c r="L24">
        <v>0</v>
      </c>
      <c r="M24">
        <v>0</v>
      </c>
      <c r="N24">
        <v>35000</v>
      </c>
      <c r="O24">
        <v>0</v>
      </c>
      <c r="P24">
        <v>0</v>
      </c>
      <c r="Q24">
        <v>0</v>
      </c>
      <c r="R24">
        <v>3</v>
      </c>
      <c r="S24">
        <v>0</v>
      </c>
      <c r="T24">
        <v>0</v>
      </c>
      <c r="U24">
        <v>0</v>
      </c>
      <c r="V24">
        <v>8</v>
      </c>
      <c r="W24">
        <v>7</v>
      </c>
      <c r="X24">
        <v>200000</v>
      </c>
      <c r="Y24">
        <v>125000</v>
      </c>
      <c r="Z24">
        <v>112500</v>
      </c>
      <c r="AA24">
        <v>0</v>
      </c>
      <c r="AB24">
        <v>0</v>
      </c>
      <c r="AC24">
        <v>125000</v>
      </c>
      <c r="AD24">
        <v>100000</v>
      </c>
      <c r="AF24" t="s">
        <v>57</v>
      </c>
      <c r="AG24">
        <v>6</v>
      </c>
      <c r="AH24">
        <v>6</v>
      </c>
      <c r="AI24">
        <v>0</v>
      </c>
      <c r="AJ24">
        <v>0</v>
      </c>
      <c r="AK24">
        <v>5</v>
      </c>
      <c r="AL24">
        <v>3</v>
      </c>
      <c r="AM24" t="s">
        <v>99</v>
      </c>
      <c r="AN24">
        <v>702</v>
      </c>
      <c r="AO24">
        <v>328</v>
      </c>
      <c r="AP24">
        <v>1622</v>
      </c>
      <c r="AQ24">
        <v>1622</v>
      </c>
      <c r="AR24" t="s">
        <v>57</v>
      </c>
      <c r="AS24">
        <f>+VLOOKUP(playerround[[#This Row],[player_id]],player[],5,0)</f>
        <v>127</v>
      </c>
      <c r="AT24">
        <f>+VLOOKUP(playerround[[#This Row],[groupround_id]],groupround[],6,FALSE)</f>
        <v>2</v>
      </c>
      <c r="AU24">
        <f>playerround[[#This Row],[mortgage_payment]]+playerround[[#This Row],[spent_savings_for_buying_house]]</f>
        <v>12500</v>
      </c>
      <c r="AV24">
        <f>playerround[[#This Row],[cost_fluvial_damage]]+playerround[[#This Row],[cost_pluvial_damage]]</f>
        <v>0</v>
      </c>
    </row>
    <row r="25" spans="1:48" x14ac:dyDescent="0.3">
      <c r="A25">
        <v>1408</v>
      </c>
      <c r="B25" s="1">
        <v>45937.59783564815</v>
      </c>
      <c r="C25">
        <v>130000</v>
      </c>
      <c r="D25">
        <v>75000</v>
      </c>
      <c r="E25">
        <v>0</v>
      </c>
      <c r="F25">
        <v>12500</v>
      </c>
      <c r="G25">
        <v>0</v>
      </c>
      <c r="H25">
        <v>0</v>
      </c>
      <c r="I25">
        <v>20000</v>
      </c>
      <c r="J25">
        <v>0</v>
      </c>
      <c r="K25">
        <v>18375</v>
      </c>
      <c r="L25">
        <v>0</v>
      </c>
      <c r="M25">
        <v>0</v>
      </c>
      <c r="N25">
        <v>39125</v>
      </c>
      <c r="O25">
        <v>0</v>
      </c>
      <c r="P25">
        <v>0</v>
      </c>
      <c r="Q25">
        <v>0</v>
      </c>
      <c r="R25">
        <v>4</v>
      </c>
      <c r="S25">
        <v>1</v>
      </c>
      <c r="T25">
        <v>0</v>
      </c>
      <c r="U25">
        <v>0</v>
      </c>
      <c r="V25">
        <v>11</v>
      </c>
      <c r="W25">
        <v>7</v>
      </c>
      <c r="X25">
        <v>200000</v>
      </c>
      <c r="Y25">
        <v>125000</v>
      </c>
      <c r="Z25">
        <v>100000</v>
      </c>
      <c r="AA25">
        <v>0</v>
      </c>
      <c r="AB25">
        <v>0</v>
      </c>
      <c r="AC25">
        <v>125000</v>
      </c>
      <c r="AD25">
        <v>87500</v>
      </c>
      <c r="AF25" t="s">
        <v>57</v>
      </c>
      <c r="AG25">
        <v>6</v>
      </c>
      <c r="AH25">
        <v>6</v>
      </c>
      <c r="AI25">
        <v>-2</v>
      </c>
      <c r="AJ25">
        <v>-1</v>
      </c>
      <c r="AK25">
        <v>5</v>
      </c>
      <c r="AL25">
        <v>3</v>
      </c>
      <c r="AM25" t="s">
        <v>99</v>
      </c>
      <c r="AN25">
        <v>702</v>
      </c>
      <c r="AO25">
        <v>332</v>
      </c>
      <c r="AP25">
        <v>1622</v>
      </c>
      <c r="AQ25">
        <v>1622</v>
      </c>
      <c r="AR25" t="s">
        <v>57</v>
      </c>
      <c r="AS25">
        <f>+VLOOKUP(playerround[[#This Row],[player_id]],player[],5,0)</f>
        <v>127</v>
      </c>
      <c r="AT25">
        <f>+VLOOKUP(playerround[[#This Row],[groupround_id]],groupround[],6,FALSE)</f>
        <v>3</v>
      </c>
      <c r="AU25">
        <f>playerround[[#This Row],[mortgage_payment]]+playerround[[#This Row],[spent_savings_for_buying_house]]</f>
        <v>12500</v>
      </c>
      <c r="AV25">
        <f>playerround[[#This Row],[cost_fluvial_damage]]+playerround[[#This Row],[cost_pluvial_damage]]</f>
        <v>0</v>
      </c>
    </row>
    <row r="26" spans="1:48" x14ac:dyDescent="0.3">
      <c r="A26">
        <v>1431</v>
      </c>
      <c r="B26" s="1">
        <v>45937.59783564815</v>
      </c>
      <c r="C26">
        <v>130000</v>
      </c>
      <c r="D26">
        <v>75000</v>
      </c>
      <c r="E26">
        <v>0</v>
      </c>
      <c r="F26">
        <v>12500</v>
      </c>
      <c r="G26">
        <v>0</v>
      </c>
      <c r="H26">
        <v>0</v>
      </c>
      <c r="I26">
        <v>20000</v>
      </c>
      <c r="J26">
        <v>0</v>
      </c>
      <c r="K26">
        <v>18375</v>
      </c>
      <c r="L26">
        <v>0</v>
      </c>
      <c r="M26">
        <v>0</v>
      </c>
      <c r="N26">
        <v>43250</v>
      </c>
      <c r="O26">
        <v>0</v>
      </c>
      <c r="P26">
        <v>0</v>
      </c>
      <c r="Q26">
        <v>0</v>
      </c>
      <c r="R26">
        <v>4</v>
      </c>
      <c r="S26">
        <v>1</v>
      </c>
      <c r="T26">
        <v>0</v>
      </c>
      <c r="U26">
        <v>0</v>
      </c>
      <c r="V26">
        <v>14</v>
      </c>
      <c r="W26">
        <v>7</v>
      </c>
      <c r="X26">
        <v>200000</v>
      </c>
      <c r="Y26">
        <v>125000</v>
      </c>
      <c r="Z26">
        <v>87500</v>
      </c>
      <c r="AA26">
        <v>0</v>
      </c>
      <c r="AB26">
        <v>0</v>
      </c>
      <c r="AC26">
        <v>125000</v>
      </c>
      <c r="AD26">
        <v>75000</v>
      </c>
      <c r="AF26" t="s">
        <v>57</v>
      </c>
      <c r="AG26">
        <v>6</v>
      </c>
      <c r="AH26">
        <v>6</v>
      </c>
      <c r="AI26">
        <v>-2</v>
      </c>
      <c r="AJ26">
        <v>-1</v>
      </c>
      <c r="AK26">
        <v>5</v>
      </c>
      <c r="AL26">
        <v>3</v>
      </c>
      <c r="AM26" t="s">
        <v>99</v>
      </c>
      <c r="AN26">
        <v>702</v>
      </c>
      <c r="AO26">
        <v>336</v>
      </c>
      <c r="AP26">
        <v>1622</v>
      </c>
      <c r="AQ26">
        <v>1622</v>
      </c>
      <c r="AR26" t="s">
        <v>57</v>
      </c>
      <c r="AS26">
        <f>+VLOOKUP(playerround[[#This Row],[player_id]],player[],5,0)</f>
        <v>127</v>
      </c>
      <c r="AT26">
        <f>+VLOOKUP(playerround[[#This Row],[groupround_id]],groupround[],6,FALSE)</f>
        <v>4</v>
      </c>
      <c r="AU26">
        <f>playerround[[#This Row],[mortgage_payment]]+playerround[[#This Row],[spent_savings_for_buying_house]]</f>
        <v>12500</v>
      </c>
      <c r="AV26">
        <f>playerround[[#This Row],[cost_fluvial_damage]]+playerround[[#This Row],[cost_pluvial_damage]]</f>
        <v>0</v>
      </c>
    </row>
    <row r="27" spans="1:48" x14ac:dyDescent="0.3">
      <c r="A27">
        <v>1359</v>
      </c>
      <c r="B27" s="1">
        <v>45937.597418981481</v>
      </c>
      <c r="C27">
        <v>190000</v>
      </c>
      <c r="D27">
        <v>115000</v>
      </c>
      <c r="E27">
        <v>0</v>
      </c>
      <c r="F27">
        <v>0</v>
      </c>
      <c r="G27">
        <v>0</v>
      </c>
      <c r="H27">
        <v>0</v>
      </c>
      <c r="I27">
        <v>0</v>
      </c>
      <c r="J27">
        <v>0</v>
      </c>
      <c r="K27">
        <v>0</v>
      </c>
      <c r="L27">
        <v>0</v>
      </c>
      <c r="M27">
        <v>0</v>
      </c>
      <c r="N27">
        <v>80000</v>
      </c>
      <c r="O27">
        <v>0</v>
      </c>
      <c r="P27">
        <v>0</v>
      </c>
      <c r="Q27">
        <v>0</v>
      </c>
      <c r="R27">
        <v>0</v>
      </c>
      <c r="S27">
        <v>0</v>
      </c>
      <c r="T27">
        <v>0</v>
      </c>
      <c r="U27">
        <v>0</v>
      </c>
      <c r="V27">
        <v>5</v>
      </c>
      <c r="W27">
        <v>8</v>
      </c>
      <c r="X27">
        <v>300000</v>
      </c>
      <c r="Y27">
        <v>0</v>
      </c>
      <c r="Z27">
        <v>0</v>
      </c>
      <c r="AA27">
        <v>0</v>
      </c>
      <c r="AB27">
        <v>0</v>
      </c>
      <c r="AC27">
        <v>0</v>
      </c>
      <c r="AD27">
        <v>0</v>
      </c>
      <c r="AF27" t="s">
        <v>57</v>
      </c>
      <c r="AG27">
        <v>0</v>
      </c>
      <c r="AH27">
        <v>0</v>
      </c>
      <c r="AI27">
        <v>0</v>
      </c>
      <c r="AJ27">
        <v>0</v>
      </c>
      <c r="AK27">
        <v>0</v>
      </c>
      <c r="AL27">
        <v>0</v>
      </c>
      <c r="AM27" t="s">
        <v>86</v>
      </c>
      <c r="AN27">
        <v>703</v>
      </c>
      <c r="AO27">
        <v>318</v>
      </c>
      <c r="AR27" t="s">
        <v>57</v>
      </c>
      <c r="AS27">
        <f>+VLOOKUP(playerround[[#This Row],[player_id]],player[],5,0)</f>
        <v>128</v>
      </c>
      <c r="AT27">
        <f>+VLOOKUP(playerround[[#This Row],[groupround_id]],groupround[],6,FALSE)</f>
        <v>0</v>
      </c>
      <c r="AU27">
        <f>playerround[[#This Row],[mortgage_payment]]+playerround[[#This Row],[spent_savings_for_buying_house]]</f>
        <v>0</v>
      </c>
      <c r="AV27">
        <f>playerround[[#This Row],[cost_fluvial_damage]]+playerround[[#This Row],[cost_pluvial_damage]]</f>
        <v>0</v>
      </c>
    </row>
    <row r="28" spans="1:48" x14ac:dyDescent="0.3">
      <c r="A28">
        <v>1367</v>
      </c>
      <c r="B28" s="1">
        <v>45937.597418981481</v>
      </c>
      <c r="C28">
        <v>190000</v>
      </c>
      <c r="D28">
        <v>115000</v>
      </c>
      <c r="E28">
        <v>0</v>
      </c>
      <c r="F28">
        <v>20000</v>
      </c>
      <c r="G28">
        <v>0</v>
      </c>
      <c r="H28">
        <v>0</v>
      </c>
      <c r="I28">
        <v>15000</v>
      </c>
      <c r="J28">
        <v>10000</v>
      </c>
      <c r="K28">
        <v>24500</v>
      </c>
      <c r="L28">
        <v>0</v>
      </c>
      <c r="M28">
        <v>0</v>
      </c>
      <c r="N28">
        <v>85500</v>
      </c>
      <c r="O28">
        <v>0</v>
      </c>
      <c r="P28">
        <v>-2</v>
      </c>
      <c r="Q28">
        <v>0</v>
      </c>
      <c r="R28">
        <v>4</v>
      </c>
      <c r="S28">
        <v>0</v>
      </c>
      <c r="T28">
        <v>0</v>
      </c>
      <c r="U28">
        <v>0</v>
      </c>
      <c r="V28">
        <v>7</v>
      </c>
      <c r="W28">
        <v>8</v>
      </c>
      <c r="X28">
        <v>300000</v>
      </c>
      <c r="Y28">
        <v>0</v>
      </c>
      <c r="Z28">
        <v>0</v>
      </c>
      <c r="AA28">
        <v>0</v>
      </c>
      <c r="AB28">
        <v>200000</v>
      </c>
      <c r="AC28">
        <v>200000</v>
      </c>
      <c r="AD28">
        <v>180000</v>
      </c>
      <c r="AF28" t="s">
        <v>57</v>
      </c>
      <c r="AG28">
        <v>6</v>
      </c>
      <c r="AH28">
        <v>9</v>
      </c>
      <c r="AI28">
        <v>0</v>
      </c>
      <c r="AJ28">
        <v>0</v>
      </c>
      <c r="AK28">
        <v>1</v>
      </c>
      <c r="AL28">
        <v>1</v>
      </c>
      <c r="AM28" t="s">
        <v>99</v>
      </c>
      <c r="AN28">
        <v>703</v>
      </c>
      <c r="AO28">
        <v>325</v>
      </c>
      <c r="AQ28">
        <v>1612</v>
      </c>
      <c r="AR28" t="s">
        <v>57</v>
      </c>
      <c r="AS28">
        <f>+VLOOKUP(playerround[[#This Row],[player_id]],player[],5,0)</f>
        <v>128</v>
      </c>
      <c r="AT28">
        <f>+VLOOKUP(playerround[[#This Row],[groupround_id]],groupround[],6,FALSE)</f>
        <v>1</v>
      </c>
      <c r="AU28">
        <f>playerround[[#This Row],[mortgage_payment]]+playerround[[#This Row],[spent_savings_for_buying_house]]</f>
        <v>20000</v>
      </c>
      <c r="AV28">
        <f>playerround[[#This Row],[cost_fluvial_damage]]+playerround[[#This Row],[cost_pluvial_damage]]</f>
        <v>0</v>
      </c>
    </row>
    <row r="29" spans="1:48" x14ac:dyDescent="0.3">
      <c r="A29">
        <v>1386</v>
      </c>
      <c r="B29" s="1">
        <v>45937.597418981481</v>
      </c>
      <c r="C29">
        <v>190000</v>
      </c>
      <c r="D29">
        <v>115000</v>
      </c>
      <c r="E29">
        <v>0</v>
      </c>
      <c r="F29">
        <v>20000</v>
      </c>
      <c r="G29">
        <v>0</v>
      </c>
      <c r="H29">
        <v>0</v>
      </c>
      <c r="I29">
        <v>15000</v>
      </c>
      <c r="J29">
        <v>22000</v>
      </c>
      <c r="K29">
        <v>24500</v>
      </c>
      <c r="L29">
        <v>0</v>
      </c>
      <c r="M29">
        <v>0</v>
      </c>
      <c r="N29">
        <v>79000</v>
      </c>
      <c r="O29">
        <v>0</v>
      </c>
      <c r="P29">
        <v>0</v>
      </c>
      <c r="Q29">
        <v>3</v>
      </c>
      <c r="R29">
        <v>4</v>
      </c>
      <c r="S29">
        <v>0</v>
      </c>
      <c r="T29">
        <v>0</v>
      </c>
      <c r="U29">
        <v>0</v>
      </c>
      <c r="V29">
        <v>14</v>
      </c>
      <c r="W29">
        <v>8</v>
      </c>
      <c r="X29">
        <v>300000</v>
      </c>
      <c r="Y29">
        <v>200000</v>
      </c>
      <c r="Z29">
        <v>180000</v>
      </c>
      <c r="AA29">
        <v>0</v>
      </c>
      <c r="AB29">
        <v>0</v>
      </c>
      <c r="AC29">
        <v>200000</v>
      </c>
      <c r="AD29">
        <v>160000</v>
      </c>
      <c r="AF29" t="s">
        <v>57</v>
      </c>
      <c r="AG29">
        <v>6</v>
      </c>
      <c r="AH29">
        <v>9</v>
      </c>
      <c r="AI29">
        <v>0</v>
      </c>
      <c r="AJ29">
        <v>0</v>
      </c>
      <c r="AK29">
        <v>4</v>
      </c>
      <c r="AL29">
        <v>2</v>
      </c>
      <c r="AM29" t="s">
        <v>99</v>
      </c>
      <c r="AN29">
        <v>703</v>
      </c>
      <c r="AO29">
        <v>328</v>
      </c>
      <c r="AP29">
        <v>1612</v>
      </c>
      <c r="AQ29">
        <v>1612</v>
      </c>
      <c r="AR29" t="s">
        <v>57</v>
      </c>
      <c r="AS29">
        <f>+VLOOKUP(playerround[[#This Row],[player_id]],player[],5,0)</f>
        <v>128</v>
      </c>
      <c r="AT29">
        <f>+VLOOKUP(playerround[[#This Row],[groupround_id]],groupround[],6,FALSE)</f>
        <v>2</v>
      </c>
      <c r="AU29">
        <f>playerround[[#This Row],[mortgage_payment]]+playerround[[#This Row],[spent_savings_for_buying_house]]</f>
        <v>20000</v>
      </c>
      <c r="AV29">
        <f>playerround[[#This Row],[cost_fluvial_damage]]+playerround[[#This Row],[cost_pluvial_damage]]</f>
        <v>0</v>
      </c>
    </row>
    <row r="30" spans="1:48" x14ac:dyDescent="0.3">
      <c r="A30">
        <v>1410</v>
      </c>
      <c r="B30" s="1">
        <v>45937.597418981481</v>
      </c>
      <c r="C30">
        <v>190000</v>
      </c>
      <c r="D30">
        <v>115000</v>
      </c>
      <c r="E30">
        <v>0</v>
      </c>
      <c r="F30">
        <v>20000</v>
      </c>
      <c r="G30">
        <v>0</v>
      </c>
      <c r="H30">
        <v>0</v>
      </c>
      <c r="I30">
        <v>15000</v>
      </c>
      <c r="J30">
        <v>0</v>
      </c>
      <c r="K30">
        <v>24500</v>
      </c>
      <c r="L30">
        <v>0</v>
      </c>
      <c r="M30">
        <v>0</v>
      </c>
      <c r="N30">
        <v>94500</v>
      </c>
      <c r="O30">
        <v>0</v>
      </c>
      <c r="P30">
        <v>0</v>
      </c>
      <c r="Q30">
        <v>0</v>
      </c>
      <c r="R30">
        <v>4</v>
      </c>
      <c r="S30">
        <v>0</v>
      </c>
      <c r="T30">
        <v>0</v>
      </c>
      <c r="U30">
        <v>0</v>
      </c>
      <c r="V30">
        <v>18</v>
      </c>
      <c r="W30">
        <v>8</v>
      </c>
      <c r="X30">
        <v>300000</v>
      </c>
      <c r="Y30">
        <v>200000</v>
      </c>
      <c r="Z30">
        <v>160000</v>
      </c>
      <c r="AA30">
        <v>0</v>
      </c>
      <c r="AB30">
        <v>0</v>
      </c>
      <c r="AC30">
        <v>200000</v>
      </c>
      <c r="AD30">
        <v>140000</v>
      </c>
      <c r="AF30" t="s">
        <v>57</v>
      </c>
      <c r="AG30">
        <v>6</v>
      </c>
      <c r="AH30">
        <v>9</v>
      </c>
      <c r="AI30">
        <v>-2</v>
      </c>
      <c r="AJ30">
        <v>-1</v>
      </c>
      <c r="AK30">
        <v>4</v>
      </c>
      <c r="AL30">
        <v>2</v>
      </c>
      <c r="AM30" t="s">
        <v>99</v>
      </c>
      <c r="AN30">
        <v>703</v>
      </c>
      <c r="AO30">
        <v>332</v>
      </c>
      <c r="AP30">
        <v>1612</v>
      </c>
      <c r="AQ30">
        <v>1612</v>
      </c>
      <c r="AR30" t="s">
        <v>57</v>
      </c>
      <c r="AS30">
        <f>+VLOOKUP(playerround[[#This Row],[player_id]],player[],5,0)</f>
        <v>128</v>
      </c>
      <c r="AT30">
        <f>+VLOOKUP(playerround[[#This Row],[groupround_id]],groupround[],6,FALSE)</f>
        <v>3</v>
      </c>
      <c r="AU30">
        <f>playerround[[#This Row],[mortgage_payment]]+playerround[[#This Row],[spent_savings_for_buying_house]]</f>
        <v>20000</v>
      </c>
      <c r="AV30">
        <f>playerround[[#This Row],[cost_fluvial_damage]]+playerround[[#This Row],[cost_pluvial_damage]]</f>
        <v>0</v>
      </c>
    </row>
    <row r="31" spans="1:48" x14ac:dyDescent="0.3">
      <c r="A31">
        <v>1433</v>
      </c>
      <c r="B31" s="1">
        <v>45937.597418981481</v>
      </c>
      <c r="C31">
        <v>190000</v>
      </c>
      <c r="D31">
        <v>115000</v>
      </c>
      <c r="E31">
        <v>0</v>
      </c>
      <c r="F31">
        <v>30000</v>
      </c>
      <c r="G31">
        <v>60000</v>
      </c>
      <c r="H31">
        <v>125000</v>
      </c>
      <c r="I31">
        <v>20000</v>
      </c>
      <c r="J31">
        <v>14000</v>
      </c>
      <c r="K31">
        <v>31875</v>
      </c>
      <c r="L31">
        <v>0</v>
      </c>
      <c r="M31">
        <v>0</v>
      </c>
      <c r="N31">
        <v>8625</v>
      </c>
      <c r="O31">
        <v>1</v>
      </c>
      <c r="P31">
        <v>1</v>
      </c>
      <c r="Q31">
        <v>2</v>
      </c>
      <c r="R31">
        <v>3</v>
      </c>
      <c r="S31">
        <v>0</v>
      </c>
      <c r="T31">
        <v>0</v>
      </c>
      <c r="U31">
        <v>0</v>
      </c>
      <c r="V31">
        <v>25</v>
      </c>
      <c r="W31">
        <v>8</v>
      </c>
      <c r="X31">
        <v>300000</v>
      </c>
      <c r="Y31">
        <v>200000</v>
      </c>
      <c r="Z31">
        <v>140000</v>
      </c>
      <c r="AA31">
        <v>200000</v>
      </c>
      <c r="AB31">
        <v>425000</v>
      </c>
      <c r="AC31">
        <v>300000</v>
      </c>
      <c r="AD31">
        <v>270000</v>
      </c>
      <c r="AE31">
        <v>33</v>
      </c>
      <c r="AF31" t="s">
        <v>57</v>
      </c>
      <c r="AG31">
        <v>6</v>
      </c>
      <c r="AH31">
        <v>9</v>
      </c>
      <c r="AI31">
        <v>-2</v>
      </c>
      <c r="AJ31">
        <v>-1</v>
      </c>
      <c r="AK31">
        <v>4</v>
      </c>
      <c r="AL31">
        <v>2</v>
      </c>
      <c r="AM31" t="s">
        <v>98</v>
      </c>
      <c r="AN31">
        <v>703</v>
      </c>
      <c r="AO31">
        <v>336</v>
      </c>
      <c r="AP31">
        <v>1612</v>
      </c>
      <c r="AQ31">
        <v>1650</v>
      </c>
      <c r="AR31" t="s">
        <v>57</v>
      </c>
      <c r="AS31">
        <f>+VLOOKUP(playerround[[#This Row],[player_id]],player[],5,0)</f>
        <v>128</v>
      </c>
      <c r="AT31">
        <f>+VLOOKUP(playerround[[#This Row],[groupround_id]],groupround[],6,FALSE)</f>
        <v>4</v>
      </c>
      <c r="AU31">
        <f>playerround[[#This Row],[mortgage_payment]]+playerround[[#This Row],[spent_savings_for_buying_house]]</f>
        <v>155000</v>
      </c>
      <c r="AV31">
        <f>playerround[[#This Row],[cost_fluvial_damage]]+playerround[[#This Row],[cost_pluvial_damage]]</f>
        <v>0</v>
      </c>
    </row>
    <row r="32" spans="1:48" x14ac:dyDescent="0.3">
      <c r="A32">
        <v>1323</v>
      </c>
      <c r="B32" s="1">
        <v>45937.57849537037</v>
      </c>
      <c r="C32">
        <v>75000</v>
      </c>
      <c r="D32">
        <v>40000</v>
      </c>
      <c r="E32">
        <v>0</v>
      </c>
      <c r="F32">
        <v>0</v>
      </c>
      <c r="G32">
        <v>0</v>
      </c>
      <c r="H32">
        <v>0</v>
      </c>
      <c r="I32">
        <v>0</v>
      </c>
      <c r="J32">
        <v>0</v>
      </c>
      <c r="K32">
        <v>0</v>
      </c>
      <c r="L32">
        <v>0</v>
      </c>
      <c r="M32">
        <v>0</v>
      </c>
      <c r="N32">
        <v>5000</v>
      </c>
      <c r="O32">
        <v>0</v>
      </c>
      <c r="P32">
        <v>0</v>
      </c>
      <c r="Q32">
        <v>0</v>
      </c>
      <c r="R32">
        <v>0</v>
      </c>
      <c r="S32">
        <v>0</v>
      </c>
      <c r="T32">
        <v>0</v>
      </c>
      <c r="U32">
        <v>0</v>
      </c>
      <c r="V32">
        <v>5</v>
      </c>
      <c r="W32">
        <v>4</v>
      </c>
      <c r="X32">
        <v>110000</v>
      </c>
      <c r="Y32">
        <v>0</v>
      </c>
      <c r="Z32">
        <v>0</v>
      </c>
      <c r="AA32">
        <v>0</v>
      </c>
      <c r="AB32">
        <v>0</v>
      </c>
      <c r="AC32">
        <v>0</v>
      </c>
      <c r="AD32">
        <v>0</v>
      </c>
      <c r="AF32" t="s">
        <v>57</v>
      </c>
      <c r="AG32">
        <v>0</v>
      </c>
      <c r="AH32">
        <v>0</v>
      </c>
      <c r="AI32">
        <v>0</v>
      </c>
      <c r="AJ32">
        <v>0</v>
      </c>
      <c r="AK32">
        <v>0</v>
      </c>
      <c r="AL32">
        <v>0</v>
      </c>
      <c r="AM32" t="s">
        <v>86</v>
      </c>
      <c r="AN32">
        <v>706</v>
      </c>
      <c r="AO32">
        <v>321</v>
      </c>
      <c r="AR32" t="s">
        <v>57</v>
      </c>
      <c r="AS32">
        <f>+VLOOKUP(playerround[[#This Row],[player_id]],player[],5,0)</f>
        <v>124</v>
      </c>
      <c r="AT32">
        <f>+VLOOKUP(playerround[[#This Row],[groupround_id]],groupround[],6,FALSE)</f>
        <v>0</v>
      </c>
      <c r="AU32">
        <f>playerround[[#This Row],[mortgage_payment]]+playerround[[#This Row],[spent_savings_for_buying_house]]</f>
        <v>0</v>
      </c>
      <c r="AV32">
        <f>playerround[[#This Row],[cost_fluvial_damage]]+playerround[[#This Row],[cost_pluvial_damage]]</f>
        <v>0</v>
      </c>
    </row>
    <row r="33" spans="1:48" x14ac:dyDescent="0.3">
      <c r="A33">
        <v>1352</v>
      </c>
      <c r="B33" s="1">
        <v>45937.57849537037</v>
      </c>
      <c r="C33">
        <v>75000</v>
      </c>
      <c r="D33">
        <v>40000</v>
      </c>
      <c r="E33">
        <v>0</v>
      </c>
      <c r="F33">
        <v>8000</v>
      </c>
      <c r="G33">
        <v>0</v>
      </c>
      <c r="H33">
        <v>0</v>
      </c>
      <c r="I33">
        <v>15000</v>
      </c>
      <c r="J33">
        <v>8000</v>
      </c>
      <c r="K33">
        <v>1600</v>
      </c>
      <c r="L33">
        <v>0</v>
      </c>
      <c r="M33">
        <v>0</v>
      </c>
      <c r="N33">
        <v>7400</v>
      </c>
      <c r="O33">
        <v>0</v>
      </c>
      <c r="P33">
        <v>-2</v>
      </c>
      <c r="Q33">
        <v>1</v>
      </c>
      <c r="R33">
        <v>0</v>
      </c>
      <c r="S33">
        <v>0</v>
      </c>
      <c r="T33">
        <v>0</v>
      </c>
      <c r="U33">
        <v>0</v>
      </c>
      <c r="V33">
        <v>4</v>
      </c>
      <c r="W33">
        <v>4</v>
      </c>
      <c r="X33">
        <v>110000</v>
      </c>
      <c r="Y33">
        <v>0</v>
      </c>
      <c r="Z33">
        <v>0</v>
      </c>
      <c r="AA33">
        <v>0</v>
      </c>
      <c r="AB33">
        <v>80000</v>
      </c>
      <c r="AC33">
        <v>80000</v>
      </c>
      <c r="AD33">
        <v>72000</v>
      </c>
      <c r="AF33" t="s">
        <v>57</v>
      </c>
      <c r="AG33">
        <v>4</v>
      </c>
      <c r="AH33">
        <v>9</v>
      </c>
      <c r="AI33">
        <v>0</v>
      </c>
      <c r="AJ33">
        <v>0</v>
      </c>
      <c r="AK33">
        <v>2</v>
      </c>
      <c r="AL33">
        <v>2</v>
      </c>
      <c r="AM33" t="s">
        <v>99</v>
      </c>
      <c r="AN33">
        <v>706</v>
      </c>
      <c r="AO33">
        <v>324</v>
      </c>
      <c r="AQ33">
        <v>1604</v>
      </c>
      <c r="AR33" t="s">
        <v>57</v>
      </c>
      <c r="AS33">
        <f>+VLOOKUP(playerround[[#This Row],[player_id]],player[],5,0)</f>
        <v>124</v>
      </c>
      <c r="AT33">
        <f>+VLOOKUP(playerround[[#This Row],[groupround_id]],groupround[],6,FALSE)</f>
        <v>1</v>
      </c>
      <c r="AU33">
        <f>playerround[[#This Row],[mortgage_payment]]+playerround[[#This Row],[spent_savings_for_buying_house]]</f>
        <v>8000</v>
      </c>
      <c r="AV33">
        <f>playerround[[#This Row],[cost_fluvial_damage]]+playerround[[#This Row],[cost_pluvial_damage]]</f>
        <v>0</v>
      </c>
    </row>
    <row r="34" spans="1:48" x14ac:dyDescent="0.3">
      <c r="A34">
        <v>1392</v>
      </c>
      <c r="B34" s="1">
        <v>45937.57849537037</v>
      </c>
      <c r="C34">
        <v>75000</v>
      </c>
      <c r="D34">
        <v>40000</v>
      </c>
      <c r="E34">
        <v>0</v>
      </c>
      <c r="F34">
        <v>8000</v>
      </c>
      <c r="G34">
        <v>0</v>
      </c>
      <c r="H34">
        <v>0</v>
      </c>
      <c r="I34">
        <v>15000</v>
      </c>
      <c r="J34">
        <v>14000</v>
      </c>
      <c r="K34">
        <v>1600</v>
      </c>
      <c r="L34">
        <v>0</v>
      </c>
      <c r="M34">
        <v>4000</v>
      </c>
      <c r="N34">
        <v>-200</v>
      </c>
      <c r="O34">
        <v>0</v>
      </c>
      <c r="P34">
        <v>0</v>
      </c>
      <c r="Q34">
        <v>2</v>
      </c>
      <c r="R34">
        <v>0</v>
      </c>
      <c r="S34">
        <v>0</v>
      </c>
      <c r="T34">
        <v>1</v>
      </c>
      <c r="U34">
        <v>0</v>
      </c>
      <c r="V34">
        <v>5</v>
      </c>
      <c r="W34">
        <v>4</v>
      </c>
      <c r="X34">
        <v>110000</v>
      </c>
      <c r="Y34">
        <v>80000</v>
      </c>
      <c r="Z34">
        <v>72000</v>
      </c>
      <c r="AA34">
        <v>0</v>
      </c>
      <c r="AB34">
        <v>0</v>
      </c>
      <c r="AC34">
        <v>80000</v>
      </c>
      <c r="AD34">
        <v>64000</v>
      </c>
      <c r="AF34" t="s">
        <v>57</v>
      </c>
      <c r="AG34">
        <v>4</v>
      </c>
      <c r="AH34">
        <v>9</v>
      </c>
      <c r="AI34">
        <v>0</v>
      </c>
      <c r="AJ34">
        <v>0</v>
      </c>
      <c r="AK34">
        <v>4</v>
      </c>
      <c r="AL34">
        <v>2</v>
      </c>
      <c r="AM34" t="s">
        <v>99</v>
      </c>
      <c r="AN34">
        <v>706</v>
      </c>
      <c r="AO34">
        <v>329</v>
      </c>
      <c r="AP34">
        <v>1604</v>
      </c>
      <c r="AQ34">
        <v>1604</v>
      </c>
      <c r="AR34" t="s">
        <v>57</v>
      </c>
      <c r="AS34">
        <f>+VLOOKUP(playerround[[#This Row],[player_id]],player[],5,0)</f>
        <v>124</v>
      </c>
      <c r="AT34">
        <f>+VLOOKUP(playerround[[#This Row],[groupround_id]],groupround[],6,FALSE)</f>
        <v>2</v>
      </c>
      <c r="AU34">
        <f>playerround[[#This Row],[mortgage_payment]]+playerround[[#This Row],[spent_savings_for_buying_house]]</f>
        <v>8000</v>
      </c>
      <c r="AV34">
        <f>playerround[[#This Row],[cost_fluvial_damage]]+playerround[[#This Row],[cost_pluvial_damage]]</f>
        <v>4000</v>
      </c>
    </row>
    <row r="35" spans="1:48" x14ac:dyDescent="0.3">
      <c r="A35">
        <v>1420</v>
      </c>
      <c r="B35" s="1">
        <v>45937.57849537037</v>
      </c>
      <c r="C35">
        <v>75000</v>
      </c>
      <c r="D35">
        <v>40000</v>
      </c>
      <c r="E35">
        <v>200</v>
      </c>
      <c r="F35">
        <v>8000</v>
      </c>
      <c r="G35">
        <v>0</v>
      </c>
      <c r="H35">
        <v>0</v>
      </c>
      <c r="I35">
        <v>15000</v>
      </c>
      <c r="J35">
        <v>10000</v>
      </c>
      <c r="K35">
        <v>1600</v>
      </c>
      <c r="L35">
        <v>0</v>
      </c>
      <c r="M35">
        <v>0</v>
      </c>
      <c r="N35">
        <v>200</v>
      </c>
      <c r="O35">
        <v>0</v>
      </c>
      <c r="P35">
        <v>0</v>
      </c>
      <c r="Q35">
        <v>0</v>
      </c>
      <c r="R35">
        <v>0</v>
      </c>
      <c r="S35">
        <v>0</v>
      </c>
      <c r="T35">
        <v>0</v>
      </c>
      <c r="U35">
        <v>1</v>
      </c>
      <c r="V35">
        <v>4</v>
      </c>
      <c r="W35">
        <v>4</v>
      </c>
      <c r="X35">
        <v>110000</v>
      </c>
      <c r="Y35">
        <v>80000</v>
      </c>
      <c r="Z35">
        <v>64000</v>
      </c>
      <c r="AA35">
        <v>0</v>
      </c>
      <c r="AB35">
        <v>0</v>
      </c>
      <c r="AC35">
        <v>80000</v>
      </c>
      <c r="AD35">
        <v>56000</v>
      </c>
      <c r="AF35" t="s">
        <v>57</v>
      </c>
      <c r="AG35">
        <v>4</v>
      </c>
      <c r="AH35">
        <v>9</v>
      </c>
      <c r="AI35">
        <v>-2</v>
      </c>
      <c r="AJ35">
        <v>-1</v>
      </c>
      <c r="AK35">
        <v>5</v>
      </c>
      <c r="AL35">
        <v>3</v>
      </c>
      <c r="AM35" t="s">
        <v>99</v>
      </c>
      <c r="AN35">
        <v>706</v>
      </c>
      <c r="AO35">
        <v>334</v>
      </c>
      <c r="AP35">
        <v>1604</v>
      </c>
      <c r="AQ35">
        <v>1604</v>
      </c>
      <c r="AR35" t="s">
        <v>57</v>
      </c>
      <c r="AS35">
        <f>+VLOOKUP(playerround[[#This Row],[player_id]],player[],5,0)</f>
        <v>124</v>
      </c>
      <c r="AT35">
        <f>+VLOOKUP(playerround[[#This Row],[groupround_id]],groupround[],6,FALSE)</f>
        <v>3</v>
      </c>
      <c r="AU35">
        <f>playerround[[#This Row],[mortgage_payment]]+playerround[[#This Row],[spent_savings_for_buying_house]]</f>
        <v>8000</v>
      </c>
      <c r="AV35">
        <f>playerround[[#This Row],[cost_fluvial_damage]]+playerround[[#This Row],[cost_pluvial_damage]]</f>
        <v>0</v>
      </c>
    </row>
    <row r="36" spans="1:48" x14ac:dyDescent="0.3">
      <c r="A36">
        <v>1440</v>
      </c>
      <c r="B36" s="1">
        <v>45937.57849537037</v>
      </c>
      <c r="C36">
        <v>75000</v>
      </c>
      <c r="D36">
        <v>40000</v>
      </c>
      <c r="E36">
        <v>0</v>
      </c>
      <c r="F36">
        <v>8000</v>
      </c>
      <c r="G36">
        <v>0</v>
      </c>
      <c r="H36">
        <v>0</v>
      </c>
      <c r="I36">
        <v>20000</v>
      </c>
      <c r="J36">
        <v>1000</v>
      </c>
      <c r="K36">
        <v>6000</v>
      </c>
      <c r="L36">
        <v>0</v>
      </c>
      <c r="M36">
        <v>0</v>
      </c>
      <c r="N36">
        <v>200</v>
      </c>
      <c r="O36">
        <v>0</v>
      </c>
      <c r="P36">
        <v>0</v>
      </c>
      <c r="Q36">
        <v>0</v>
      </c>
      <c r="R36">
        <v>3</v>
      </c>
      <c r="S36">
        <v>0</v>
      </c>
      <c r="T36">
        <v>0</v>
      </c>
      <c r="U36">
        <v>0</v>
      </c>
      <c r="V36">
        <v>7</v>
      </c>
      <c r="W36">
        <v>4</v>
      </c>
      <c r="X36">
        <v>110000</v>
      </c>
      <c r="Y36">
        <v>80000</v>
      </c>
      <c r="Z36">
        <v>56000</v>
      </c>
      <c r="AA36">
        <v>0</v>
      </c>
      <c r="AB36">
        <v>0</v>
      </c>
      <c r="AC36">
        <v>80000</v>
      </c>
      <c r="AD36">
        <v>48000</v>
      </c>
      <c r="AF36" t="s">
        <v>57</v>
      </c>
      <c r="AG36">
        <v>4</v>
      </c>
      <c r="AH36">
        <v>9</v>
      </c>
      <c r="AI36">
        <v>-2</v>
      </c>
      <c r="AJ36">
        <v>-1</v>
      </c>
      <c r="AK36">
        <v>4</v>
      </c>
      <c r="AL36">
        <v>3</v>
      </c>
      <c r="AM36" t="s">
        <v>99</v>
      </c>
      <c r="AN36">
        <v>706</v>
      </c>
      <c r="AO36">
        <v>337</v>
      </c>
      <c r="AP36">
        <v>1604</v>
      </c>
      <c r="AQ36">
        <v>1604</v>
      </c>
      <c r="AR36" t="s">
        <v>57</v>
      </c>
      <c r="AS36">
        <f>+VLOOKUP(playerround[[#This Row],[player_id]],player[],5,0)</f>
        <v>124</v>
      </c>
      <c r="AT36">
        <f>+VLOOKUP(playerround[[#This Row],[groupround_id]],groupround[],6,FALSE)</f>
        <v>4</v>
      </c>
      <c r="AU36">
        <f>playerround[[#This Row],[mortgage_payment]]+playerround[[#This Row],[spent_savings_for_buying_house]]</f>
        <v>8000</v>
      </c>
      <c r="AV36">
        <f>playerround[[#This Row],[cost_fluvial_damage]]+playerround[[#This Row],[cost_pluvial_damage]]</f>
        <v>0</v>
      </c>
    </row>
    <row r="37" spans="1:48" x14ac:dyDescent="0.3">
      <c r="A37">
        <v>1333</v>
      </c>
      <c r="B37" s="1">
        <v>45937.582592592589</v>
      </c>
      <c r="C37">
        <v>110000</v>
      </c>
      <c r="D37">
        <v>60000</v>
      </c>
      <c r="E37">
        <v>0</v>
      </c>
      <c r="F37">
        <v>0</v>
      </c>
      <c r="G37">
        <v>0</v>
      </c>
      <c r="H37">
        <v>0</v>
      </c>
      <c r="I37">
        <v>0</v>
      </c>
      <c r="J37">
        <v>0</v>
      </c>
      <c r="K37">
        <v>0</v>
      </c>
      <c r="L37">
        <v>0</v>
      </c>
      <c r="M37">
        <v>0</v>
      </c>
      <c r="N37">
        <v>30000</v>
      </c>
      <c r="O37">
        <v>0</v>
      </c>
      <c r="P37">
        <v>0</v>
      </c>
      <c r="Q37">
        <v>0</v>
      </c>
      <c r="R37">
        <v>0</v>
      </c>
      <c r="S37">
        <v>0</v>
      </c>
      <c r="T37">
        <v>0</v>
      </c>
      <c r="U37">
        <v>0</v>
      </c>
      <c r="V37">
        <v>5</v>
      </c>
      <c r="W37">
        <v>6</v>
      </c>
      <c r="X37">
        <v>170000</v>
      </c>
      <c r="Y37">
        <v>0</v>
      </c>
      <c r="Z37">
        <v>0</v>
      </c>
      <c r="AA37">
        <v>0</v>
      </c>
      <c r="AB37">
        <v>0</v>
      </c>
      <c r="AC37">
        <v>0</v>
      </c>
      <c r="AD37">
        <v>0</v>
      </c>
      <c r="AF37" t="s">
        <v>57</v>
      </c>
      <c r="AG37">
        <v>0</v>
      </c>
      <c r="AH37">
        <v>0</v>
      </c>
      <c r="AI37">
        <v>0</v>
      </c>
      <c r="AJ37">
        <v>0</v>
      </c>
      <c r="AK37">
        <v>0</v>
      </c>
      <c r="AL37">
        <v>0</v>
      </c>
      <c r="AM37" t="s">
        <v>86</v>
      </c>
      <c r="AN37">
        <v>707</v>
      </c>
      <c r="AO37">
        <v>321</v>
      </c>
      <c r="AR37" t="s">
        <v>57</v>
      </c>
      <c r="AS37">
        <f>+VLOOKUP(playerround[[#This Row],[player_id]],player[],5,0)</f>
        <v>126</v>
      </c>
      <c r="AT37">
        <f>+VLOOKUP(playerround[[#This Row],[groupround_id]],groupround[],6,FALSE)</f>
        <v>0</v>
      </c>
      <c r="AU37">
        <f>playerround[[#This Row],[mortgage_payment]]+playerround[[#This Row],[spent_savings_for_buying_house]]</f>
        <v>0</v>
      </c>
      <c r="AV37">
        <f>playerround[[#This Row],[cost_fluvial_damage]]+playerround[[#This Row],[cost_pluvial_damage]]</f>
        <v>0</v>
      </c>
    </row>
    <row r="38" spans="1:48" x14ac:dyDescent="0.3">
      <c r="A38">
        <v>1355</v>
      </c>
      <c r="B38" s="1">
        <v>45937.582592592589</v>
      </c>
      <c r="C38">
        <v>110000</v>
      </c>
      <c r="D38">
        <v>60000</v>
      </c>
      <c r="E38">
        <v>0</v>
      </c>
      <c r="F38">
        <v>17000</v>
      </c>
      <c r="G38">
        <v>0</v>
      </c>
      <c r="H38">
        <v>30000</v>
      </c>
      <c r="I38">
        <v>20000</v>
      </c>
      <c r="J38">
        <v>7000</v>
      </c>
      <c r="K38">
        <v>0</v>
      </c>
      <c r="L38">
        <v>0</v>
      </c>
      <c r="M38">
        <v>0</v>
      </c>
      <c r="N38">
        <v>6000</v>
      </c>
      <c r="O38">
        <v>0</v>
      </c>
      <c r="P38">
        <v>0</v>
      </c>
      <c r="Q38">
        <v>1</v>
      </c>
      <c r="R38">
        <v>0</v>
      </c>
      <c r="S38">
        <v>0</v>
      </c>
      <c r="T38">
        <v>0</v>
      </c>
      <c r="U38">
        <v>0</v>
      </c>
      <c r="V38">
        <v>6</v>
      </c>
      <c r="W38">
        <v>6</v>
      </c>
      <c r="X38">
        <v>170000</v>
      </c>
      <c r="Y38">
        <v>0</v>
      </c>
      <c r="Z38">
        <v>0</v>
      </c>
      <c r="AA38">
        <v>0</v>
      </c>
      <c r="AB38">
        <v>200000</v>
      </c>
      <c r="AC38">
        <v>170000</v>
      </c>
      <c r="AD38">
        <v>153000</v>
      </c>
      <c r="AF38" t="s">
        <v>57</v>
      </c>
      <c r="AG38">
        <v>6</v>
      </c>
      <c r="AH38">
        <v>9</v>
      </c>
      <c r="AI38">
        <v>0</v>
      </c>
      <c r="AJ38">
        <v>0</v>
      </c>
      <c r="AK38">
        <v>1</v>
      </c>
      <c r="AL38">
        <v>1</v>
      </c>
      <c r="AM38" t="s">
        <v>99</v>
      </c>
      <c r="AN38">
        <v>707</v>
      </c>
      <c r="AO38">
        <v>324</v>
      </c>
      <c r="AQ38">
        <v>1596</v>
      </c>
      <c r="AR38" t="s">
        <v>57</v>
      </c>
      <c r="AS38">
        <f>+VLOOKUP(playerround[[#This Row],[player_id]],player[],5,0)</f>
        <v>126</v>
      </c>
      <c r="AT38">
        <f>+VLOOKUP(playerround[[#This Row],[groupround_id]],groupround[],6,FALSE)</f>
        <v>1</v>
      </c>
      <c r="AU38">
        <f>playerround[[#This Row],[mortgage_payment]]+playerround[[#This Row],[spent_savings_for_buying_house]]</f>
        <v>47000</v>
      </c>
      <c r="AV38">
        <f>playerround[[#This Row],[cost_fluvial_damage]]+playerround[[#This Row],[cost_pluvial_damage]]</f>
        <v>0</v>
      </c>
    </row>
    <row r="39" spans="1:48" x14ac:dyDescent="0.3">
      <c r="A39">
        <v>1389</v>
      </c>
      <c r="B39" s="1">
        <v>45937.582592592589</v>
      </c>
      <c r="C39">
        <v>110000</v>
      </c>
      <c r="D39">
        <v>60000</v>
      </c>
      <c r="E39">
        <v>0</v>
      </c>
      <c r="F39">
        <v>17000</v>
      </c>
      <c r="G39">
        <v>0</v>
      </c>
      <c r="H39">
        <v>0</v>
      </c>
      <c r="I39">
        <v>20000</v>
      </c>
      <c r="J39">
        <v>8000</v>
      </c>
      <c r="K39">
        <v>0</v>
      </c>
      <c r="L39">
        <v>0</v>
      </c>
      <c r="M39">
        <v>4000</v>
      </c>
      <c r="N39">
        <v>7000</v>
      </c>
      <c r="O39">
        <v>0</v>
      </c>
      <c r="P39">
        <v>0</v>
      </c>
      <c r="Q39">
        <v>1</v>
      </c>
      <c r="R39">
        <v>0</v>
      </c>
      <c r="S39">
        <v>0</v>
      </c>
      <c r="T39">
        <v>1</v>
      </c>
      <c r="U39">
        <v>0</v>
      </c>
      <c r="V39">
        <v>6</v>
      </c>
      <c r="W39">
        <v>6</v>
      </c>
      <c r="X39">
        <v>170000</v>
      </c>
      <c r="Y39">
        <v>170000</v>
      </c>
      <c r="Z39">
        <v>153000</v>
      </c>
      <c r="AA39">
        <v>0</v>
      </c>
      <c r="AB39">
        <v>0</v>
      </c>
      <c r="AC39">
        <v>170000</v>
      </c>
      <c r="AD39">
        <v>136000</v>
      </c>
      <c r="AF39" t="s">
        <v>57</v>
      </c>
      <c r="AG39">
        <v>6</v>
      </c>
      <c r="AH39">
        <v>9</v>
      </c>
      <c r="AI39">
        <v>0</v>
      </c>
      <c r="AJ39">
        <v>0</v>
      </c>
      <c r="AK39">
        <v>2</v>
      </c>
      <c r="AL39">
        <v>2</v>
      </c>
      <c r="AM39" t="s">
        <v>99</v>
      </c>
      <c r="AN39">
        <v>707</v>
      </c>
      <c r="AO39">
        <v>329</v>
      </c>
      <c r="AP39">
        <v>1596</v>
      </c>
      <c r="AQ39">
        <v>1596</v>
      </c>
      <c r="AR39" t="s">
        <v>57</v>
      </c>
      <c r="AS39">
        <f>+VLOOKUP(playerround[[#This Row],[player_id]],player[],5,0)</f>
        <v>126</v>
      </c>
      <c r="AT39">
        <f>+VLOOKUP(playerround[[#This Row],[groupround_id]],groupround[],6,FALSE)</f>
        <v>2</v>
      </c>
      <c r="AU39">
        <f>playerround[[#This Row],[mortgage_payment]]+playerround[[#This Row],[spent_savings_for_buying_house]]</f>
        <v>17000</v>
      </c>
      <c r="AV39">
        <f>playerround[[#This Row],[cost_fluvial_damage]]+playerround[[#This Row],[cost_pluvial_damage]]</f>
        <v>4000</v>
      </c>
    </row>
    <row r="40" spans="1:48" x14ac:dyDescent="0.3">
      <c r="A40">
        <v>1422</v>
      </c>
      <c r="B40" s="1">
        <v>45937.582592592589</v>
      </c>
      <c r="C40">
        <v>110000</v>
      </c>
      <c r="D40">
        <v>60000</v>
      </c>
      <c r="E40">
        <v>0</v>
      </c>
      <c r="F40">
        <v>17000</v>
      </c>
      <c r="G40">
        <v>0</v>
      </c>
      <c r="H40">
        <v>0</v>
      </c>
      <c r="I40">
        <v>20000</v>
      </c>
      <c r="J40">
        <v>18000</v>
      </c>
      <c r="K40">
        <v>0</v>
      </c>
      <c r="L40">
        <v>0</v>
      </c>
      <c r="M40">
        <v>0</v>
      </c>
      <c r="N40">
        <v>2000</v>
      </c>
      <c r="O40">
        <v>0</v>
      </c>
      <c r="P40">
        <v>0</v>
      </c>
      <c r="Q40">
        <v>1</v>
      </c>
      <c r="R40">
        <v>0</v>
      </c>
      <c r="S40">
        <v>0</v>
      </c>
      <c r="T40">
        <v>0</v>
      </c>
      <c r="U40">
        <v>0</v>
      </c>
      <c r="V40">
        <v>7</v>
      </c>
      <c r="W40">
        <v>6</v>
      </c>
      <c r="X40">
        <v>170000</v>
      </c>
      <c r="Y40">
        <v>170000</v>
      </c>
      <c r="Z40">
        <v>136000</v>
      </c>
      <c r="AA40">
        <v>0</v>
      </c>
      <c r="AB40">
        <v>0</v>
      </c>
      <c r="AC40">
        <v>170000</v>
      </c>
      <c r="AD40">
        <v>119000</v>
      </c>
      <c r="AF40" t="s">
        <v>57</v>
      </c>
      <c r="AG40">
        <v>6</v>
      </c>
      <c r="AH40">
        <v>9</v>
      </c>
      <c r="AI40">
        <v>-2</v>
      </c>
      <c r="AJ40">
        <v>-1</v>
      </c>
      <c r="AK40">
        <v>4</v>
      </c>
      <c r="AL40">
        <v>3</v>
      </c>
      <c r="AM40" t="s">
        <v>99</v>
      </c>
      <c r="AN40">
        <v>707</v>
      </c>
      <c r="AO40">
        <v>334</v>
      </c>
      <c r="AP40">
        <v>1596</v>
      </c>
      <c r="AQ40">
        <v>1596</v>
      </c>
      <c r="AR40" t="s">
        <v>57</v>
      </c>
      <c r="AS40">
        <f>+VLOOKUP(playerround[[#This Row],[player_id]],player[],5,0)</f>
        <v>126</v>
      </c>
      <c r="AT40">
        <f>+VLOOKUP(playerround[[#This Row],[groupround_id]],groupround[],6,FALSE)</f>
        <v>3</v>
      </c>
      <c r="AU40">
        <f>playerround[[#This Row],[mortgage_payment]]+playerround[[#This Row],[spent_savings_for_buying_house]]</f>
        <v>17000</v>
      </c>
      <c r="AV40">
        <f>playerround[[#This Row],[cost_fluvial_damage]]+playerround[[#This Row],[cost_pluvial_damage]]</f>
        <v>0</v>
      </c>
    </row>
    <row r="41" spans="1:48" x14ac:dyDescent="0.3">
      <c r="A41">
        <v>1437</v>
      </c>
      <c r="B41" s="1">
        <v>45937.582592592589</v>
      </c>
      <c r="C41">
        <v>110000</v>
      </c>
      <c r="D41">
        <v>60000</v>
      </c>
      <c r="E41">
        <v>0</v>
      </c>
      <c r="F41">
        <v>17000</v>
      </c>
      <c r="G41">
        <v>0</v>
      </c>
      <c r="H41">
        <v>0</v>
      </c>
      <c r="I41">
        <v>20000</v>
      </c>
      <c r="J41">
        <v>0</v>
      </c>
      <c r="K41">
        <v>15000</v>
      </c>
      <c r="L41">
        <v>0</v>
      </c>
      <c r="M41">
        <v>0</v>
      </c>
      <c r="N41">
        <v>0</v>
      </c>
      <c r="O41">
        <v>0</v>
      </c>
      <c r="P41">
        <v>0</v>
      </c>
      <c r="Q41">
        <v>0</v>
      </c>
      <c r="R41">
        <v>3</v>
      </c>
      <c r="S41">
        <v>0</v>
      </c>
      <c r="T41">
        <v>0</v>
      </c>
      <c r="U41">
        <v>0</v>
      </c>
      <c r="V41">
        <v>12</v>
      </c>
      <c r="W41">
        <v>6</v>
      </c>
      <c r="X41">
        <v>170000</v>
      </c>
      <c r="Y41">
        <v>170000</v>
      </c>
      <c r="Z41">
        <v>119000</v>
      </c>
      <c r="AA41">
        <v>0</v>
      </c>
      <c r="AB41">
        <v>0</v>
      </c>
      <c r="AC41">
        <v>170000</v>
      </c>
      <c r="AD41">
        <v>102000</v>
      </c>
      <c r="AF41" t="s">
        <v>57</v>
      </c>
      <c r="AG41">
        <v>6</v>
      </c>
      <c r="AH41">
        <v>9</v>
      </c>
      <c r="AI41">
        <v>-2</v>
      </c>
      <c r="AJ41">
        <v>-1</v>
      </c>
      <c r="AK41">
        <v>4</v>
      </c>
      <c r="AL41">
        <v>3</v>
      </c>
      <c r="AM41" t="s">
        <v>99</v>
      </c>
      <c r="AN41">
        <v>707</v>
      </c>
      <c r="AO41">
        <v>337</v>
      </c>
      <c r="AP41">
        <v>1596</v>
      </c>
      <c r="AQ41">
        <v>1596</v>
      </c>
      <c r="AR41" t="s">
        <v>57</v>
      </c>
      <c r="AS41">
        <f>+VLOOKUP(playerround[[#This Row],[player_id]],player[],5,0)</f>
        <v>126</v>
      </c>
      <c r="AT41">
        <f>+VLOOKUP(playerround[[#This Row],[groupround_id]],groupround[],6,FALSE)</f>
        <v>4</v>
      </c>
      <c r="AU41">
        <f>playerround[[#This Row],[mortgage_payment]]+playerround[[#This Row],[spent_savings_for_buying_house]]</f>
        <v>17000</v>
      </c>
      <c r="AV41">
        <f>playerround[[#This Row],[cost_fluvial_damage]]+playerround[[#This Row],[cost_pluvial_damage]]</f>
        <v>0</v>
      </c>
    </row>
    <row r="42" spans="1:48" x14ac:dyDescent="0.3">
      <c r="A42">
        <v>1334</v>
      </c>
      <c r="B42" s="1">
        <v>45937.582824074074</v>
      </c>
      <c r="C42">
        <v>60000</v>
      </c>
      <c r="D42">
        <v>30000</v>
      </c>
      <c r="E42">
        <v>0</v>
      </c>
      <c r="F42">
        <v>0</v>
      </c>
      <c r="G42">
        <v>0</v>
      </c>
      <c r="H42">
        <v>0</v>
      </c>
      <c r="I42">
        <v>0</v>
      </c>
      <c r="J42">
        <v>0</v>
      </c>
      <c r="K42">
        <v>0</v>
      </c>
      <c r="L42">
        <v>0</v>
      </c>
      <c r="M42">
        <v>0</v>
      </c>
      <c r="N42">
        <v>0</v>
      </c>
      <c r="O42">
        <v>0</v>
      </c>
      <c r="P42">
        <v>0</v>
      </c>
      <c r="Q42">
        <v>0</v>
      </c>
      <c r="R42">
        <v>0</v>
      </c>
      <c r="S42">
        <v>0</v>
      </c>
      <c r="T42">
        <v>0</v>
      </c>
      <c r="U42">
        <v>0</v>
      </c>
      <c r="V42">
        <v>5</v>
      </c>
      <c r="W42">
        <v>3</v>
      </c>
      <c r="X42">
        <v>80000</v>
      </c>
      <c r="Y42">
        <v>0</v>
      </c>
      <c r="Z42">
        <v>0</v>
      </c>
      <c r="AA42">
        <v>0</v>
      </c>
      <c r="AB42">
        <v>0</v>
      </c>
      <c r="AC42">
        <v>0</v>
      </c>
      <c r="AD42">
        <v>0</v>
      </c>
      <c r="AF42" t="s">
        <v>57</v>
      </c>
      <c r="AG42">
        <v>0</v>
      </c>
      <c r="AH42">
        <v>0</v>
      </c>
      <c r="AI42">
        <v>0</v>
      </c>
      <c r="AJ42">
        <v>0</v>
      </c>
      <c r="AK42">
        <v>0</v>
      </c>
      <c r="AL42">
        <v>0</v>
      </c>
      <c r="AM42" t="s">
        <v>86</v>
      </c>
      <c r="AN42">
        <v>708</v>
      </c>
      <c r="AO42">
        <v>321</v>
      </c>
      <c r="AR42" t="s">
        <v>57</v>
      </c>
      <c r="AS42">
        <f>+VLOOKUP(playerround[[#This Row],[player_id]],player[],5,0)</f>
        <v>123</v>
      </c>
      <c r="AT42">
        <f>+VLOOKUP(playerround[[#This Row],[groupround_id]],groupround[],6,FALSE)</f>
        <v>0</v>
      </c>
      <c r="AU42">
        <f>playerround[[#This Row],[mortgage_payment]]+playerround[[#This Row],[spent_savings_for_buying_house]]</f>
        <v>0</v>
      </c>
      <c r="AV42">
        <f>playerround[[#This Row],[cost_fluvial_damage]]+playerround[[#This Row],[cost_pluvial_damage]]</f>
        <v>0</v>
      </c>
    </row>
    <row r="43" spans="1:48" x14ac:dyDescent="0.3">
      <c r="A43">
        <v>1356</v>
      </c>
      <c r="B43" s="1">
        <v>45937.582824074074</v>
      </c>
      <c r="C43">
        <v>60000</v>
      </c>
      <c r="D43">
        <v>30000</v>
      </c>
      <c r="E43">
        <v>0</v>
      </c>
      <c r="F43">
        <v>7000</v>
      </c>
      <c r="G43">
        <v>0</v>
      </c>
      <c r="H43">
        <v>0</v>
      </c>
      <c r="I43">
        <v>20000</v>
      </c>
      <c r="J43">
        <v>0</v>
      </c>
      <c r="K43">
        <v>1750</v>
      </c>
      <c r="L43">
        <v>0</v>
      </c>
      <c r="M43">
        <v>0</v>
      </c>
      <c r="N43">
        <v>1250</v>
      </c>
      <c r="O43">
        <v>0</v>
      </c>
      <c r="P43">
        <v>-1</v>
      </c>
      <c r="Q43">
        <v>0</v>
      </c>
      <c r="R43">
        <v>1</v>
      </c>
      <c r="S43">
        <v>0</v>
      </c>
      <c r="T43">
        <v>0</v>
      </c>
      <c r="U43">
        <v>0</v>
      </c>
      <c r="V43">
        <v>5</v>
      </c>
      <c r="W43">
        <v>3</v>
      </c>
      <c r="X43">
        <v>80000</v>
      </c>
      <c r="Y43">
        <v>0</v>
      </c>
      <c r="Z43">
        <v>0</v>
      </c>
      <c r="AA43">
        <v>0</v>
      </c>
      <c r="AB43">
        <v>70000</v>
      </c>
      <c r="AC43">
        <v>70000</v>
      </c>
      <c r="AD43">
        <v>63000</v>
      </c>
      <c r="AF43" t="s">
        <v>57</v>
      </c>
      <c r="AG43">
        <v>6</v>
      </c>
      <c r="AH43">
        <v>6</v>
      </c>
      <c r="AI43">
        <v>0</v>
      </c>
      <c r="AJ43">
        <v>0</v>
      </c>
      <c r="AK43">
        <v>0</v>
      </c>
      <c r="AL43">
        <v>0</v>
      </c>
      <c r="AM43" t="s">
        <v>99</v>
      </c>
      <c r="AN43">
        <v>708</v>
      </c>
      <c r="AO43">
        <v>324</v>
      </c>
      <c r="AQ43">
        <v>1608</v>
      </c>
      <c r="AR43" t="s">
        <v>57</v>
      </c>
      <c r="AS43">
        <f>+VLOOKUP(playerround[[#This Row],[player_id]],player[],5,0)</f>
        <v>123</v>
      </c>
      <c r="AT43">
        <f>+VLOOKUP(playerround[[#This Row],[groupround_id]],groupround[],6,FALSE)</f>
        <v>1</v>
      </c>
      <c r="AU43">
        <f>playerround[[#This Row],[mortgage_payment]]+playerround[[#This Row],[spent_savings_for_buying_house]]</f>
        <v>7000</v>
      </c>
      <c r="AV43">
        <f>playerround[[#This Row],[cost_fluvial_damage]]+playerround[[#This Row],[cost_pluvial_damage]]</f>
        <v>0</v>
      </c>
    </row>
    <row r="44" spans="1:48" x14ac:dyDescent="0.3">
      <c r="A44">
        <v>1391</v>
      </c>
      <c r="B44" s="1">
        <v>45937.582824074074</v>
      </c>
      <c r="C44">
        <v>60000</v>
      </c>
      <c r="D44">
        <v>30000</v>
      </c>
      <c r="E44">
        <v>0</v>
      </c>
      <c r="F44">
        <v>7000</v>
      </c>
      <c r="G44">
        <v>0</v>
      </c>
      <c r="H44">
        <v>0</v>
      </c>
      <c r="I44">
        <v>20000</v>
      </c>
      <c r="J44">
        <v>0</v>
      </c>
      <c r="K44">
        <v>3500</v>
      </c>
      <c r="L44">
        <v>12000</v>
      </c>
      <c r="M44">
        <v>4000</v>
      </c>
      <c r="N44">
        <v>-15250</v>
      </c>
      <c r="O44">
        <v>0</v>
      </c>
      <c r="P44">
        <v>0</v>
      </c>
      <c r="Q44">
        <v>0</v>
      </c>
      <c r="R44">
        <v>2</v>
      </c>
      <c r="S44">
        <v>4</v>
      </c>
      <c r="T44">
        <v>1</v>
      </c>
      <c r="U44">
        <v>0</v>
      </c>
      <c r="V44">
        <v>2</v>
      </c>
      <c r="W44">
        <v>3</v>
      </c>
      <c r="X44">
        <v>80000</v>
      </c>
      <c r="Y44">
        <v>70000</v>
      </c>
      <c r="Z44">
        <v>63000</v>
      </c>
      <c r="AA44">
        <v>0</v>
      </c>
      <c r="AB44">
        <v>0</v>
      </c>
      <c r="AC44">
        <v>70000</v>
      </c>
      <c r="AD44">
        <v>56000</v>
      </c>
      <c r="AF44" t="s">
        <v>57</v>
      </c>
      <c r="AG44">
        <v>6</v>
      </c>
      <c r="AH44">
        <v>6</v>
      </c>
      <c r="AI44">
        <v>0</v>
      </c>
      <c r="AJ44">
        <v>0</v>
      </c>
      <c r="AK44">
        <v>0</v>
      </c>
      <c r="AL44">
        <v>0</v>
      </c>
      <c r="AM44" t="s">
        <v>99</v>
      </c>
      <c r="AN44">
        <v>708</v>
      </c>
      <c r="AO44">
        <v>329</v>
      </c>
      <c r="AP44">
        <v>1608</v>
      </c>
      <c r="AQ44">
        <v>1608</v>
      </c>
      <c r="AR44" t="s">
        <v>57</v>
      </c>
      <c r="AS44">
        <f>+VLOOKUP(playerround[[#This Row],[player_id]],player[],5,0)</f>
        <v>123</v>
      </c>
      <c r="AT44">
        <f>+VLOOKUP(playerround[[#This Row],[groupround_id]],groupround[],6,FALSE)</f>
        <v>2</v>
      </c>
      <c r="AU44">
        <f>playerround[[#This Row],[mortgage_payment]]+playerround[[#This Row],[spent_savings_for_buying_house]]</f>
        <v>7000</v>
      </c>
      <c r="AV44">
        <f>playerround[[#This Row],[cost_fluvial_damage]]+playerround[[#This Row],[cost_pluvial_damage]]</f>
        <v>16000</v>
      </c>
    </row>
    <row r="45" spans="1:48" x14ac:dyDescent="0.3">
      <c r="A45">
        <v>1419</v>
      </c>
      <c r="B45" s="1">
        <v>45937.582824074074</v>
      </c>
      <c r="C45">
        <v>60000</v>
      </c>
      <c r="D45">
        <v>30000</v>
      </c>
      <c r="E45">
        <v>15250</v>
      </c>
      <c r="F45">
        <v>7000</v>
      </c>
      <c r="G45">
        <v>0</v>
      </c>
      <c r="H45">
        <v>0</v>
      </c>
      <c r="I45">
        <v>20000</v>
      </c>
      <c r="J45">
        <v>0</v>
      </c>
      <c r="K45">
        <v>0</v>
      </c>
      <c r="L45">
        <v>0</v>
      </c>
      <c r="M45">
        <v>4000</v>
      </c>
      <c r="N45">
        <v>-16250</v>
      </c>
      <c r="O45">
        <v>0</v>
      </c>
      <c r="P45">
        <v>0</v>
      </c>
      <c r="Q45">
        <v>0</v>
      </c>
      <c r="R45">
        <v>0</v>
      </c>
      <c r="S45">
        <v>0</v>
      </c>
      <c r="T45">
        <v>1</v>
      </c>
      <c r="U45">
        <v>1</v>
      </c>
      <c r="V45">
        <v>0</v>
      </c>
      <c r="W45">
        <v>3</v>
      </c>
      <c r="X45">
        <v>80000</v>
      </c>
      <c r="Y45">
        <v>70000</v>
      </c>
      <c r="Z45">
        <v>56000</v>
      </c>
      <c r="AA45">
        <v>0</v>
      </c>
      <c r="AB45">
        <v>0</v>
      </c>
      <c r="AC45">
        <v>70000</v>
      </c>
      <c r="AD45">
        <v>49000</v>
      </c>
      <c r="AF45" t="s">
        <v>57</v>
      </c>
      <c r="AG45">
        <v>6</v>
      </c>
      <c r="AH45">
        <v>6</v>
      </c>
      <c r="AI45">
        <v>-2</v>
      </c>
      <c r="AJ45">
        <v>-1</v>
      </c>
      <c r="AK45">
        <v>0</v>
      </c>
      <c r="AL45">
        <v>0</v>
      </c>
      <c r="AM45" t="s">
        <v>99</v>
      </c>
      <c r="AN45">
        <v>708</v>
      </c>
      <c r="AO45">
        <v>334</v>
      </c>
      <c r="AP45">
        <v>1608</v>
      </c>
      <c r="AQ45">
        <v>1608</v>
      </c>
      <c r="AR45" t="s">
        <v>57</v>
      </c>
      <c r="AS45">
        <f>+VLOOKUP(playerround[[#This Row],[player_id]],player[],5,0)</f>
        <v>123</v>
      </c>
      <c r="AT45">
        <f>+VLOOKUP(playerround[[#This Row],[groupround_id]],groupround[],6,FALSE)</f>
        <v>3</v>
      </c>
      <c r="AU45">
        <f>playerround[[#This Row],[mortgage_payment]]+playerround[[#This Row],[spent_savings_for_buying_house]]</f>
        <v>7000</v>
      </c>
      <c r="AV45">
        <f>playerround[[#This Row],[cost_fluvial_damage]]+playerround[[#This Row],[cost_pluvial_damage]]</f>
        <v>4000</v>
      </c>
    </row>
    <row r="46" spans="1:48" x14ac:dyDescent="0.3">
      <c r="A46">
        <v>1436</v>
      </c>
      <c r="B46" s="1">
        <v>45937.582824074074</v>
      </c>
      <c r="C46">
        <v>60000</v>
      </c>
      <c r="D46">
        <v>30000</v>
      </c>
      <c r="E46">
        <v>16250</v>
      </c>
      <c r="F46">
        <v>7000</v>
      </c>
      <c r="G46">
        <v>0</v>
      </c>
      <c r="H46">
        <v>0</v>
      </c>
      <c r="I46">
        <v>20000</v>
      </c>
      <c r="J46">
        <v>0</v>
      </c>
      <c r="K46">
        <v>0</v>
      </c>
      <c r="L46">
        <v>0</v>
      </c>
      <c r="M46">
        <v>4000</v>
      </c>
      <c r="N46">
        <v>-17250</v>
      </c>
      <c r="O46">
        <v>0</v>
      </c>
      <c r="P46">
        <v>0</v>
      </c>
      <c r="Q46">
        <v>0</v>
      </c>
      <c r="R46">
        <v>0</v>
      </c>
      <c r="S46">
        <v>0</v>
      </c>
      <c r="T46">
        <v>1</v>
      </c>
      <c r="U46">
        <v>1</v>
      </c>
      <c r="V46">
        <v>-2</v>
      </c>
      <c r="W46">
        <v>3</v>
      </c>
      <c r="X46">
        <v>80000</v>
      </c>
      <c r="Y46">
        <v>70000</v>
      </c>
      <c r="Z46">
        <v>49000</v>
      </c>
      <c r="AA46">
        <v>0</v>
      </c>
      <c r="AB46">
        <v>0</v>
      </c>
      <c r="AC46">
        <v>70000</v>
      </c>
      <c r="AD46">
        <v>42000</v>
      </c>
      <c r="AF46" t="s">
        <v>57</v>
      </c>
      <c r="AG46">
        <v>6</v>
      </c>
      <c r="AH46">
        <v>6</v>
      </c>
      <c r="AI46">
        <v>-2</v>
      </c>
      <c r="AJ46">
        <v>-1</v>
      </c>
      <c r="AK46">
        <v>0</v>
      </c>
      <c r="AL46">
        <v>0</v>
      </c>
      <c r="AM46" t="s">
        <v>99</v>
      </c>
      <c r="AN46">
        <v>708</v>
      </c>
      <c r="AO46">
        <v>337</v>
      </c>
      <c r="AP46">
        <v>1608</v>
      </c>
      <c r="AQ46">
        <v>1608</v>
      </c>
      <c r="AR46" t="s">
        <v>57</v>
      </c>
      <c r="AS46">
        <f>+VLOOKUP(playerround[[#This Row],[player_id]],player[],5,0)</f>
        <v>123</v>
      </c>
      <c r="AT46">
        <f>+VLOOKUP(playerround[[#This Row],[groupround_id]],groupround[],6,FALSE)</f>
        <v>4</v>
      </c>
      <c r="AU46">
        <f>playerround[[#This Row],[mortgage_payment]]+playerround[[#This Row],[spent_savings_for_buying_house]]</f>
        <v>7000</v>
      </c>
      <c r="AV46">
        <f>playerround[[#This Row],[cost_fluvial_damage]]+playerround[[#This Row],[cost_pluvial_damage]]</f>
        <v>4000</v>
      </c>
    </row>
    <row r="47" spans="1:48" x14ac:dyDescent="0.3">
      <c r="A47">
        <v>1336</v>
      </c>
      <c r="B47" s="1">
        <v>45937.595081018517</v>
      </c>
      <c r="C47">
        <v>90000</v>
      </c>
      <c r="D47">
        <v>50000</v>
      </c>
      <c r="E47">
        <v>0</v>
      </c>
      <c r="F47">
        <v>0</v>
      </c>
      <c r="G47">
        <v>0</v>
      </c>
      <c r="H47">
        <v>0</v>
      </c>
      <c r="I47">
        <v>0</v>
      </c>
      <c r="J47">
        <v>0</v>
      </c>
      <c r="K47">
        <v>0</v>
      </c>
      <c r="L47">
        <v>0</v>
      </c>
      <c r="M47">
        <v>0</v>
      </c>
      <c r="N47">
        <v>15000</v>
      </c>
      <c r="O47">
        <v>0</v>
      </c>
      <c r="P47">
        <v>0</v>
      </c>
      <c r="Q47">
        <v>0</v>
      </c>
      <c r="R47">
        <v>0</v>
      </c>
      <c r="S47">
        <v>0</v>
      </c>
      <c r="T47">
        <v>0</v>
      </c>
      <c r="U47">
        <v>0</v>
      </c>
      <c r="V47">
        <v>5</v>
      </c>
      <c r="W47">
        <v>5</v>
      </c>
      <c r="X47">
        <v>130000</v>
      </c>
      <c r="Y47">
        <v>0</v>
      </c>
      <c r="Z47">
        <v>0</v>
      </c>
      <c r="AA47">
        <v>0</v>
      </c>
      <c r="AB47">
        <v>0</v>
      </c>
      <c r="AC47">
        <v>0</v>
      </c>
      <c r="AD47">
        <v>0</v>
      </c>
      <c r="AF47" t="s">
        <v>57</v>
      </c>
      <c r="AG47">
        <v>0</v>
      </c>
      <c r="AH47">
        <v>0</v>
      </c>
      <c r="AI47">
        <v>0</v>
      </c>
      <c r="AJ47">
        <v>0</v>
      </c>
      <c r="AK47">
        <v>0</v>
      </c>
      <c r="AL47">
        <v>0</v>
      </c>
      <c r="AM47" t="s">
        <v>86</v>
      </c>
      <c r="AN47">
        <v>709</v>
      </c>
      <c r="AO47">
        <v>321</v>
      </c>
      <c r="AR47" t="s">
        <v>57</v>
      </c>
      <c r="AS47">
        <f>+VLOOKUP(playerround[[#This Row],[player_id]],player[],5,0)</f>
        <v>125</v>
      </c>
      <c r="AT47">
        <f>+VLOOKUP(playerround[[#This Row],[groupround_id]],groupround[],6,FALSE)</f>
        <v>0</v>
      </c>
      <c r="AU47">
        <f>playerround[[#This Row],[mortgage_payment]]+playerround[[#This Row],[spent_savings_for_buying_house]]</f>
        <v>0</v>
      </c>
      <c r="AV47">
        <f>playerround[[#This Row],[cost_fluvial_damage]]+playerround[[#This Row],[cost_pluvial_damage]]</f>
        <v>0</v>
      </c>
    </row>
    <row r="48" spans="1:48" x14ac:dyDescent="0.3">
      <c r="A48">
        <v>1351</v>
      </c>
      <c r="B48" s="1">
        <v>45937.595081018517</v>
      </c>
      <c r="C48">
        <v>90000</v>
      </c>
      <c r="D48">
        <v>50000</v>
      </c>
      <c r="E48">
        <v>0</v>
      </c>
      <c r="F48">
        <v>13000</v>
      </c>
      <c r="G48">
        <v>0</v>
      </c>
      <c r="H48">
        <v>30000</v>
      </c>
      <c r="I48">
        <v>15000</v>
      </c>
      <c r="J48">
        <v>0</v>
      </c>
      <c r="K48">
        <v>0</v>
      </c>
      <c r="L48">
        <v>0</v>
      </c>
      <c r="M48">
        <v>0</v>
      </c>
      <c r="N48">
        <v>-3000</v>
      </c>
      <c r="O48">
        <v>0</v>
      </c>
      <c r="P48">
        <v>0</v>
      </c>
      <c r="Q48">
        <v>0</v>
      </c>
      <c r="R48">
        <v>0</v>
      </c>
      <c r="S48">
        <v>0</v>
      </c>
      <c r="T48">
        <v>0</v>
      </c>
      <c r="U48">
        <v>0</v>
      </c>
      <c r="V48">
        <v>5</v>
      </c>
      <c r="W48">
        <v>5</v>
      </c>
      <c r="X48">
        <v>130000</v>
      </c>
      <c r="Y48">
        <v>0</v>
      </c>
      <c r="Z48">
        <v>0</v>
      </c>
      <c r="AA48">
        <v>0</v>
      </c>
      <c r="AB48">
        <v>160000</v>
      </c>
      <c r="AC48">
        <v>130000</v>
      </c>
      <c r="AD48">
        <v>117000</v>
      </c>
      <c r="AF48" t="s">
        <v>57</v>
      </c>
      <c r="AG48">
        <v>4</v>
      </c>
      <c r="AH48">
        <v>9</v>
      </c>
      <c r="AI48">
        <v>0</v>
      </c>
      <c r="AJ48">
        <v>0</v>
      </c>
      <c r="AK48">
        <v>0</v>
      </c>
      <c r="AL48">
        <v>0</v>
      </c>
      <c r="AM48" t="s">
        <v>99</v>
      </c>
      <c r="AN48">
        <v>709</v>
      </c>
      <c r="AO48">
        <v>324</v>
      </c>
      <c r="AQ48">
        <v>1602</v>
      </c>
      <c r="AR48" t="s">
        <v>57</v>
      </c>
      <c r="AS48">
        <f>+VLOOKUP(playerround[[#This Row],[player_id]],player[],5,0)</f>
        <v>125</v>
      </c>
      <c r="AT48">
        <f>+VLOOKUP(playerround[[#This Row],[groupround_id]],groupround[],6,FALSE)</f>
        <v>1</v>
      </c>
      <c r="AU48">
        <f>playerround[[#This Row],[mortgage_payment]]+playerround[[#This Row],[spent_savings_for_buying_house]]</f>
        <v>43000</v>
      </c>
      <c r="AV48">
        <f>playerround[[#This Row],[cost_fluvial_damage]]+playerround[[#This Row],[cost_pluvial_damage]]</f>
        <v>0</v>
      </c>
    </row>
    <row r="49" spans="1:48" x14ac:dyDescent="0.3">
      <c r="A49">
        <v>1390</v>
      </c>
      <c r="B49" s="1">
        <v>45937.595081018517</v>
      </c>
      <c r="C49">
        <v>90000</v>
      </c>
      <c r="D49">
        <v>50000</v>
      </c>
      <c r="E49">
        <v>3000</v>
      </c>
      <c r="F49">
        <v>13000</v>
      </c>
      <c r="G49">
        <v>0</v>
      </c>
      <c r="H49">
        <v>0</v>
      </c>
      <c r="I49">
        <v>15000</v>
      </c>
      <c r="J49">
        <v>0</v>
      </c>
      <c r="K49">
        <v>7700</v>
      </c>
      <c r="L49">
        <v>0</v>
      </c>
      <c r="M49">
        <v>4000</v>
      </c>
      <c r="N49">
        <v>-2700</v>
      </c>
      <c r="O49">
        <v>0</v>
      </c>
      <c r="P49">
        <v>0</v>
      </c>
      <c r="Q49">
        <v>0</v>
      </c>
      <c r="R49">
        <v>1</v>
      </c>
      <c r="S49">
        <v>0</v>
      </c>
      <c r="T49">
        <v>1</v>
      </c>
      <c r="U49">
        <v>1</v>
      </c>
      <c r="V49">
        <v>4</v>
      </c>
      <c r="W49">
        <v>5</v>
      </c>
      <c r="X49">
        <v>130000</v>
      </c>
      <c r="Y49">
        <v>130000</v>
      </c>
      <c r="Z49">
        <v>117000</v>
      </c>
      <c r="AA49">
        <v>0</v>
      </c>
      <c r="AB49">
        <v>0</v>
      </c>
      <c r="AC49">
        <v>130000</v>
      </c>
      <c r="AD49">
        <v>104000</v>
      </c>
      <c r="AF49" t="s">
        <v>57</v>
      </c>
      <c r="AG49">
        <v>4</v>
      </c>
      <c r="AH49">
        <v>9</v>
      </c>
      <c r="AI49">
        <v>0</v>
      </c>
      <c r="AJ49">
        <v>0</v>
      </c>
      <c r="AK49">
        <v>1</v>
      </c>
      <c r="AL49">
        <v>1</v>
      </c>
      <c r="AM49" t="s">
        <v>99</v>
      </c>
      <c r="AN49">
        <v>709</v>
      </c>
      <c r="AO49">
        <v>329</v>
      </c>
      <c r="AP49">
        <v>1602</v>
      </c>
      <c r="AQ49">
        <v>1602</v>
      </c>
      <c r="AR49" t="s">
        <v>57</v>
      </c>
      <c r="AS49">
        <f>+VLOOKUP(playerround[[#This Row],[player_id]],player[],5,0)</f>
        <v>125</v>
      </c>
      <c r="AT49">
        <f>+VLOOKUP(playerround[[#This Row],[groupround_id]],groupround[],6,FALSE)</f>
        <v>2</v>
      </c>
      <c r="AU49">
        <f>playerround[[#This Row],[mortgage_payment]]+playerround[[#This Row],[spent_savings_for_buying_house]]</f>
        <v>13000</v>
      </c>
      <c r="AV49">
        <f>playerround[[#This Row],[cost_fluvial_damage]]+playerround[[#This Row],[cost_pluvial_damage]]</f>
        <v>4000</v>
      </c>
    </row>
    <row r="50" spans="1:48" x14ac:dyDescent="0.3">
      <c r="A50">
        <v>1421</v>
      </c>
      <c r="B50" s="1">
        <v>45937.595081018517</v>
      </c>
      <c r="C50">
        <v>90000</v>
      </c>
      <c r="D50">
        <v>50000</v>
      </c>
      <c r="E50">
        <v>2700</v>
      </c>
      <c r="F50">
        <v>13000</v>
      </c>
      <c r="G50">
        <v>0</v>
      </c>
      <c r="H50">
        <v>0</v>
      </c>
      <c r="I50">
        <v>15000</v>
      </c>
      <c r="J50">
        <v>0</v>
      </c>
      <c r="K50">
        <v>0</v>
      </c>
      <c r="L50">
        <v>0</v>
      </c>
      <c r="M50">
        <v>4000</v>
      </c>
      <c r="N50">
        <v>5300</v>
      </c>
      <c r="O50">
        <v>0</v>
      </c>
      <c r="P50">
        <v>0</v>
      </c>
      <c r="Q50">
        <v>0</v>
      </c>
      <c r="R50">
        <v>0</v>
      </c>
      <c r="S50">
        <v>0</v>
      </c>
      <c r="T50">
        <v>1</v>
      </c>
      <c r="U50">
        <v>1</v>
      </c>
      <c r="V50">
        <v>2</v>
      </c>
      <c r="W50">
        <v>5</v>
      </c>
      <c r="X50">
        <v>130000</v>
      </c>
      <c r="Y50">
        <v>130000</v>
      </c>
      <c r="Z50">
        <v>104000</v>
      </c>
      <c r="AA50">
        <v>0</v>
      </c>
      <c r="AB50">
        <v>0</v>
      </c>
      <c r="AC50">
        <v>130000</v>
      </c>
      <c r="AD50">
        <v>91000</v>
      </c>
      <c r="AF50" t="s">
        <v>57</v>
      </c>
      <c r="AG50">
        <v>4</v>
      </c>
      <c r="AH50">
        <v>9</v>
      </c>
      <c r="AI50">
        <v>-2</v>
      </c>
      <c r="AJ50">
        <v>-1</v>
      </c>
      <c r="AK50">
        <v>0</v>
      </c>
      <c r="AL50">
        <v>0</v>
      </c>
      <c r="AM50" t="s">
        <v>99</v>
      </c>
      <c r="AN50">
        <v>709</v>
      </c>
      <c r="AO50">
        <v>334</v>
      </c>
      <c r="AP50">
        <v>1602</v>
      </c>
      <c r="AQ50">
        <v>1602</v>
      </c>
      <c r="AR50" t="s">
        <v>57</v>
      </c>
      <c r="AS50">
        <f>+VLOOKUP(playerround[[#This Row],[player_id]],player[],5,0)</f>
        <v>125</v>
      </c>
      <c r="AT50">
        <f>+VLOOKUP(playerround[[#This Row],[groupround_id]],groupround[],6,FALSE)</f>
        <v>3</v>
      </c>
      <c r="AU50">
        <f>playerround[[#This Row],[mortgage_payment]]+playerround[[#This Row],[spent_savings_for_buying_house]]</f>
        <v>13000</v>
      </c>
      <c r="AV50">
        <f>playerround[[#This Row],[cost_fluvial_damage]]+playerround[[#This Row],[cost_pluvial_damage]]</f>
        <v>4000</v>
      </c>
    </row>
    <row r="51" spans="1:48" x14ac:dyDescent="0.3">
      <c r="A51">
        <v>1439</v>
      </c>
      <c r="B51" s="1">
        <v>45937.595081018517</v>
      </c>
      <c r="C51">
        <v>90000</v>
      </c>
      <c r="D51">
        <v>50000</v>
      </c>
      <c r="E51">
        <v>0</v>
      </c>
      <c r="F51">
        <v>10000</v>
      </c>
      <c r="G51">
        <v>69000</v>
      </c>
      <c r="H51">
        <v>0</v>
      </c>
      <c r="I51">
        <v>20000</v>
      </c>
      <c r="J51">
        <v>32000</v>
      </c>
      <c r="K51">
        <v>14000</v>
      </c>
      <c r="L51">
        <v>0</v>
      </c>
      <c r="M51">
        <v>0</v>
      </c>
      <c r="N51">
        <v>38300</v>
      </c>
      <c r="O51">
        <v>1</v>
      </c>
      <c r="P51">
        <v>-2</v>
      </c>
      <c r="Q51">
        <v>3</v>
      </c>
      <c r="R51">
        <v>4</v>
      </c>
      <c r="S51">
        <v>0</v>
      </c>
      <c r="T51">
        <v>0</v>
      </c>
      <c r="U51">
        <v>0</v>
      </c>
      <c r="V51">
        <v>10</v>
      </c>
      <c r="W51">
        <v>5</v>
      </c>
      <c r="X51">
        <v>130000</v>
      </c>
      <c r="Y51">
        <v>130000</v>
      </c>
      <c r="Z51">
        <v>91000</v>
      </c>
      <c r="AA51">
        <v>160000</v>
      </c>
      <c r="AB51">
        <v>100000</v>
      </c>
      <c r="AC51">
        <v>100000</v>
      </c>
      <c r="AD51">
        <v>90000</v>
      </c>
      <c r="AE51">
        <v>36</v>
      </c>
      <c r="AF51" t="s">
        <v>57</v>
      </c>
      <c r="AG51">
        <v>6</v>
      </c>
      <c r="AH51">
        <v>9</v>
      </c>
      <c r="AI51">
        <v>-2</v>
      </c>
      <c r="AJ51">
        <v>-1</v>
      </c>
      <c r="AK51">
        <v>5</v>
      </c>
      <c r="AL51">
        <v>4</v>
      </c>
      <c r="AM51" t="s">
        <v>99</v>
      </c>
      <c r="AN51">
        <v>709</v>
      </c>
      <c r="AO51">
        <v>337</v>
      </c>
      <c r="AP51">
        <v>1602</v>
      </c>
      <c r="AQ51">
        <v>1663</v>
      </c>
      <c r="AR51" t="s">
        <v>57</v>
      </c>
      <c r="AS51">
        <f>+VLOOKUP(playerround[[#This Row],[player_id]],player[],5,0)</f>
        <v>125</v>
      </c>
      <c r="AT51">
        <f>+VLOOKUP(playerround[[#This Row],[groupround_id]],groupround[],6,FALSE)</f>
        <v>4</v>
      </c>
      <c r="AU51">
        <f>playerround[[#This Row],[mortgage_payment]]+playerround[[#This Row],[spent_savings_for_buying_house]]</f>
        <v>10000</v>
      </c>
      <c r="AV51">
        <f>playerround[[#This Row],[cost_fluvial_damage]]+playerround[[#This Row],[cost_pluvial_damage]]</f>
        <v>0</v>
      </c>
    </row>
    <row r="52" spans="1:48" x14ac:dyDescent="0.3">
      <c r="A52">
        <v>1346</v>
      </c>
      <c r="B52" s="1">
        <v>45937.595891203702</v>
      </c>
      <c r="C52">
        <v>130000</v>
      </c>
      <c r="D52">
        <v>75000</v>
      </c>
      <c r="E52">
        <v>0</v>
      </c>
      <c r="F52">
        <v>0</v>
      </c>
      <c r="G52">
        <v>0</v>
      </c>
      <c r="H52">
        <v>0</v>
      </c>
      <c r="I52">
        <v>0</v>
      </c>
      <c r="J52">
        <v>0</v>
      </c>
      <c r="K52">
        <v>0</v>
      </c>
      <c r="L52">
        <v>0</v>
      </c>
      <c r="M52">
        <v>0</v>
      </c>
      <c r="N52">
        <v>50000</v>
      </c>
      <c r="O52">
        <v>0</v>
      </c>
      <c r="P52">
        <v>0</v>
      </c>
      <c r="Q52">
        <v>0</v>
      </c>
      <c r="R52">
        <v>0</v>
      </c>
      <c r="S52">
        <v>0</v>
      </c>
      <c r="T52">
        <v>0</v>
      </c>
      <c r="U52">
        <v>0</v>
      </c>
      <c r="V52">
        <v>5</v>
      </c>
      <c r="W52">
        <v>7</v>
      </c>
      <c r="X52">
        <v>200000</v>
      </c>
      <c r="Y52">
        <v>0</v>
      </c>
      <c r="Z52">
        <v>0</v>
      </c>
      <c r="AA52">
        <v>0</v>
      </c>
      <c r="AB52">
        <v>0</v>
      </c>
      <c r="AC52">
        <v>0</v>
      </c>
      <c r="AD52">
        <v>0</v>
      </c>
      <c r="AF52" t="s">
        <v>57</v>
      </c>
      <c r="AG52">
        <v>0</v>
      </c>
      <c r="AH52">
        <v>0</v>
      </c>
      <c r="AI52">
        <v>0</v>
      </c>
      <c r="AJ52">
        <v>0</v>
      </c>
      <c r="AK52">
        <v>0</v>
      </c>
      <c r="AL52">
        <v>0</v>
      </c>
      <c r="AM52" t="s">
        <v>86</v>
      </c>
      <c r="AN52">
        <v>710</v>
      </c>
      <c r="AO52">
        <v>321</v>
      </c>
      <c r="AR52" t="s">
        <v>57</v>
      </c>
      <c r="AS52">
        <f>+VLOOKUP(playerround[[#This Row],[player_id]],player[],5,0)</f>
        <v>127</v>
      </c>
      <c r="AT52">
        <f>+VLOOKUP(playerround[[#This Row],[groupround_id]],groupround[],6,FALSE)</f>
        <v>0</v>
      </c>
      <c r="AU52">
        <f>playerround[[#This Row],[mortgage_payment]]+playerround[[#This Row],[spent_savings_for_buying_house]]</f>
        <v>0</v>
      </c>
      <c r="AV52">
        <f>playerround[[#This Row],[cost_fluvial_damage]]+playerround[[#This Row],[cost_pluvial_damage]]</f>
        <v>0</v>
      </c>
    </row>
    <row r="53" spans="1:48" x14ac:dyDescent="0.3">
      <c r="A53">
        <v>1353</v>
      </c>
      <c r="B53" s="1">
        <v>45937.595891203702</v>
      </c>
      <c r="C53">
        <v>130000</v>
      </c>
      <c r="D53">
        <v>75000</v>
      </c>
      <c r="E53">
        <v>0</v>
      </c>
      <c r="F53">
        <v>20000</v>
      </c>
      <c r="G53">
        <v>0</v>
      </c>
      <c r="H53">
        <v>0</v>
      </c>
      <c r="I53">
        <v>20000</v>
      </c>
      <c r="J53">
        <v>9000</v>
      </c>
      <c r="K53">
        <v>14000</v>
      </c>
      <c r="L53">
        <v>0</v>
      </c>
      <c r="M53">
        <v>0</v>
      </c>
      <c r="N53">
        <v>42000</v>
      </c>
      <c r="O53">
        <v>0</v>
      </c>
      <c r="P53">
        <v>-1</v>
      </c>
      <c r="Q53">
        <v>1</v>
      </c>
      <c r="R53">
        <v>2</v>
      </c>
      <c r="S53">
        <v>0</v>
      </c>
      <c r="T53">
        <v>0</v>
      </c>
      <c r="U53">
        <v>0</v>
      </c>
      <c r="V53">
        <v>7</v>
      </c>
      <c r="W53">
        <v>7</v>
      </c>
      <c r="X53">
        <v>200000</v>
      </c>
      <c r="Y53">
        <v>0</v>
      </c>
      <c r="Z53">
        <v>0</v>
      </c>
      <c r="AA53">
        <v>0</v>
      </c>
      <c r="AB53">
        <v>200000</v>
      </c>
      <c r="AC53">
        <v>200000</v>
      </c>
      <c r="AD53">
        <v>180000</v>
      </c>
      <c r="AF53" t="s">
        <v>57</v>
      </c>
      <c r="AG53">
        <v>6</v>
      </c>
      <c r="AH53">
        <v>9</v>
      </c>
      <c r="AI53">
        <v>0</v>
      </c>
      <c r="AJ53">
        <v>0</v>
      </c>
      <c r="AK53">
        <v>2</v>
      </c>
      <c r="AL53">
        <v>2</v>
      </c>
      <c r="AM53" t="s">
        <v>99</v>
      </c>
      <c r="AN53">
        <v>710</v>
      </c>
      <c r="AO53">
        <v>324</v>
      </c>
      <c r="AQ53">
        <v>1597</v>
      </c>
      <c r="AR53" t="s">
        <v>57</v>
      </c>
      <c r="AS53">
        <f>+VLOOKUP(playerround[[#This Row],[player_id]],player[],5,0)</f>
        <v>127</v>
      </c>
      <c r="AT53">
        <f>+VLOOKUP(playerround[[#This Row],[groupround_id]],groupround[],6,FALSE)</f>
        <v>1</v>
      </c>
      <c r="AU53">
        <f>playerround[[#This Row],[mortgage_payment]]+playerround[[#This Row],[spent_savings_for_buying_house]]</f>
        <v>20000</v>
      </c>
      <c r="AV53">
        <f>playerround[[#This Row],[cost_fluvial_damage]]+playerround[[#This Row],[cost_pluvial_damage]]</f>
        <v>0</v>
      </c>
    </row>
    <row r="54" spans="1:48" x14ac:dyDescent="0.3">
      <c r="A54">
        <v>1388</v>
      </c>
      <c r="B54" s="1">
        <v>45937.595891203702</v>
      </c>
      <c r="C54">
        <v>130000</v>
      </c>
      <c r="D54">
        <v>75000</v>
      </c>
      <c r="E54">
        <v>0</v>
      </c>
      <c r="F54">
        <v>20000</v>
      </c>
      <c r="G54">
        <v>0</v>
      </c>
      <c r="H54">
        <v>0</v>
      </c>
      <c r="I54">
        <v>20000</v>
      </c>
      <c r="J54">
        <v>24000</v>
      </c>
      <c r="K54">
        <v>14000</v>
      </c>
      <c r="L54">
        <v>0</v>
      </c>
      <c r="M54">
        <v>0</v>
      </c>
      <c r="N54">
        <v>19000</v>
      </c>
      <c r="O54">
        <v>0</v>
      </c>
      <c r="P54">
        <v>0</v>
      </c>
      <c r="Q54">
        <v>2</v>
      </c>
      <c r="R54">
        <v>2</v>
      </c>
      <c r="S54">
        <v>0</v>
      </c>
      <c r="T54">
        <v>0</v>
      </c>
      <c r="U54">
        <v>0</v>
      </c>
      <c r="V54">
        <v>11</v>
      </c>
      <c r="W54">
        <v>7</v>
      </c>
      <c r="X54">
        <v>200000</v>
      </c>
      <c r="Y54">
        <v>200000</v>
      </c>
      <c r="Z54">
        <v>180000</v>
      </c>
      <c r="AA54">
        <v>0</v>
      </c>
      <c r="AB54">
        <v>0</v>
      </c>
      <c r="AC54">
        <v>200000</v>
      </c>
      <c r="AD54">
        <v>160000</v>
      </c>
      <c r="AF54" t="s">
        <v>57</v>
      </c>
      <c r="AG54">
        <v>6</v>
      </c>
      <c r="AH54">
        <v>9</v>
      </c>
      <c r="AI54">
        <v>0</v>
      </c>
      <c r="AJ54">
        <v>0</v>
      </c>
      <c r="AK54">
        <v>5</v>
      </c>
      <c r="AL54">
        <v>4</v>
      </c>
      <c r="AM54" t="s">
        <v>99</v>
      </c>
      <c r="AN54">
        <v>710</v>
      </c>
      <c r="AO54">
        <v>329</v>
      </c>
      <c r="AP54">
        <v>1597</v>
      </c>
      <c r="AQ54">
        <v>1597</v>
      </c>
      <c r="AR54" t="s">
        <v>57</v>
      </c>
      <c r="AS54">
        <f>+VLOOKUP(playerround[[#This Row],[player_id]],player[],5,0)</f>
        <v>127</v>
      </c>
      <c r="AT54">
        <f>+VLOOKUP(playerround[[#This Row],[groupround_id]],groupround[],6,FALSE)</f>
        <v>2</v>
      </c>
      <c r="AU54">
        <f>playerround[[#This Row],[mortgage_payment]]+playerround[[#This Row],[spent_savings_for_buying_house]]</f>
        <v>20000</v>
      </c>
      <c r="AV54">
        <f>playerround[[#This Row],[cost_fluvial_damage]]+playerround[[#This Row],[cost_pluvial_damage]]</f>
        <v>0</v>
      </c>
    </row>
    <row r="55" spans="1:48" x14ac:dyDescent="0.3">
      <c r="A55">
        <v>1417</v>
      </c>
      <c r="B55" s="1">
        <v>45937.595891203702</v>
      </c>
      <c r="C55">
        <v>130000</v>
      </c>
      <c r="D55">
        <v>75000</v>
      </c>
      <c r="E55">
        <v>0</v>
      </c>
      <c r="F55">
        <v>20000</v>
      </c>
      <c r="G55">
        <v>0</v>
      </c>
      <c r="H55">
        <v>0</v>
      </c>
      <c r="I55">
        <v>20000</v>
      </c>
      <c r="J55">
        <v>0</v>
      </c>
      <c r="K55">
        <v>25500</v>
      </c>
      <c r="L55">
        <v>0</v>
      </c>
      <c r="M55">
        <v>0</v>
      </c>
      <c r="N55">
        <v>8500</v>
      </c>
      <c r="O55">
        <v>0</v>
      </c>
      <c r="P55">
        <v>0</v>
      </c>
      <c r="Q55">
        <v>0</v>
      </c>
      <c r="R55">
        <v>4</v>
      </c>
      <c r="S55">
        <v>0</v>
      </c>
      <c r="T55">
        <v>0</v>
      </c>
      <c r="U55">
        <v>0</v>
      </c>
      <c r="V55">
        <v>15</v>
      </c>
      <c r="W55">
        <v>7</v>
      </c>
      <c r="X55">
        <v>200000</v>
      </c>
      <c r="Y55">
        <v>200000</v>
      </c>
      <c r="Z55">
        <v>160000</v>
      </c>
      <c r="AA55">
        <v>0</v>
      </c>
      <c r="AB55">
        <v>0</v>
      </c>
      <c r="AC55">
        <v>200000</v>
      </c>
      <c r="AD55">
        <v>140000</v>
      </c>
      <c r="AF55" t="s">
        <v>57</v>
      </c>
      <c r="AG55">
        <v>6</v>
      </c>
      <c r="AH55">
        <v>9</v>
      </c>
      <c r="AI55">
        <v>-2</v>
      </c>
      <c r="AJ55">
        <v>-1</v>
      </c>
      <c r="AK55">
        <v>5</v>
      </c>
      <c r="AL55">
        <v>4</v>
      </c>
      <c r="AM55" t="s">
        <v>99</v>
      </c>
      <c r="AN55">
        <v>710</v>
      </c>
      <c r="AO55">
        <v>334</v>
      </c>
      <c r="AP55">
        <v>1597</v>
      </c>
      <c r="AQ55">
        <v>1597</v>
      </c>
      <c r="AR55" t="s">
        <v>57</v>
      </c>
      <c r="AS55">
        <f>+VLOOKUP(playerround[[#This Row],[player_id]],player[],5,0)</f>
        <v>127</v>
      </c>
      <c r="AT55">
        <f>+VLOOKUP(playerround[[#This Row],[groupround_id]],groupround[],6,FALSE)</f>
        <v>3</v>
      </c>
      <c r="AU55">
        <f>playerround[[#This Row],[mortgage_payment]]+playerround[[#This Row],[spent_savings_for_buying_house]]</f>
        <v>20000</v>
      </c>
      <c r="AV55">
        <f>playerround[[#This Row],[cost_fluvial_damage]]+playerround[[#This Row],[cost_pluvial_damage]]</f>
        <v>0</v>
      </c>
    </row>
    <row r="56" spans="1:48" x14ac:dyDescent="0.3">
      <c r="A56">
        <v>1438</v>
      </c>
      <c r="B56" s="1">
        <v>45937.595891203702</v>
      </c>
      <c r="C56">
        <v>130000</v>
      </c>
      <c r="D56">
        <v>75000</v>
      </c>
      <c r="E56">
        <v>0</v>
      </c>
      <c r="F56">
        <v>20000</v>
      </c>
      <c r="G56">
        <v>0</v>
      </c>
      <c r="H56">
        <v>0</v>
      </c>
      <c r="I56">
        <v>20000</v>
      </c>
      <c r="J56">
        <v>0</v>
      </c>
      <c r="K56">
        <v>19000</v>
      </c>
      <c r="L56">
        <v>0</v>
      </c>
      <c r="M56">
        <v>0</v>
      </c>
      <c r="N56">
        <v>4500</v>
      </c>
      <c r="O56">
        <v>0</v>
      </c>
      <c r="P56">
        <v>0</v>
      </c>
      <c r="Q56">
        <v>0</v>
      </c>
      <c r="R56">
        <v>3</v>
      </c>
      <c r="S56">
        <v>0</v>
      </c>
      <c r="T56">
        <v>0</v>
      </c>
      <c r="U56">
        <v>0</v>
      </c>
      <c r="V56">
        <v>20</v>
      </c>
      <c r="W56">
        <v>7</v>
      </c>
      <c r="X56">
        <v>200000</v>
      </c>
      <c r="Y56">
        <v>200000</v>
      </c>
      <c r="Z56">
        <v>140000</v>
      </c>
      <c r="AA56">
        <v>0</v>
      </c>
      <c r="AB56">
        <v>0</v>
      </c>
      <c r="AC56">
        <v>200000</v>
      </c>
      <c r="AD56">
        <v>120000</v>
      </c>
      <c r="AF56" t="s">
        <v>57</v>
      </c>
      <c r="AG56">
        <v>6</v>
      </c>
      <c r="AH56">
        <v>9</v>
      </c>
      <c r="AI56">
        <v>-2</v>
      </c>
      <c r="AJ56">
        <v>-1</v>
      </c>
      <c r="AK56">
        <v>5</v>
      </c>
      <c r="AL56">
        <v>4</v>
      </c>
      <c r="AM56" t="s">
        <v>99</v>
      </c>
      <c r="AN56">
        <v>710</v>
      </c>
      <c r="AO56">
        <v>337</v>
      </c>
      <c r="AP56">
        <v>1597</v>
      </c>
      <c r="AQ56">
        <v>1597</v>
      </c>
      <c r="AR56" t="s">
        <v>57</v>
      </c>
      <c r="AS56">
        <f>+VLOOKUP(playerround[[#This Row],[player_id]],player[],5,0)</f>
        <v>127</v>
      </c>
      <c r="AT56">
        <f>+VLOOKUP(playerround[[#This Row],[groupround_id]],groupround[],6,FALSE)</f>
        <v>4</v>
      </c>
      <c r="AU56">
        <f>playerround[[#This Row],[mortgage_payment]]+playerround[[#This Row],[spent_savings_for_buying_house]]</f>
        <v>20000</v>
      </c>
      <c r="AV56">
        <f>playerround[[#This Row],[cost_fluvial_damage]]+playerround[[#This Row],[cost_pluvial_damage]]</f>
        <v>0</v>
      </c>
    </row>
    <row r="57" spans="1:48" x14ac:dyDescent="0.3">
      <c r="A57">
        <v>1322</v>
      </c>
      <c r="B57" s="1">
        <v>45937.577881944446</v>
      </c>
      <c r="C57">
        <v>190000</v>
      </c>
      <c r="D57">
        <v>115000</v>
      </c>
      <c r="E57">
        <v>0</v>
      </c>
      <c r="F57">
        <v>0</v>
      </c>
      <c r="G57">
        <v>0</v>
      </c>
      <c r="H57">
        <v>0</v>
      </c>
      <c r="I57">
        <v>0</v>
      </c>
      <c r="J57">
        <v>0</v>
      </c>
      <c r="K57">
        <v>0</v>
      </c>
      <c r="L57">
        <v>0</v>
      </c>
      <c r="M57">
        <v>0</v>
      </c>
      <c r="N57">
        <v>80000</v>
      </c>
      <c r="O57">
        <v>0</v>
      </c>
      <c r="P57">
        <v>0</v>
      </c>
      <c r="Q57">
        <v>0</v>
      </c>
      <c r="R57">
        <v>0</v>
      </c>
      <c r="S57">
        <v>0</v>
      </c>
      <c r="T57">
        <v>0</v>
      </c>
      <c r="U57">
        <v>0</v>
      </c>
      <c r="V57">
        <v>5</v>
      </c>
      <c r="W57">
        <v>8</v>
      </c>
      <c r="X57">
        <v>300000</v>
      </c>
      <c r="Y57">
        <v>0</v>
      </c>
      <c r="Z57">
        <v>0</v>
      </c>
      <c r="AA57">
        <v>0</v>
      </c>
      <c r="AB57">
        <v>0</v>
      </c>
      <c r="AC57">
        <v>0</v>
      </c>
      <c r="AD57">
        <v>0</v>
      </c>
      <c r="AF57" t="s">
        <v>57</v>
      </c>
      <c r="AG57">
        <v>0</v>
      </c>
      <c r="AH57">
        <v>0</v>
      </c>
      <c r="AI57">
        <v>0</v>
      </c>
      <c r="AJ57">
        <v>0</v>
      </c>
      <c r="AK57">
        <v>0</v>
      </c>
      <c r="AL57">
        <v>0</v>
      </c>
      <c r="AM57" t="s">
        <v>86</v>
      </c>
      <c r="AN57">
        <v>711</v>
      </c>
      <c r="AO57">
        <v>321</v>
      </c>
      <c r="AR57" t="s">
        <v>57</v>
      </c>
      <c r="AS57">
        <f>+VLOOKUP(playerround[[#This Row],[player_id]],player[],5,0)</f>
        <v>128</v>
      </c>
      <c r="AT57">
        <f>+VLOOKUP(playerround[[#This Row],[groupround_id]],groupround[],6,FALSE)</f>
        <v>0</v>
      </c>
      <c r="AU57">
        <f>playerround[[#This Row],[mortgage_payment]]+playerround[[#This Row],[spent_savings_for_buying_house]]</f>
        <v>0</v>
      </c>
      <c r="AV57">
        <f>playerround[[#This Row],[cost_fluvial_damage]]+playerround[[#This Row],[cost_pluvial_damage]]</f>
        <v>0</v>
      </c>
    </row>
    <row r="58" spans="1:48" x14ac:dyDescent="0.3">
      <c r="A58">
        <v>1354</v>
      </c>
      <c r="B58" s="1">
        <v>45937.577881944446</v>
      </c>
      <c r="C58">
        <v>190000</v>
      </c>
      <c r="D58">
        <v>115000</v>
      </c>
      <c r="E58">
        <v>0</v>
      </c>
      <c r="F58">
        <v>30000</v>
      </c>
      <c r="G58">
        <v>0</v>
      </c>
      <c r="H58">
        <v>0</v>
      </c>
      <c r="I58">
        <v>15000</v>
      </c>
      <c r="J58">
        <v>14000</v>
      </c>
      <c r="K58">
        <v>30500</v>
      </c>
      <c r="L58">
        <v>0</v>
      </c>
      <c r="M58">
        <v>0</v>
      </c>
      <c r="N58">
        <v>65500</v>
      </c>
      <c r="O58">
        <v>0</v>
      </c>
      <c r="P58">
        <v>0</v>
      </c>
      <c r="Q58">
        <v>2</v>
      </c>
      <c r="R58">
        <v>3</v>
      </c>
      <c r="S58">
        <v>0</v>
      </c>
      <c r="T58">
        <v>0</v>
      </c>
      <c r="U58">
        <v>0</v>
      </c>
      <c r="V58">
        <v>10</v>
      </c>
      <c r="W58">
        <v>8</v>
      </c>
      <c r="X58">
        <v>300000</v>
      </c>
      <c r="Y58">
        <v>0</v>
      </c>
      <c r="Z58">
        <v>0</v>
      </c>
      <c r="AA58">
        <v>0</v>
      </c>
      <c r="AB58">
        <v>300000</v>
      </c>
      <c r="AC58">
        <v>300000</v>
      </c>
      <c r="AD58">
        <v>270000</v>
      </c>
      <c r="AF58" t="s">
        <v>57</v>
      </c>
      <c r="AG58">
        <v>4</v>
      </c>
      <c r="AH58">
        <v>9</v>
      </c>
      <c r="AI58">
        <v>0</v>
      </c>
      <c r="AJ58">
        <v>0</v>
      </c>
      <c r="AK58">
        <v>3</v>
      </c>
      <c r="AL58">
        <v>1</v>
      </c>
      <c r="AM58" t="s">
        <v>99</v>
      </c>
      <c r="AN58">
        <v>711</v>
      </c>
      <c r="AO58">
        <v>324</v>
      </c>
      <c r="AQ58">
        <v>1600</v>
      </c>
      <c r="AR58" t="s">
        <v>57</v>
      </c>
      <c r="AS58">
        <f>+VLOOKUP(playerround[[#This Row],[player_id]],player[],5,0)</f>
        <v>128</v>
      </c>
      <c r="AT58">
        <f>+VLOOKUP(playerround[[#This Row],[groupround_id]],groupround[],6,FALSE)</f>
        <v>1</v>
      </c>
      <c r="AU58">
        <f>playerround[[#This Row],[mortgage_payment]]+playerround[[#This Row],[spent_savings_for_buying_house]]</f>
        <v>30000</v>
      </c>
      <c r="AV58">
        <f>playerround[[#This Row],[cost_fluvial_damage]]+playerround[[#This Row],[cost_pluvial_damage]]</f>
        <v>0</v>
      </c>
    </row>
    <row r="59" spans="1:48" x14ac:dyDescent="0.3">
      <c r="A59">
        <v>1387</v>
      </c>
      <c r="B59" s="1">
        <v>45937.577881944446</v>
      </c>
      <c r="C59">
        <v>190000</v>
      </c>
      <c r="D59">
        <v>115000</v>
      </c>
      <c r="E59">
        <v>0</v>
      </c>
      <c r="F59">
        <v>30000</v>
      </c>
      <c r="G59">
        <v>0</v>
      </c>
      <c r="H59">
        <v>0</v>
      </c>
      <c r="I59">
        <v>15000</v>
      </c>
      <c r="J59">
        <v>0</v>
      </c>
      <c r="K59">
        <v>15500</v>
      </c>
      <c r="L59">
        <v>0</v>
      </c>
      <c r="M59">
        <v>4000</v>
      </c>
      <c r="N59">
        <v>76000</v>
      </c>
      <c r="O59">
        <v>0</v>
      </c>
      <c r="P59">
        <v>0</v>
      </c>
      <c r="Q59">
        <v>0</v>
      </c>
      <c r="R59">
        <v>1</v>
      </c>
      <c r="S59">
        <v>0</v>
      </c>
      <c r="T59">
        <v>1</v>
      </c>
      <c r="U59">
        <v>0</v>
      </c>
      <c r="V59">
        <v>10</v>
      </c>
      <c r="W59">
        <v>8</v>
      </c>
      <c r="X59">
        <v>300000</v>
      </c>
      <c r="Y59">
        <v>300000</v>
      </c>
      <c r="Z59">
        <v>270000</v>
      </c>
      <c r="AA59">
        <v>0</v>
      </c>
      <c r="AB59">
        <v>0</v>
      </c>
      <c r="AC59">
        <v>300000</v>
      </c>
      <c r="AD59">
        <v>240000</v>
      </c>
      <c r="AF59" t="s">
        <v>57</v>
      </c>
      <c r="AG59">
        <v>4</v>
      </c>
      <c r="AH59">
        <v>9</v>
      </c>
      <c r="AI59">
        <v>0</v>
      </c>
      <c r="AJ59">
        <v>0</v>
      </c>
      <c r="AK59">
        <v>3</v>
      </c>
      <c r="AL59">
        <v>1</v>
      </c>
      <c r="AM59" t="s">
        <v>99</v>
      </c>
      <c r="AN59">
        <v>711</v>
      </c>
      <c r="AO59">
        <v>329</v>
      </c>
      <c r="AP59">
        <v>1600</v>
      </c>
      <c r="AQ59">
        <v>1600</v>
      </c>
      <c r="AR59" t="s">
        <v>57</v>
      </c>
      <c r="AS59">
        <f>+VLOOKUP(playerround[[#This Row],[player_id]],player[],5,0)</f>
        <v>128</v>
      </c>
      <c r="AT59">
        <f>+VLOOKUP(playerround[[#This Row],[groupround_id]],groupround[],6,FALSE)</f>
        <v>2</v>
      </c>
      <c r="AU59">
        <f>playerround[[#This Row],[mortgage_payment]]+playerround[[#This Row],[spent_savings_for_buying_house]]</f>
        <v>30000</v>
      </c>
      <c r="AV59">
        <f>playerround[[#This Row],[cost_fluvial_damage]]+playerround[[#This Row],[cost_pluvial_damage]]</f>
        <v>4000</v>
      </c>
    </row>
    <row r="60" spans="1:48" x14ac:dyDescent="0.3">
      <c r="A60">
        <v>1418</v>
      </c>
      <c r="B60" s="1">
        <v>45937.577881944446</v>
      </c>
      <c r="C60">
        <v>190000</v>
      </c>
      <c r="D60">
        <v>115000</v>
      </c>
      <c r="E60">
        <v>0</v>
      </c>
      <c r="F60">
        <v>30000</v>
      </c>
      <c r="G60">
        <v>0</v>
      </c>
      <c r="H60">
        <v>0</v>
      </c>
      <c r="I60">
        <v>15000</v>
      </c>
      <c r="J60">
        <v>19000</v>
      </c>
      <c r="K60">
        <v>30500</v>
      </c>
      <c r="L60">
        <v>0</v>
      </c>
      <c r="M60">
        <v>0</v>
      </c>
      <c r="N60">
        <v>56500</v>
      </c>
      <c r="O60">
        <v>0</v>
      </c>
      <c r="P60">
        <v>0</v>
      </c>
      <c r="Q60">
        <v>1</v>
      </c>
      <c r="R60">
        <v>3</v>
      </c>
      <c r="S60">
        <v>0</v>
      </c>
      <c r="T60">
        <v>0</v>
      </c>
      <c r="U60">
        <v>0</v>
      </c>
      <c r="V60">
        <v>14</v>
      </c>
      <c r="W60">
        <v>8</v>
      </c>
      <c r="X60">
        <v>300000</v>
      </c>
      <c r="Y60">
        <v>300000</v>
      </c>
      <c r="Z60">
        <v>240000</v>
      </c>
      <c r="AA60">
        <v>0</v>
      </c>
      <c r="AB60">
        <v>0</v>
      </c>
      <c r="AC60">
        <v>300000</v>
      </c>
      <c r="AD60">
        <v>210000</v>
      </c>
      <c r="AF60" t="s">
        <v>57</v>
      </c>
      <c r="AG60">
        <v>4</v>
      </c>
      <c r="AH60">
        <v>9</v>
      </c>
      <c r="AI60">
        <v>-2</v>
      </c>
      <c r="AJ60">
        <v>-1</v>
      </c>
      <c r="AK60">
        <v>5</v>
      </c>
      <c r="AL60">
        <v>4</v>
      </c>
      <c r="AM60" t="s">
        <v>99</v>
      </c>
      <c r="AN60">
        <v>711</v>
      </c>
      <c r="AO60">
        <v>334</v>
      </c>
      <c r="AP60">
        <v>1600</v>
      </c>
      <c r="AQ60">
        <v>1600</v>
      </c>
      <c r="AR60" t="s">
        <v>57</v>
      </c>
      <c r="AS60">
        <f>+VLOOKUP(playerround[[#This Row],[player_id]],player[],5,0)</f>
        <v>128</v>
      </c>
      <c r="AT60">
        <f>+VLOOKUP(playerround[[#This Row],[groupround_id]],groupround[],6,FALSE)</f>
        <v>3</v>
      </c>
      <c r="AU60">
        <f>playerround[[#This Row],[mortgage_payment]]+playerround[[#This Row],[spent_savings_for_buying_house]]</f>
        <v>30000</v>
      </c>
      <c r="AV60">
        <f>playerround[[#This Row],[cost_fluvial_damage]]+playerround[[#This Row],[cost_pluvial_damage]]</f>
        <v>0</v>
      </c>
    </row>
    <row r="61" spans="1:48" x14ac:dyDescent="0.3">
      <c r="A61">
        <v>1435</v>
      </c>
      <c r="B61" s="1">
        <v>45937.577881944446</v>
      </c>
      <c r="C61">
        <v>190000</v>
      </c>
      <c r="D61">
        <v>115000</v>
      </c>
      <c r="E61">
        <v>0</v>
      </c>
      <c r="F61">
        <v>30000</v>
      </c>
      <c r="G61">
        <v>0</v>
      </c>
      <c r="H61">
        <v>0</v>
      </c>
      <c r="I61">
        <v>20000</v>
      </c>
      <c r="J61">
        <v>0</v>
      </c>
      <c r="K61">
        <v>38000</v>
      </c>
      <c r="L61">
        <v>0</v>
      </c>
      <c r="M61">
        <v>0</v>
      </c>
      <c r="N61">
        <v>43500</v>
      </c>
      <c r="O61">
        <v>0</v>
      </c>
      <c r="P61">
        <v>0</v>
      </c>
      <c r="Q61">
        <v>0</v>
      </c>
      <c r="R61">
        <v>4</v>
      </c>
      <c r="S61">
        <v>0</v>
      </c>
      <c r="T61">
        <v>0</v>
      </c>
      <c r="U61">
        <v>0</v>
      </c>
      <c r="V61">
        <v>18</v>
      </c>
      <c r="W61">
        <v>8</v>
      </c>
      <c r="X61">
        <v>300000</v>
      </c>
      <c r="Y61">
        <v>300000</v>
      </c>
      <c r="Z61">
        <v>210000</v>
      </c>
      <c r="AA61">
        <v>0</v>
      </c>
      <c r="AB61">
        <v>0</v>
      </c>
      <c r="AC61">
        <v>300000</v>
      </c>
      <c r="AD61">
        <v>180000</v>
      </c>
      <c r="AF61" t="s">
        <v>57</v>
      </c>
      <c r="AG61">
        <v>4</v>
      </c>
      <c r="AH61">
        <v>9</v>
      </c>
      <c r="AI61">
        <v>-2</v>
      </c>
      <c r="AJ61">
        <v>-1</v>
      </c>
      <c r="AK61">
        <v>5</v>
      </c>
      <c r="AL61">
        <v>4</v>
      </c>
      <c r="AM61" t="s">
        <v>99</v>
      </c>
      <c r="AN61">
        <v>711</v>
      </c>
      <c r="AO61">
        <v>337</v>
      </c>
      <c r="AP61">
        <v>1600</v>
      </c>
      <c r="AQ61">
        <v>1600</v>
      </c>
      <c r="AR61" t="s">
        <v>57</v>
      </c>
      <c r="AS61">
        <f>+VLOOKUP(playerround[[#This Row],[player_id]],player[],5,0)</f>
        <v>128</v>
      </c>
      <c r="AT61">
        <f>+VLOOKUP(playerround[[#This Row],[groupround_id]],groupround[],6,FALSE)</f>
        <v>4</v>
      </c>
      <c r="AU61">
        <f>playerround[[#This Row],[mortgage_payment]]+playerround[[#This Row],[spent_savings_for_buying_house]]</f>
        <v>30000</v>
      </c>
      <c r="AV61">
        <f>playerround[[#This Row],[cost_fluvial_damage]]+playerround[[#This Row],[cost_pluvial_damage]]</f>
        <v>0</v>
      </c>
    </row>
    <row r="62" spans="1:48" x14ac:dyDescent="0.3">
      <c r="A62">
        <v>1332</v>
      </c>
      <c r="B62" s="1">
        <v>45937.581006944441</v>
      </c>
      <c r="C62">
        <v>75000</v>
      </c>
      <c r="D62">
        <v>40000</v>
      </c>
      <c r="E62">
        <v>0</v>
      </c>
      <c r="F62">
        <v>0</v>
      </c>
      <c r="G62">
        <v>0</v>
      </c>
      <c r="H62">
        <v>0</v>
      </c>
      <c r="I62">
        <v>0</v>
      </c>
      <c r="J62">
        <v>0</v>
      </c>
      <c r="K62">
        <v>0</v>
      </c>
      <c r="L62">
        <v>0</v>
      </c>
      <c r="M62">
        <v>0</v>
      </c>
      <c r="N62">
        <v>5000</v>
      </c>
      <c r="O62">
        <v>0</v>
      </c>
      <c r="P62">
        <v>0</v>
      </c>
      <c r="Q62">
        <v>0</v>
      </c>
      <c r="R62">
        <v>0</v>
      </c>
      <c r="S62">
        <v>0</v>
      </c>
      <c r="T62">
        <v>0</v>
      </c>
      <c r="U62">
        <v>0</v>
      </c>
      <c r="V62">
        <v>5</v>
      </c>
      <c r="W62">
        <v>4</v>
      </c>
      <c r="X62">
        <v>110000</v>
      </c>
      <c r="Y62">
        <v>0</v>
      </c>
      <c r="Z62">
        <v>0</v>
      </c>
      <c r="AA62">
        <v>0</v>
      </c>
      <c r="AB62">
        <v>0</v>
      </c>
      <c r="AC62">
        <v>0</v>
      </c>
      <c r="AD62">
        <v>0</v>
      </c>
      <c r="AF62" t="s">
        <v>57</v>
      </c>
      <c r="AG62">
        <v>0</v>
      </c>
      <c r="AH62">
        <v>0</v>
      </c>
      <c r="AI62">
        <v>0</v>
      </c>
      <c r="AJ62">
        <v>0</v>
      </c>
      <c r="AK62">
        <v>0</v>
      </c>
      <c r="AL62">
        <v>0</v>
      </c>
      <c r="AM62" t="s">
        <v>86</v>
      </c>
      <c r="AN62">
        <v>714</v>
      </c>
      <c r="AO62">
        <v>319</v>
      </c>
      <c r="AR62" t="s">
        <v>57</v>
      </c>
      <c r="AS62">
        <f>+VLOOKUP(playerround[[#This Row],[player_id]],player[],5,0)</f>
        <v>124</v>
      </c>
      <c r="AT62">
        <f>+VLOOKUP(playerround[[#This Row],[groupround_id]],groupround[],6,FALSE)</f>
        <v>0</v>
      </c>
      <c r="AU62">
        <f>playerround[[#This Row],[mortgage_payment]]+playerround[[#This Row],[spent_savings_for_buying_house]]</f>
        <v>0</v>
      </c>
      <c r="AV62">
        <f>playerround[[#This Row],[cost_fluvial_damage]]+playerround[[#This Row],[cost_pluvial_damage]]</f>
        <v>0</v>
      </c>
    </row>
    <row r="63" spans="1:48" x14ac:dyDescent="0.3">
      <c r="A63">
        <v>1339</v>
      </c>
      <c r="B63" s="1">
        <v>45937.581006944441</v>
      </c>
      <c r="C63">
        <v>75000</v>
      </c>
      <c r="D63">
        <v>40000</v>
      </c>
      <c r="E63">
        <v>0</v>
      </c>
      <c r="F63">
        <v>10000</v>
      </c>
      <c r="G63">
        <v>0</v>
      </c>
      <c r="H63">
        <v>0</v>
      </c>
      <c r="I63">
        <v>15000</v>
      </c>
      <c r="J63">
        <v>0</v>
      </c>
      <c r="K63">
        <v>5000</v>
      </c>
      <c r="L63">
        <v>0</v>
      </c>
      <c r="M63">
        <v>0</v>
      </c>
      <c r="N63">
        <v>10000</v>
      </c>
      <c r="O63">
        <v>0</v>
      </c>
      <c r="P63">
        <v>-1</v>
      </c>
      <c r="Q63">
        <v>0</v>
      </c>
      <c r="R63">
        <v>2</v>
      </c>
      <c r="S63">
        <v>0</v>
      </c>
      <c r="T63">
        <v>0</v>
      </c>
      <c r="U63">
        <v>0</v>
      </c>
      <c r="V63">
        <v>6</v>
      </c>
      <c r="W63">
        <v>4</v>
      </c>
      <c r="X63">
        <v>110000</v>
      </c>
      <c r="Y63">
        <v>0</v>
      </c>
      <c r="Z63">
        <v>0</v>
      </c>
      <c r="AA63">
        <v>0</v>
      </c>
      <c r="AB63">
        <v>100000</v>
      </c>
      <c r="AC63">
        <v>100000</v>
      </c>
      <c r="AD63">
        <v>90000</v>
      </c>
      <c r="AF63" t="s">
        <v>57</v>
      </c>
      <c r="AG63">
        <v>6</v>
      </c>
      <c r="AH63">
        <v>9</v>
      </c>
      <c r="AI63">
        <v>0</v>
      </c>
      <c r="AJ63">
        <v>0</v>
      </c>
      <c r="AK63">
        <v>0</v>
      </c>
      <c r="AL63">
        <v>0</v>
      </c>
      <c r="AM63" t="s">
        <v>99</v>
      </c>
      <c r="AN63">
        <v>714</v>
      </c>
      <c r="AO63">
        <v>322</v>
      </c>
      <c r="AQ63">
        <v>1568</v>
      </c>
      <c r="AR63" t="s">
        <v>57</v>
      </c>
      <c r="AS63">
        <f>+VLOOKUP(playerround[[#This Row],[player_id]],player[],5,0)</f>
        <v>124</v>
      </c>
      <c r="AT63">
        <f>+VLOOKUP(playerround[[#This Row],[groupround_id]],groupround[],6,FALSE)</f>
        <v>1</v>
      </c>
      <c r="AU63">
        <f>playerround[[#This Row],[mortgage_payment]]+playerround[[#This Row],[spent_savings_for_buying_house]]</f>
        <v>10000</v>
      </c>
      <c r="AV63">
        <f>playerround[[#This Row],[cost_fluvial_damage]]+playerround[[#This Row],[cost_pluvial_damage]]</f>
        <v>0</v>
      </c>
    </row>
    <row r="64" spans="1:48" x14ac:dyDescent="0.3">
      <c r="A64">
        <v>1376</v>
      </c>
      <c r="B64" s="1">
        <v>45937.581006944441</v>
      </c>
      <c r="C64">
        <v>75000</v>
      </c>
      <c r="D64">
        <v>40000</v>
      </c>
      <c r="E64">
        <v>0</v>
      </c>
      <c r="F64">
        <v>10000</v>
      </c>
      <c r="G64">
        <v>0</v>
      </c>
      <c r="H64">
        <v>0</v>
      </c>
      <c r="I64">
        <v>15000</v>
      </c>
      <c r="J64">
        <v>9000</v>
      </c>
      <c r="K64">
        <v>0</v>
      </c>
      <c r="L64">
        <v>0</v>
      </c>
      <c r="M64">
        <v>0</v>
      </c>
      <c r="N64">
        <v>11000</v>
      </c>
      <c r="O64">
        <v>0</v>
      </c>
      <c r="P64">
        <v>0</v>
      </c>
      <c r="Q64">
        <v>1</v>
      </c>
      <c r="R64">
        <v>0</v>
      </c>
      <c r="S64">
        <v>0</v>
      </c>
      <c r="T64">
        <v>0</v>
      </c>
      <c r="U64">
        <v>0</v>
      </c>
      <c r="V64">
        <v>7</v>
      </c>
      <c r="W64">
        <v>4</v>
      </c>
      <c r="X64">
        <v>110000</v>
      </c>
      <c r="Y64">
        <v>100000</v>
      </c>
      <c r="Z64">
        <v>90000</v>
      </c>
      <c r="AA64">
        <v>0</v>
      </c>
      <c r="AB64">
        <v>0</v>
      </c>
      <c r="AC64">
        <v>100000</v>
      </c>
      <c r="AD64">
        <v>80000</v>
      </c>
      <c r="AF64" t="s">
        <v>57</v>
      </c>
      <c r="AG64">
        <v>6</v>
      </c>
      <c r="AH64">
        <v>9</v>
      </c>
      <c r="AI64">
        <v>0</v>
      </c>
      <c r="AJ64">
        <v>0</v>
      </c>
      <c r="AK64">
        <v>1</v>
      </c>
      <c r="AL64">
        <v>1</v>
      </c>
      <c r="AM64" t="s">
        <v>99</v>
      </c>
      <c r="AN64">
        <v>714</v>
      </c>
      <c r="AO64">
        <v>326</v>
      </c>
      <c r="AP64">
        <v>1568</v>
      </c>
      <c r="AQ64">
        <v>1568</v>
      </c>
      <c r="AR64" t="s">
        <v>57</v>
      </c>
      <c r="AS64">
        <f>+VLOOKUP(playerround[[#This Row],[player_id]],player[],5,0)</f>
        <v>124</v>
      </c>
      <c r="AT64">
        <f>+VLOOKUP(playerround[[#This Row],[groupround_id]],groupround[],6,FALSE)</f>
        <v>2</v>
      </c>
      <c r="AU64">
        <f>playerround[[#This Row],[mortgage_payment]]+playerround[[#This Row],[spent_savings_for_buying_house]]</f>
        <v>10000</v>
      </c>
      <c r="AV64">
        <f>playerround[[#This Row],[cost_fluvial_damage]]+playerround[[#This Row],[cost_pluvial_damage]]</f>
        <v>0</v>
      </c>
    </row>
    <row r="65" spans="1:48" x14ac:dyDescent="0.3">
      <c r="A65">
        <v>1402</v>
      </c>
      <c r="B65" s="1">
        <v>45937.581006944441</v>
      </c>
      <c r="C65">
        <v>75000</v>
      </c>
      <c r="D65">
        <v>40000</v>
      </c>
      <c r="E65">
        <v>0</v>
      </c>
      <c r="F65">
        <v>10000</v>
      </c>
      <c r="G65">
        <v>0</v>
      </c>
      <c r="H65">
        <v>0</v>
      </c>
      <c r="I65">
        <v>15000</v>
      </c>
      <c r="J65">
        <v>18000</v>
      </c>
      <c r="K65">
        <v>0</v>
      </c>
      <c r="L65">
        <v>0</v>
      </c>
      <c r="M65">
        <v>0</v>
      </c>
      <c r="N65">
        <v>3000</v>
      </c>
      <c r="O65">
        <v>0</v>
      </c>
      <c r="P65">
        <v>0</v>
      </c>
      <c r="Q65">
        <v>1</v>
      </c>
      <c r="R65">
        <v>0</v>
      </c>
      <c r="S65">
        <v>0</v>
      </c>
      <c r="T65">
        <v>0</v>
      </c>
      <c r="U65">
        <v>0</v>
      </c>
      <c r="V65">
        <v>8</v>
      </c>
      <c r="W65">
        <v>4</v>
      </c>
      <c r="X65">
        <v>110000</v>
      </c>
      <c r="Y65">
        <v>100000</v>
      </c>
      <c r="Z65">
        <v>80000</v>
      </c>
      <c r="AA65">
        <v>0</v>
      </c>
      <c r="AB65">
        <v>0</v>
      </c>
      <c r="AC65">
        <v>100000</v>
      </c>
      <c r="AD65">
        <v>60000</v>
      </c>
      <c r="AF65" t="s">
        <v>57</v>
      </c>
      <c r="AG65">
        <v>6</v>
      </c>
      <c r="AH65">
        <v>9</v>
      </c>
      <c r="AI65">
        <v>-2</v>
      </c>
      <c r="AJ65">
        <v>-1</v>
      </c>
      <c r="AK65">
        <v>3</v>
      </c>
      <c r="AL65">
        <v>3</v>
      </c>
      <c r="AM65" t="s">
        <v>99</v>
      </c>
      <c r="AN65">
        <v>714</v>
      </c>
      <c r="AO65">
        <v>331</v>
      </c>
      <c r="AP65">
        <v>1568</v>
      </c>
      <c r="AQ65">
        <v>1568</v>
      </c>
      <c r="AR65" t="s">
        <v>57</v>
      </c>
      <c r="AS65">
        <f>+VLOOKUP(playerround[[#This Row],[player_id]],player[],5,0)</f>
        <v>124</v>
      </c>
      <c r="AT65">
        <f>+VLOOKUP(playerround[[#This Row],[groupround_id]],groupround[],6,FALSE)</f>
        <v>3</v>
      </c>
      <c r="AU65">
        <f>playerround[[#This Row],[mortgage_payment]]+playerround[[#This Row],[spent_savings_for_buying_house]]</f>
        <v>10000</v>
      </c>
      <c r="AV65">
        <f>playerround[[#This Row],[cost_fluvial_damage]]+playerround[[#This Row],[cost_pluvial_damage]]</f>
        <v>0</v>
      </c>
    </row>
    <row r="66" spans="1:48" x14ac:dyDescent="0.3">
      <c r="A66">
        <v>1425</v>
      </c>
      <c r="B66" s="1">
        <v>45937.581006944441</v>
      </c>
      <c r="C66">
        <v>75000</v>
      </c>
      <c r="D66">
        <v>40000</v>
      </c>
      <c r="E66">
        <v>0</v>
      </c>
      <c r="F66">
        <v>10000</v>
      </c>
      <c r="G66">
        <v>0</v>
      </c>
      <c r="H66">
        <v>0</v>
      </c>
      <c r="I66">
        <v>20000</v>
      </c>
      <c r="J66">
        <v>0</v>
      </c>
      <c r="K66">
        <v>7500</v>
      </c>
      <c r="L66">
        <v>0</v>
      </c>
      <c r="M66">
        <v>0</v>
      </c>
      <c r="N66">
        <v>500</v>
      </c>
      <c r="O66">
        <v>0</v>
      </c>
      <c r="P66">
        <v>0</v>
      </c>
      <c r="Q66">
        <v>0</v>
      </c>
      <c r="R66">
        <v>3</v>
      </c>
      <c r="S66">
        <v>0</v>
      </c>
      <c r="T66">
        <v>0</v>
      </c>
      <c r="U66">
        <v>0</v>
      </c>
      <c r="V66">
        <v>13</v>
      </c>
      <c r="W66">
        <v>4</v>
      </c>
      <c r="X66">
        <v>110000</v>
      </c>
      <c r="Y66">
        <v>100000</v>
      </c>
      <c r="Z66">
        <v>60000</v>
      </c>
      <c r="AA66">
        <v>0</v>
      </c>
      <c r="AB66">
        <v>0</v>
      </c>
      <c r="AC66">
        <v>100000</v>
      </c>
      <c r="AD66">
        <v>50000</v>
      </c>
      <c r="AF66" t="s">
        <v>57</v>
      </c>
      <c r="AG66">
        <v>6</v>
      </c>
      <c r="AH66">
        <v>9</v>
      </c>
      <c r="AI66">
        <v>-2</v>
      </c>
      <c r="AJ66">
        <v>-1</v>
      </c>
      <c r="AK66">
        <v>3</v>
      </c>
      <c r="AL66">
        <v>3</v>
      </c>
      <c r="AM66" t="s">
        <v>98</v>
      </c>
      <c r="AN66">
        <v>714</v>
      </c>
      <c r="AO66">
        <v>335</v>
      </c>
      <c r="AP66">
        <v>1568</v>
      </c>
      <c r="AQ66">
        <v>1568</v>
      </c>
      <c r="AR66" t="s">
        <v>57</v>
      </c>
      <c r="AS66">
        <f>+VLOOKUP(playerround[[#This Row],[player_id]],player[],5,0)</f>
        <v>124</v>
      </c>
      <c r="AT66">
        <f>+VLOOKUP(playerround[[#This Row],[groupround_id]],groupround[],6,FALSE)</f>
        <v>4</v>
      </c>
      <c r="AU66">
        <f>playerround[[#This Row],[mortgage_payment]]+playerround[[#This Row],[spent_savings_for_buying_house]]</f>
        <v>10000</v>
      </c>
      <c r="AV66">
        <f>playerround[[#This Row],[cost_fluvial_damage]]+playerround[[#This Row],[cost_pluvial_damage]]</f>
        <v>0</v>
      </c>
    </row>
    <row r="67" spans="1:48" x14ac:dyDescent="0.3">
      <c r="A67">
        <v>1325</v>
      </c>
      <c r="B67" s="1">
        <v>45937.579074074078</v>
      </c>
      <c r="C67">
        <v>110000</v>
      </c>
      <c r="D67">
        <v>60000</v>
      </c>
      <c r="E67">
        <v>0</v>
      </c>
      <c r="F67">
        <v>0</v>
      </c>
      <c r="G67">
        <v>0</v>
      </c>
      <c r="H67">
        <v>0</v>
      </c>
      <c r="I67">
        <v>0</v>
      </c>
      <c r="J67">
        <v>0</v>
      </c>
      <c r="K67">
        <v>0</v>
      </c>
      <c r="L67">
        <v>0</v>
      </c>
      <c r="M67">
        <v>0</v>
      </c>
      <c r="N67">
        <v>30000</v>
      </c>
      <c r="O67">
        <v>0</v>
      </c>
      <c r="P67">
        <v>0</v>
      </c>
      <c r="Q67">
        <v>0</v>
      </c>
      <c r="R67">
        <v>0</v>
      </c>
      <c r="S67">
        <v>0</v>
      </c>
      <c r="T67">
        <v>0</v>
      </c>
      <c r="U67">
        <v>0</v>
      </c>
      <c r="V67">
        <v>5</v>
      </c>
      <c r="W67">
        <v>6</v>
      </c>
      <c r="X67">
        <v>170000</v>
      </c>
      <c r="Y67">
        <v>0</v>
      </c>
      <c r="Z67">
        <v>0</v>
      </c>
      <c r="AA67">
        <v>0</v>
      </c>
      <c r="AB67">
        <v>0</v>
      </c>
      <c r="AC67">
        <v>0</v>
      </c>
      <c r="AD67">
        <v>0</v>
      </c>
      <c r="AF67" t="s">
        <v>57</v>
      </c>
      <c r="AG67">
        <v>0</v>
      </c>
      <c r="AH67">
        <v>0</v>
      </c>
      <c r="AI67">
        <v>0</v>
      </c>
      <c r="AJ67">
        <v>0</v>
      </c>
      <c r="AK67">
        <v>0</v>
      </c>
      <c r="AL67">
        <v>0</v>
      </c>
      <c r="AM67" t="s">
        <v>86</v>
      </c>
      <c r="AN67">
        <v>715</v>
      </c>
      <c r="AO67">
        <v>319</v>
      </c>
      <c r="AR67" t="s">
        <v>57</v>
      </c>
      <c r="AS67">
        <f>+VLOOKUP(playerround[[#This Row],[player_id]],player[],5,0)</f>
        <v>126</v>
      </c>
      <c r="AT67">
        <f>+VLOOKUP(playerround[[#This Row],[groupround_id]],groupround[],6,FALSE)</f>
        <v>0</v>
      </c>
      <c r="AU67">
        <f>playerround[[#This Row],[mortgage_payment]]+playerround[[#This Row],[spent_savings_for_buying_house]]</f>
        <v>0</v>
      </c>
      <c r="AV67">
        <f>playerround[[#This Row],[cost_fluvial_damage]]+playerround[[#This Row],[cost_pluvial_damage]]</f>
        <v>0</v>
      </c>
    </row>
    <row r="68" spans="1:48" x14ac:dyDescent="0.3">
      <c r="A68">
        <v>1342</v>
      </c>
      <c r="B68" s="1">
        <v>45937.579074074078</v>
      </c>
      <c r="C68">
        <v>110000</v>
      </c>
      <c r="D68">
        <v>60000</v>
      </c>
      <c r="E68">
        <v>0</v>
      </c>
      <c r="F68">
        <v>12500</v>
      </c>
      <c r="G68">
        <v>0</v>
      </c>
      <c r="H68">
        <v>0</v>
      </c>
      <c r="I68">
        <v>20000</v>
      </c>
      <c r="J68">
        <v>22000</v>
      </c>
      <c r="K68">
        <v>9375</v>
      </c>
      <c r="L68">
        <v>0</v>
      </c>
      <c r="M68">
        <v>0</v>
      </c>
      <c r="N68">
        <v>16125</v>
      </c>
      <c r="O68">
        <v>0</v>
      </c>
      <c r="P68">
        <v>-2</v>
      </c>
      <c r="Q68">
        <v>3</v>
      </c>
      <c r="R68">
        <v>3</v>
      </c>
      <c r="S68">
        <v>0</v>
      </c>
      <c r="T68">
        <v>0</v>
      </c>
      <c r="U68">
        <v>0</v>
      </c>
      <c r="V68">
        <v>9</v>
      </c>
      <c r="W68">
        <v>6</v>
      </c>
      <c r="X68">
        <v>170000</v>
      </c>
      <c r="Y68">
        <v>0</v>
      </c>
      <c r="Z68">
        <v>0</v>
      </c>
      <c r="AA68">
        <v>0</v>
      </c>
      <c r="AB68">
        <v>125000</v>
      </c>
      <c r="AC68">
        <v>125000</v>
      </c>
      <c r="AD68">
        <v>112500</v>
      </c>
      <c r="AF68" t="s">
        <v>57</v>
      </c>
      <c r="AG68">
        <v>6</v>
      </c>
      <c r="AH68">
        <v>6</v>
      </c>
      <c r="AI68">
        <v>0</v>
      </c>
      <c r="AJ68">
        <v>0</v>
      </c>
      <c r="AK68">
        <v>3</v>
      </c>
      <c r="AL68">
        <v>1</v>
      </c>
      <c r="AM68" t="s">
        <v>99</v>
      </c>
      <c r="AN68">
        <v>715</v>
      </c>
      <c r="AO68">
        <v>322</v>
      </c>
      <c r="AQ68">
        <v>1577</v>
      </c>
      <c r="AR68" t="s">
        <v>57</v>
      </c>
      <c r="AS68">
        <f>+VLOOKUP(playerround[[#This Row],[player_id]],player[],5,0)</f>
        <v>126</v>
      </c>
      <c r="AT68">
        <f>+VLOOKUP(playerround[[#This Row],[groupround_id]],groupround[],6,FALSE)</f>
        <v>1</v>
      </c>
      <c r="AU68">
        <f>playerround[[#This Row],[mortgage_payment]]+playerround[[#This Row],[spent_savings_for_buying_house]]</f>
        <v>12500</v>
      </c>
      <c r="AV68">
        <f>playerround[[#This Row],[cost_fluvial_damage]]+playerround[[#This Row],[cost_pluvial_damage]]</f>
        <v>0</v>
      </c>
    </row>
    <row r="69" spans="1:48" x14ac:dyDescent="0.3">
      <c r="A69">
        <v>1370</v>
      </c>
      <c r="B69" s="1">
        <v>45937.579074074078</v>
      </c>
      <c r="C69">
        <v>110000</v>
      </c>
      <c r="D69">
        <v>60000</v>
      </c>
      <c r="E69">
        <v>0</v>
      </c>
      <c r="F69">
        <v>12500</v>
      </c>
      <c r="G69">
        <v>0</v>
      </c>
      <c r="H69">
        <v>0</v>
      </c>
      <c r="I69">
        <v>20000</v>
      </c>
      <c r="J69">
        <v>11000</v>
      </c>
      <c r="K69">
        <v>8750</v>
      </c>
      <c r="L69">
        <v>0</v>
      </c>
      <c r="M69">
        <v>0</v>
      </c>
      <c r="N69">
        <v>13875</v>
      </c>
      <c r="O69">
        <v>0</v>
      </c>
      <c r="P69">
        <v>0</v>
      </c>
      <c r="Q69">
        <v>0</v>
      </c>
      <c r="R69">
        <v>2</v>
      </c>
      <c r="S69">
        <v>1</v>
      </c>
      <c r="T69">
        <v>0</v>
      </c>
      <c r="U69">
        <v>0</v>
      </c>
      <c r="V69">
        <v>10</v>
      </c>
      <c r="W69">
        <v>6</v>
      </c>
      <c r="X69">
        <v>170000</v>
      </c>
      <c r="Y69">
        <v>125000</v>
      </c>
      <c r="Z69">
        <v>112500</v>
      </c>
      <c r="AA69">
        <v>0</v>
      </c>
      <c r="AB69">
        <v>0</v>
      </c>
      <c r="AC69">
        <v>125000</v>
      </c>
      <c r="AD69">
        <v>100000</v>
      </c>
      <c r="AF69" t="s">
        <v>57</v>
      </c>
      <c r="AG69">
        <v>6</v>
      </c>
      <c r="AH69">
        <v>6</v>
      </c>
      <c r="AI69">
        <v>0</v>
      </c>
      <c r="AJ69">
        <v>0</v>
      </c>
      <c r="AK69">
        <v>5</v>
      </c>
      <c r="AL69">
        <v>4</v>
      </c>
      <c r="AM69" t="s">
        <v>99</v>
      </c>
      <c r="AN69">
        <v>715</v>
      </c>
      <c r="AO69">
        <v>326</v>
      </c>
      <c r="AP69">
        <v>1577</v>
      </c>
      <c r="AQ69">
        <v>1577</v>
      </c>
      <c r="AR69" t="s">
        <v>57</v>
      </c>
      <c r="AS69">
        <f>+VLOOKUP(playerround[[#This Row],[player_id]],player[],5,0)</f>
        <v>126</v>
      </c>
      <c r="AT69">
        <f>+VLOOKUP(playerround[[#This Row],[groupround_id]],groupround[],6,FALSE)</f>
        <v>2</v>
      </c>
      <c r="AU69">
        <f>playerround[[#This Row],[mortgage_payment]]+playerround[[#This Row],[spent_savings_for_buying_house]]</f>
        <v>12500</v>
      </c>
      <c r="AV69">
        <f>playerround[[#This Row],[cost_fluvial_damage]]+playerround[[#This Row],[cost_pluvial_damage]]</f>
        <v>0</v>
      </c>
    </row>
    <row r="70" spans="1:48" x14ac:dyDescent="0.3">
      <c r="A70">
        <v>1404</v>
      </c>
      <c r="B70" s="1">
        <v>45937.579074074078</v>
      </c>
      <c r="C70">
        <v>110000</v>
      </c>
      <c r="D70">
        <v>60000</v>
      </c>
      <c r="E70">
        <v>0</v>
      </c>
      <c r="F70">
        <v>12500</v>
      </c>
      <c r="G70">
        <v>0</v>
      </c>
      <c r="H70">
        <v>0</v>
      </c>
      <c r="I70">
        <v>20000</v>
      </c>
      <c r="J70">
        <v>0</v>
      </c>
      <c r="K70">
        <v>17375</v>
      </c>
      <c r="L70">
        <v>0</v>
      </c>
      <c r="M70">
        <v>0</v>
      </c>
      <c r="N70">
        <v>14000</v>
      </c>
      <c r="O70">
        <v>0</v>
      </c>
      <c r="P70">
        <v>0</v>
      </c>
      <c r="Q70">
        <v>0</v>
      </c>
      <c r="R70">
        <v>4</v>
      </c>
      <c r="S70">
        <v>0</v>
      </c>
      <c r="T70">
        <v>0</v>
      </c>
      <c r="U70">
        <v>0</v>
      </c>
      <c r="V70">
        <v>14</v>
      </c>
      <c r="W70">
        <v>6</v>
      </c>
      <c r="X70">
        <v>170000</v>
      </c>
      <c r="Y70">
        <v>125000</v>
      </c>
      <c r="Z70">
        <v>100000</v>
      </c>
      <c r="AA70">
        <v>0</v>
      </c>
      <c r="AB70">
        <v>0</v>
      </c>
      <c r="AC70">
        <v>125000</v>
      </c>
      <c r="AD70">
        <v>75000</v>
      </c>
      <c r="AF70" t="s">
        <v>57</v>
      </c>
      <c r="AG70">
        <v>6</v>
      </c>
      <c r="AH70">
        <v>6</v>
      </c>
      <c r="AI70">
        <v>-2</v>
      </c>
      <c r="AJ70">
        <v>-1</v>
      </c>
      <c r="AK70">
        <v>5</v>
      </c>
      <c r="AL70">
        <v>4</v>
      </c>
      <c r="AM70" t="s">
        <v>99</v>
      </c>
      <c r="AN70">
        <v>715</v>
      </c>
      <c r="AO70">
        <v>331</v>
      </c>
      <c r="AP70">
        <v>1577</v>
      </c>
      <c r="AQ70">
        <v>1577</v>
      </c>
      <c r="AR70" t="s">
        <v>57</v>
      </c>
      <c r="AS70">
        <f>+VLOOKUP(playerround[[#This Row],[player_id]],player[],5,0)</f>
        <v>126</v>
      </c>
      <c r="AT70">
        <f>+VLOOKUP(playerround[[#This Row],[groupround_id]],groupround[],6,FALSE)</f>
        <v>3</v>
      </c>
      <c r="AU70">
        <f>playerround[[#This Row],[mortgage_payment]]+playerround[[#This Row],[spent_savings_for_buying_house]]</f>
        <v>12500</v>
      </c>
      <c r="AV70">
        <f>playerround[[#This Row],[cost_fluvial_damage]]+playerround[[#This Row],[cost_pluvial_damage]]</f>
        <v>0</v>
      </c>
    </row>
    <row r="71" spans="1:48" x14ac:dyDescent="0.3">
      <c r="A71">
        <v>1424</v>
      </c>
      <c r="B71" s="1">
        <v>45937.579074074078</v>
      </c>
      <c r="C71">
        <v>110000</v>
      </c>
      <c r="D71">
        <v>60000</v>
      </c>
      <c r="E71">
        <v>0</v>
      </c>
      <c r="F71">
        <v>12500</v>
      </c>
      <c r="G71">
        <v>0</v>
      </c>
      <c r="H71">
        <v>0</v>
      </c>
      <c r="I71">
        <v>20000</v>
      </c>
      <c r="J71">
        <v>0</v>
      </c>
      <c r="K71">
        <v>17375</v>
      </c>
      <c r="L71">
        <v>0</v>
      </c>
      <c r="M71">
        <v>0</v>
      </c>
      <c r="N71">
        <v>14125</v>
      </c>
      <c r="O71">
        <v>0</v>
      </c>
      <c r="P71">
        <v>0</v>
      </c>
      <c r="Q71">
        <v>0</v>
      </c>
      <c r="R71">
        <v>4</v>
      </c>
      <c r="S71">
        <v>1</v>
      </c>
      <c r="T71">
        <v>0</v>
      </c>
      <c r="U71">
        <v>0</v>
      </c>
      <c r="V71">
        <v>17</v>
      </c>
      <c r="W71">
        <v>6</v>
      </c>
      <c r="X71">
        <v>170000</v>
      </c>
      <c r="Y71">
        <v>125000</v>
      </c>
      <c r="Z71">
        <v>75000</v>
      </c>
      <c r="AA71">
        <v>0</v>
      </c>
      <c r="AB71">
        <v>0</v>
      </c>
      <c r="AC71">
        <v>125000</v>
      </c>
      <c r="AD71">
        <v>62500</v>
      </c>
      <c r="AF71" t="s">
        <v>57</v>
      </c>
      <c r="AG71">
        <v>6</v>
      </c>
      <c r="AH71">
        <v>6</v>
      </c>
      <c r="AI71">
        <v>-2</v>
      </c>
      <c r="AJ71">
        <v>-1</v>
      </c>
      <c r="AK71">
        <v>5</v>
      </c>
      <c r="AL71">
        <v>4</v>
      </c>
      <c r="AM71" t="s">
        <v>99</v>
      </c>
      <c r="AN71">
        <v>715</v>
      </c>
      <c r="AO71">
        <v>335</v>
      </c>
      <c r="AP71">
        <v>1577</v>
      </c>
      <c r="AQ71">
        <v>1577</v>
      </c>
      <c r="AR71" t="s">
        <v>57</v>
      </c>
      <c r="AS71">
        <f>+VLOOKUP(playerround[[#This Row],[player_id]],player[],5,0)</f>
        <v>126</v>
      </c>
      <c r="AT71">
        <f>+VLOOKUP(playerround[[#This Row],[groupround_id]],groupround[],6,FALSE)</f>
        <v>4</v>
      </c>
      <c r="AU71">
        <f>playerround[[#This Row],[mortgage_payment]]+playerround[[#This Row],[spent_savings_for_buying_house]]</f>
        <v>12500</v>
      </c>
      <c r="AV71">
        <f>playerround[[#This Row],[cost_fluvial_damage]]+playerround[[#This Row],[cost_pluvial_damage]]</f>
        <v>0</v>
      </c>
    </row>
    <row r="72" spans="1:48" x14ac:dyDescent="0.3">
      <c r="A72">
        <v>1337</v>
      </c>
      <c r="B72" s="1">
        <v>45937.595150462963</v>
      </c>
      <c r="C72">
        <v>60000</v>
      </c>
      <c r="D72">
        <v>30000</v>
      </c>
      <c r="E72">
        <v>0</v>
      </c>
      <c r="F72">
        <v>0</v>
      </c>
      <c r="G72">
        <v>0</v>
      </c>
      <c r="H72">
        <v>0</v>
      </c>
      <c r="I72">
        <v>0</v>
      </c>
      <c r="J72">
        <v>0</v>
      </c>
      <c r="K72">
        <v>0</v>
      </c>
      <c r="L72">
        <v>0</v>
      </c>
      <c r="M72">
        <v>0</v>
      </c>
      <c r="N72">
        <v>0</v>
      </c>
      <c r="O72">
        <v>0</v>
      </c>
      <c r="P72">
        <v>0</v>
      </c>
      <c r="Q72">
        <v>0</v>
      </c>
      <c r="R72">
        <v>0</v>
      </c>
      <c r="S72">
        <v>0</v>
      </c>
      <c r="T72">
        <v>0</v>
      </c>
      <c r="U72">
        <v>0</v>
      </c>
      <c r="V72">
        <v>5</v>
      </c>
      <c r="W72">
        <v>3</v>
      </c>
      <c r="X72">
        <v>80000</v>
      </c>
      <c r="Y72">
        <v>0</v>
      </c>
      <c r="Z72">
        <v>0</v>
      </c>
      <c r="AA72">
        <v>0</v>
      </c>
      <c r="AB72">
        <v>0</v>
      </c>
      <c r="AC72">
        <v>0</v>
      </c>
      <c r="AD72">
        <v>0</v>
      </c>
      <c r="AF72" t="s">
        <v>57</v>
      </c>
      <c r="AG72">
        <v>0</v>
      </c>
      <c r="AH72">
        <v>0</v>
      </c>
      <c r="AI72">
        <v>0</v>
      </c>
      <c r="AJ72">
        <v>0</v>
      </c>
      <c r="AK72">
        <v>0</v>
      </c>
      <c r="AL72">
        <v>0</v>
      </c>
      <c r="AM72" t="s">
        <v>86</v>
      </c>
      <c r="AN72">
        <v>716</v>
      </c>
      <c r="AO72">
        <v>319</v>
      </c>
      <c r="AR72" t="s">
        <v>57</v>
      </c>
      <c r="AS72">
        <f>+VLOOKUP(playerround[[#This Row],[player_id]],player[],5,0)</f>
        <v>123</v>
      </c>
      <c r="AT72">
        <f>+VLOOKUP(playerround[[#This Row],[groupround_id]],groupround[],6,FALSE)</f>
        <v>0</v>
      </c>
      <c r="AU72">
        <f>playerround[[#This Row],[mortgage_payment]]+playerround[[#This Row],[spent_savings_for_buying_house]]</f>
        <v>0</v>
      </c>
      <c r="AV72">
        <f>playerround[[#This Row],[cost_fluvial_damage]]+playerround[[#This Row],[cost_pluvial_damage]]</f>
        <v>0</v>
      </c>
    </row>
    <row r="73" spans="1:48" x14ac:dyDescent="0.3">
      <c r="A73">
        <v>1341</v>
      </c>
      <c r="B73" s="1">
        <v>45937.595150462963</v>
      </c>
      <c r="C73">
        <v>60000</v>
      </c>
      <c r="D73">
        <v>30000</v>
      </c>
      <c r="E73">
        <v>0</v>
      </c>
      <c r="F73">
        <v>7000</v>
      </c>
      <c r="G73">
        <v>0</v>
      </c>
      <c r="H73">
        <v>0</v>
      </c>
      <c r="I73">
        <v>20000</v>
      </c>
      <c r="J73">
        <v>1000</v>
      </c>
      <c r="K73">
        <v>1400</v>
      </c>
      <c r="L73">
        <v>0</v>
      </c>
      <c r="M73">
        <v>0</v>
      </c>
      <c r="N73">
        <v>600</v>
      </c>
      <c r="O73">
        <v>0</v>
      </c>
      <c r="P73">
        <v>-1</v>
      </c>
      <c r="Q73">
        <v>0</v>
      </c>
      <c r="R73">
        <v>0</v>
      </c>
      <c r="S73">
        <v>0</v>
      </c>
      <c r="T73">
        <v>0</v>
      </c>
      <c r="U73">
        <v>0</v>
      </c>
      <c r="V73">
        <v>4</v>
      </c>
      <c r="W73">
        <v>3</v>
      </c>
      <c r="X73">
        <v>80000</v>
      </c>
      <c r="Y73">
        <v>0</v>
      </c>
      <c r="Z73">
        <v>0</v>
      </c>
      <c r="AA73">
        <v>0</v>
      </c>
      <c r="AB73">
        <v>70000</v>
      </c>
      <c r="AC73">
        <v>70000</v>
      </c>
      <c r="AD73">
        <v>63000</v>
      </c>
      <c r="AF73" t="s">
        <v>57</v>
      </c>
      <c r="AG73">
        <v>6</v>
      </c>
      <c r="AH73">
        <v>6</v>
      </c>
      <c r="AI73">
        <v>0</v>
      </c>
      <c r="AJ73">
        <v>0</v>
      </c>
      <c r="AK73">
        <v>1</v>
      </c>
      <c r="AL73">
        <v>2</v>
      </c>
      <c r="AM73" t="s">
        <v>99</v>
      </c>
      <c r="AN73">
        <v>716</v>
      </c>
      <c r="AO73">
        <v>322</v>
      </c>
      <c r="AQ73">
        <v>1578</v>
      </c>
      <c r="AR73" t="s">
        <v>57</v>
      </c>
      <c r="AS73">
        <f>+VLOOKUP(playerround[[#This Row],[player_id]],player[],5,0)</f>
        <v>123</v>
      </c>
      <c r="AT73">
        <f>+VLOOKUP(playerround[[#This Row],[groupround_id]],groupround[],6,FALSE)</f>
        <v>1</v>
      </c>
      <c r="AU73">
        <f>playerround[[#This Row],[mortgage_payment]]+playerround[[#This Row],[spent_savings_for_buying_house]]</f>
        <v>7000</v>
      </c>
      <c r="AV73">
        <f>playerround[[#This Row],[cost_fluvial_damage]]+playerround[[#This Row],[cost_pluvial_damage]]</f>
        <v>0</v>
      </c>
    </row>
    <row r="74" spans="1:48" x14ac:dyDescent="0.3">
      <c r="A74">
        <v>1372</v>
      </c>
      <c r="B74" s="1">
        <v>45937.595150462963</v>
      </c>
      <c r="C74">
        <v>60000</v>
      </c>
      <c r="D74">
        <v>30000</v>
      </c>
      <c r="E74">
        <v>0</v>
      </c>
      <c r="F74">
        <v>7000</v>
      </c>
      <c r="G74">
        <v>0</v>
      </c>
      <c r="H74">
        <v>0</v>
      </c>
      <c r="I74">
        <v>20000</v>
      </c>
      <c r="J74">
        <v>0</v>
      </c>
      <c r="K74">
        <v>3150</v>
      </c>
      <c r="L74">
        <v>0</v>
      </c>
      <c r="M74">
        <v>0</v>
      </c>
      <c r="N74">
        <v>450</v>
      </c>
      <c r="O74">
        <v>0</v>
      </c>
      <c r="P74">
        <v>0</v>
      </c>
      <c r="Q74">
        <v>0</v>
      </c>
      <c r="R74">
        <v>1</v>
      </c>
      <c r="S74">
        <v>1</v>
      </c>
      <c r="T74">
        <v>0</v>
      </c>
      <c r="U74">
        <v>0</v>
      </c>
      <c r="V74">
        <v>4</v>
      </c>
      <c r="W74">
        <v>3</v>
      </c>
      <c r="X74">
        <v>80000</v>
      </c>
      <c r="Y74">
        <v>70000</v>
      </c>
      <c r="Z74">
        <v>63000</v>
      </c>
      <c r="AA74">
        <v>0</v>
      </c>
      <c r="AB74">
        <v>0</v>
      </c>
      <c r="AC74">
        <v>70000</v>
      </c>
      <c r="AD74">
        <v>56000</v>
      </c>
      <c r="AF74" t="s">
        <v>57</v>
      </c>
      <c r="AG74">
        <v>6</v>
      </c>
      <c r="AH74">
        <v>6</v>
      </c>
      <c r="AI74">
        <v>0</v>
      </c>
      <c r="AJ74">
        <v>0</v>
      </c>
      <c r="AK74">
        <v>1</v>
      </c>
      <c r="AL74">
        <v>2</v>
      </c>
      <c r="AM74" t="s">
        <v>99</v>
      </c>
      <c r="AN74">
        <v>716</v>
      </c>
      <c r="AO74">
        <v>326</v>
      </c>
      <c r="AP74">
        <v>1578</v>
      </c>
      <c r="AQ74">
        <v>1578</v>
      </c>
      <c r="AR74" t="s">
        <v>57</v>
      </c>
      <c r="AS74">
        <f>+VLOOKUP(playerround[[#This Row],[player_id]],player[],5,0)</f>
        <v>123</v>
      </c>
      <c r="AT74">
        <f>+VLOOKUP(playerround[[#This Row],[groupround_id]],groupround[],6,FALSE)</f>
        <v>2</v>
      </c>
      <c r="AU74">
        <f>playerround[[#This Row],[mortgage_payment]]+playerround[[#This Row],[spent_savings_for_buying_house]]</f>
        <v>7000</v>
      </c>
      <c r="AV74">
        <f>playerround[[#This Row],[cost_fluvial_damage]]+playerround[[#This Row],[cost_pluvial_damage]]</f>
        <v>0</v>
      </c>
    </row>
    <row r="75" spans="1:48" x14ac:dyDescent="0.3">
      <c r="A75">
        <v>1400</v>
      </c>
      <c r="B75" s="1">
        <v>45937.595150462963</v>
      </c>
      <c r="C75">
        <v>60000</v>
      </c>
      <c r="D75">
        <v>30000</v>
      </c>
      <c r="E75">
        <v>0</v>
      </c>
      <c r="F75">
        <v>7000</v>
      </c>
      <c r="G75">
        <v>0</v>
      </c>
      <c r="H75">
        <v>0</v>
      </c>
      <c r="I75">
        <v>20000</v>
      </c>
      <c r="J75">
        <v>0</v>
      </c>
      <c r="K75">
        <v>3150</v>
      </c>
      <c r="L75">
        <v>0</v>
      </c>
      <c r="M75">
        <v>4000</v>
      </c>
      <c r="N75">
        <v>-3700</v>
      </c>
      <c r="O75">
        <v>0</v>
      </c>
      <c r="P75">
        <v>0</v>
      </c>
      <c r="Q75">
        <v>0</v>
      </c>
      <c r="R75">
        <v>1</v>
      </c>
      <c r="S75">
        <v>0</v>
      </c>
      <c r="T75">
        <v>1</v>
      </c>
      <c r="U75">
        <v>0</v>
      </c>
      <c r="V75">
        <v>4</v>
      </c>
      <c r="W75">
        <v>3</v>
      </c>
      <c r="X75">
        <v>80000</v>
      </c>
      <c r="Y75">
        <v>70000</v>
      </c>
      <c r="Z75">
        <v>56000</v>
      </c>
      <c r="AA75">
        <v>0</v>
      </c>
      <c r="AB75">
        <v>0</v>
      </c>
      <c r="AC75">
        <v>70000</v>
      </c>
      <c r="AD75">
        <v>42000</v>
      </c>
      <c r="AF75" t="s">
        <v>57</v>
      </c>
      <c r="AG75">
        <v>6</v>
      </c>
      <c r="AH75">
        <v>6</v>
      </c>
      <c r="AI75">
        <v>-2</v>
      </c>
      <c r="AJ75">
        <v>-1</v>
      </c>
      <c r="AK75">
        <v>1</v>
      </c>
      <c r="AL75">
        <v>2</v>
      </c>
      <c r="AM75" t="s">
        <v>99</v>
      </c>
      <c r="AN75">
        <v>716</v>
      </c>
      <c r="AO75">
        <v>331</v>
      </c>
      <c r="AP75">
        <v>1578</v>
      </c>
      <c r="AQ75">
        <v>1578</v>
      </c>
      <c r="AR75" t="s">
        <v>57</v>
      </c>
      <c r="AS75">
        <f>+VLOOKUP(playerround[[#This Row],[player_id]],player[],5,0)</f>
        <v>123</v>
      </c>
      <c r="AT75">
        <f>+VLOOKUP(playerround[[#This Row],[groupround_id]],groupround[],6,FALSE)</f>
        <v>3</v>
      </c>
      <c r="AU75">
        <f>playerround[[#This Row],[mortgage_payment]]+playerround[[#This Row],[spent_savings_for_buying_house]]</f>
        <v>7000</v>
      </c>
      <c r="AV75">
        <f>playerround[[#This Row],[cost_fluvial_damage]]+playerround[[#This Row],[cost_pluvial_damage]]</f>
        <v>4000</v>
      </c>
    </row>
    <row r="76" spans="1:48" x14ac:dyDescent="0.3">
      <c r="A76">
        <v>1427</v>
      </c>
      <c r="B76" s="1">
        <v>45937.595150462963</v>
      </c>
      <c r="C76">
        <v>60000</v>
      </c>
      <c r="D76">
        <v>30000</v>
      </c>
      <c r="E76">
        <v>3700</v>
      </c>
      <c r="F76">
        <v>8000</v>
      </c>
      <c r="G76">
        <v>28000</v>
      </c>
      <c r="H76">
        <v>0</v>
      </c>
      <c r="I76">
        <v>20000</v>
      </c>
      <c r="J76">
        <v>18000</v>
      </c>
      <c r="K76">
        <v>7600</v>
      </c>
      <c r="L76">
        <v>0</v>
      </c>
      <c r="M76">
        <v>0</v>
      </c>
      <c r="N76">
        <v>700</v>
      </c>
      <c r="O76">
        <v>1</v>
      </c>
      <c r="P76">
        <v>-1</v>
      </c>
      <c r="Q76">
        <v>1</v>
      </c>
      <c r="R76">
        <v>3</v>
      </c>
      <c r="S76">
        <v>0</v>
      </c>
      <c r="T76">
        <v>0</v>
      </c>
      <c r="U76">
        <v>1</v>
      </c>
      <c r="V76">
        <v>5</v>
      </c>
      <c r="W76">
        <v>3</v>
      </c>
      <c r="X76">
        <v>80000</v>
      </c>
      <c r="Y76">
        <v>70000</v>
      </c>
      <c r="Z76">
        <v>42000</v>
      </c>
      <c r="AA76">
        <v>70000</v>
      </c>
      <c r="AB76">
        <v>80000</v>
      </c>
      <c r="AC76">
        <v>80000</v>
      </c>
      <c r="AD76">
        <v>72000</v>
      </c>
      <c r="AE76">
        <v>35</v>
      </c>
      <c r="AF76" t="s">
        <v>57</v>
      </c>
      <c r="AG76">
        <v>4</v>
      </c>
      <c r="AH76">
        <v>9</v>
      </c>
      <c r="AI76">
        <v>-2</v>
      </c>
      <c r="AJ76">
        <v>-1</v>
      </c>
      <c r="AK76">
        <v>5</v>
      </c>
      <c r="AL76">
        <v>3</v>
      </c>
      <c r="AM76" t="s">
        <v>99</v>
      </c>
      <c r="AN76">
        <v>716</v>
      </c>
      <c r="AO76">
        <v>335</v>
      </c>
      <c r="AP76">
        <v>1578</v>
      </c>
      <c r="AQ76">
        <v>1643</v>
      </c>
      <c r="AR76" t="s">
        <v>57</v>
      </c>
      <c r="AS76">
        <f>+VLOOKUP(playerround[[#This Row],[player_id]],player[],5,0)</f>
        <v>123</v>
      </c>
      <c r="AT76">
        <f>+VLOOKUP(playerround[[#This Row],[groupround_id]],groupround[],6,FALSE)</f>
        <v>4</v>
      </c>
      <c r="AU76">
        <f>playerround[[#This Row],[mortgage_payment]]+playerround[[#This Row],[spent_savings_for_buying_house]]</f>
        <v>8000</v>
      </c>
      <c r="AV76">
        <f>playerround[[#This Row],[cost_fluvial_damage]]+playerround[[#This Row],[cost_pluvial_damage]]</f>
        <v>0</v>
      </c>
    </row>
    <row r="77" spans="1:48" x14ac:dyDescent="0.3">
      <c r="A77">
        <v>1326</v>
      </c>
      <c r="B77" s="1">
        <v>45937.579351851855</v>
      </c>
      <c r="C77">
        <v>90000</v>
      </c>
      <c r="D77">
        <v>50000</v>
      </c>
      <c r="E77">
        <v>0</v>
      </c>
      <c r="F77">
        <v>0</v>
      </c>
      <c r="G77">
        <v>0</v>
      </c>
      <c r="H77">
        <v>0</v>
      </c>
      <c r="I77">
        <v>0</v>
      </c>
      <c r="J77">
        <v>0</v>
      </c>
      <c r="K77">
        <v>0</v>
      </c>
      <c r="L77">
        <v>0</v>
      </c>
      <c r="M77">
        <v>0</v>
      </c>
      <c r="N77">
        <v>15000</v>
      </c>
      <c r="O77">
        <v>0</v>
      </c>
      <c r="P77">
        <v>0</v>
      </c>
      <c r="Q77">
        <v>0</v>
      </c>
      <c r="R77">
        <v>0</v>
      </c>
      <c r="S77">
        <v>0</v>
      </c>
      <c r="T77">
        <v>0</v>
      </c>
      <c r="U77">
        <v>0</v>
      </c>
      <c r="V77">
        <v>5</v>
      </c>
      <c r="W77">
        <v>5</v>
      </c>
      <c r="X77">
        <v>130000</v>
      </c>
      <c r="Y77">
        <v>0</v>
      </c>
      <c r="Z77">
        <v>0</v>
      </c>
      <c r="AA77">
        <v>0</v>
      </c>
      <c r="AB77">
        <v>0</v>
      </c>
      <c r="AC77">
        <v>0</v>
      </c>
      <c r="AD77">
        <v>0</v>
      </c>
      <c r="AF77" t="s">
        <v>57</v>
      </c>
      <c r="AG77">
        <v>0</v>
      </c>
      <c r="AH77">
        <v>0</v>
      </c>
      <c r="AI77">
        <v>0</v>
      </c>
      <c r="AJ77">
        <v>0</v>
      </c>
      <c r="AK77">
        <v>0</v>
      </c>
      <c r="AL77">
        <v>0</v>
      </c>
      <c r="AM77" t="s">
        <v>86</v>
      </c>
      <c r="AN77">
        <v>717</v>
      </c>
      <c r="AO77">
        <v>319</v>
      </c>
      <c r="AR77" t="s">
        <v>57</v>
      </c>
      <c r="AS77">
        <f>+VLOOKUP(playerround[[#This Row],[player_id]],player[],5,0)</f>
        <v>125</v>
      </c>
      <c r="AT77">
        <f>+VLOOKUP(playerround[[#This Row],[groupround_id]],groupround[],6,FALSE)</f>
        <v>0</v>
      </c>
      <c r="AU77">
        <f>playerround[[#This Row],[mortgage_payment]]+playerround[[#This Row],[spent_savings_for_buying_house]]</f>
        <v>0</v>
      </c>
      <c r="AV77">
        <f>playerround[[#This Row],[cost_fluvial_damage]]+playerround[[#This Row],[cost_pluvial_damage]]</f>
        <v>0</v>
      </c>
    </row>
    <row r="78" spans="1:48" x14ac:dyDescent="0.3">
      <c r="A78">
        <v>1357</v>
      </c>
      <c r="B78" s="1">
        <v>45937.579351851855</v>
      </c>
      <c r="C78">
        <v>90000</v>
      </c>
      <c r="D78">
        <v>50000</v>
      </c>
      <c r="E78">
        <v>0</v>
      </c>
      <c r="F78">
        <v>13000</v>
      </c>
      <c r="G78">
        <v>0</v>
      </c>
      <c r="H78">
        <v>30000</v>
      </c>
      <c r="I78">
        <v>20000</v>
      </c>
      <c r="J78">
        <v>0</v>
      </c>
      <c r="K78">
        <v>0</v>
      </c>
      <c r="L78">
        <v>0</v>
      </c>
      <c r="M78">
        <v>0</v>
      </c>
      <c r="N78">
        <v>-8000</v>
      </c>
      <c r="O78">
        <v>0</v>
      </c>
      <c r="P78">
        <v>0</v>
      </c>
      <c r="Q78">
        <v>0</v>
      </c>
      <c r="R78">
        <v>0</v>
      </c>
      <c r="S78">
        <v>0</v>
      </c>
      <c r="T78">
        <v>0</v>
      </c>
      <c r="U78">
        <v>0</v>
      </c>
      <c r="V78">
        <v>5</v>
      </c>
      <c r="W78">
        <v>5</v>
      </c>
      <c r="X78">
        <v>130000</v>
      </c>
      <c r="Y78">
        <v>0</v>
      </c>
      <c r="Z78">
        <v>0</v>
      </c>
      <c r="AA78">
        <v>0</v>
      </c>
      <c r="AB78">
        <v>160000</v>
      </c>
      <c r="AC78">
        <v>130000</v>
      </c>
      <c r="AD78">
        <v>117000</v>
      </c>
      <c r="AF78" t="s">
        <v>57</v>
      </c>
      <c r="AG78">
        <v>4</v>
      </c>
      <c r="AH78">
        <v>9</v>
      </c>
      <c r="AI78">
        <v>0</v>
      </c>
      <c r="AJ78">
        <v>0</v>
      </c>
      <c r="AK78">
        <v>0</v>
      </c>
      <c r="AL78">
        <v>0</v>
      </c>
      <c r="AM78" t="s">
        <v>99</v>
      </c>
      <c r="AN78">
        <v>717</v>
      </c>
      <c r="AO78">
        <v>322</v>
      </c>
      <c r="AQ78">
        <v>1571</v>
      </c>
      <c r="AR78" t="s">
        <v>57</v>
      </c>
      <c r="AS78">
        <f>+VLOOKUP(playerround[[#This Row],[player_id]],player[],5,0)</f>
        <v>125</v>
      </c>
      <c r="AT78">
        <f>+VLOOKUP(playerround[[#This Row],[groupround_id]],groupround[],6,FALSE)</f>
        <v>1</v>
      </c>
      <c r="AU78">
        <f>playerround[[#This Row],[mortgage_payment]]+playerround[[#This Row],[spent_savings_for_buying_house]]</f>
        <v>43000</v>
      </c>
      <c r="AV78">
        <f>playerround[[#This Row],[cost_fluvial_damage]]+playerround[[#This Row],[cost_pluvial_damage]]</f>
        <v>0</v>
      </c>
    </row>
    <row r="79" spans="1:48" x14ac:dyDescent="0.3">
      <c r="A79">
        <v>1369</v>
      </c>
      <c r="B79" s="1">
        <v>45937.579351851855</v>
      </c>
      <c r="C79">
        <v>90000</v>
      </c>
      <c r="D79">
        <v>50000</v>
      </c>
      <c r="E79">
        <v>8000</v>
      </c>
      <c r="F79">
        <v>13000</v>
      </c>
      <c r="G79">
        <v>0</v>
      </c>
      <c r="H79">
        <v>0</v>
      </c>
      <c r="I79">
        <v>20000</v>
      </c>
      <c r="J79">
        <v>0</v>
      </c>
      <c r="K79">
        <v>0</v>
      </c>
      <c r="L79">
        <v>0</v>
      </c>
      <c r="M79">
        <v>4000</v>
      </c>
      <c r="N79">
        <v>-5000</v>
      </c>
      <c r="O79">
        <v>0</v>
      </c>
      <c r="P79">
        <v>0</v>
      </c>
      <c r="Q79">
        <v>0</v>
      </c>
      <c r="R79">
        <v>0</v>
      </c>
      <c r="S79">
        <v>0</v>
      </c>
      <c r="T79">
        <v>1</v>
      </c>
      <c r="U79">
        <v>1</v>
      </c>
      <c r="V79">
        <v>3</v>
      </c>
      <c r="W79">
        <v>5</v>
      </c>
      <c r="X79">
        <v>130000</v>
      </c>
      <c r="Y79">
        <v>130000</v>
      </c>
      <c r="Z79">
        <v>117000</v>
      </c>
      <c r="AA79">
        <v>0</v>
      </c>
      <c r="AB79">
        <v>0</v>
      </c>
      <c r="AC79">
        <v>130000</v>
      </c>
      <c r="AD79">
        <v>91000</v>
      </c>
      <c r="AF79" t="s">
        <v>57</v>
      </c>
      <c r="AG79">
        <v>4</v>
      </c>
      <c r="AH79">
        <v>9</v>
      </c>
      <c r="AI79">
        <v>0</v>
      </c>
      <c r="AJ79">
        <v>0</v>
      </c>
      <c r="AK79">
        <v>0</v>
      </c>
      <c r="AL79">
        <v>0</v>
      </c>
      <c r="AM79" t="s">
        <v>99</v>
      </c>
      <c r="AN79">
        <v>717</v>
      </c>
      <c r="AO79">
        <v>326</v>
      </c>
      <c r="AP79">
        <v>1571</v>
      </c>
      <c r="AQ79">
        <v>1571</v>
      </c>
      <c r="AR79" t="s">
        <v>57</v>
      </c>
      <c r="AS79">
        <f>+VLOOKUP(playerround[[#This Row],[player_id]],player[],5,0)</f>
        <v>125</v>
      </c>
      <c r="AT79">
        <f>+VLOOKUP(playerround[[#This Row],[groupround_id]],groupround[],6,FALSE)</f>
        <v>2</v>
      </c>
      <c r="AU79">
        <f>playerround[[#This Row],[mortgage_payment]]+playerround[[#This Row],[spent_savings_for_buying_house]]</f>
        <v>13000</v>
      </c>
      <c r="AV79">
        <f>playerround[[#This Row],[cost_fluvial_damage]]+playerround[[#This Row],[cost_pluvial_damage]]</f>
        <v>4000</v>
      </c>
    </row>
    <row r="80" spans="1:48" x14ac:dyDescent="0.3">
      <c r="A80">
        <v>1401</v>
      </c>
      <c r="B80" s="1">
        <v>45937.579351851855</v>
      </c>
      <c r="C80">
        <v>90000</v>
      </c>
      <c r="D80">
        <v>50000</v>
      </c>
      <c r="E80">
        <v>5000</v>
      </c>
      <c r="F80">
        <v>13000</v>
      </c>
      <c r="G80">
        <v>0</v>
      </c>
      <c r="H80">
        <v>0</v>
      </c>
      <c r="I80">
        <v>20000</v>
      </c>
      <c r="J80">
        <v>0</v>
      </c>
      <c r="K80">
        <v>0</v>
      </c>
      <c r="L80">
        <v>0</v>
      </c>
      <c r="M80">
        <v>4000</v>
      </c>
      <c r="N80">
        <v>-2000</v>
      </c>
      <c r="O80">
        <v>0</v>
      </c>
      <c r="P80">
        <v>0</v>
      </c>
      <c r="Q80">
        <v>0</v>
      </c>
      <c r="R80">
        <v>0</v>
      </c>
      <c r="S80">
        <v>0</v>
      </c>
      <c r="T80">
        <v>1</v>
      </c>
      <c r="U80">
        <v>1</v>
      </c>
      <c r="V80">
        <v>1</v>
      </c>
      <c r="W80">
        <v>5</v>
      </c>
      <c r="X80">
        <v>130000</v>
      </c>
      <c r="Y80">
        <v>130000</v>
      </c>
      <c r="Z80">
        <v>91000</v>
      </c>
      <c r="AA80">
        <v>0</v>
      </c>
      <c r="AB80">
        <v>0</v>
      </c>
      <c r="AC80">
        <v>130000</v>
      </c>
      <c r="AD80">
        <v>78000</v>
      </c>
      <c r="AF80" t="s">
        <v>57</v>
      </c>
      <c r="AG80">
        <v>4</v>
      </c>
      <c r="AH80">
        <v>9</v>
      </c>
      <c r="AI80">
        <v>-2</v>
      </c>
      <c r="AJ80">
        <v>-1</v>
      </c>
      <c r="AK80">
        <v>0</v>
      </c>
      <c r="AL80">
        <v>0</v>
      </c>
      <c r="AM80" t="s">
        <v>99</v>
      </c>
      <c r="AN80">
        <v>717</v>
      </c>
      <c r="AO80">
        <v>331</v>
      </c>
      <c r="AP80">
        <v>1571</v>
      </c>
      <c r="AQ80">
        <v>1571</v>
      </c>
      <c r="AR80" t="s">
        <v>57</v>
      </c>
      <c r="AS80">
        <f>+VLOOKUP(playerround[[#This Row],[player_id]],player[],5,0)</f>
        <v>125</v>
      </c>
      <c r="AT80">
        <f>+VLOOKUP(playerround[[#This Row],[groupround_id]],groupround[],6,FALSE)</f>
        <v>3</v>
      </c>
      <c r="AU80">
        <f>playerround[[#This Row],[mortgage_payment]]+playerround[[#This Row],[spent_savings_for_buying_house]]</f>
        <v>13000</v>
      </c>
      <c r="AV80">
        <f>playerround[[#This Row],[cost_fluvial_damage]]+playerround[[#This Row],[cost_pluvial_damage]]</f>
        <v>4000</v>
      </c>
    </row>
    <row r="81" spans="1:48" x14ac:dyDescent="0.3">
      <c r="A81">
        <v>1434</v>
      </c>
      <c r="B81" s="1">
        <v>45937.579351851855</v>
      </c>
      <c r="C81">
        <v>90000</v>
      </c>
      <c r="D81">
        <v>50000</v>
      </c>
      <c r="E81">
        <v>2000</v>
      </c>
      <c r="F81">
        <v>13000</v>
      </c>
      <c r="G81">
        <v>82000</v>
      </c>
      <c r="H81">
        <v>70000</v>
      </c>
      <c r="I81">
        <v>20000</v>
      </c>
      <c r="J81">
        <v>6000</v>
      </c>
      <c r="K81">
        <v>10000</v>
      </c>
      <c r="L81">
        <v>0</v>
      </c>
      <c r="M81">
        <v>0</v>
      </c>
      <c r="N81">
        <v>1000</v>
      </c>
      <c r="O81">
        <v>1</v>
      </c>
      <c r="P81">
        <v>1</v>
      </c>
      <c r="Q81">
        <v>1</v>
      </c>
      <c r="R81">
        <v>2</v>
      </c>
      <c r="S81">
        <v>0</v>
      </c>
      <c r="T81">
        <v>0</v>
      </c>
      <c r="U81">
        <v>1</v>
      </c>
      <c r="V81">
        <v>7</v>
      </c>
      <c r="W81">
        <v>5</v>
      </c>
      <c r="X81">
        <v>130000</v>
      </c>
      <c r="Y81">
        <v>130000</v>
      </c>
      <c r="Z81">
        <v>78000</v>
      </c>
      <c r="AA81">
        <v>160000</v>
      </c>
      <c r="AB81">
        <v>200000</v>
      </c>
      <c r="AC81">
        <v>130000</v>
      </c>
      <c r="AD81">
        <v>117000</v>
      </c>
      <c r="AE81">
        <v>35</v>
      </c>
      <c r="AF81" t="s">
        <v>57</v>
      </c>
      <c r="AG81">
        <v>6</v>
      </c>
      <c r="AH81">
        <v>9</v>
      </c>
      <c r="AI81">
        <v>-2</v>
      </c>
      <c r="AJ81">
        <v>-1</v>
      </c>
      <c r="AK81">
        <v>2</v>
      </c>
      <c r="AL81">
        <v>1</v>
      </c>
      <c r="AM81" t="s">
        <v>99</v>
      </c>
      <c r="AN81">
        <v>717</v>
      </c>
      <c r="AO81">
        <v>335</v>
      </c>
      <c r="AP81">
        <v>1571</v>
      </c>
      <c r="AQ81">
        <v>1637</v>
      </c>
      <c r="AR81" t="s">
        <v>57</v>
      </c>
      <c r="AS81">
        <f>+VLOOKUP(playerround[[#This Row],[player_id]],player[],5,0)</f>
        <v>125</v>
      </c>
      <c r="AT81">
        <f>+VLOOKUP(playerround[[#This Row],[groupround_id]],groupround[],6,FALSE)</f>
        <v>4</v>
      </c>
      <c r="AU81">
        <f>playerround[[#This Row],[mortgage_payment]]+playerround[[#This Row],[spent_savings_for_buying_house]]</f>
        <v>83000</v>
      </c>
      <c r="AV81">
        <f>playerround[[#This Row],[cost_fluvial_damage]]+playerround[[#This Row],[cost_pluvial_damage]]</f>
        <v>0</v>
      </c>
    </row>
    <row r="82" spans="1:48" x14ac:dyDescent="0.3">
      <c r="A82">
        <v>1338</v>
      </c>
      <c r="B82" s="1">
        <v>45937.595520833333</v>
      </c>
      <c r="C82">
        <v>130000</v>
      </c>
      <c r="D82">
        <v>75000</v>
      </c>
      <c r="E82">
        <v>0</v>
      </c>
      <c r="F82">
        <v>0</v>
      </c>
      <c r="G82">
        <v>0</v>
      </c>
      <c r="H82">
        <v>0</v>
      </c>
      <c r="I82">
        <v>0</v>
      </c>
      <c r="J82">
        <v>0</v>
      </c>
      <c r="K82">
        <v>0</v>
      </c>
      <c r="L82">
        <v>0</v>
      </c>
      <c r="M82">
        <v>0</v>
      </c>
      <c r="N82">
        <v>50000</v>
      </c>
      <c r="O82">
        <v>0</v>
      </c>
      <c r="P82">
        <v>0</v>
      </c>
      <c r="Q82">
        <v>0</v>
      </c>
      <c r="R82">
        <v>0</v>
      </c>
      <c r="S82">
        <v>0</v>
      </c>
      <c r="T82">
        <v>0</v>
      </c>
      <c r="U82">
        <v>0</v>
      </c>
      <c r="V82">
        <v>5</v>
      </c>
      <c r="W82">
        <v>7</v>
      </c>
      <c r="X82">
        <v>200000</v>
      </c>
      <c r="Y82">
        <v>0</v>
      </c>
      <c r="Z82">
        <v>0</v>
      </c>
      <c r="AA82">
        <v>0</v>
      </c>
      <c r="AB82">
        <v>0</v>
      </c>
      <c r="AC82">
        <v>0</v>
      </c>
      <c r="AD82">
        <v>0</v>
      </c>
      <c r="AF82" t="s">
        <v>57</v>
      </c>
      <c r="AG82">
        <v>0</v>
      </c>
      <c r="AH82">
        <v>0</v>
      </c>
      <c r="AI82">
        <v>0</v>
      </c>
      <c r="AJ82">
        <v>0</v>
      </c>
      <c r="AK82">
        <v>0</v>
      </c>
      <c r="AL82">
        <v>0</v>
      </c>
      <c r="AM82" t="s">
        <v>86</v>
      </c>
      <c r="AN82">
        <v>718</v>
      </c>
      <c r="AO82">
        <v>319</v>
      </c>
      <c r="AR82" t="s">
        <v>57</v>
      </c>
      <c r="AS82">
        <f>+VLOOKUP(playerround[[#This Row],[player_id]],player[],5,0)</f>
        <v>127</v>
      </c>
      <c r="AT82">
        <f>+VLOOKUP(playerround[[#This Row],[groupround_id]],groupround[],6,FALSE)</f>
        <v>0</v>
      </c>
      <c r="AU82">
        <f>playerround[[#This Row],[mortgage_payment]]+playerround[[#This Row],[spent_savings_for_buying_house]]</f>
        <v>0</v>
      </c>
      <c r="AV82">
        <f>playerround[[#This Row],[cost_fluvial_damage]]+playerround[[#This Row],[cost_pluvial_damage]]</f>
        <v>0</v>
      </c>
    </row>
    <row r="83" spans="1:48" x14ac:dyDescent="0.3">
      <c r="A83">
        <v>1344</v>
      </c>
      <c r="B83" s="1">
        <v>45937.595520833333</v>
      </c>
      <c r="C83">
        <v>130000</v>
      </c>
      <c r="D83">
        <v>75000</v>
      </c>
      <c r="E83">
        <v>0</v>
      </c>
      <c r="F83">
        <v>20000</v>
      </c>
      <c r="G83">
        <v>0</v>
      </c>
      <c r="H83">
        <v>0</v>
      </c>
      <c r="I83">
        <v>15000</v>
      </c>
      <c r="J83">
        <v>17000</v>
      </c>
      <c r="K83">
        <v>10500</v>
      </c>
      <c r="L83">
        <v>0</v>
      </c>
      <c r="M83">
        <v>0</v>
      </c>
      <c r="N83">
        <v>42500</v>
      </c>
      <c r="O83">
        <v>0</v>
      </c>
      <c r="P83">
        <v>-1</v>
      </c>
      <c r="Q83">
        <v>2</v>
      </c>
      <c r="R83">
        <v>1</v>
      </c>
      <c r="S83">
        <v>0</v>
      </c>
      <c r="T83">
        <v>0</v>
      </c>
      <c r="U83">
        <v>0</v>
      </c>
      <c r="V83">
        <v>7</v>
      </c>
      <c r="W83">
        <v>7</v>
      </c>
      <c r="X83">
        <v>200000</v>
      </c>
      <c r="Y83">
        <v>0</v>
      </c>
      <c r="Z83">
        <v>0</v>
      </c>
      <c r="AA83">
        <v>0</v>
      </c>
      <c r="AB83">
        <v>200000</v>
      </c>
      <c r="AC83">
        <v>200000</v>
      </c>
      <c r="AD83">
        <v>180000</v>
      </c>
      <c r="AF83" t="s">
        <v>57</v>
      </c>
      <c r="AG83">
        <v>6</v>
      </c>
      <c r="AH83">
        <v>9</v>
      </c>
      <c r="AI83">
        <v>0</v>
      </c>
      <c r="AJ83">
        <v>0</v>
      </c>
      <c r="AK83">
        <v>3</v>
      </c>
      <c r="AL83">
        <v>3</v>
      </c>
      <c r="AM83" t="s">
        <v>99</v>
      </c>
      <c r="AN83">
        <v>718</v>
      </c>
      <c r="AO83">
        <v>322</v>
      </c>
      <c r="AQ83">
        <v>1567</v>
      </c>
      <c r="AR83" t="s">
        <v>57</v>
      </c>
      <c r="AS83">
        <f>+VLOOKUP(playerround[[#This Row],[player_id]],player[],5,0)</f>
        <v>127</v>
      </c>
      <c r="AT83">
        <f>+VLOOKUP(playerround[[#This Row],[groupround_id]],groupround[],6,FALSE)</f>
        <v>1</v>
      </c>
      <c r="AU83">
        <f>playerround[[#This Row],[mortgage_payment]]+playerround[[#This Row],[spent_savings_for_buying_house]]</f>
        <v>20000</v>
      </c>
      <c r="AV83">
        <f>playerround[[#This Row],[cost_fluvial_damage]]+playerround[[#This Row],[cost_pluvial_damage]]</f>
        <v>0</v>
      </c>
    </row>
    <row r="84" spans="1:48" x14ac:dyDescent="0.3">
      <c r="A84">
        <v>1371</v>
      </c>
      <c r="B84" s="1">
        <v>45937.595520833333</v>
      </c>
      <c r="C84">
        <v>130000</v>
      </c>
      <c r="D84">
        <v>75000</v>
      </c>
      <c r="E84">
        <v>0</v>
      </c>
      <c r="F84">
        <v>20000</v>
      </c>
      <c r="G84">
        <v>0</v>
      </c>
      <c r="H84">
        <v>0</v>
      </c>
      <c r="I84">
        <v>15000</v>
      </c>
      <c r="J84">
        <v>0</v>
      </c>
      <c r="K84">
        <v>25500</v>
      </c>
      <c r="L84">
        <v>0</v>
      </c>
      <c r="M84">
        <v>0</v>
      </c>
      <c r="N84">
        <v>37000</v>
      </c>
      <c r="O84">
        <v>0</v>
      </c>
      <c r="P84">
        <v>0</v>
      </c>
      <c r="Q84">
        <v>0</v>
      </c>
      <c r="R84">
        <v>4</v>
      </c>
      <c r="S84">
        <v>0</v>
      </c>
      <c r="T84">
        <v>0</v>
      </c>
      <c r="U84">
        <v>0</v>
      </c>
      <c r="V84">
        <v>11</v>
      </c>
      <c r="W84">
        <v>7</v>
      </c>
      <c r="X84">
        <v>200000</v>
      </c>
      <c r="Y84">
        <v>200000</v>
      </c>
      <c r="Z84">
        <v>180000</v>
      </c>
      <c r="AA84">
        <v>0</v>
      </c>
      <c r="AB84">
        <v>0</v>
      </c>
      <c r="AC84">
        <v>200000</v>
      </c>
      <c r="AD84">
        <v>160000</v>
      </c>
      <c r="AF84" t="s">
        <v>57</v>
      </c>
      <c r="AG84">
        <v>6</v>
      </c>
      <c r="AH84">
        <v>9</v>
      </c>
      <c r="AI84">
        <v>0</v>
      </c>
      <c r="AJ84">
        <v>0</v>
      </c>
      <c r="AK84">
        <v>3</v>
      </c>
      <c r="AL84">
        <v>3</v>
      </c>
      <c r="AM84" t="s">
        <v>99</v>
      </c>
      <c r="AN84">
        <v>718</v>
      </c>
      <c r="AO84">
        <v>326</v>
      </c>
      <c r="AP84">
        <v>1567</v>
      </c>
      <c r="AQ84">
        <v>1567</v>
      </c>
      <c r="AR84" t="s">
        <v>57</v>
      </c>
      <c r="AS84">
        <f>+VLOOKUP(playerround[[#This Row],[player_id]],player[],5,0)</f>
        <v>127</v>
      </c>
      <c r="AT84">
        <f>+VLOOKUP(playerround[[#This Row],[groupround_id]],groupround[],6,FALSE)</f>
        <v>2</v>
      </c>
      <c r="AU84">
        <f>playerround[[#This Row],[mortgage_payment]]+playerround[[#This Row],[spent_savings_for_buying_house]]</f>
        <v>20000</v>
      </c>
      <c r="AV84">
        <f>playerround[[#This Row],[cost_fluvial_damage]]+playerround[[#This Row],[cost_pluvial_damage]]</f>
        <v>0</v>
      </c>
    </row>
    <row r="85" spans="1:48" x14ac:dyDescent="0.3">
      <c r="A85">
        <v>1399</v>
      </c>
      <c r="B85" s="1">
        <v>45937.595520833333</v>
      </c>
      <c r="C85">
        <v>130000</v>
      </c>
      <c r="D85">
        <v>75000</v>
      </c>
      <c r="E85">
        <v>0</v>
      </c>
      <c r="F85">
        <v>20000</v>
      </c>
      <c r="G85">
        <v>0</v>
      </c>
      <c r="H85">
        <v>0</v>
      </c>
      <c r="I85">
        <v>15000</v>
      </c>
      <c r="J85">
        <v>16000</v>
      </c>
      <c r="K85">
        <v>25500</v>
      </c>
      <c r="L85">
        <v>0</v>
      </c>
      <c r="M85">
        <v>0</v>
      </c>
      <c r="N85">
        <v>15500</v>
      </c>
      <c r="O85">
        <v>0</v>
      </c>
      <c r="P85">
        <v>0</v>
      </c>
      <c r="Q85">
        <v>1</v>
      </c>
      <c r="R85">
        <v>4</v>
      </c>
      <c r="S85">
        <v>0</v>
      </c>
      <c r="T85">
        <v>0</v>
      </c>
      <c r="U85">
        <v>0</v>
      </c>
      <c r="V85">
        <v>16</v>
      </c>
      <c r="W85">
        <v>7</v>
      </c>
      <c r="X85">
        <v>200000</v>
      </c>
      <c r="Y85">
        <v>200000</v>
      </c>
      <c r="Z85">
        <v>160000</v>
      </c>
      <c r="AA85">
        <v>0</v>
      </c>
      <c r="AB85">
        <v>0</v>
      </c>
      <c r="AC85">
        <v>200000</v>
      </c>
      <c r="AD85">
        <v>140000</v>
      </c>
      <c r="AF85" t="s">
        <v>57</v>
      </c>
      <c r="AG85">
        <v>6</v>
      </c>
      <c r="AH85">
        <v>9</v>
      </c>
      <c r="AI85">
        <v>-2</v>
      </c>
      <c r="AJ85">
        <v>-1</v>
      </c>
      <c r="AK85">
        <v>5</v>
      </c>
      <c r="AL85">
        <v>4</v>
      </c>
      <c r="AM85" t="s">
        <v>99</v>
      </c>
      <c r="AN85">
        <v>718</v>
      </c>
      <c r="AO85">
        <v>331</v>
      </c>
      <c r="AP85">
        <v>1567</v>
      </c>
      <c r="AQ85">
        <v>1567</v>
      </c>
      <c r="AR85" t="s">
        <v>57</v>
      </c>
      <c r="AS85">
        <f>+VLOOKUP(playerround[[#This Row],[player_id]],player[],5,0)</f>
        <v>127</v>
      </c>
      <c r="AT85">
        <f>+VLOOKUP(playerround[[#This Row],[groupround_id]],groupround[],6,FALSE)</f>
        <v>3</v>
      </c>
      <c r="AU85">
        <f>playerround[[#This Row],[mortgage_payment]]+playerround[[#This Row],[spent_savings_for_buying_house]]</f>
        <v>20000</v>
      </c>
      <c r="AV85">
        <f>playerround[[#This Row],[cost_fluvial_damage]]+playerround[[#This Row],[cost_pluvial_damage]]</f>
        <v>0</v>
      </c>
    </row>
    <row r="86" spans="1:48" x14ac:dyDescent="0.3">
      <c r="A86">
        <v>1426</v>
      </c>
      <c r="B86" s="1">
        <v>45937.595520833333</v>
      </c>
      <c r="C86">
        <v>130000</v>
      </c>
      <c r="D86">
        <v>75000</v>
      </c>
      <c r="E86">
        <v>0</v>
      </c>
      <c r="F86">
        <v>20000</v>
      </c>
      <c r="G86">
        <v>0</v>
      </c>
      <c r="H86">
        <v>0</v>
      </c>
      <c r="I86">
        <v>20000</v>
      </c>
      <c r="J86">
        <v>0</v>
      </c>
      <c r="K86">
        <v>25500</v>
      </c>
      <c r="L86">
        <v>0</v>
      </c>
      <c r="M86">
        <v>0</v>
      </c>
      <c r="N86">
        <v>5000</v>
      </c>
      <c r="O86">
        <v>0</v>
      </c>
      <c r="P86">
        <v>0</v>
      </c>
      <c r="Q86">
        <v>0</v>
      </c>
      <c r="R86">
        <v>4</v>
      </c>
      <c r="S86">
        <v>0</v>
      </c>
      <c r="T86">
        <v>0</v>
      </c>
      <c r="U86">
        <v>0</v>
      </c>
      <c r="V86">
        <v>22</v>
      </c>
      <c r="W86">
        <v>7</v>
      </c>
      <c r="X86">
        <v>200000</v>
      </c>
      <c r="Y86">
        <v>200000</v>
      </c>
      <c r="Z86">
        <v>140000</v>
      </c>
      <c r="AA86">
        <v>0</v>
      </c>
      <c r="AB86">
        <v>0</v>
      </c>
      <c r="AC86">
        <v>200000</v>
      </c>
      <c r="AD86">
        <v>120000</v>
      </c>
      <c r="AF86" t="s">
        <v>57</v>
      </c>
      <c r="AG86">
        <v>6</v>
      </c>
      <c r="AH86">
        <v>9</v>
      </c>
      <c r="AI86">
        <v>-2</v>
      </c>
      <c r="AJ86">
        <v>-1</v>
      </c>
      <c r="AK86">
        <v>5</v>
      </c>
      <c r="AL86">
        <v>4</v>
      </c>
      <c r="AM86" t="s">
        <v>99</v>
      </c>
      <c r="AN86">
        <v>718</v>
      </c>
      <c r="AO86">
        <v>335</v>
      </c>
      <c r="AP86">
        <v>1567</v>
      </c>
      <c r="AQ86">
        <v>1567</v>
      </c>
      <c r="AR86" t="s">
        <v>57</v>
      </c>
      <c r="AS86">
        <f>+VLOOKUP(playerround[[#This Row],[player_id]],player[],5,0)</f>
        <v>127</v>
      </c>
      <c r="AT86">
        <f>+VLOOKUP(playerround[[#This Row],[groupround_id]],groupround[],6,FALSE)</f>
        <v>4</v>
      </c>
      <c r="AU86">
        <f>playerround[[#This Row],[mortgage_payment]]+playerround[[#This Row],[spent_savings_for_buying_house]]</f>
        <v>20000</v>
      </c>
      <c r="AV86">
        <f>playerround[[#This Row],[cost_fluvial_damage]]+playerround[[#This Row],[cost_pluvial_damage]]</f>
        <v>0</v>
      </c>
    </row>
    <row r="87" spans="1:48" x14ac:dyDescent="0.3">
      <c r="A87">
        <v>1330</v>
      </c>
      <c r="B87" s="1">
        <v>45937.579965277779</v>
      </c>
      <c r="C87">
        <v>190000</v>
      </c>
      <c r="D87">
        <v>115000</v>
      </c>
      <c r="E87">
        <v>0</v>
      </c>
      <c r="F87">
        <v>0</v>
      </c>
      <c r="G87">
        <v>0</v>
      </c>
      <c r="H87">
        <v>0</v>
      </c>
      <c r="I87">
        <v>0</v>
      </c>
      <c r="J87">
        <v>0</v>
      </c>
      <c r="K87">
        <v>0</v>
      </c>
      <c r="L87">
        <v>0</v>
      </c>
      <c r="M87">
        <v>0</v>
      </c>
      <c r="N87">
        <v>80000</v>
      </c>
      <c r="O87">
        <v>0</v>
      </c>
      <c r="P87">
        <v>0</v>
      </c>
      <c r="Q87">
        <v>0</v>
      </c>
      <c r="R87">
        <v>0</v>
      </c>
      <c r="S87">
        <v>0</v>
      </c>
      <c r="T87">
        <v>0</v>
      </c>
      <c r="U87">
        <v>0</v>
      </c>
      <c r="V87">
        <v>5</v>
      </c>
      <c r="W87">
        <v>8</v>
      </c>
      <c r="X87">
        <v>300000</v>
      </c>
      <c r="Y87">
        <v>0</v>
      </c>
      <c r="Z87">
        <v>0</v>
      </c>
      <c r="AA87">
        <v>0</v>
      </c>
      <c r="AB87">
        <v>0</v>
      </c>
      <c r="AC87">
        <v>0</v>
      </c>
      <c r="AD87">
        <v>0</v>
      </c>
      <c r="AF87" t="s">
        <v>57</v>
      </c>
      <c r="AG87">
        <v>0</v>
      </c>
      <c r="AH87">
        <v>0</v>
      </c>
      <c r="AI87">
        <v>0</v>
      </c>
      <c r="AJ87">
        <v>0</v>
      </c>
      <c r="AK87">
        <v>0</v>
      </c>
      <c r="AL87">
        <v>0</v>
      </c>
      <c r="AM87" t="s">
        <v>86</v>
      </c>
      <c r="AN87">
        <v>719</v>
      </c>
      <c r="AO87">
        <v>319</v>
      </c>
      <c r="AR87" t="s">
        <v>57</v>
      </c>
      <c r="AS87">
        <f>+VLOOKUP(playerround[[#This Row],[player_id]],player[],5,0)</f>
        <v>128</v>
      </c>
      <c r="AT87">
        <f>+VLOOKUP(playerround[[#This Row],[groupround_id]],groupround[],6,FALSE)</f>
        <v>0</v>
      </c>
      <c r="AU87">
        <f>playerround[[#This Row],[mortgage_payment]]+playerround[[#This Row],[spent_savings_for_buying_house]]</f>
        <v>0</v>
      </c>
      <c r="AV87">
        <f>playerround[[#This Row],[cost_fluvial_damage]]+playerround[[#This Row],[cost_pluvial_damage]]</f>
        <v>0</v>
      </c>
    </row>
    <row r="88" spans="1:48" x14ac:dyDescent="0.3">
      <c r="A88">
        <v>1340</v>
      </c>
      <c r="B88" s="1">
        <v>45937.579965277779</v>
      </c>
      <c r="C88">
        <v>190000</v>
      </c>
      <c r="D88">
        <v>115000</v>
      </c>
      <c r="E88">
        <v>0</v>
      </c>
      <c r="F88">
        <v>20000</v>
      </c>
      <c r="G88">
        <v>0</v>
      </c>
      <c r="H88">
        <v>0</v>
      </c>
      <c r="I88">
        <v>15000</v>
      </c>
      <c r="J88">
        <v>23000</v>
      </c>
      <c r="K88">
        <v>4000</v>
      </c>
      <c r="L88">
        <v>0</v>
      </c>
      <c r="M88">
        <v>0</v>
      </c>
      <c r="N88">
        <v>93000</v>
      </c>
      <c r="O88">
        <v>0</v>
      </c>
      <c r="P88">
        <v>-2</v>
      </c>
      <c r="Q88">
        <v>3</v>
      </c>
      <c r="R88">
        <v>0</v>
      </c>
      <c r="S88">
        <v>0</v>
      </c>
      <c r="T88">
        <v>0</v>
      </c>
      <c r="U88">
        <v>0</v>
      </c>
      <c r="V88">
        <v>6</v>
      </c>
      <c r="W88">
        <v>8</v>
      </c>
      <c r="X88">
        <v>300000</v>
      </c>
      <c r="Y88">
        <v>0</v>
      </c>
      <c r="Z88">
        <v>0</v>
      </c>
      <c r="AA88">
        <v>0</v>
      </c>
      <c r="AB88">
        <v>200000</v>
      </c>
      <c r="AC88">
        <v>200000</v>
      </c>
      <c r="AD88">
        <v>180000</v>
      </c>
      <c r="AF88" t="s">
        <v>57</v>
      </c>
      <c r="AG88">
        <v>6</v>
      </c>
      <c r="AH88">
        <v>9</v>
      </c>
      <c r="AI88">
        <v>0</v>
      </c>
      <c r="AJ88">
        <v>0</v>
      </c>
      <c r="AK88">
        <v>4</v>
      </c>
      <c r="AL88">
        <v>3</v>
      </c>
      <c r="AM88" t="s">
        <v>99</v>
      </c>
      <c r="AN88">
        <v>719</v>
      </c>
      <c r="AO88">
        <v>322</v>
      </c>
      <c r="AQ88">
        <v>1566</v>
      </c>
      <c r="AR88" t="s">
        <v>57</v>
      </c>
      <c r="AS88">
        <f>+VLOOKUP(playerround[[#This Row],[player_id]],player[],5,0)</f>
        <v>128</v>
      </c>
      <c r="AT88">
        <f>+VLOOKUP(playerround[[#This Row],[groupround_id]],groupround[],6,FALSE)</f>
        <v>1</v>
      </c>
      <c r="AU88">
        <f>playerround[[#This Row],[mortgage_payment]]+playerround[[#This Row],[spent_savings_for_buying_house]]</f>
        <v>20000</v>
      </c>
      <c r="AV88">
        <f>playerround[[#This Row],[cost_fluvial_damage]]+playerround[[#This Row],[cost_pluvial_damage]]</f>
        <v>0</v>
      </c>
    </row>
    <row r="89" spans="1:48" x14ac:dyDescent="0.3">
      <c r="A89">
        <v>1375</v>
      </c>
      <c r="B89" s="1">
        <v>45937.579965277779</v>
      </c>
      <c r="C89">
        <v>190000</v>
      </c>
      <c r="D89">
        <v>115000</v>
      </c>
      <c r="E89">
        <v>0</v>
      </c>
      <c r="F89">
        <v>20000</v>
      </c>
      <c r="G89">
        <v>0</v>
      </c>
      <c r="H89">
        <v>0</v>
      </c>
      <c r="I89">
        <v>15000</v>
      </c>
      <c r="J89">
        <v>10000</v>
      </c>
      <c r="K89">
        <v>19000</v>
      </c>
      <c r="L89">
        <v>0</v>
      </c>
      <c r="M89">
        <v>0</v>
      </c>
      <c r="N89">
        <v>104000</v>
      </c>
      <c r="O89">
        <v>0</v>
      </c>
      <c r="P89">
        <v>0</v>
      </c>
      <c r="Q89">
        <v>0</v>
      </c>
      <c r="R89">
        <v>3</v>
      </c>
      <c r="S89">
        <v>0</v>
      </c>
      <c r="T89">
        <v>0</v>
      </c>
      <c r="U89">
        <v>0</v>
      </c>
      <c r="V89">
        <v>9</v>
      </c>
      <c r="W89">
        <v>8</v>
      </c>
      <c r="X89">
        <v>300000</v>
      </c>
      <c r="Y89">
        <v>200000</v>
      </c>
      <c r="Z89">
        <v>180000</v>
      </c>
      <c r="AA89">
        <v>0</v>
      </c>
      <c r="AB89">
        <v>0</v>
      </c>
      <c r="AC89">
        <v>200000</v>
      </c>
      <c r="AD89">
        <v>140000</v>
      </c>
      <c r="AF89" t="s">
        <v>57</v>
      </c>
      <c r="AG89">
        <v>6</v>
      </c>
      <c r="AH89">
        <v>9</v>
      </c>
      <c r="AI89">
        <v>0</v>
      </c>
      <c r="AJ89">
        <v>0</v>
      </c>
      <c r="AK89">
        <v>5</v>
      </c>
      <c r="AL89">
        <v>4</v>
      </c>
      <c r="AM89" t="s">
        <v>99</v>
      </c>
      <c r="AN89">
        <v>719</v>
      </c>
      <c r="AO89">
        <v>326</v>
      </c>
      <c r="AP89">
        <v>1566</v>
      </c>
      <c r="AQ89">
        <v>1566</v>
      </c>
      <c r="AR89" t="s">
        <v>57</v>
      </c>
      <c r="AS89">
        <f>+VLOOKUP(playerround[[#This Row],[player_id]],player[],5,0)</f>
        <v>128</v>
      </c>
      <c r="AT89">
        <f>+VLOOKUP(playerround[[#This Row],[groupround_id]],groupround[],6,FALSE)</f>
        <v>2</v>
      </c>
      <c r="AU89">
        <f>playerround[[#This Row],[mortgage_payment]]+playerround[[#This Row],[spent_savings_for_buying_house]]</f>
        <v>20000</v>
      </c>
      <c r="AV89">
        <f>playerround[[#This Row],[cost_fluvial_damage]]+playerround[[#This Row],[cost_pluvial_damage]]</f>
        <v>0</v>
      </c>
    </row>
    <row r="90" spans="1:48" x14ac:dyDescent="0.3">
      <c r="A90">
        <v>1403</v>
      </c>
      <c r="B90" s="1">
        <v>45937.579965277779</v>
      </c>
      <c r="C90">
        <v>190000</v>
      </c>
      <c r="D90">
        <v>115000</v>
      </c>
      <c r="E90">
        <v>0</v>
      </c>
      <c r="F90">
        <v>20000</v>
      </c>
      <c r="G90">
        <v>0</v>
      </c>
      <c r="H90">
        <v>0</v>
      </c>
      <c r="I90">
        <v>15000</v>
      </c>
      <c r="J90">
        <v>0</v>
      </c>
      <c r="K90">
        <v>28500</v>
      </c>
      <c r="L90">
        <v>0</v>
      </c>
      <c r="M90">
        <v>0</v>
      </c>
      <c r="N90">
        <v>115500</v>
      </c>
      <c r="O90">
        <v>0</v>
      </c>
      <c r="P90">
        <v>0</v>
      </c>
      <c r="Q90">
        <v>0</v>
      </c>
      <c r="R90">
        <v>4</v>
      </c>
      <c r="S90">
        <v>0</v>
      </c>
      <c r="T90">
        <v>0</v>
      </c>
      <c r="U90">
        <v>0</v>
      </c>
      <c r="V90">
        <v>13</v>
      </c>
      <c r="W90">
        <v>8</v>
      </c>
      <c r="X90">
        <v>300000</v>
      </c>
      <c r="Y90">
        <v>200000</v>
      </c>
      <c r="Z90">
        <v>140000</v>
      </c>
      <c r="AA90">
        <v>0</v>
      </c>
      <c r="AB90">
        <v>0</v>
      </c>
      <c r="AC90">
        <v>200000</v>
      </c>
      <c r="AD90">
        <v>100000</v>
      </c>
      <c r="AF90" t="s">
        <v>57</v>
      </c>
      <c r="AG90">
        <v>6</v>
      </c>
      <c r="AH90">
        <v>9</v>
      </c>
      <c r="AI90">
        <v>-2</v>
      </c>
      <c r="AJ90">
        <v>-1</v>
      </c>
      <c r="AK90">
        <v>5</v>
      </c>
      <c r="AL90">
        <v>4</v>
      </c>
      <c r="AM90" t="s">
        <v>99</v>
      </c>
      <c r="AN90">
        <v>719</v>
      </c>
      <c r="AO90">
        <v>331</v>
      </c>
      <c r="AP90">
        <v>1566</v>
      </c>
      <c r="AQ90">
        <v>1566</v>
      </c>
      <c r="AR90" t="s">
        <v>57</v>
      </c>
      <c r="AS90">
        <f>+VLOOKUP(playerround[[#This Row],[player_id]],player[],5,0)</f>
        <v>128</v>
      </c>
      <c r="AT90">
        <f>+VLOOKUP(playerround[[#This Row],[groupround_id]],groupround[],6,FALSE)</f>
        <v>3</v>
      </c>
      <c r="AU90">
        <f>playerround[[#This Row],[mortgage_payment]]+playerround[[#This Row],[spent_savings_for_buying_house]]</f>
        <v>20000</v>
      </c>
      <c r="AV90">
        <f>playerround[[#This Row],[cost_fluvial_damage]]+playerround[[#This Row],[cost_pluvial_damage]]</f>
        <v>0</v>
      </c>
    </row>
    <row r="91" spans="1:48" x14ac:dyDescent="0.3">
      <c r="A91">
        <v>1423</v>
      </c>
      <c r="B91" s="1">
        <v>45937.579965277779</v>
      </c>
      <c r="C91">
        <v>190000</v>
      </c>
      <c r="D91">
        <v>115000</v>
      </c>
      <c r="E91">
        <v>0</v>
      </c>
      <c r="F91">
        <v>20000</v>
      </c>
      <c r="G91">
        <v>0</v>
      </c>
      <c r="H91">
        <v>0</v>
      </c>
      <c r="I91">
        <v>20000</v>
      </c>
      <c r="J91">
        <v>0</v>
      </c>
      <c r="K91">
        <v>28500</v>
      </c>
      <c r="L91">
        <v>0</v>
      </c>
      <c r="M91">
        <v>0</v>
      </c>
      <c r="N91">
        <v>122000</v>
      </c>
      <c r="O91">
        <v>0</v>
      </c>
      <c r="P91">
        <v>0</v>
      </c>
      <c r="Q91">
        <v>0</v>
      </c>
      <c r="R91">
        <v>4</v>
      </c>
      <c r="S91">
        <v>0</v>
      </c>
      <c r="T91">
        <v>0</v>
      </c>
      <c r="U91">
        <v>0</v>
      </c>
      <c r="V91">
        <v>19</v>
      </c>
      <c r="W91">
        <v>8</v>
      </c>
      <c r="X91">
        <v>300000</v>
      </c>
      <c r="Y91">
        <v>200000</v>
      </c>
      <c r="Z91">
        <v>100000</v>
      </c>
      <c r="AA91">
        <v>0</v>
      </c>
      <c r="AB91">
        <v>0</v>
      </c>
      <c r="AC91">
        <v>200000</v>
      </c>
      <c r="AD91">
        <v>80000</v>
      </c>
      <c r="AF91" t="s">
        <v>57</v>
      </c>
      <c r="AG91">
        <v>6</v>
      </c>
      <c r="AH91">
        <v>9</v>
      </c>
      <c r="AI91">
        <v>-2</v>
      </c>
      <c r="AJ91">
        <v>-1</v>
      </c>
      <c r="AK91">
        <v>5</v>
      </c>
      <c r="AL91">
        <v>4</v>
      </c>
      <c r="AM91" t="s">
        <v>99</v>
      </c>
      <c r="AN91">
        <v>719</v>
      </c>
      <c r="AO91">
        <v>335</v>
      </c>
      <c r="AP91">
        <v>1566</v>
      </c>
      <c r="AQ91">
        <v>1566</v>
      </c>
      <c r="AR91" t="s">
        <v>57</v>
      </c>
      <c r="AS91">
        <f>+VLOOKUP(playerround[[#This Row],[player_id]],player[],5,0)</f>
        <v>128</v>
      </c>
      <c r="AT91">
        <f>+VLOOKUP(playerround[[#This Row],[groupround_id]],groupround[],6,FALSE)</f>
        <v>4</v>
      </c>
      <c r="AU91">
        <f>playerround[[#This Row],[mortgage_payment]]+playerround[[#This Row],[spent_savings_for_buying_house]]</f>
        <v>20000</v>
      </c>
      <c r="AV91">
        <f>playerround[[#This Row],[cost_fluvial_damage]]+playerround[[#This Row],[cost_pluvial_damage]]</f>
        <v>0</v>
      </c>
    </row>
    <row r="92" spans="1:48" x14ac:dyDescent="0.3">
      <c r="A92">
        <v>1335</v>
      </c>
      <c r="B92" s="1">
        <v>45937.584537037037</v>
      </c>
      <c r="C92">
        <v>75000</v>
      </c>
      <c r="D92">
        <v>40000</v>
      </c>
      <c r="E92">
        <v>0</v>
      </c>
      <c r="F92">
        <v>0</v>
      </c>
      <c r="G92">
        <v>0</v>
      </c>
      <c r="H92">
        <v>0</v>
      </c>
      <c r="I92">
        <v>0</v>
      </c>
      <c r="J92">
        <v>0</v>
      </c>
      <c r="K92">
        <v>0</v>
      </c>
      <c r="L92">
        <v>0</v>
      </c>
      <c r="M92">
        <v>0</v>
      </c>
      <c r="N92">
        <v>5000</v>
      </c>
      <c r="O92">
        <v>0</v>
      </c>
      <c r="P92">
        <v>0</v>
      </c>
      <c r="Q92">
        <v>0</v>
      </c>
      <c r="R92">
        <v>0</v>
      </c>
      <c r="S92">
        <v>0</v>
      </c>
      <c r="T92">
        <v>0</v>
      </c>
      <c r="U92">
        <v>0</v>
      </c>
      <c r="V92">
        <v>5</v>
      </c>
      <c r="W92">
        <v>4</v>
      </c>
      <c r="X92">
        <v>110000</v>
      </c>
      <c r="Y92">
        <v>0</v>
      </c>
      <c r="Z92">
        <v>0</v>
      </c>
      <c r="AA92">
        <v>0</v>
      </c>
      <c r="AB92">
        <v>0</v>
      </c>
      <c r="AC92">
        <v>0</v>
      </c>
      <c r="AD92">
        <v>0</v>
      </c>
      <c r="AF92" t="s">
        <v>57</v>
      </c>
      <c r="AG92">
        <v>0</v>
      </c>
      <c r="AH92">
        <v>0</v>
      </c>
      <c r="AI92">
        <v>0</v>
      </c>
      <c r="AJ92">
        <v>0</v>
      </c>
      <c r="AK92">
        <v>0</v>
      </c>
      <c r="AL92">
        <v>0</v>
      </c>
      <c r="AM92" t="s">
        <v>86</v>
      </c>
      <c r="AN92">
        <v>722</v>
      </c>
      <c r="AO92">
        <v>320</v>
      </c>
      <c r="AR92" t="s">
        <v>57</v>
      </c>
      <c r="AS92">
        <f>+VLOOKUP(playerround[[#This Row],[player_id]],player[],5,0)</f>
        <v>124</v>
      </c>
      <c r="AT92">
        <f>+VLOOKUP(playerround[[#This Row],[groupround_id]],groupround[],6,FALSE)</f>
        <v>0</v>
      </c>
      <c r="AU92">
        <f>playerround[[#This Row],[mortgage_payment]]+playerround[[#This Row],[spent_savings_for_buying_house]]</f>
        <v>0</v>
      </c>
      <c r="AV92">
        <f>playerround[[#This Row],[cost_fluvial_damage]]+playerround[[#This Row],[cost_pluvial_damage]]</f>
        <v>0</v>
      </c>
    </row>
    <row r="93" spans="1:48" x14ac:dyDescent="0.3">
      <c r="A93">
        <v>1348</v>
      </c>
      <c r="B93" s="1">
        <v>45937.584537037037</v>
      </c>
      <c r="C93">
        <v>75000</v>
      </c>
      <c r="D93">
        <v>40000</v>
      </c>
      <c r="E93">
        <v>0</v>
      </c>
      <c r="F93">
        <v>11000</v>
      </c>
      <c r="G93">
        <v>0</v>
      </c>
      <c r="H93">
        <v>15000</v>
      </c>
      <c r="I93">
        <v>15000</v>
      </c>
      <c r="J93">
        <v>0</v>
      </c>
      <c r="K93">
        <v>0</v>
      </c>
      <c r="L93">
        <v>4000</v>
      </c>
      <c r="M93">
        <v>4000</v>
      </c>
      <c r="N93">
        <v>-9000</v>
      </c>
      <c r="O93">
        <v>0</v>
      </c>
      <c r="P93">
        <v>0</v>
      </c>
      <c r="Q93">
        <v>0</v>
      </c>
      <c r="R93">
        <v>0</v>
      </c>
      <c r="S93">
        <v>2</v>
      </c>
      <c r="T93">
        <v>1</v>
      </c>
      <c r="U93">
        <v>0</v>
      </c>
      <c r="V93">
        <v>2</v>
      </c>
      <c r="W93">
        <v>4</v>
      </c>
      <c r="X93">
        <v>110000</v>
      </c>
      <c r="Y93">
        <v>0</v>
      </c>
      <c r="Z93">
        <v>0</v>
      </c>
      <c r="AA93">
        <v>0</v>
      </c>
      <c r="AB93">
        <v>125000</v>
      </c>
      <c r="AC93">
        <v>110000</v>
      </c>
      <c r="AD93">
        <v>99000</v>
      </c>
      <c r="AF93" t="s">
        <v>57</v>
      </c>
      <c r="AG93">
        <v>6</v>
      </c>
      <c r="AH93">
        <v>6</v>
      </c>
      <c r="AI93">
        <v>0</v>
      </c>
      <c r="AJ93">
        <v>0</v>
      </c>
      <c r="AK93">
        <v>0</v>
      </c>
      <c r="AL93">
        <v>0</v>
      </c>
      <c r="AM93" t="s">
        <v>99</v>
      </c>
      <c r="AN93">
        <v>722</v>
      </c>
      <c r="AO93">
        <v>323</v>
      </c>
      <c r="AQ93">
        <v>1592</v>
      </c>
      <c r="AR93" t="s">
        <v>57</v>
      </c>
      <c r="AS93">
        <f>+VLOOKUP(playerround[[#This Row],[player_id]],player[],5,0)</f>
        <v>124</v>
      </c>
      <c r="AT93">
        <f>+VLOOKUP(playerround[[#This Row],[groupround_id]],groupround[],6,FALSE)</f>
        <v>1</v>
      </c>
      <c r="AU93">
        <f>playerround[[#This Row],[mortgage_payment]]+playerround[[#This Row],[spent_savings_for_buying_house]]</f>
        <v>26000</v>
      </c>
      <c r="AV93">
        <f>playerround[[#This Row],[cost_fluvial_damage]]+playerround[[#This Row],[cost_pluvial_damage]]</f>
        <v>8000</v>
      </c>
    </row>
    <row r="94" spans="1:48" x14ac:dyDescent="0.3">
      <c r="A94">
        <v>1373</v>
      </c>
      <c r="B94" s="1">
        <v>45937.584537037037</v>
      </c>
      <c r="C94">
        <v>75000</v>
      </c>
      <c r="D94">
        <v>40000</v>
      </c>
      <c r="E94">
        <v>9000</v>
      </c>
      <c r="F94">
        <v>11000</v>
      </c>
      <c r="G94">
        <v>0</v>
      </c>
      <c r="H94">
        <v>0</v>
      </c>
      <c r="I94">
        <v>15000</v>
      </c>
      <c r="J94">
        <v>0</v>
      </c>
      <c r="K94">
        <v>0</v>
      </c>
      <c r="L94">
        <v>4000</v>
      </c>
      <c r="M94">
        <v>0</v>
      </c>
      <c r="N94">
        <v>-4000</v>
      </c>
      <c r="O94">
        <v>0</v>
      </c>
      <c r="P94">
        <v>0</v>
      </c>
      <c r="Q94">
        <v>0</v>
      </c>
      <c r="R94">
        <v>0</v>
      </c>
      <c r="S94">
        <v>2</v>
      </c>
      <c r="T94">
        <v>0</v>
      </c>
      <c r="U94">
        <v>1</v>
      </c>
      <c r="V94">
        <v>-1</v>
      </c>
      <c r="W94">
        <v>4</v>
      </c>
      <c r="X94">
        <v>110000</v>
      </c>
      <c r="Y94">
        <v>110000</v>
      </c>
      <c r="Z94">
        <v>99000</v>
      </c>
      <c r="AA94">
        <v>0</v>
      </c>
      <c r="AB94">
        <v>0</v>
      </c>
      <c r="AC94">
        <v>110000</v>
      </c>
      <c r="AD94">
        <v>88000</v>
      </c>
      <c r="AF94" t="s">
        <v>57</v>
      </c>
      <c r="AG94">
        <v>6</v>
      </c>
      <c r="AH94">
        <v>6</v>
      </c>
      <c r="AI94">
        <v>0</v>
      </c>
      <c r="AJ94">
        <v>0</v>
      </c>
      <c r="AK94">
        <v>0</v>
      </c>
      <c r="AL94">
        <v>0</v>
      </c>
      <c r="AM94" t="s">
        <v>99</v>
      </c>
      <c r="AN94">
        <v>722</v>
      </c>
      <c r="AO94">
        <v>327</v>
      </c>
      <c r="AP94">
        <v>1592</v>
      </c>
      <c r="AQ94">
        <v>1592</v>
      </c>
      <c r="AR94" t="s">
        <v>57</v>
      </c>
      <c r="AS94">
        <f>+VLOOKUP(playerround[[#This Row],[player_id]],player[],5,0)</f>
        <v>124</v>
      </c>
      <c r="AT94">
        <f>+VLOOKUP(playerround[[#This Row],[groupround_id]],groupround[],6,FALSE)</f>
        <v>2</v>
      </c>
      <c r="AU94">
        <f>playerround[[#This Row],[mortgage_payment]]+playerround[[#This Row],[spent_savings_for_buying_house]]</f>
        <v>11000</v>
      </c>
      <c r="AV94">
        <f>playerround[[#This Row],[cost_fluvial_damage]]+playerround[[#This Row],[cost_pluvial_damage]]</f>
        <v>4000</v>
      </c>
    </row>
    <row r="95" spans="1:48" x14ac:dyDescent="0.3">
      <c r="A95">
        <v>1394</v>
      </c>
      <c r="B95" s="1">
        <v>45937.584537037037</v>
      </c>
      <c r="C95">
        <v>75000</v>
      </c>
      <c r="D95">
        <v>40000</v>
      </c>
      <c r="E95">
        <v>4000</v>
      </c>
      <c r="F95">
        <v>11000</v>
      </c>
      <c r="G95">
        <v>0</v>
      </c>
      <c r="H95">
        <v>0</v>
      </c>
      <c r="I95">
        <v>15000</v>
      </c>
      <c r="J95">
        <v>0</v>
      </c>
      <c r="K95">
        <v>3125</v>
      </c>
      <c r="L95">
        <v>8000</v>
      </c>
      <c r="M95">
        <v>4000</v>
      </c>
      <c r="N95">
        <v>-10125</v>
      </c>
      <c r="O95">
        <v>0</v>
      </c>
      <c r="P95">
        <v>0</v>
      </c>
      <c r="Q95">
        <v>0</v>
      </c>
      <c r="R95">
        <v>1</v>
      </c>
      <c r="S95">
        <v>3</v>
      </c>
      <c r="T95">
        <v>1</v>
      </c>
      <c r="U95">
        <v>1</v>
      </c>
      <c r="V95">
        <v>-5</v>
      </c>
      <c r="W95">
        <v>4</v>
      </c>
      <c r="X95">
        <v>110000</v>
      </c>
      <c r="Y95">
        <v>110000</v>
      </c>
      <c r="Z95">
        <v>88000</v>
      </c>
      <c r="AA95">
        <v>0</v>
      </c>
      <c r="AB95">
        <v>0</v>
      </c>
      <c r="AC95">
        <v>110000</v>
      </c>
      <c r="AD95">
        <v>77000</v>
      </c>
      <c r="AF95" t="s">
        <v>57</v>
      </c>
      <c r="AG95">
        <v>6</v>
      </c>
      <c r="AH95">
        <v>6</v>
      </c>
      <c r="AI95">
        <v>-2</v>
      </c>
      <c r="AJ95">
        <v>-1</v>
      </c>
      <c r="AK95">
        <v>0</v>
      </c>
      <c r="AL95">
        <v>0</v>
      </c>
      <c r="AM95" t="s">
        <v>99</v>
      </c>
      <c r="AN95">
        <v>722</v>
      </c>
      <c r="AO95">
        <v>330</v>
      </c>
      <c r="AP95">
        <v>1592</v>
      </c>
      <c r="AQ95">
        <v>1592</v>
      </c>
      <c r="AR95" t="s">
        <v>57</v>
      </c>
      <c r="AS95">
        <f>+VLOOKUP(playerround[[#This Row],[player_id]],player[],5,0)</f>
        <v>124</v>
      </c>
      <c r="AT95">
        <f>+VLOOKUP(playerround[[#This Row],[groupround_id]],groupround[],6,FALSE)</f>
        <v>3</v>
      </c>
      <c r="AU95">
        <f>playerround[[#This Row],[mortgage_payment]]+playerround[[#This Row],[spent_savings_for_buying_house]]</f>
        <v>11000</v>
      </c>
      <c r="AV95">
        <f>playerround[[#This Row],[cost_fluvial_damage]]+playerround[[#This Row],[cost_pluvial_damage]]</f>
        <v>12000</v>
      </c>
    </row>
    <row r="96" spans="1:48" x14ac:dyDescent="0.3">
      <c r="A96">
        <v>1413</v>
      </c>
      <c r="B96" s="1">
        <v>45937.584537037037</v>
      </c>
      <c r="C96">
        <v>75000</v>
      </c>
      <c r="D96">
        <v>40000</v>
      </c>
      <c r="E96">
        <v>10125</v>
      </c>
      <c r="F96">
        <v>11000</v>
      </c>
      <c r="G96">
        <v>0</v>
      </c>
      <c r="H96">
        <v>0</v>
      </c>
      <c r="I96">
        <v>15000</v>
      </c>
      <c r="J96">
        <v>0</v>
      </c>
      <c r="K96">
        <v>0</v>
      </c>
      <c r="L96">
        <v>0</v>
      </c>
      <c r="M96">
        <v>0</v>
      </c>
      <c r="N96">
        <v>-1125</v>
      </c>
      <c r="O96">
        <v>0</v>
      </c>
      <c r="P96">
        <v>0</v>
      </c>
      <c r="Q96">
        <v>0</v>
      </c>
      <c r="R96">
        <v>0</v>
      </c>
      <c r="S96">
        <v>0</v>
      </c>
      <c r="T96">
        <v>0</v>
      </c>
      <c r="U96">
        <v>1</v>
      </c>
      <c r="V96">
        <v>-6</v>
      </c>
      <c r="W96">
        <v>4</v>
      </c>
      <c r="X96">
        <v>110000</v>
      </c>
      <c r="Y96">
        <v>110000</v>
      </c>
      <c r="Z96">
        <v>77000</v>
      </c>
      <c r="AA96">
        <v>0</v>
      </c>
      <c r="AB96">
        <v>0</v>
      </c>
      <c r="AC96">
        <v>110000</v>
      </c>
      <c r="AD96">
        <v>66000</v>
      </c>
      <c r="AF96" t="s">
        <v>57</v>
      </c>
      <c r="AG96">
        <v>6</v>
      </c>
      <c r="AH96">
        <v>6</v>
      </c>
      <c r="AI96">
        <v>-2</v>
      </c>
      <c r="AJ96">
        <v>-1</v>
      </c>
      <c r="AK96">
        <v>0</v>
      </c>
      <c r="AL96">
        <v>0</v>
      </c>
      <c r="AM96" t="s">
        <v>99</v>
      </c>
      <c r="AN96">
        <v>722</v>
      </c>
      <c r="AO96">
        <v>333</v>
      </c>
      <c r="AP96">
        <v>1592</v>
      </c>
      <c r="AQ96">
        <v>1592</v>
      </c>
      <c r="AR96" t="s">
        <v>57</v>
      </c>
      <c r="AS96">
        <f>+VLOOKUP(playerround[[#This Row],[player_id]],player[],5,0)</f>
        <v>124</v>
      </c>
      <c r="AT96">
        <f>+VLOOKUP(playerround[[#This Row],[groupround_id]],groupround[],6,FALSE)</f>
        <v>4</v>
      </c>
      <c r="AU96">
        <f>playerround[[#This Row],[mortgage_payment]]+playerround[[#This Row],[spent_savings_for_buying_house]]</f>
        <v>11000</v>
      </c>
      <c r="AV96">
        <f>playerround[[#This Row],[cost_fluvial_damage]]+playerround[[#This Row],[cost_pluvial_damage]]</f>
        <v>0</v>
      </c>
    </row>
    <row r="97" spans="1:48" x14ac:dyDescent="0.3">
      <c r="A97">
        <v>1324</v>
      </c>
      <c r="B97" s="1">
        <v>45937.578645833331</v>
      </c>
      <c r="C97">
        <v>110000</v>
      </c>
      <c r="D97">
        <v>60000</v>
      </c>
      <c r="E97">
        <v>0</v>
      </c>
      <c r="F97">
        <v>0</v>
      </c>
      <c r="G97">
        <v>0</v>
      </c>
      <c r="H97">
        <v>0</v>
      </c>
      <c r="I97">
        <v>0</v>
      </c>
      <c r="J97">
        <v>0</v>
      </c>
      <c r="K97">
        <v>0</v>
      </c>
      <c r="L97">
        <v>0</v>
      </c>
      <c r="M97">
        <v>0</v>
      </c>
      <c r="N97">
        <v>30000</v>
      </c>
      <c r="O97">
        <v>0</v>
      </c>
      <c r="P97">
        <v>0</v>
      </c>
      <c r="Q97">
        <v>0</v>
      </c>
      <c r="R97">
        <v>0</v>
      </c>
      <c r="S97">
        <v>0</v>
      </c>
      <c r="T97">
        <v>0</v>
      </c>
      <c r="U97">
        <v>0</v>
      </c>
      <c r="V97">
        <v>5</v>
      </c>
      <c r="W97">
        <v>6</v>
      </c>
      <c r="X97">
        <v>170000</v>
      </c>
      <c r="Y97">
        <v>0</v>
      </c>
      <c r="Z97">
        <v>0</v>
      </c>
      <c r="AA97">
        <v>0</v>
      </c>
      <c r="AB97">
        <v>0</v>
      </c>
      <c r="AC97">
        <v>0</v>
      </c>
      <c r="AD97">
        <v>0</v>
      </c>
      <c r="AF97" t="s">
        <v>57</v>
      </c>
      <c r="AG97">
        <v>0</v>
      </c>
      <c r="AH97">
        <v>0</v>
      </c>
      <c r="AI97">
        <v>0</v>
      </c>
      <c r="AJ97">
        <v>0</v>
      </c>
      <c r="AK97">
        <v>0</v>
      </c>
      <c r="AL97">
        <v>0</v>
      </c>
      <c r="AM97" t="s">
        <v>86</v>
      </c>
      <c r="AN97">
        <v>723</v>
      </c>
      <c r="AO97">
        <v>320</v>
      </c>
      <c r="AR97" t="s">
        <v>57</v>
      </c>
      <c r="AS97">
        <f>+VLOOKUP(playerround[[#This Row],[player_id]],player[],5,0)</f>
        <v>126</v>
      </c>
      <c r="AT97">
        <f>+VLOOKUP(playerround[[#This Row],[groupround_id]],groupround[],6,FALSE)</f>
        <v>0</v>
      </c>
      <c r="AU97">
        <f>playerround[[#This Row],[mortgage_payment]]+playerround[[#This Row],[spent_savings_for_buying_house]]</f>
        <v>0</v>
      </c>
      <c r="AV97">
        <f>playerround[[#This Row],[cost_fluvial_damage]]+playerround[[#This Row],[cost_pluvial_damage]]</f>
        <v>0</v>
      </c>
    </row>
    <row r="98" spans="1:48" x14ac:dyDescent="0.3">
      <c r="A98">
        <v>1347</v>
      </c>
      <c r="B98" s="1">
        <v>45937.578645833331</v>
      </c>
      <c r="C98">
        <v>110000</v>
      </c>
      <c r="D98">
        <v>60000</v>
      </c>
      <c r="E98">
        <v>0</v>
      </c>
      <c r="F98">
        <v>16000</v>
      </c>
      <c r="G98">
        <v>0</v>
      </c>
      <c r="H98">
        <v>0</v>
      </c>
      <c r="I98">
        <v>20000</v>
      </c>
      <c r="J98">
        <v>14000</v>
      </c>
      <c r="K98">
        <v>0</v>
      </c>
      <c r="L98">
        <v>0</v>
      </c>
      <c r="M98">
        <v>4000</v>
      </c>
      <c r="N98">
        <v>26000</v>
      </c>
      <c r="O98">
        <v>0</v>
      </c>
      <c r="P98">
        <v>-1</v>
      </c>
      <c r="Q98">
        <v>2</v>
      </c>
      <c r="R98">
        <v>0</v>
      </c>
      <c r="S98">
        <v>0</v>
      </c>
      <c r="T98">
        <v>1</v>
      </c>
      <c r="U98">
        <v>0</v>
      </c>
      <c r="V98">
        <v>5</v>
      </c>
      <c r="W98">
        <v>6</v>
      </c>
      <c r="X98">
        <v>170000</v>
      </c>
      <c r="Y98">
        <v>0</v>
      </c>
      <c r="Z98">
        <v>0</v>
      </c>
      <c r="AA98">
        <v>0</v>
      </c>
      <c r="AB98">
        <v>160000</v>
      </c>
      <c r="AC98">
        <v>160000</v>
      </c>
      <c r="AD98">
        <v>144000</v>
      </c>
      <c r="AF98" t="s">
        <v>57</v>
      </c>
      <c r="AG98">
        <v>4</v>
      </c>
      <c r="AH98">
        <v>9</v>
      </c>
      <c r="AI98">
        <v>0</v>
      </c>
      <c r="AJ98">
        <v>0</v>
      </c>
      <c r="AK98">
        <v>2</v>
      </c>
      <c r="AL98">
        <v>0</v>
      </c>
      <c r="AM98" t="s">
        <v>99</v>
      </c>
      <c r="AN98">
        <v>723</v>
      </c>
      <c r="AO98">
        <v>323</v>
      </c>
      <c r="AQ98">
        <v>1586</v>
      </c>
      <c r="AR98" t="s">
        <v>57</v>
      </c>
      <c r="AS98">
        <f>+VLOOKUP(playerround[[#This Row],[player_id]],player[],5,0)</f>
        <v>126</v>
      </c>
      <c r="AT98">
        <f>+VLOOKUP(playerround[[#This Row],[groupround_id]],groupround[],6,FALSE)</f>
        <v>1</v>
      </c>
      <c r="AU98">
        <f>playerround[[#This Row],[mortgage_payment]]+playerround[[#This Row],[spent_savings_for_buying_house]]</f>
        <v>16000</v>
      </c>
      <c r="AV98">
        <f>playerround[[#This Row],[cost_fluvial_damage]]+playerround[[#This Row],[cost_pluvial_damage]]</f>
        <v>4000</v>
      </c>
    </row>
    <row r="99" spans="1:48" x14ac:dyDescent="0.3">
      <c r="A99">
        <v>1380</v>
      </c>
      <c r="B99" s="1">
        <v>45937.578645833331</v>
      </c>
      <c r="C99">
        <v>110000</v>
      </c>
      <c r="D99">
        <v>60000</v>
      </c>
      <c r="E99">
        <v>0</v>
      </c>
      <c r="F99">
        <v>16000</v>
      </c>
      <c r="G99">
        <v>0</v>
      </c>
      <c r="H99">
        <v>0</v>
      </c>
      <c r="I99">
        <v>20000</v>
      </c>
      <c r="J99">
        <v>1000</v>
      </c>
      <c r="K99">
        <v>16700</v>
      </c>
      <c r="L99">
        <v>0</v>
      </c>
      <c r="M99">
        <v>0</v>
      </c>
      <c r="N99">
        <v>22300</v>
      </c>
      <c r="O99">
        <v>0</v>
      </c>
      <c r="P99">
        <v>0</v>
      </c>
      <c r="Q99">
        <v>0</v>
      </c>
      <c r="R99">
        <v>3</v>
      </c>
      <c r="S99">
        <v>0</v>
      </c>
      <c r="T99">
        <v>0</v>
      </c>
      <c r="U99">
        <v>0</v>
      </c>
      <c r="V99">
        <v>8</v>
      </c>
      <c r="W99">
        <v>6</v>
      </c>
      <c r="X99">
        <v>170000</v>
      </c>
      <c r="Y99">
        <v>160000</v>
      </c>
      <c r="Z99">
        <v>144000</v>
      </c>
      <c r="AA99">
        <v>0</v>
      </c>
      <c r="AB99">
        <v>0</v>
      </c>
      <c r="AC99">
        <v>160000</v>
      </c>
      <c r="AD99">
        <v>128000</v>
      </c>
      <c r="AF99" t="s">
        <v>57</v>
      </c>
      <c r="AG99">
        <v>4</v>
      </c>
      <c r="AH99">
        <v>9</v>
      </c>
      <c r="AI99">
        <v>0</v>
      </c>
      <c r="AJ99">
        <v>0</v>
      </c>
      <c r="AK99">
        <v>3</v>
      </c>
      <c r="AL99">
        <v>2</v>
      </c>
      <c r="AM99" t="s">
        <v>99</v>
      </c>
      <c r="AN99">
        <v>723</v>
      </c>
      <c r="AO99">
        <v>327</v>
      </c>
      <c r="AP99">
        <v>1586</v>
      </c>
      <c r="AQ99">
        <v>1586</v>
      </c>
      <c r="AR99" t="s">
        <v>57</v>
      </c>
      <c r="AS99">
        <f>+VLOOKUP(playerround[[#This Row],[player_id]],player[],5,0)</f>
        <v>126</v>
      </c>
      <c r="AT99">
        <f>+VLOOKUP(playerround[[#This Row],[groupround_id]],groupround[],6,FALSE)</f>
        <v>2</v>
      </c>
      <c r="AU99">
        <f>playerround[[#This Row],[mortgage_payment]]+playerround[[#This Row],[spent_savings_for_buying_house]]</f>
        <v>16000</v>
      </c>
      <c r="AV99">
        <f>playerround[[#This Row],[cost_fluvial_damage]]+playerround[[#This Row],[cost_pluvial_damage]]</f>
        <v>0</v>
      </c>
    </row>
    <row r="100" spans="1:48" x14ac:dyDescent="0.3">
      <c r="A100">
        <v>1397</v>
      </c>
      <c r="B100" s="1">
        <v>45937.578645833331</v>
      </c>
      <c r="C100">
        <v>110000</v>
      </c>
      <c r="D100">
        <v>60000</v>
      </c>
      <c r="E100">
        <v>0</v>
      </c>
      <c r="F100">
        <v>16000</v>
      </c>
      <c r="G100">
        <v>0</v>
      </c>
      <c r="H100">
        <v>0</v>
      </c>
      <c r="I100">
        <v>20000</v>
      </c>
      <c r="J100">
        <v>8000</v>
      </c>
      <c r="K100">
        <v>20700</v>
      </c>
      <c r="L100">
        <v>0</v>
      </c>
      <c r="M100">
        <v>4000</v>
      </c>
      <c r="N100">
        <v>3600</v>
      </c>
      <c r="O100">
        <v>0</v>
      </c>
      <c r="P100">
        <v>0</v>
      </c>
      <c r="Q100">
        <v>1</v>
      </c>
      <c r="R100">
        <v>4</v>
      </c>
      <c r="S100">
        <v>0</v>
      </c>
      <c r="T100">
        <v>1</v>
      </c>
      <c r="U100">
        <v>0</v>
      </c>
      <c r="V100">
        <v>12</v>
      </c>
      <c r="W100">
        <v>6</v>
      </c>
      <c r="X100">
        <v>170000</v>
      </c>
      <c r="Y100">
        <v>160000</v>
      </c>
      <c r="Z100">
        <v>128000</v>
      </c>
      <c r="AA100">
        <v>0</v>
      </c>
      <c r="AB100">
        <v>0</v>
      </c>
      <c r="AC100">
        <v>160000</v>
      </c>
      <c r="AD100">
        <v>112000</v>
      </c>
      <c r="AF100" t="s">
        <v>57</v>
      </c>
      <c r="AG100">
        <v>4</v>
      </c>
      <c r="AH100">
        <v>9</v>
      </c>
      <c r="AI100">
        <v>-2</v>
      </c>
      <c r="AJ100">
        <v>-1</v>
      </c>
      <c r="AK100">
        <v>4</v>
      </c>
      <c r="AL100">
        <v>3</v>
      </c>
      <c r="AM100" t="s">
        <v>99</v>
      </c>
      <c r="AN100">
        <v>723</v>
      </c>
      <c r="AO100">
        <v>330</v>
      </c>
      <c r="AP100">
        <v>1586</v>
      </c>
      <c r="AQ100">
        <v>1586</v>
      </c>
      <c r="AR100" t="s">
        <v>57</v>
      </c>
      <c r="AS100">
        <f>+VLOOKUP(playerround[[#This Row],[player_id]],player[],5,0)</f>
        <v>126</v>
      </c>
      <c r="AT100">
        <f>+VLOOKUP(playerround[[#This Row],[groupround_id]],groupround[],6,FALSE)</f>
        <v>3</v>
      </c>
      <c r="AU100">
        <f>playerround[[#This Row],[mortgage_payment]]+playerround[[#This Row],[spent_savings_for_buying_house]]</f>
        <v>16000</v>
      </c>
      <c r="AV100">
        <f>playerround[[#This Row],[cost_fluvial_damage]]+playerround[[#This Row],[cost_pluvial_damage]]</f>
        <v>4000</v>
      </c>
    </row>
    <row r="101" spans="1:48" x14ac:dyDescent="0.3">
      <c r="A101">
        <v>1415</v>
      </c>
      <c r="B101" s="1">
        <v>45937.578645833331</v>
      </c>
      <c r="C101">
        <v>110000</v>
      </c>
      <c r="D101">
        <v>60000</v>
      </c>
      <c r="E101">
        <v>0</v>
      </c>
      <c r="F101">
        <v>16000</v>
      </c>
      <c r="G101">
        <v>0</v>
      </c>
      <c r="H101">
        <v>0</v>
      </c>
      <c r="I101">
        <v>20000</v>
      </c>
      <c r="J101">
        <v>0</v>
      </c>
      <c r="K101">
        <v>11200</v>
      </c>
      <c r="L101">
        <v>0</v>
      </c>
      <c r="M101">
        <v>0</v>
      </c>
      <c r="N101">
        <v>6400</v>
      </c>
      <c r="O101">
        <v>0</v>
      </c>
      <c r="P101">
        <v>0</v>
      </c>
      <c r="Q101">
        <v>0</v>
      </c>
      <c r="R101">
        <v>2</v>
      </c>
      <c r="S101">
        <v>0</v>
      </c>
      <c r="T101">
        <v>0</v>
      </c>
      <c r="U101">
        <v>0</v>
      </c>
      <c r="V101">
        <v>14</v>
      </c>
      <c r="W101">
        <v>6</v>
      </c>
      <c r="X101">
        <v>170000</v>
      </c>
      <c r="Y101">
        <v>160000</v>
      </c>
      <c r="Z101">
        <v>112000</v>
      </c>
      <c r="AA101">
        <v>0</v>
      </c>
      <c r="AB101">
        <v>0</v>
      </c>
      <c r="AC101">
        <v>160000</v>
      </c>
      <c r="AD101">
        <v>96000</v>
      </c>
      <c r="AF101" t="s">
        <v>57</v>
      </c>
      <c r="AG101">
        <v>4</v>
      </c>
      <c r="AH101">
        <v>9</v>
      </c>
      <c r="AI101">
        <v>-2</v>
      </c>
      <c r="AJ101">
        <v>-1</v>
      </c>
      <c r="AK101">
        <v>4</v>
      </c>
      <c r="AL101">
        <v>3</v>
      </c>
      <c r="AM101" t="s">
        <v>99</v>
      </c>
      <c r="AN101">
        <v>723</v>
      </c>
      <c r="AO101">
        <v>333</v>
      </c>
      <c r="AP101">
        <v>1586</v>
      </c>
      <c r="AQ101">
        <v>1586</v>
      </c>
      <c r="AR101" t="s">
        <v>57</v>
      </c>
      <c r="AS101">
        <f>+VLOOKUP(playerround[[#This Row],[player_id]],player[],5,0)</f>
        <v>126</v>
      </c>
      <c r="AT101">
        <f>+VLOOKUP(playerround[[#This Row],[groupround_id]],groupround[],6,FALSE)</f>
        <v>4</v>
      </c>
      <c r="AU101">
        <f>playerround[[#This Row],[mortgage_payment]]+playerround[[#This Row],[spent_savings_for_buying_house]]</f>
        <v>16000</v>
      </c>
      <c r="AV101">
        <f>playerround[[#This Row],[cost_fluvial_damage]]+playerround[[#This Row],[cost_pluvial_damage]]</f>
        <v>0</v>
      </c>
    </row>
    <row r="102" spans="1:48" x14ac:dyDescent="0.3">
      <c r="A102">
        <v>1329</v>
      </c>
      <c r="B102" s="1">
        <v>45937.579710648148</v>
      </c>
      <c r="C102">
        <v>60000</v>
      </c>
      <c r="D102">
        <v>30000</v>
      </c>
      <c r="E102">
        <v>0</v>
      </c>
      <c r="F102">
        <v>0</v>
      </c>
      <c r="G102">
        <v>0</v>
      </c>
      <c r="H102">
        <v>0</v>
      </c>
      <c r="I102">
        <v>0</v>
      </c>
      <c r="J102">
        <v>0</v>
      </c>
      <c r="K102">
        <v>0</v>
      </c>
      <c r="L102">
        <v>0</v>
      </c>
      <c r="M102">
        <v>0</v>
      </c>
      <c r="N102">
        <v>0</v>
      </c>
      <c r="O102">
        <v>0</v>
      </c>
      <c r="P102">
        <v>0</v>
      </c>
      <c r="Q102">
        <v>0</v>
      </c>
      <c r="R102">
        <v>0</v>
      </c>
      <c r="S102">
        <v>0</v>
      </c>
      <c r="T102">
        <v>0</v>
      </c>
      <c r="U102">
        <v>0</v>
      </c>
      <c r="V102">
        <v>5</v>
      </c>
      <c r="W102">
        <v>3</v>
      </c>
      <c r="X102">
        <v>80000</v>
      </c>
      <c r="Y102">
        <v>0</v>
      </c>
      <c r="Z102">
        <v>0</v>
      </c>
      <c r="AA102">
        <v>0</v>
      </c>
      <c r="AB102">
        <v>0</v>
      </c>
      <c r="AC102">
        <v>0</v>
      </c>
      <c r="AD102">
        <v>0</v>
      </c>
      <c r="AF102" t="s">
        <v>57</v>
      </c>
      <c r="AG102">
        <v>0</v>
      </c>
      <c r="AH102">
        <v>0</v>
      </c>
      <c r="AI102">
        <v>0</v>
      </c>
      <c r="AJ102">
        <v>0</v>
      </c>
      <c r="AK102">
        <v>0</v>
      </c>
      <c r="AL102">
        <v>0</v>
      </c>
      <c r="AM102" t="s">
        <v>86</v>
      </c>
      <c r="AN102">
        <v>724</v>
      </c>
      <c r="AO102">
        <v>320</v>
      </c>
      <c r="AR102" t="s">
        <v>57</v>
      </c>
      <c r="AS102">
        <f>+VLOOKUP(playerround[[#This Row],[player_id]],player[],5,0)</f>
        <v>123</v>
      </c>
      <c r="AT102">
        <f>+VLOOKUP(playerround[[#This Row],[groupround_id]],groupround[],6,FALSE)</f>
        <v>0</v>
      </c>
      <c r="AU102">
        <f>playerround[[#This Row],[mortgage_payment]]+playerround[[#This Row],[spent_savings_for_buying_house]]</f>
        <v>0</v>
      </c>
      <c r="AV102">
        <f>playerround[[#This Row],[cost_fluvial_damage]]+playerround[[#This Row],[cost_pluvial_damage]]</f>
        <v>0</v>
      </c>
    </row>
    <row r="103" spans="1:48" x14ac:dyDescent="0.3">
      <c r="A103">
        <v>1345</v>
      </c>
      <c r="B103" s="1">
        <v>45937.579710648148</v>
      </c>
      <c r="C103">
        <v>60000</v>
      </c>
      <c r="D103">
        <v>30000</v>
      </c>
      <c r="E103">
        <v>0</v>
      </c>
      <c r="F103">
        <v>7000</v>
      </c>
      <c r="G103">
        <v>0</v>
      </c>
      <c r="H103">
        <v>0</v>
      </c>
      <c r="I103">
        <v>15000</v>
      </c>
      <c r="J103">
        <v>1000</v>
      </c>
      <c r="K103">
        <v>1400</v>
      </c>
      <c r="L103">
        <v>0</v>
      </c>
      <c r="M103">
        <v>4000</v>
      </c>
      <c r="N103">
        <v>1600</v>
      </c>
      <c r="O103">
        <v>0</v>
      </c>
      <c r="P103">
        <v>-1</v>
      </c>
      <c r="Q103">
        <v>0</v>
      </c>
      <c r="R103">
        <v>0</v>
      </c>
      <c r="S103">
        <v>1</v>
      </c>
      <c r="T103">
        <v>1</v>
      </c>
      <c r="U103">
        <v>0</v>
      </c>
      <c r="V103">
        <v>2</v>
      </c>
      <c r="W103">
        <v>3</v>
      </c>
      <c r="X103">
        <v>80000</v>
      </c>
      <c r="Y103">
        <v>0</v>
      </c>
      <c r="Z103">
        <v>0</v>
      </c>
      <c r="AA103">
        <v>0</v>
      </c>
      <c r="AB103">
        <v>70000</v>
      </c>
      <c r="AC103">
        <v>70000</v>
      </c>
      <c r="AD103">
        <v>63000</v>
      </c>
      <c r="AF103" t="s">
        <v>57</v>
      </c>
      <c r="AG103">
        <v>6</v>
      </c>
      <c r="AH103">
        <v>6</v>
      </c>
      <c r="AI103">
        <v>0</v>
      </c>
      <c r="AJ103">
        <v>0</v>
      </c>
      <c r="AK103">
        <v>1</v>
      </c>
      <c r="AL103">
        <v>2</v>
      </c>
      <c r="AM103" t="s">
        <v>99</v>
      </c>
      <c r="AN103">
        <v>724</v>
      </c>
      <c r="AO103">
        <v>323</v>
      </c>
      <c r="AQ103">
        <v>1593</v>
      </c>
      <c r="AR103" t="s">
        <v>57</v>
      </c>
      <c r="AS103">
        <f>+VLOOKUP(playerround[[#This Row],[player_id]],player[],5,0)</f>
        <v>123</v>
      </c>
      <c r="AT103">
        <f>+VLOOKUP(playerround[[#This Row],[groupround_id]],groupround[],6,FALSE)</f>
        <v>1</v>
      </c>
      <c r="AU103">
        <f>playerround[[#This Row],[mortgage_payment]]+playerround[[#This Row],[spent_savings_for_buying_house]]</f>
        <v>7000</v>
      </c>
      <c r="AV103">
        <f>playerround[[#This Row],[cost_fluvial_damage]]+playerround[[#This Row],[cost_pluvial_damage]]</f>
        <v>4000</v>
      </c>
    </row>
    <row r="104" spans="1:48" x14ac:dyDescent="0.3">
      <c r="A104">
        <v>1378</v>
      </c>
      <c r="B104" s="1">
        <v>45937.579710648148</v>
      </c>
      <c r="C104">
        <v>60000</v>
      </c>
      <c r="D104">
        <v>30000</v>
      </c>
      <c r="E104">
        <v>0</v>
      </c>
      <c r="F104">
        <v>7000</v>
      </c>
      <c r="G104">
        <v>0</v>
      </c>
      <c r="H104">
        <v>0</v>
      </c>
      <c r="I104">
        <v>15000</v>
      </c>
      <c r="J104">
        <v>8000</v>
      </c>
      <c r="K104">
        <v>1400</v>
      </c>
      <c r="L104">
        <v>0</v>
      </c>
      <c r="M104">
        <v>0</v>
      </c>
      <c r="N104">
        <v>200</v>
      </c>
      <c r="O104">
        <v>0</v>
      </c>
      <c r="P104">
        <v>0</v>
      </c>
      <c r="Q104">
        <v>1</v>
      </c>
      <c r="R104">
        <v>0</v>
      </c>
      <c r="S104">
        <v>1</v>
      </c>
      <c r="T104">
        <v>0</v>
      </c>
      <c r="U104">
        <v>0</v>
      </c>
      <c r="V104">
        <v>2</v>
      </c>
      <c r="W104">
        <v>3</v>
      </c>
      <c r="X104">
        <v>80000</v>
      </c>
      <c r="Y104">
        <v>70000</v>
      </c>
      <c r="Z104">
        <v>63000</v>
      </c>
      <c r="AA104">
        <v>0</v>
      </c>
      <c r="AB104">
        <v>0</v>
      </c>
      <c r="AC104">
        <v>70000</v>
      </c>
      <c r="AD104">
        <v>56000</v>
      </c>
      <c r="AF104" t="s">
        <v>57</v>
      </c>
      <c r="AG104">
        <v>6</v>
      </c>
      <c r="AH104">
        <v>6</v>
      </c>
      <c r="AI104">
        <v>0</v>
      </c>
      <c r="AJ104">
        <v>0</v>
      </c>
      <c r="AK104">
        <v>2</v>
      </c>
      <c r="AL104">
        <v>3</v>
      </c>
      <c r="AM104" t="s">
        <v>99</v>
      </c>
      <c r="AN104">
        <v>724</v>
      </c>
      <c r="AO104">
        <v>327</v>
      </c>
      <c r="AP104">
        <v>1593</v>
      </c>
      <c r="AQ104">
        <v>1593</v>
      </c>
      <c r="AR104" t="s">
        <v>57</v>
      </c>
      <c r="AS104">
        <f>+VLOOKUP(playerround[[#This Row],[player_id]],player[],5,0)</f>
        <v>123</v>
      </c>
      <c r="AT104">
        <f>+VLOOKUP(playerround[[#This Row],[groupround_id]],groupround[],6,FALSE)</f>
        <v>2</v>
      </c>
      <c r="AU104">
        <f>playerround[[#This Row],[mortgage_payment]]+playerround[[#This Row],[spent_savings_for_buying_house]]</f>
        <v>7000</v>
      </c>
      <c r="AV104">
        <f>playerround[[#This Row],[cost_fluvial_damage]]+playerround[[#This Row],[cost_pluvial_damage]]</f>
        <v>0</v>
      </c>
    </row>
    <row r="105" spans="1:48" x14ac:dyDescent="0.3">
      <c r="A105">
        <v>1398</v>
      </c>
      <c r="B105" s="1">
        <v>45937.579710648148</v>
      </c>
      <c r="C105">
        <v>60000</v>
      </c>
      <c r="D105">
        <v>30000</v>
      </c>
      <c r="E105">
        <v>0</v>
      </c>
      <c r="F105">
        <v>7000</v>
      </c>
      <c r="G105">
        <v>0</v>
      </c>
      <c r="H105">
        <v>0</v>
      </c>
      <c r="I105">
        <v>15000</v>
      </c>
      <c r="J105">
        <v>6000</v>
      </c>
      <c r="K105">
        <v>1400</v>
      </c>
      <c r="L105">
        <v>0</v>
      </c>
      <c r="M105">
        <v>0</v>
      </c>
      <c r="N105">
        <v>800</v>
      </c>
      <c r="O105">
        <v>0</v>
      </c>
      <c r="P105">
        <v>0</v>
      </c>
      <c r="Q105">
        <v>1</v>
      </c>
      <c r="R105">
        <v>0</v>
      </c>
      <c r="S105">
        <v>1</v>
      </c>
      <c r="T105">
        <v>0</v>
      </c>
      <c r="U105">
        <v>0</v>
      </c>
      <c r="V105">
        <v>2</v>
      </c>
      <c r="W105">
        <v>3</v>
      </c>
      <c r="X105">
        <v>80000</v>
      </c>
      <c r="Y105">
        <v>70000</v>
      </c>
      <c r="Z105">
        <v>56000</v>
      </c>
      <c r="AA105">
        <v>0</v>
      </c>
      <c r="AB105">
        <v>0</v>
      </c>
      <c r="AC105">
        <v>70000</v>
      </c>
      <c r="AD105">
        <v>49000</v>
      </c>
      <c r="AF105" t="s">
        <v>57</v>
      </c>
      <c r="AG105">
        <v>6</v>
      </c>
      <c r="AH105">
        <v>6</v>
      </c>
      <c r="AI105">
        <v>-2</v>
      </c>
      <c r="AJ105">
        <v>-1</v>
      </c>
      <c r="AK105">
        <v>3</v>
      </c>
      <c r="AL105">
        <v>3</v>
      </c>
      <c r="AM105" t="s">
        <v>99</v>
      </c>
      <c r="AN105">
        <v>724</v>
      </c>
      <c r="AO105">
        <v>330</v>
      </c>
      <c r="AP105">
        <v>1593</v>
      </c>
      <c r="AQ105">
        <v>1593</v>
      </c>
      <c r="AR105" t="s">
        <v>57</v>
      </c>
      <c r="AS105">
        <f>+VLOOKUP(playerround[[#This Row],[player_id]],player[],5,0)</f>
        <v>123</v>
      </c>
      <c r="AT105">
        <f>+VLOOKUP(playerround[[#This Row],[groupround_id]],groupround[],6,FALSE)</f>
        <v>3</v>
      </c>
      <c r="AU105">
        <f>playerround[[#This Row],[mortgage_payment]]+playerround[[#This Row],[spent_savings_for_buying_house]]</f>
        <v>7000</v>
      </c>
      <c r="AV105">
        <f>playerround[[#This Row],[cost_fluvial_damage]]+playerround[[#This Row],[cost_pluvial_damage]]</f>
        <v>0</v>
      </c>
    </row>
    <row r="106" spans="1:48" x14ac:dyDescent="0.3">
      <c r="A106">
        <v>1411</v>
      </c>
      <c r="B106" s="1">
        <v>45937.579710648148</v>
      </c>
      <c r="C106">
        <v>60000</v>
      </c>
      <c r="D106">
        <v>30000</v>
      </c>
      <c r="E106">
        <v>0</v>
      </c>
      <c r="F106">
        <v>7000</v>
      </c>
      <c r="G106">
        <v>0</v>
      </c>
      <c r="H106">
        <v>0</v>
      </c>
      <c r="I106">
        <v>15000</v>
      </c>
      <c r="J106">
        <v>8000</v>
      </c>
      <c r="K106">
        <v>0</v>
      </c>
      <c r="L106">
        <v>0</v>
      </c>
      <c r="M106">
        <v>0</v>
      </c>
      <c r="N106">
        <v>800</v>
      </c>
      <c r="O106">
        <v>0</v>
      </c>
      <c r="P106">
        <v>0</v>
      </c>
      <c r="Q106">
        <v>1</v>
      </c>
      <c r="R106">
        <v>0</v>
      </c>
      <c r="S106">
        <v>0</v>
      </c>
      <c r="T106">
        <v>0</v>
      </c>
      <c r="U106">
        <v>0</v>
      </c>
      <c r="V106">
        <v>3</v>
      </c>
      <c r="W106">
        <v>3</v>
      </c>
      <c r="X106">
        <v>80000</v>
      </c>
      <c r="Y106">
        <v>70000</v>
      </c>
      <c r="Z106">
        <v>49000</v>
      </c>
      <c r="AA106">
        <v>0</v>
      </c>
      <c r="AB106">
        <v>0</v>
      </c>
      <c r="AC106">
        <v>70000</v>
      </c>
      <c r="AD106">
        <v>42000</v>
      </c>
      <c r="AF106" t="s">
        <v>57</v>
      </c>
      <c r="AG106">
        <v>6</v>
      </c>
      <c r="AH106">
        <v>6</v>
      </c>
      <c r="AI106">
        <v>-2</v>
      </c>
      <c r="AJ106">
        <v>-1</v>
      </c>
      <c r="AK106">
        <v>3</v>
      </c>
      <c r="AL106">
        <v>2</v>
      </c>
      <c r="AM106" t="s">
        <v>99</v>
      </c>
      <c r="AN106">
        <v>724</v>
      </c>
      <c r="AO106">
        <v>333</v>
      </c>
      <c r="AP106">
        <v>1593</v>
      </c>
      <c r="AQ106">
        <v>1593</v>
      </c>
      <c r="AR106" t="s">
        <v>57</v>
      </c>
      <c r="AS106">
        <f>+VLOOKUP(playerround[[#This Row],[player_id]],player[],5,0)</f>
        <v>123</v>
      </c>
      <c r="AT106">
        <f>+VLOOKUP(playerround[[#This Row],[groupround_id]],groupround[],6,FALSE)</f>
        <v>4</v>
      </c>
      <c r="AU106">
        <f>playerround[[#This Row],[mortgage_payment]]+playerround[[#This Row],[spent_savings_for_buying_house]]</f>
        <v>7000</v>
      </c>
      <c r="AV106">
        <f>playerround[[#This Row],[cost_fluvial_damage]]+playerround[[#This Row],[cost_pluvial_damage]]</f>
        <v>0</v>
      </c>
    </row>
    <row r="107" spans="1:48" x14ac:dyDescent="0.3">
      <c r="A107">
        <v>1327</v>
      </c>
      <c r="B107" s="1">
        <v>45937.579386574071</v>
      </c>
      <c r="C107">
        <v>90000</v>
      </c>
      <c r="D107">
        <v>50000</v>
      </c>
      <c r="E107">
        <v>0</v>
      </c>
      <c r="F107">
        <v>0</v>
      </c>
      <c r="G107">
        <v>0</v>
      </c>
      <c r="H107">
        <v>0</v>
      </c>
      <c r="I107">
        <v>0</v>
      </c>
      <c r="J107">
        <v>0</v>
      </c>
      <c r="K107">
        <v>0</v>
      </c>
      <c r="L107">
        <v>0</v>
      </c>
      <c r="M107">
        <v>0</v>
      </c>
      <c r="N107">
        <v>15000</v>
      </c>
      <c r="O107">
        <v>0</v>
      </c>
      <c r="P107">
        <v>0</v>
      </c>
      <c r="Q107">
        <v>0</v>
      </c>
      <c r="R107">
        <v>0</v>
      </c>
      <c r="S107">
        <v>0</v>
      </c>
      <c r="T107">
        <v>0</v>
      </c>
      <c r="U107">
        <v>0</v>
      </c>
      <c r="V107">
        <v>5</v>
      </c>
      <c r="W107">
        <v>5</v>
      </c>
      <c r="X107">
        <v>130000</v>
      </c>
      <c r="Y107">
        <v>0</v>
      </c>
      <c r="Z107">
        <v>0</v>
      </c>
      <c r="AA107">
        <v>0</v>
      </c>
      <c r="AB107">
        <v>0</v>
      </c>
      <c r="AC107">
        <v>0</v>
      </c>
      <c r="AD107">
        <v>0</v>
      </c>
      <c r="AF107" t="s">
        <v>57</v>
      </c>
      <c r="AG107">
        <v>0</v>
      </c>
      <c r="AH107">
        <v>0</v>
      </c>
      <c r="AI107">
        <v>0</v>
      </c>
      <c r="AJ107">
        <v>0</v>
      </c>
      <c r="AK107">
        <v>0</v>
      </c>
      <c r="AL107">
        <v>0</v>
      </c>
      <c r="AM107" t="s">
        <v>86</v>
      </c>
      <c r="AN107">
        <v>725</v>
      </c>
      <c r="AO107">
        <v>320</v>
      </c>
      <c r="AR107" t="s">
        <v>57</v>
      </c>
      <c r="AS107">
        <f>+VLOOKUP(playerround[[#This Row],[player_id]],player[],5,0)</f>
        <v>125</v>
      </c>
      <c r="AT107">
        <f>+VLOOKUP(playerround[[#This Row],[groupround_id]],groupround[],6,FALSE)</f>
        <v>0</v>
      </c>
      <c r="AU107">
        <f>playerround[[#This Row],[mortgage_payment]]+playerround[[#This Row],[spent_savings_for_buying_house]]</f>
        <v>0</v>
      </c>
      <c r="AV107">
        <f>playerround[[#This Row],[cost_fluvial_damage]]+playerround[[#This Row],[cost_pluvial_damage]]</f>
        <v>0</v>
      </c>
    </row>
    <row r="108" spans="1:48" x14ac:dyDescent="0.3">
      <c r="A108">
        <v>1343</v>
      </c>
      <c r="B108" s="1">
        <v>45937.579386574071</v>
      </c>
      <c r="C108">
        <v>90000</v>
      </c>
      <c r="D108">
        <v>50000</v>
      </c>
      <c r="E108">
        <v>0</v>
      </c>
      <c r="F108">
        <v>7000</v>
      </c>
      <c r="G108">
        <v>0</v>
      </c>
      <c r="H108">
        <v>0</v>
      </c>
      <c r="I108">
        <v>15000</v>
      </c>
      <c r="J108">
        <v>19000</v>
      </c>
      <c r="K108">
        <v>0</v>
      </c>
      <c r="L108">
        <v>0</v>
      </c>
      <c r="M108">
        <v>4000</v>
      </c>
      <c r="N108">
        <v>10000</v>
      </c>
      <c r="O108">
        <v>0</v>
      </c>
      <c r="P108">
        <v>-3</v>
      </c>
      <c r="Q108">
        <v>1</v>
      </c>
      <c r="R108">
        <v>0</v>
      </c>
      <c r="S108">
        <v>1</v>
      </c>
      <c r="T108">
        <v>1</v>
      </c>
      <c r="U108">
        <v>0</v>
      </c>
      <c r="V108">
        <v>1</v>
      </c>
      <c r="W108">
        <v>5</v>
      </c>
      <c r="X108">
        <v>130000</v>
      </c>
      <c r="Y108">
        <v>0</v>
      </c>
      <c r="Z108">
        <v>0</v>
      </c>
      <c r="AA108">
        <v>0</v>
      </c>
      <c r="AB108">
        <v>70000</v>
      </c>
      <c r="AC108">
        <v>70000</v>
      </c>
      <c r="AD108">
        <v>63000</v>
      </c>
      <c r="AF108" t="s">
        <v>57</v>
      </c>
      <c r="AG108">
        <v>6</v>
      </c>
      <c r="AH108">
        <v>6</v>
      </c>
      <c r="AI108">
        <v>0</v>
      </c>
      <c r="AJ108">
        <v>0</v>
      </c>
      <c r="AK108">
        <v>2</v>
      </c>
      <c r="AL108">
        <v>3</v>
      </c>
      <c r="AM108" t="s">
        <v>99</v>
      </c>
      <c r="AN108">
        <v>725</v>
      </c>
      <c r="AO108">
        <v>323</v>
      </c>
      <c r="AQ108">
        <v>1594</v>
      </c>
      <c r="AR108" t="s">
        <v>57</v>
      </c>
      <c r="AS108">
        <f>+VLOOKUP(playerround[[#This Row],[player_id]],player[],5,0)</f>
        <v>125</v>
      </c>
      <c r="AT108">
        <f>+VLOOKUP(playerround[[#This Row],[groupround_id]],groupround[],6,FALSE)</f>
        <v>1</v>
      </c>
      <c r="AU108">
        <f>playerround[[#This Row],[mortgage_payment]]+playerround[[#This Row],[spent_savings_for_buying_house]]</f>
        <v>7000</v>
      </c>
      <c r="AV108">
        <f>playerround[[#This Row],[cost_fluvial_damage]]+playerround[[#This Row],[cost_pluvial_damage]]</f>
        <v>4000</v>
      </c>
    </row>
    <row r="109" spans="1:48" x14ac:dyDescent="0.3">
      <c r="A109">
        <v>1377</v>
      </c>
      <c r="B109" s="1">
        <v>45937.579386574071</v>
      </c>
      <c r="C109">
        <v>90000</v>
      </c>
      <c r="D109">
        <v>50000</v>
      </c>
      <c r="E109">
        <v>0</v>
      </c>
      <c r="F109">
        <v>7000</v>
      </c>
      <c r="G109">
        <v>0</v>
      </c>
      <c r="H109">
        <v>0</v>
      </c>
      <c r="I109">
        <v>15000</v>
      </c>
      <c r="J109">
        <v>14000</v>
      </c>
      <c r="K109">
        <v>9750</v>
      </c>
      <c r="L109">
        <v>0</v>
      </c>
      <c r="M109">
        <v>0</v>
      </c>
      <c r="N109">
        <v>4250</v>
      </c>
      <c r="O109">
        <v>0</v>
      </c>
      <c r="P109">
        <v>0</v>
      </c>
      <c r="Q109">
        <v>2</v>
      </c>
      <c r="R109">
        <v>4</v>
      </c>
      <c r="S109">
        <v>1</v>
      </c>
      <c r="T109">
        <v>0</v>
      </c>
      <c r="U109">
        <v>0</v>
      </c>
      <c r="V109">
        <v>6</v>
      </c>
      <c r="W109">
        <v>5</v>
      </c>
      <c r="X109">
        <v>130000</v>
      </c>
      <c r="Y109">
        <v>70000</v>
      </c>
      <c r="Z109">
        <v>63000</v>
      </c>
      <c r="AA109">
        <v>0</v>
      </c>
      <c r="AB109">
        <v>0</v>
      </c>
      <c r="AC109">
        <v>70000</v>
      </c>
      <c r="AD109">
        <v>56000</v>
      </c>
      <c r="AF109" t="s">
        <v>57</v>
      </c>
      <c r="AG109">
        <v>6</v>
      </c>
      <c r="AH109">
        <v>6</v>
      </c>
      <c r="AI109">
        <v>0</v>
      </c>
      <c r="AJ109">
        <v>0</v>
      </c>
      <c r="AK109">
        <v>4</v>
      </c>
      <c r="AL109">
        <v>3</v>
      </c>
      <c r="AM109" t="s">
        <v>99</v>
      </c>
      <c r="AN109">
        <v>725</v>
      </c>
      <c r="AO109">
        <v>327</v>
      </c>
      <c r="AP109">
        <v>1594</v>
      </c>
      <c r="AQ109">
        <v>1594</v>
      </c>
      <c r="AR109" t="s">
        <v>57</v>
      </c>
      <c r="AS109">
        <f>+VLOOKUP(playerround[[#This Row],[player_id]],player[],5,0)</f>
        <v>125</v>
      </c>
      <c r="AT109">
        <f>+VLOOKUP(playerround[[#This Row],[groupround_id]],groupround[],6,FALSE)</f>
        <v>2</v>
      </c>
      <c r="AU109">
        <f>playerround[[#This Row],[mortgage_payment]]+playerround[[#This Row],[spent_savings_for_buying_house]]</f>
        <v>7000</v>
      </c>
      <c r="AV109">
        <f>playerround[[#This Row],[cost_fluvial_damage]]+playerround[[#This Row],[cost_pluvial_damage]]</f>
        <v>0</v>
      </c>
    </row>
    <row r="110" spans="1:48" x14ac:dyDescent="0.3">
      <c r="A110">
        <v>1396</v>
      </c>
      <c r="B110" s="1">
        <v>45937.579386574071</v>
      </c>
      <c r="C110">
        <v>90000</v>
      </c>
      <c r="D110">
        <v>50000</v>
      </c>
      <c r="E110">
        <v>0</v>
      </c>
      <c r="F110">
        <v>7000</v>
      </c>
      <c r="G110">
        <v>0</v>
      </c>
      <c r="H110">
        <v>0</v>
      </c>
      <c r="I110">
        <v>15000</v>
      </c>
      <c r="J110">
        <v>0</v>
      </c>
      <c r="K110">
        <v>11150</v>
      </c>
      <c r="L110">
        <v>0</v>
      </c>
      <c r="M110">
        <v>0</v>
      </c>
      <c r="N110">
        <v>11100</v>
      </c>
      <c r="O110">
        <v>0</v>
      </c>
      <c r="P110">
        <v>0</v>
      </c>
      <c r="Q110">
        <v>0</v>
      </c>
      <c r="R110">
        <v>4</v>
      </c>
      <c r="S110">
        <v>1</v>
      </c>
      <c r="T110">
        <v>0</v>
      </c>
      <c r="U110">
        <v>0</v>
      </c>
      <c r="V110">
        <v>9</v>
      </c>
      <c r="W110">
        <v>5</v>
      </c>
      <c r="X110">
        <v>130000</v>
      </c>
      <c r="Y110">
        <v>70000</v>
      </c>
      <c r="Z110">
        <v>56000</v>
      </c>
      <c r="AA110">
        <v>0</v>
      </c>
      <c r="AB110">
        <v>0</v>
      </c>
      <c r="AC110">
        <v>70000</v>
      </c>
      <c r="AD110">
        <v>49000</v>
      </c>
      <c r="AF110" t="s">
        <v>57</v>
      </c>
      <c r="AG110">
        <v>6</v>
      </c>
      <c r="AH110">
        <v>6</v>
      </c>
      <c r="AI110">
        <v>-2</v>
      </c>
      <c r="AJ110">
        <v>-1</v>
      </c>
      <c r="AK110">
        <v>5</v>
      </c>
      <c r="AL110">
        <v>4</v>
      </c>
      <c r="AM110" t="s">
        <v>99</v>
      </c>
      <c r="AN110">
        <v>725</v>
      </c>
      <c r="AO110">
        <v>330</v>
      </c>
      <c r="AP110">
        <v>1594</v>
      </c>
      <c r="AQ110">
        <v>1594</v>
      </c>
      <c r="AR110" t="s">
        <v>57</v>
      </c>
      <c r="AS110">
        <f>+VLOOKUP(playerround[[#This Row],[player_id]],player[],5,0)</f>
        <v>125</v>
      </c>
      <c r="AT110">
        <f>+VLOOKUP(playerround[[#This Row],[groupround_id]],groupround[],6,FALSE)</f>
        <v>3</v>
      </c>
      <c r="AU110">
        <f>playerround[[#This Row],[mortgage_payment]]+playerround[[#This Row],[spent_savings_for_buying_house]]</f>
        <v>7000</v>
      </c>
      <c r="AV110">
        <f>playerround[[#This Row],[cost_fluvial_damage]]+playerround[[#This Row],[cost_pluvial_damage]]</f>
        <v>0</v>
      </c>
    </row>
    <row r="111" spans="1:48" x14ac:dyDescent="0.3">
      <c r="A111">
        <v>1416</v>
      </c>
      <c r="B111" s="1">
        <v>45937.579386574071</v>
      </c>
      <c r="C111">
        <v>90000</v>
      </c>
      <c r="D111">
        <v>50000</v>
      </c>
      <c r="E111">
        <v>0</v>
      </c>
      <c r="F111">
        <v>7000</v>
      </c>
      <c r="G111">
        <v>0</v>
      </c>
      <c r="H111">
        <v>0</v>
      </c>
      <c r="I111">
        <v>15000</v>
      </c>
      <c r="J111">
        <v>0</v>
      </c>
      <c r="K111">
        <v>11150</v>
      </c>
      <c r="L111">
        <v>0</v>
      </c>
      <c r="M111">
        <v>0</v>
      </c>
      <c r="N111">
        <v>17950</v>
      </c>
      <c r="O111">
        <v>0</v>
      </c>
      <c r="P111">
        <v>0</v>
      </c>
      <c r="Q111">
        <v>0</v>
      </c>
      <c r="R111">
        <v>4</v>
      </c>
      <c r="S111">
        <v>0</v>
      </c>
      <c r="T111">
        <v>0</v>
      </c>
      <c r="U111">
        <v>0</v>
      </c>
      <c r="V111">
        <v>13</v>
      </c>
      <c r="W111">
        <v>5</v>
      </c>
      <c r="X111">
        <v>130000</v>
      </c>
      <c r="Y111">
        <v>70000</v>
      </c>
      <c r="Z111">
        <v>49000</v>
      </c>
      <c r="AA111">
        <v>0</v>
      </c>
      <c r="AB111">
        <v>0</v>
      </c>
      <c r="AC111">
        <v>70000</v>
      </c>
      <c r="AD111">
        <v>42000</v>
      </c>
      <c r="AF111" t="s">
        <v>57</v>
      </c>
      <c r="AG111">
        <v>6</v>
      </c>
      <c r="AH111">
        <v>6</v>
      </c>
      <c r="AI111">
        <v>-2</v>
      </c>
      <c r="AJ111">
        <v>-1</v>
      </c>
      <c r="AK111">
        <v>5</v>
      </c>
      <c r="AL111">
        <v>4</v>
      </c>
      <c r="AM111" t="s">
        <v>99</v>
      </c>
      <c r="AN111">
        <v>725</v>
      </c>
      <c r="AO111">
        <v>333</v>
      </c>
      <c r="AP111">
        <v>1594</v>
      </c>
      <c r="AQ111">
        <v>1594</v>
      </c>
      <c r="AR111" t="s">
        <v>57</v>
      </c>
      <c r="AS111">
        <f>+VLOOKUP(playerround[[#This Row],[player_id]],player[],5,0)</f>
        <v>125</v>
      </c>
      <c r="AT111">
        <f>+VLOOKUP(playerround[[#This Row],[groupround_id]],groupround[],6,FALSE)</f>
        <v>4</v>
      </c>
      <c r="AU111">
        <f>playerround[[#This Row],[mortgage_payment]]+playerround[[#This Row],[spent_savings_for_buying_house]]</f>
        <v>7000</v>
      </c>
      <c r="AV111">
        <f>playerround[[#This Row],[cost_fluvial_damage]]+playerround[[#This Row],[cost_pluvial_damage]]</f>
        <v>0</v>
      </c>
    </row>
    <row r="112" spans="1:48" x14ac:dyDescent="0.3">
      <c r="A112">
        <v>1328</v>
      </c>
      <c r="B112" s="1">
        <v>45937.579444444447</v>
      </c>
      <c r="C112">
        <v>130000</v>
      </c>
      <c r="D112">
        <v>75000</v>
      </c>
      <c r="E112">
        <v>0</v>
      </c>
      <c r="F112">
        <v>0</v>
      </c>
      <c r="G112">
        <v>0</v>
      </c>
      <c r="H112">
        <v>0</v>
      </c>
      <c r="I112">
        <v>0</v>
      </c>
      <c r="J112">
        <v>0</v>
      </c>
      <c r="K112">
        <v>0</v>
      </c>
      <c r="L112">
        <v>0</v>
      </c>
      <c r="M112">
        <v>0</v>
      </c>
      <c r="N112">
        <v>50000</v>
      </c>
      <c r="O112">
        <v>0</v>
      </c>
      <c r="P112">
        <v>0</v>
      </c>
      <c r="Q112">
        <v>0</v>
      </c>
      <c r="R112">
        <v>0</v>
      </c>
      <c r="S112">
        <v>0</v>
      </c>
      <c r="T112">
        <v>0</v>
      </c>
      <c r="U112">
        <v>0</v>
      </c>
      <c r="V112">
        <v>5</v>
      </c>
      <c r="W112">
        <v>7</v>
      </c>
      <c r="X112">
        <v>200000</v>
      </c>
      <c r="Y112">
        <v>0</v>
      </c>
      <c r="Z112">
        <v>0</v>
      </c>
      <c r="AA112">
        <v>0</v>
      </c>
      <c r="AB112">
        <v>0</v>
      </c>
      <c r="AC112">
        <v>0</v>
      </c>
      <c r="AD112">
        <v>0</v>
      </c>
      <c r="AF112" t="s">
        <v>57</v>
      </c>
      <c r="AG112">
        <v>0</v>
      </c>
      <c r="AH112">
        <v>0</v>
      </c>
      <c r="AI112">
        <v>0</v>
      </c>
      <c r="AJ112">
        <v>0</v>
      </c>
      <c r="AK112">
        <v>0</v>
      </c>
      <c r="AL112">
        <v>0</v>
      </c>
      <c r="AM112" t="s">
        <v>86</v>
      </c>
      <c r="AN112">
        <v>726</v>
      </c>
      <c r="AO112">
        <v>320</v>
      </c>
      <c r="AR112" t="s">
        <v>57</v>
      </c>
      <c r="AS112">
        <f>+VLOOKUP(playerround[[#This Row],[player_id]],player[],5,0)</f>
        <v>127</v>
      </c>
      <c r="AT112">
        <f>+VLOOKUP(playerround[[#This Row],[groupround_id]],groupround[],6,FALSE)</f>
        <v>0</v>
      </c>
      <c r="AU112">
        <f>playerround[[#This Row],[mortgage_payment]]+playerround[[#This Row],[spent_savings_for_buying_house]]</f>
        <v>0</v>
      </c>
      <c r="AV112">
        <f>playerround[[#This Row],[cost_fluvial_damage]]+playerround[[#This Row],[cost_pluvial_damage]]</f>
        <v>0</v>
      </c>
    </row>
    <row r="113" spans="1:48" x14ac:dyDescent="0.3">
      <c r="A113">
        <v>1349</v>
      </c>
      <c r="B113" s="1">
        <v>45937.579444444447</v>
      </c>
      <c r="C113">
        <v>130000</v>
      </c>
      <c r="D113">
        <v>75000</v>
      </c>
      <c r="E113">
        <v>0</v>
      </c>
      <c r="F113">
        <v>10000</v>
      </c>
      <c r="G113">
        <v>0</v>
      </c>
      <c r="H113">
        <v>0</v>
      </c>
      <c r="I113">
        <v>20000</v>
      </c>
      <c r="J113">
        <v>0</v>
      </c>
      <c r="K113">
        <v>5000</v>
      </c>
      <c r="L113">
        <v>0</v>
      </c>
      <c r="M113">
        <v>4000</v>
      </c>
      <c r="N113">
        <v>66000</v>
      </c>
      <c r="O113">
        <v>0</v>
      </c>
      <c r="P113">
        <v>-4</v>
      </c>
      <c r="Q113">
        <v>0</v>
      </c>
      <c r="R113">
        <v>2</v>
      </c>
      <c r="S113">
        <v>0</v>
      </c>
      <c r="T113">
        <v>1</v>
      </c>
      <c r="U113">
        <v>0</v>
      </c>
      <c r="V113">
        <v>2</v>
      </c>
      <c r="W113">
        <v>7</v>
      </c>
      <c r="X113">
        <v>200000</v>
      </c>
      <c r="Y113">
        <v>0</v>
      </c>
      <c r="Z113">
        <v>0</v>
      </c>
      <c r="AA113">
        <v>0</v>
      </c>
      <c r="AB113">
        <v>100000</v>
      </c>
      <c r="AC113">
        <v>100000</v>
      </c>
      <c r="AD113">
        <v>90000</v>
      </c>
      <c r="AF113" t="s">
        <v>57</v>
      </c>
      <c r="AG113">
        <v>6</v>
      </c>
      <c r="AH113">
        <v>9</v>
      </c>
      <c r="AI113">
        <v>0</v>
      </c>
      <c r="AJ113">
        <v>0</v>
      </c>
      <c r="AK113">
        <v>0</v>
      </c>
      <c r="AL113">
        <v>0</v>
      </c>
      <c r="AM113" t="s">
        <v>99</v>
      </c>
      <c r="AN113">
        <v>726</v>
      </c>
      <c r="AO113">
        <v>323</v>
      </c>
      <c r="AQ113">
        <v>1583</v>
      </c>
      <c r="AR113" t="s">
        <v>57</v>
      </c>
      <c r="AS113">
        <f>+VLOOKUP(playerround[[#This Row],[player_id]],player[],5,0)</f>
        <v>127</v>
      </c>
      <c r="AT113">
        <f>+VLOOKUP(playerround[[#This Row],[groupround_id]],groupround[],6,FALSE)</f>
        <v>1</v>
      </c>
      <c r="AU113">
        <f>playerround[[#This Row],[mortgage_payment]]+playerround[[#This Row],[spent_savings_for_buying_house]]</f>
        <v>10000</v>
      </c>
      <c r="AV113">
        <f>playerround[[#This Row],[cost_fluvial_damage]]+playerround[[#This Row],[cost_pluvial_damage]]</f>
        <v>4000</v>
      </c>
    </row>
    <row r="114" spans="1:48" x14ac:dyDescent="0.3">
      <c r="A114">
        <v>1379</v>
      </c>
      <c r="B114" s="1">
        <v>45937.579444444447</v>
      </c>
      <c r="C114">
        <v>130000</v>
      </c>
      <c r="D114">
        <v>75000</v>
      </c>
      <c r="E114">
        <v>0</v>
      </c>
      <c r="F114">
        <v>10000</v>
      </c>
      <c r="G114">
        <v>0</v>
      </c>
      <c r="H114">
        <v>0</v>
      </c>
      <c r="I114">
        <v>20000</v>
      </c>
      <c r="J114">
        <v>18000</v>
      </c>
      <c r="K114">
        <v>7500</v>
      </c>
      <c r="L114">
        <v>0</v>
      </c>
      <c r="M114">
        <v>0</v>
      </c>
      <c r="N114">
        <v>65500</v>
      </c>
      <c r="O114">
        <v>0</v>
      </c>
      <c r="P114">
        <v>0</v>
      </c>
      <c r="Q114">
        <v>1</v>
      </c>
      <c r="R114">
        <v>3</v>
      </c>
      <c r="S114">
        <v>0</v>
      </c>
      <c r="T114">
        <v>0</v>
      </c>
      <c r="U114">
        <v>0</v>
      </c>
      <c r="V114">
        <v>6</v>
      </c>
      <c r="W114">
        <v>7</v>
      </c>
      <c r="X114">
        <v>200000</v>
      </c>
      <c r="Y114">
        <v>100000</v>
      </c>
      <c r="Z114">
        <v>90000</v>
      </c>
      <c r="AA114">
        <v>0</v>
      </c>
      <c r="AB114">
        <v>0</v>
      </c>
      <c r="AC114">
        <v>100000</v>
      </c>
      <c r="AD114">
        <v>80000</v>
      </c>
      <c r="AF114" t="s">
        <v>57</v>
      </c>
      <c r="AG114">
        <v>6</v>
      </c>
      <c r="AH114">
        <v>9</v>
      </c>
      <c r="AI114">
        <v>0</v>
      </c>
      <c r="AJ114">
        <v>0</v>
      </c>
      <c r="AK114">
        <v>2</v>
      </c>
      <c r="AL114">
        <v>2</v>
      </c>
      <c r="AM114" t="s">
        <v>99</v>
      </c>
      <c r="AN114">
        <v>726</v>
      </c>
      <c r="AO114">
        <v>327</v>
      </c>
      <c r="AP114">
        <v>1583</v>
      </c>
      <c r="AQ114">
        <v>1583</v>
      </c>
      <c r="AR114" t="s">
        <v>57</v>
      </c>
      <c r="AS114">
        <f>+VLOOKUP(playerround[[#This Row],[player_id]],player[],5,0)</f>
        <v>127</v>
      </c>
      <c r="AT114">
        <f>+VLOOKUP(playerround[[#This Row],[groupround_id]],groupround[],6,FALSE)</f>
        <v>2</v>
      </c>
      <c r="AU114">
        <f>playerround[[#This Row],[mortgage_payment]]+playerround[[#This Row],[spent_savings_for_buying_house]]</f>
        <v>10000</v>
      </c>
      <c r="AV114">
        <f>playerround[[#This Row],[cost_fluvial_damage]]+playerround[[#This Row],[cost_pluvial_damage]]</f>
        <v>0</v>
      </c>
    </row>
    <row r="115" spans="1:48" x14ac:dyDescent="0.3">
      <c r="A115">
        <v>1393</v>
      </c>
      <c r="B115" s="1">
        <v>45937.579444444447</v>
      </c>
      <c r="C115">
        <v>130000</v>
      </c>
      <c r="D115">
        <v>75000</v>
      </c>
      <c r="E115">
        <v>0</v>
      </c>
      <c r="F115">
        <v>10000</v>
      </c>
      <c r="G115">
        <v>0</v>
      </c>
      <c r="H115">
        <v>0</v>
      </c>
      <c r="I115">
        <v>20000</v>
      </c>
      <c r="J115">
        <v>15000</v>
      </c>
      <c r="K115">
        <v>16000</v>
      </c>
      <c r="L115">
        <v>0</v>
      </c>
      <c r="M115">
        <v>0</v>
      </c>
      <c r="N115">
        <v>59500</v>
      </c>
      <c r="O115">
        <v>0</v>
      </c>
      <c r="P115">
        <v>0</v>
      </c>
      <c r="Q115">
        <v>2</v>
      </c>
      <c r="R115">
        <v>4</v>
      </c>
      <c r="S115">
        <v>0</v>
      </c>
      <c r="T115">
        <v>0</v>
      </c>
      <c r="U115">
        <v>0</v>
      </c>
      <c r="V115">
        <v>12</v>
      </c>
      <c r="W115">
        <v>7</v>
      </c>
      <c r="X115">
        <v>200000</v>
      </c>
      <c r="Y115">
        <v>100000</v>
      </c>
      <c r="Z115">
        <v>80000</v>
      </c>
      <c r="AA115">
        <v>0</v>
      </c>
      <c r="AB115">
        <v>0</v>
      </c>
      <c r="AC115">
        <v>100000</v>
      </c>
      <c r="AD115">
        <v>70000</v>
      </c>
      <c r="AF115" t="s">
        <v>57</v>
      </c>
      <c r="AG115">
        <v>6</v>
      </c>
      <c r="AH115">
        <v>9</v>
      </c>
      <c r="AI115">
        <v>-2</v>
      </c>
      <c r="AJ115">
        <v>-1</v>
      </c>
      <c r="AK115">
        <v>5</v>
      </c>
      <c r="AL115">
        <v>4</v>
      </c>
      <c r="AM115" t="s">
        <v>99</v>
      </c>
      <c r="AN115">
        <v>726</v>
      </c>
      <c r="AO115">
        <v>330</v>
      </c>
      <c r="AP115">
        <v>1583</v>
      </c>
      <c r="AQ115">
        <v>1583</v>
      </c>
      <c r="AR115" t="s">
        <v>57</v>
      </c>
      <c r="AS115">
        <f>+VLOOKUP(playerround[[#This Row],[player_id]],player[],5,0)</f>
        <v>127</v>
      </c>
      <c r="AT115">
        <f>+VLOOKUP(playerround[[#This Row],[groupround_id]],groupround[],6,FALSE)</f>
        <v>3</v>
      </c>
      <c r="AU115">
        <f>playerround[[#This Row],[mortgage_payment]]+playerround[[#This Row],[spent_savings_for_buying_house]]</f>
        <v>10000</v>
      </c>
      <c r="AV115">
        <f>playerround[[#This Row],[cost_fluvial_damage]]+playerround[[#This Row],[cost_pluvial_damage]]</f>
        <v>0</v>
      </c>
    </row>
    <row r="116" spans="1:48" x14ac:dyDescent="0.3">
      <c r="A116">
        <v>1412</v>
      </c>
      <c r="B116" s="1">
        <v>45937.579444444447</v>
      </c>
      <c r="C116">
        <v>130000</v>
      </c>
      <c r="D116">
        <v>75000</v>
      </c>
      <c r="E116">
        <v>0</v>
      </c>
      <c r="F116">
        <v>10000</v>
      </c>
      <c r="G116">
        <v>0</v>
      </c>
      <c r="H116">
        <v>0</v>
      </c>
      <c r="I116">
        <v>25000</v>
      </c>
      <c r="J116">
        <v>0</v>
      </c>
      <c r="K116">
        <v>16000</v>
      </c>
      <c r="L116">
        <v>0</v>
      </c>
      <c r="M116">
        <v>0</v>
      </c>
      <c r="N116">
        <v>63500</v>
      </c>
      <c r="O116">
        <v>0</v>
      </c>
      <c r="P116">
        <v>0</v>
      </c>
      <c r="Q116">
        <v>0</v>
      </c>
      <c r="R116">
        <v>4</v>
      </c>
      <c r="S116">
        <v>0</v>
      </c>
      <c r="T116">
        <v>0</v>
      </c>
      <c r="U116">
        <v>0</v>
      </c>
      <c r="V116">
        <v>18</v>
      </c>
      <c r="W116">
        <v>7</v>
      </c>
      <c r="X116">
        <v>200000</v>
      </c>
      <c r="Y116">
        <v>100000</v>
      </c>
      <c r="Z116">
        <v>70000</v>
      </c>
      <c r="AA116">
        <v>0</v>
      </c>
      <c r="AB116">
        <v>0</v>
      </c>
      <c r="AC116">
        <v>100000</v>
      </c>
      <c r="AD116">
        <v>60000</v>
      </c>
      <c r="AF116" t="s">
        <v>57</v>
      </c>
      <c r="AG116">
        <v>6</v>
      </c>
      <c r="AH116">
        <v>9</v>
      </c>
      <c r="AI116">
        <v>-2</v>
      </c>
      <c r="AJ116">
        <v>-1</v>
      </c>
      <c r="AK116">
        <v>5</v>
      </c>
      <c r="AL116">
        <v>4</v>
      </c>
      <c r="AM116" t="s">
        <v>99</v>
      </c>
      <c r="AN116">
        <v>726</v>
      </c>
      <c r="AO116">
        <v>333</v>
      </c>
      <c r="AP116">
        <v>1583</v>
      </c>
      <c r="AQ116">
        <v>1583</v>
      </c>
      <c r="AR116" t="s">
        <v>57</v>
      </c>
      <c r="AS116">
        <f>+VLOOKUP(playerround[[#This Row],[player_id]],player[],5,0)</f>
        <v>127</v>
      </c>
      <c r="AT116">
        <f>+VLOOKUP(playerround[[#This Row],[groupround_id]],groupround[],6,FALSE)</f>
        <v>4</v>
      </c>
      <c r="AU116">
        <f>playerround[[#This Row],[mortgage_payment]]+playerround[[#This Row],[spent_savings_for_buying_house]]</f>
        <v>10000</v>
      </c>
      <c r="AV116">
        <f>playerround[[#This Row],[cost_fluvial_damage]]+playerround[[#This Row],[cost_pluvial_damage]]</f>
        <v>0</v>
      </c>
    </row>
    <row r="117" spans="1:48" x14ac:dyDescent="0.3">
      <c r="A117">
        <v>1331</v>
      </c>
      <c r="B117" s="1">
        <v>45937.58011574074</v>
      </c>
      <c r="C117">
        <v>190000</v>
      </c>
      <c r="D117">
        <v>115000</v>
      </c>
      <c r="E117">
        <v>0</v>
      </c>
      <c r="F117">
        <v>0</v>
      </c>
      <c r="G117">
        <v>0</v>
      </c>
      <c r="H117">
        <v>0</v>
      </c>
      <c r="I117">
        <v>0</v>
      </c>
      <c r="J117">
        <v>0</v>
      </c>
      <c r="K117">
        <v>0</v>
      </c>
      <c r="L117">
        <v>0</v>
      </c>
      <c r="M117">
        <v>0</v>
      </c>
      <c r="N117">
        <v>80000</v>
      </c>
      <c r="O117">
        <v>0</v>
      </c>
      <c r="P117">
        <v>0</v>
      </c>
      <c r="Q117">
        <v>0</v>
      </c>
      <c r="R117">
        <v>0</v>
      </c>
      <c r="S117">
        <v>0</v>
      </c>
      <c r="T117">
        <v>0</v>
      </c>
      <c r="U117">
        <v>0</v>
      </c>
      <c r="V117">
        <v>5</v>
      </c>
      <c r="W117">
        <v>8</v>
      </c>
      <c r="X117">
        <v>300000</v>
      </c>
      <c r="Y117">
        <v>0</v>
      </c>
      <c r="Z117">
        <v>0</v>
      </c>
      <c r="AA117">
        <v>0</v>
      </c>
      <c r="AB117">
        <v>0</v>
      </c>
      <c r="AC117">
        <v>0</v>
      </c>
      <c r="AD117">
        <v>0</v>
      </c>
      <c r="AF117" t="s">
        <v>57</v>
      </c>
      <c r="AG117">
        <v>0</v>
      </c>
      <c r="AH117">
        <v>0</v>
      </c>
      <c r="AI117">
        <v>0</v>
      </c>
      <c r="AJ117">
        <v>0</v>
      </c>
      <c r="AK117">
        <v>0</v>
      </c>
      <c r="AL117">
        <v>0</v>
      </c>
      <c r="AM117" t="s">
        <v>86</v>
      </c>
      <c r="AN117">
        <v>727</v>
      </c>
      <c r="AO117">
        <v>320</v>
      </c>
      <c r="AR117" t="s">
        <v>57</v>
      </c>
      <c r="AS117">
        <f>+VLOOKUP(playerround[[#This Row],[player_id]],player[],5,0)</f>
        <v>128</v>
      </c>
      <c r="AT117">
        <f>+VLOOKUP(playerround[[#This Row],[groupround_id]],groupround[],6,FALSE)</f>
        <v>0</v>
      </c>
      <c r="AU117">
        <f>playerround[[#This Row],[mortgage_payment]]+playerround[[#This Row],[spent_savings_for_buying_house]]</f>
        <v>0</v>
      </c>
      <c r="AV117">
        <f>playerround[[#This Row],[cost_fluvial_damage]]+playerround[[#This Row],[cost_pluvial_damage]]</f>
        <v>0</v>
      </c>
    </row>
    <row r="118" spans="1:48" x14ac:dyDescent="0.3">
      <c r="A118">
        <v>1350</v>
      </c>
      <c r="B118" s="1">
        <v>45937.58011574074</v>
      </c>
      <c r="C118">
        <v>190000</v>
      </c>
      <c r="D118">
        <v>115000</v>
      </c>
      <c r="E118">
        <v>0</v>
      </c>
      <c r="F118">
        <v>16000</v>
      </c>
      <c r="G118">
        <v>0</v>
      </c>
      <c r="H118">
        <v>0</v>
      </c>
      <c r="I118">
        <v>20000</v>
      </c>
      <c r="J118">
        <v>14000</v>
      </c>
      <c r="K118">
        <v>3200</v>
      </c>
      <c r="L118">
        <v>0</v>
      </c>
      <c r="M118">
        <v>4000</v>
      </c>
      <c r="N118">
        <v>97800</v>
      </c>
      <c r="O118">
        <v>0</v>
      </c>
      <c r="P118">
        <v>-3</v>
      </c>
      <c r="Q118">
        <v>2</v>
      </c>
      <c r="R118">
        <v>0</v>
      </c>
      <c r="S118">
        <v>0</v>
      </c>
      <c r="T118">
        <v>1</v>
      </c>
      <c r="U118">
        <v>0</v>
      </c>
      <c r="V118">
        <v>3</v>
      </c>
      <c r="W118">
        <v>8</v>
      </c>
      <c r="X118">
        <v>300000</v>
      </c>
      <c r="Y118">
        <v>0</v>
      </c>
      <c r="Z118">
        <v>0</v>
      </c>
      <c r="AA118">
        <v>0</v>
      </c>
      <c r="AB118">
        <v>160000</v>
      </c>
      <c r="AC118">
        <v>160000</v>
      </c>
      <c r="AD118">
        <v>144000</v>
      </c>
      <c r="AF118" t="s">
        <v>57</v>
      </c>
      <c r="AG118">
        <v>4</v>
      </c>
      <c r="AH118">
        <v>9</v>
      </c>
      <c r="AI118">
        <v>0</v>
      </c>
      <c r="AJ118">
        <v>0</v>
      </c>
      <c r="AK118">
        <v>3</v>
      </c>
      <c r="AL118">
        <v>2</v>
      </c>
      <c r="AM118" t="s">
        <v>99</v>
      </c>
      <c r="AN118">
        <v>727</v>
      </c>
      <c r="AO118">
        <v>323</v>
      </c>
      <c r="AQ118">
        <v>1587</v>
      </c>
      <c r="AR118" t="s">
        <v>57</v>
      </c>
      <c r="AS118">
        <f>+VLOOKUP(playerround[[#This Row],[player_id]],player[],5,0)</f>
        <v>128</v>
      </c>
      <c r="AT118">
        <f>+VLOOKUP(playerround[[#This Row],[groupround_id]],groupround[],6,FALSE)</f>
        <v>1</v>
      </c>
      <c r="AU118">
        <f>playerround[[#This Row],[mortgage_payment]]+playerround[[#This Row],[spent_savings_for_buying_house]]</f>
        <v>16000</v>
      </c>
      <c r="AV118">
        <f>playerround[[#This Row],[cost_fluvial_damage]]+playerround[[#This Row],[cost_pluvial_damage]]</f>
        <v>4000</v>
      </c>
    </row>
    <row r="119" spans="1:48" x14ac:dyDescent="0.3">
      <c r="A119">
        <v>1374</v>
      </c>
      <c r="B119" s="1">
        <v>45937.58011574074</v>
      </c>
      <c r="C119">
        <v>190000</v>
      </c>
      <c r="D119">
        <v>115000</v>
      </c>
      <c r="E119">
        <v>0</v>
      </c>
      <c r="F119">
        <v>16000</v>
      </c>
      <c r="G119">
        <v>0</v>
      </c>
      <c r="H119">
        <v>0</v>
      </c>
      <c r="I119">
        <v>20000</v>
      </c>
      <c r="J119">
        <v>0</v>
      </c>
      <c r="K119">
        <v>24700</v>
      </c>
      <c r="L119">
        <v>0</v>
      </c>
      <c r="M119">
        <v>0</v>
      </c>
      <c r="N119">
        <v>112100</v>
      </c>
      <c r="O119">
        <v>0</v>
      </c>
      <c r="P119">
        <v>0</v>
      </c>
      <c r="Q119">
        <v>0</v>
      </c>
      <c r="R119">
        <v>4</v>
      </c>
      <c r="S119">
        <v>0</v>
      </c>
      <c r="T119">
        <v>0</v>
      </c>
      <c r="U119">
        <v>0</v>
      </c>
      <c r="V119">
        <v>7</v>
      </c>
      <c r="W119">
        <v>8</v>
      </c>
      <c r="X119">
        <v>300000</v>
      </c>
      <c r="Y119">
        <v>160000</v>
      </c>
      <c r="Z119">
        <v>144000</v>
      </c>
      <c r="AA119">
        <v>0</v>
      </c>
      <c r="AB119">
        <v>0</v>
      </c>
      <c r="AC119">
        <v>160000</v>
      </c>
      <c r="AD119">
        <v>128000</v>
      </c>
      <c r="AF119" t="s">
        <v>57</v>
      </c>
      <c r="AG119">
        <v>4</v>
      </c>
      <c r="AH119">
        <v>9</v>
      </c>
      <c r="AI119">
        <v>0</v>
      </c>
      <c r="AJ119">
        <v>0</v>
      </c>
      <c r="AK119">
        <v>3</v>
      </c>
      <c r="AL119">
        <v>2</v>
      </c>
      <c r="AM119" t="s">
        <v>99</v>
      </c>
      <c r="AN119">
        <v>727</v>
      </c>
      <c r="AO119">
        <v>327</v>
      </c>
      <c r="AP119">
        <v>1587</v>
      </c>
      <c r="AQ119">
        <v>1587</v>
      </c>
      <c r="AR119" t="s">
        <v>57</v>
      </c>
      <c r="AS119">
        <f>+VLOOKUP(playerround[[#This Row],[player_id]],player[],5,0)</f>
        <v>128</v>
      </c>
      <c r="AT119">
        <f>+VLOOKUP(playerround[[#This Row],[groupround_id]],groupround[],6,FALSE)</f>
        <v>2</v>
      </c>
      <c r="AU119">
        <f>playerround[[#This Row],[mortgage_payment]]+playerround[[#This Row],[spent_savings_for_buying_house]]</f>
        <v>16000</v>
      </c>
      <c r="AV119">
        <f>playerround[[#This Row],[cost_fluvial_damage]]+playerround[[#This Row],[cost_pluvial_damage]]</f>
        <v>0</v>
      </c>
    </row>
    <row r="120" spans="1:48" x14ac:dyDescent="0.3">
      <c r="A120">
        <v>1395</v>
      </c>
      <c r="B120" s="1">
        <v>45937.58011574074</v>
      </c>
      <c r="C120">
        <v>190000</v>
      </c>
      <c r="D120">
        <v>115000</v>
      </c>
      <c r="E120">
        <v>0</v>
      </c>
      <c r="F120">
        <v>16000</v>
      </c>
      <c r="G120">
        <v>0</v>
      </c>
      <c r="H120">
        <v>0</v>
      </c>
      <c r="I120">
        <v>20000</v>
      </c>
      <c r="J120">
        <v>10000</v>
      </c>
      <c r="K120">
        <v>11200</v>
      </c>
      <c r="L120">
        <v>0</v>
      </c>
      <c r="M120">
        <v>4000</v>
      </c>
      <c r="N120">
        <v>125900</v>
      </c>
      <c r="O120">
        <v>0</v>
      </c>
      <c r="P120">
        <v>0</v>
      </c>
      <c r="Q120">
        <v>0</v>
      </c>
      <c r="R120">
        <v>2</v>
      </c>
      <c r="S120">
        <v>0</v>
      </c>
      <c r="T120">
        <v>1</v>
      </c>
      <c r="U120">
        <v>0</v>
      </c>
      <c r="V120">
        <v>8</v>
      </c>
      <c r="W120">
        <v>8</v>
      </c>
      <c r="X120">
        <v>300000</v>
      </c>
      <c r="Y120">
        <v>160000</v>
      </c>
      <c r="Z120">
        <v>128000</v>
      </c>
      <c r="AA120">
        <v>0</v>
      </c>
      <c r="AB120">
        <v>0</v>
      </c>
      <c r="AC120">
        <v>160000</v>
      </c>
      <c r="AD120">
        <v>112000</v>
      </c>
      <c r="AF120" t="s">
        <v>57</v>
      </c>
      <c r="AG120">
        <v>4</v>
      </c>
      <c r="AH120">
        <v>9</v>
      </c>
      <c r="AI120">
        <v>-2</v>
      </c>
      <c r="AJ120">
        <v>-1</v>
      </c>
      <c r="AK120">
        <v>4</v>
      </c>
      <c r="AL120">
        <v>3</v>
      </c>
      <c r="AM120" t="s">
        <v>99</v>
      </c>
      <c r="AN120">
        <v>727</v>
      </c>
      <c r="AO120">
        <v>330</v>
      </c>
      <c r="AP120">
        <v>1587</v>
      </c>
      <c r="AQ120">
        <v>1587</v>
      </c>
      <c r="AR120" t="s">
        <v>57</v>
      </c>
      <c r="AS120">
        <f>+VLOOKUP(playerround[[#This Row],[player_id]],player[],5,0)</f>
        <v>128</v>
      </c>
      <c r="AT120">
        <f>+VLOOKUP(playerround[[#This Row],[groupround_id]],groupround[],6,FALSE)</f>
        <v>3</v>
      </c>
      <c r="AU120">
        <f>playerround[[#This Row],[mortgage_payment]]+playerround[[#This Row],[spent_savings_for_buying_house]]</f>
        <v>16000</v>
      </c>
      <c r="AV120">
        <f>playerround[[#This Row],[cost_fluvial_damage]]+playerround[[#This Row],[cost_pluvial_damage]]</f>
        <v>4000</v>
      </c>
    </row>
    <row r="121" spans="1:48" x14ac:dyDescent="0.3">
      <c r="A121">
        <v>1414</v>
      </c>
      <c r="B121" s="1">
        <v>45937.58011574074</v>
      </c>
      <c r="C121">
        <v>190000</v>
      </c>
      <c r="D121">
        <v>115000</v>
      </c>
      <c r="E121">
        <v>0</v>
      </c>
      <c r="F121">
        <v>16000</v>
      </c>
      <c r="G121">
        <v>0</v>
      </c>
      <c r="H121">
        <v>0</v>
      </c>
      <c r="I121">
        <v>20000</v>
      </c>
      <c r="J121">
        <v>8000</v>
      </c>
      <c r="K121">
        <v>24700</v>
      </c>
      <c r="L121">
        <v>0</v>
      </c>
      <c r="M121">
        <v>0</v>
      </c>
      <c r="N121">
        <v>132200</v>
      </c>
      <c r="O121">
        <v>0</v>
      </c>
      <c r="P121">
        <v>0</v>
      </c>
      <c r="Q121">
        <v>1</v>
      </c>
      <c r="R121">
        <v>4</v>
      </c>
      <c r="S121">
        <v>0</v>
      </c>
      <c r="T121">
        <v>0</v>
      </c>
      <c r="U121">
        <v>0</v>
      </c>
      <c r="V121">
        <v>13</v>
      </c>
      <c r="W121">
        <v>8</v>
      </c>
      <c r="X121">
        <v>300000</v>
      </c>
      <c r="Y121">
        <v>160000</v>
      </c>
      <c r="Z121">
        <v>112000</v>
      </c>
      <c r="AA121">
        <v>0</v>
      </c>
      <c r="AB121">
        <v>0</v>
      </c>
      <c r="AC121">
        <v>160000</v>
      </c>
      <c r="AD121">
        <v>96000</v>
      </c>
      <c r="AF121" t="s">
        <v>57</v>
      </c>
      <c r="AG121">
        <v>4</v>
      </c>
      <c r="AH121">
        <v>9</v>
      </c>
      <c r="AI121">
        <v>-2</v>
      </c>
      <c r="AJ121">
        <v>-1</v>
      </c>
      <c r="AK121">
        <v>5</v>
      </c>
      <c r="AL121">
        <v>3</v>
      </c>
      <c r="AM121" t="s">
        <v>99</v>
      </c>
      <c r="AN121">
        <v>727</v>
      </c>
      <c r="AO121">
        <v>333</v>
      </c>
      <c r="AP121">
        <v>1587</v>
      </c>
      <c r="AQ121">
        <v>1587</v>
      </c>
      <c r="AR121" t="s">
        <v>57</v>
      </c>
      <c r="AS121">
        <f>+VLOOKUP(playerround[[#This Row],[player_id]],player[],5,0)</f>
        <v>128</v>
      </c>
      <c r="AT121">
        <f>+VLOOKUP(playerround[[#This Row],[groupround_id]],groupround[],6,FALSE)</f>
        <v>4</v>
      </c>
      <c r="AU121">
        <f>playerround[[#This Row],[mortgage_payment]]+playerround[[#This Row],[spent_savings_for_buying_house]]</f>
        <v>16000</v>
      </c>
      <c r="AV121">
        <f>playerround[[#This Row],[cost_fluvial_damage]]+playerround[[#This Row],[cost_pluvial_damage]]</f>
        <v>0</v>
      </c>
    </row>
  </sheetData>
  <pageMargins left="0.7" right="0.7" top="0.75" bottom="0.75" header="0.3" footer="0.3"/>
  <pageSetup paperSize="9" orientation="portrait" horizontalDpi="360" verticalDpi="360" r:id="rId1"/>
  <drawing r:id="rId2"/>
  <tableParts count="1">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925C7-5196-4FE6-B687-E128F2D8791A}">
  <dimension ref="A1:E1090"/>
  <sheetViews>
    <sheetView workbookViewId="0"/>
  </sheetViews>
  <sheetFormatPr defaultRowHeight="14.4" x14ac:dyDescent="0.3"/>
  <cols>
    <col min="1" max="1" width="5" bestFit="1" customWidth="1"/>
    <col min="2" max="2" width="15.77734375" bestFit="1" customWidth="1"/>
    <col min="3" max="3" width="14.33203125" bestFit="1" customWidth="1"/>
    <col min="4" max="4" width="19.44140625" bestFit="1" customWidth="1"/>
    <col min="5" max="5" width="35.77734375" bestFit="1" customWidth="1"/>
  </cols>
  <sheetData>
    <row r="1" spans="1:5" x14ac:dyDescent="0.3">
      <c r="A1" t="s">
        <v>0</v>
      </c>
      <c r="B1" t="s">
        <v>60</v>
      </c>
      <c r="C1" t="s">
        <v>83</v>
      </c>
      <c r="D1" t="s">
        <v>84</v>
      </c>
      <c r="E1" t="s">
        <v>85</v>
      </c>
    </row>
    <row r="2" spans="1:5" x14ac:dyDescent="0.3">
      <c r="A2">
        <v>6260</v>
      </c>
      <c r="B2">
        <v>1321</v>
      </c>
      <c r="C2" s="1">
        <v>45937.479733796295</v>
      </c>
      <c r="D2" t="s">
        <v>86</v>
      </c>
      <c r="E2" t="s">
        <v>87</v>
      </c>
    </row>
    <row r="3" spans="1:5" x14ac:dyDescent="0.3">
      <c r="A3">
        <v>6333</v>
      </c>
      <c r="B3">
        <v>1365</v>
      </c>
      <c r="C3" s="1">
        <v>45937.598854166667</v>
      </c>
      <c r="D3" t="s">
        <v>88</v>
      </c>
      <c r="E3" t="s">
        <v>57</v>
      </c>
    </row>
    <row r="4" spans="1:5" x14ac:dyDescent="0.3">
      <c r="A4">
        <v>6345</v>
      </c>
      <c r="B4">
        <v>1365</v>
      </c>
      <c r="C4" s="1">
        <v>45937.600798611114</v>
      </c>
      <c r="D4" t="s">
        <v>89</v>
      </c>
      <c r="E4" t="s">
        <v>57</v>
      </c>
    </row>
    <row r="5" spans="1:5" x14ac:dyDescent="0.3">
      <c r="A5">
        <v>6346</v>
      </c>
      <c r="B5">
        <v>1365</v>
      </c>
      <c r="C5" s="1">
        <v>45937.600821759261</v>
      </c>
      <c r="D5" t="s">
        <v>90</v>
      </c>
      <c r="E5" t="s">
        <v>57</v>
      </c>
    </row>
    <row r="6" spans="1:5" x14ac:dyDescent="0.3">
      <c r="A6">
        <v>6398</v>
      </c>
      <c r="B6">
        <v>1365</v>
      </c>
      <c r="C6" s="1">
        <v>45937.603750000002</v>
      </c>
      <c r="D6" t="s">
        <v>91</v>
      </c>
      <c r="E6" t="s">
        <v>57</v>
      </c>
    </row>
    <row r="7" spans="1:5" x14ac:dyDescent="0.3">
      <c r="A7">
        <v>6420</v>
      </c>
      <c r="B7">
        <v>1365</v>
      </c>
      <c r="C7" s="1">
        <v>45937.605266203704</v>
      </c>
      <c r="D7" t="s">
        <v>92</v>
      </c>
      <c r="E7" t="s">
        <v>93</v>
      </c>
    </row>
    <row r="8" spans="1:5" x14ac:dyDescent="0.3">
      <c r="A8">
        <v>6425</v>
      </c>
      <c r="B8">
        <v>1365</v>
      </c>
      <c r="C8" s="1">
        <v>45937.605300925927</v>
      </c>
      <c r="D8" t="s">
        <v>94</v>
      </c>
      <c r="E8" t="s">
        <v>57</v>
      </c>
    </row>
    <row r="9" spans="1:5" x14ac:dyDescent="0.3">
      <c r="A9">
        <v>6438</v>
      </c>
      <c r="B9">
        <v>1365</v>
      </c>
      <c r="C9" s="1">
        <v>45937.605891203704</v>
      </c>
      <c r="D9" t="s">
        <v>95</v>
      </c>
      <c r="E9" t="s">
        <v>57</v>
      </c>
    </row>
    <row r="10" spans="1:5" x14ac:dyDescent="0.3">
      <c r="A10">
        <v>6480</v>
      </c>
      <c r="B10">
        <v>1365</v>
      </c>
      <c r="C10" s="1">
        <v>45937.608402777776</v>
      </c>
      <c r="D10" t="s">
        <v>96</v>
      </c>
      <c r="E10" t="s">
        <v>57</v>
      </c>
    </row>
    <row r="11" spans="1:5" x14ac:dyDescent="0.3">
      <c r="A11">
        <v>6505</v>
      </c>
      <c r="B11">
        <v>1365</v>
      </c>
      <c r="C11" s="1">
        <v>45937.610023148147</v>
      </c>
      <c r="D11" t="s">
        <v>97</v>
      </c>
      <c r="E11" t="s">
        <v>57</v>
      </c>
    </row>
    <row r="12" spans="1:5" x14ac:dyDescent="0.3">
      <c r="A12">
        <v>6540</v>
      </c>
      <c r="B12">
        <v>1365</v>
      </c>
      <c r="C12" s="1">
        <v>45937.611932870372</v>
      </c>
      <c r="D12" t="s">
        <v>98</v>
      </c>
      <c r="E12" t="s">
        <v>57</v>
      </c>
    </row>
    <row r="13" spans="1:5" x14ac:dyDescent="0.3">
      <c r="A13">
        <v>6564</v>
      </c>
      <c r="B13">
        <v>1365</v>
      </c>
      <c r="C13" s="1">
        <v>45937.61246527778</v>
      </c>
      <c r="D13" t="s">
        <v>99</v>
      </c>
      <c r="E13" t="s">
        <v>57</v>
      </c>
    </row>
    <row r="14" spans="1:5" x14ac:dyDescent="0.3">
      <c r="A14">
        <v>6600</v>
      </c>
      <c r="B14">
        <v>1382</v>
      </c>
      <c r="C14" s="1">
        <v>45937.613541666666</v>
      </c>
      <c r="D14" t="s">
        <v>88</v>
      </c>
      <c r="E14" t="s">
        <v>57</v>
      </c>
    </row>
    <row r="15" spans="1:5" x14ac:dyDescent="0.3">
      <c r="A15">
        <v>6605</v>
      </c>
      <c r="B15">
        <v>1382</v>
      </c>
      <c r="C15" s="1">
        <v>45937.613611111112</v>
      </c>
      <c r="D15" t="s">
        <v>89</v>
      </c>
      <c r="E15" t="s">
        <v>57</v>
      </c>
    </row>
    <row r="16" spans="1:5" x14ac:dyDescent="0.3">
      <c r="A16">
        <v>6640</v>
      </c>
      <c r="B16">
        <v>1382</v>
      </c>
      <c r="C16" s="1">
        <v>45937.614305555559</v>
      </c>
      <c r="D16" t="s">
        <v>100</v>
      </c>
      <c r="E16" t="s">
        <v>57</v>
      </c>
    </row>
    <row r="17" spans="1:5" x14ac:dyDescent="0.3">
      <c r="A17">
        <v>6645</v>
      </c>
      <c r="B17">
        <v>1382</v>
      </c>
      <c r="C17" s="1">
        <v>45937.614351851851</v>
      </c>
      <c r="D17" t="s">
        <v>101</v>
      </c>
      <c r="E17" t="s">
        <v>57</v>
      </c>
    </row>
    <row r="18" spans="1:5" x14ac:dyDescent="0.3">
      <c r="A18">
        <v>6672</v>
      </c>
      <c r="B18">
        <v>1382</v>
      </c>
      <c r="C18" s="1">
        <v>45937.614849537036</v>
      </c>
      <c r="D18" t="s">
        <v>102</v>
      </c>
      <c r="E18" t="s">
        <v>57</v>
      </c>
    </row>
    <row r="19" spans="1:5" x14ac:dyDescent="0.3">
      <c r="A19">
        <v>6678</v>
      </c>
      <c r="B19">
        <v>1382</v>
      </c>
      <c r="C19" s="1">
        <v>45937.614953703705</v>
      </c>
      <c r="D19" t="s">
        <v>94</v>
      </c>
      <c r="E19" t="s">
        <v>57</v>
      </c>
    </row>
    <row r="20" spans="1:5" x14ac:dyDescent="0.3">
      <c r="A20">
        <v>6679</v>
      </c>
      <c r="B20">
        <v>1382</v>
      </c>
      <c r="C20" s="1">
        <v>45937.615069444444</v>
      </c>
      <c r="D20" t="s">
        <v>95</v>
      </c>
      <c r="E20" t="s">
        <v>57</v>
      </c>
    </row>
    <row r="21" spans="1:5" x14ac:dyDescent="0.3">
      <c r="A21">
        <v>6737</v>
      </c>
      <c r="B21">
        <v>1382</v>
      </c>
      <c r="C21" s="1">
        <v>45937.6169212963</v>
      </c>
      <c r="D21" t="s">
        <v>96</v>
      </c>
      <c r="E21" t="s">
        <v>57</v>
      </c>
    </row>
    <row r="22" spans="1:5" x14ac:dyDescent="0.3">
      <c r="A22">
        <v>6746</v>
      </c>
      <c r="B22">
        <v>1382</v>
      </c>
      <c r="C22" s="1">
        <v>45937.617118055554</v>
      </c>
      <c r="D22" t="s">
        <v>97</v>
      </c>
      <c r="E22" t="s">
        <v>57</v>
      </c>
    </row>
    <row r="23" spans="1:5" x14ac:dyDescent="0.3">
      <c r="A23">
        <v>6785</v>
      </c>
      <c r="B23">
        <v>1382</v>
      </c>
      <c r="C23" s="1">
        <v>45937.618090277778</v>
      </c>
      <c r="D23" t="s">
        <v>98</v>
      </c>
      <c r="E23" t="s">
        <v>57</v>
      </c>
    </row>
    <row r="24" spans="1:5" x14ac:dyDescent="0.3">
      <c r="A24">
        <v>6792</v>
      </c>
      <c r="B24">
        <v>1382</v>
      </c>
      <c r="C24" s="1">
        <v>45937.618344907409</v>
      </c>
      <c r="D24" t="s">
        <v>99</v>
      </c>
      <c r="E24" t="s">
        <v>57</v>
      </c>
    </row>
    <row r="25" spans="1:5" x14ac:dyDescent="0.3">
      <c r="A25">
        <v>6832</v>
      </c>
      <c r="B25">
        <v>1407</v>
      </c>
      <c r="C25" s="1">
        <v>45937.618900462963</v>
      </c>
      <c r="D25" t="s">
        <v>88</v>
      </c>
      <c r="E25" t="s">
        <v>57</v>
      </c>
    </row>
    <row r="26" spans="1:5" x14ac:dyDescent="0.3">
      <c r="A26">
        <v>6836</v>
      </c>
      <c r="B26">
        <v>1407</v>
      </c>
      <c r="C26" s="1">
        <v>45937.618969907409</v>
      </c>
      <c r="D26" t="s">
        <v>89</v>
      </c>
      <c r="E26" t="s">
        <v>57</v>
      </c>
    </row>
    <row r="27" spans="1:5" x14ac:dyDescent="0.3">
      <c r="A27">
        <v>6857</v>
      </c>
      <c r="B27">
        <v>1407</v>
      </c>
      <c r="C27" s="1">
        <v>45937.619502314818</v>
      </c>
      <c r="D27" t="s">
        <v>100</v>
      </c>
      <c r="E27" t="s">
        <v>57</v>
      </c>
    </row>
    <row r="28" spans="1:5" x14ac:dyDescent="0.3">
      <c r="A28">
        <v>6862</v>
      </c>
      <c r="B28">
        <v>1407</v>
      </c>
      <c r="C28" s="1">
        <v>45937.619560185187</v>
      </c>
      <c r="D28" t="s">
        <v>101</v>
      </c>
      <c r="E28" t="s">
        <v>57</v>
      </c>
    </row>
    <row r="29" spans="1:5" x14ac:dyDescent="0.3">
      <c r="A29">
        <v>6880</v>
      </c>
      <c r="B29">
        <v>1407</v>
      </c>
      <c r="C29" s="1">
        <v>45937.619699074072</v>
      </c>
      <c r="D29" t="s">
        <v>102</v>
      </c>
      <c r="E29" t="s">
        <v>57</v>
      </c>
    </row>
    <row r="30" spans="1:5" x14ac:dyDescent="0.3">
      <c r="A30">
        <v>6889</v>
      </c>
      <c r="B30">
        <v>1407</v>
      </c>
      <c r="C30" s="1">
        <v>45937.619814814818</v>
      </c>
      <c r="D30" t="s">
        <v>94</v>
      </c>
      <c r="E30" t="s">
        <v>57</v>
      </c>
    </row>
    <row r="31" spans="1:5" x14ac:dyDescent="0.3">
      <c r="A31">
        <v>6924</v>
      </c>
      <c r="B31">
        <v>1407</v>
      </c>
      <c r="C31" s="1">
        <v>45937.620254629626</v>
      </c>
      <c r="D31" t="s">
        <v>95</v>
      </c>
      <c r="E31" t="s">
        <v>57</v>
      </c>
    </row>
    <row r="32" spans="1:5" x14ac:dyDescent="0.3">
      <c r="A32">
        <v>6960</v>
      </c>
      <c r="B32">
        <v>1407</v>
      </c>
      <c r="C32" s="1">
        <v>45937.621516203704</v>
      </c>
      <c r="D32" t="s">
        <v>96</v>
      </c>
      <c r="E32" t="s">
        <v>57</v>
      </c>
    </row>
    <row r="33" spans="1:5" x14ac:dyDescent="0.3">
      <c r="A33">
        <v>6975</v>
      </c>
      <c r="B33">
        <v>1407</v>
      </c>
      <c r="C33" s="1">
        <v>45937.621921296297</v>
      </c>
      <c r="D33" t="s">
        <v>97</v>
      </c>
      <c r="E33" t="s">
        <v>57</v>
      </c>
    </row>
    <row r="34" spans="1:5" x14ac:dyDescent="0.3">
      <c r="A34">
        <v>7008</v>
      </c>
      <c r="B34">
        <v>1407</v>
      </c>
      <c r="C34" s="1">
        <v>45937.622824074075</v>
      </c>
      <c r="D34" t="s">
        <v>98</v>
      </c>
      <c r="E34" t="s">
        <v>57</v>
      </c>
    </row>
    <row r="35" spans="1:5" x14ac:dyDescent="0.3">
      <c r="A35">
        <v>7017</v>
      </c>
      <c r="B35">
        <v>1407</v>
      </c>
      <c r="C35" s="1">
        <v>45937.623067129629</v>
      </c>
      <c r="D35" t="s">
        <v>99</v>
      </c>
      <c r="E35" t="s">
        <v>57</v>
      </c>
    </row>
    <row r="36" spans="1:5" x14ac:dyDescent="0.3">
      <c r="A36">
        <v>7059</v>
      </c>
      <c r="B36">
        <v>1428</v>
      </c>
      <c r="C36" s="1">
        <v>45937.623888888891</v>
      </c>
      <c r="D36" t="s">
        <v>88</v>
      </c>
      <c r="E36" t="s">
        <v>57</v>
      </c>
    </row>
    <row r="37" spans="1:5" x14ac:dyDescent="0.3">
      <c r="A37">
        <v>7068</v>
      </c>
      <c r="B37">
        <v>1428</v>
      </c>
      <c r="C37" s="1">
        <v>45937.62395833333</v>
      </c>
      <c r="D37" t="s">
        <v>89</v>
      </c>
      <c r="E37" t="s">
        <v>57</v>
      </c>
    </row>
    <row r="38" spans="1:5" x14ac:dyDescent="0.3">
      <c r="A38">
        <v>7105</v>
      </c>
      <c r="B38">
        <v>1428</v>
      </c>
      <c r="C38" s="1">
        <v>45937.624756944446</v>
      </c>
      <c r="D38" t="s">
        <v>100</v>
      </c>
      <c r="E38" t="s">
        <v>57</v>
      </c>
    </row>
    <row r="39" spans="1:5" x14ac:dyDescent="0.3">
      <c r="A39">
        <v>7126</v>
      </c>
      <c r="B39">
        <v>1428</v>
      </c>
      <c r="C39" s="1">
        <v>45937.625300925924</v>
      </c>
      <c r="D39" t="s">
        <v>101</v>
      </c>
      <c r="E39" t="s">
        <v>57</v>
      </c>
    </row>
    <row r="40" spans="1:5" x14ac:dyDescent="0.3">
      <c r="A40">
        <v>7191</v>
      </c>
      <c r="B40">
        <v>1428</v>
      </c>
      <c r="C40" s="1">
        <v>45937.627233796295</v>
      </c>
      <c r="D40" t="s">
        <v>102</v>
      </c>
      <c r="E40" t="s">
        <v>57</v>
      </c>
    </row>
    <row r="41" spans="1:5" x14ac:dyDescent="0.3">
      <c r="A41">
        <v>7216</v>
      </c>
      <c r="B41">
        <v>1428</v>
      </c>
      <c r="C41" s="1">
        <v>45937.628784722219</v>
      </c>
      <c r="D41" t="s">
        <v>94</v>
      </c>
      <c r="E41" t="s">
        <v>57</v>
      </c>
    </row>
    <row r="42" spans="1:5" x14ac:dyDescent="0.3">
      <c r="A42">
        <v>7223</v>
      </c>
      <c r="B42">
        <v>1428</v>
      </c>
      <c r="C42" s="1">
        <v>45937.628877314812</v>
      </c>
      <c r="D42" t="s">
        <v>95</v>
      </c>
      <c r="E42" t="s">
        <v>57</v>
      </c>
    </row>
    <row r="43" spans="1:5" x14ac:dyDescent="0.3">
      <c r="A43">
        <v>7248</v>
      </c>
      <c r="B43">
        <v>1428</v>
      </c>
      <c r="C43" s="1">
        <v>45937.629363425927</v>
      </c>
      <c r="D43" t="s">
        <v>96</v>
      </c>
      <c r="E43" t="s">
        <v>57</v>
      </c>
    </row>
    <row r="44" spans="1:5" x14ac:dyDescent="0.3">
      <c r="A44">
        <v>7259</v>
      </c>
      <c r="B44">
        <v>1428</v>
      </c>
      <c r="C44" s="1">
        <v>45937.629629629628</v>
      </c>
      <c r="D44" t="s">
        <v>97</v>
      </c>
      <c r="E44" t="s">
        <v>57</v>
      </c>
    </row>
    <row r="45" spans="1:5" x14ac:dyDescent="0.3">
      <c r="A45">
        <v>7284</v>
      </c>
      <c r="B45">
        <v>1428</v>
      </c>
      <c r="C45" s="1">
        <v>45937.631018518521</v>
      </c>
      <c r="D45" t="s">
        <v>98</v>
      </c>
      <c r="E45" t="s">
        <v>57</v>
      </c>
    </row>
    <row r="46" spans="1:5" x14ac:dyDescent="0.3">
      <c r="A46">
        <v>7298</v>
      </c>
      <c r="B46">
        <v>1428</v>
      </c>
      <c r="C46" s="1">
        <v>45937.631377314814</v>
      </c>
      <c r="D46" t="s">
        <v>99</v>
      </c>
      <c r="E46" t="s">
        <v>57</v>
      </c>
    </row>
    <row r="47" spans="1:5" x14ac:dyDescent="0.3">
      <c r="A47">
        <v>6306</v>
      </c>
      <c r="B47">
        <v>1358</v>
      </c>
      <c r="C47" s="1">
        <v>45937.597245370373</v>
      </c>
      <c r="D47" t="s">
        <v>86</v>
      </c>
      <c r="E47" t="s">
        <v>87</v>
      </c>
    </row>
    <row r="48" spans="1:5" x14ac:dyDescent="0.3">
      <c r="A48">
        <v>6334</v>
      </c>
      <c r="B48">
        <v>1366</v>
      </c>
      <c r="C48" s="1">
        <v>45937.598877314813</v>
      </c>
      <c r="D48" t="s">
        <v>88</v>
      </c>
      <c r="E48" t="s">
        <v>57</v>
      </c>
    </row>
    <row r="49" spans="1:5" x14ac:dyDescent="0.3">
      <c r="A49">
        <v>6347</v>
      </c>
      <c r="B49">
        <v>1366</v>
      </c>
      <c r="C49" s="1">
        <v>45937.600844907407</v>
      </c>
      <c r="D49" t="s">
        <v>89</v>
      </c>
      <c r="E49" t="s">
        <v>57</v>
      </c>
    </row>
    <row r="50" spans="1:5" x14ac:dyDescent="0.3">
      <c r="A50">
        <v>6348</v>
      </c>
      <c r="B50">
        <v>1366</v>
      </c>
      <c r="C50" s="1">
        <v>45937.600891203707</v>
      </c>
      <c r="D50" t="s">
        <v>90</v>
      </c>
      <c r="E50" t="s">
        <v>57</v>
      </c>
    </row>
    <row r="51" spans="1:5" x14ac:dyDescent="0.3">
      <c r="A51">
        <v>6401</v>
      </c>
      <c r="B51">
        <v>1366</v>
      </c>
      <c r="C51" s="1">
        <v>45937.603773148148</v>
      </c>
      <c r="D51" t="s">
        <v>91</v>
      </c>
      <c r="E51" t="s">
        <v>57</v>
      </c>
    </row>
    <row r="52" spans="1:5" x14ac:dyDescent="0.3">
      <c r="A52">
        <v>6418</v>
      </c>
      <c r="B52">
        <v>1366</v>
      </c>
      <c r="C52" s="1">
        <v>45937.605243055557</v>
      </c>
      <c r="D52" t="s">
        <v>92</v>
      </c>
      <c r="E52" t="s">
        <v>103</v>
      </c>
    </row>
    <row r="53" spans="1:5" x14ac:dyDescent="0.3">
      <c r="A53">
        <v>6428</v>
      </c>
      <c r="B53">
        <v>1366</v>
      </c>
      <c r="C53" s="1">
        <v>45937.605347222219</v>
      </c>
      <c r="D53" t="s">
        <v>94</v>
      </c>
      <c r="E53" t="s">
        <v>57</v>
      </c>
    </row>
    <row r="54" spans="1:5" x14ac:dyDescent="0.3">
      <c r="A54">
        <v>6439</v>
      </c>
      <c r="B54">
        <v>1366</v>
      </c>
      <c r="C54" s="1">
        <v>45937.605902777781</v>
      </c>
      <c r="D54" t="s">
        <v>95</v>
      </c>
      <c r="E54" t="s">
        <v>57</v>
      </c>
    </row>
    <row r="55" spans="1:5" x14ac:dyDescent="0.3">
      <c r="A55">
        <v>6467</v>
      </c>
      <c r="B55">
        <v>1366</v>
      </c>
      <c r="C55" s="1">
        <v>45937.607685185183</v>
      </c>
      <c r="D55" t="s">
        <v>96</v>
      </c>
      <c r="E55" t="s">
        <v>57</v>
      </c>
    </row>
    <row r="56" spans="1:5" x14ac:dyDescent="0.3">
      <c r="A56">
        <v>6498</v>
      </c>
      <c r="B56">
        <v>1366</v>
      </c>
      <c r="C56" s="1">
        <v>45937.609699074077</v>
      </c>
      <c r="D56" t="s">
        <v>97</v>
      </c>
      <c r="E56" t="s">
        <v>57</v>
      </c>
    </row>
    <row r="57" spans="1:5" x14ac:dyDescent="0.3">
      <c r="A57">
        <v>6544</v>
      </c>
      <c r="B57">
        <v>1366</v>
      </c>
      <c r="C57" s="1">
        <v>45937.611956018518</v>
      </c>
      <c r="D57" t="s">
        <v>98</v>
      </c>
      <c r="E57" t="s">
        <v>57</v>
      </c>
    </row>
    <row r="58" spans="1:5" x14ac:dyDescent="0.3">
      <c r="A58">
        <v>6569</v>
      </c>
      <c r="B58">
        <v>1366</v>
      </c>
      <c r="C58" s="1">
        <v>45937.612569444442</v>
      </c>
      <c r="D58" t="s">
        <v>99</v>
      </c>
      <c r="E58" t="s">
        <v>57</v>
      </c>
    </row>
    <row r="59" spans="1:5" x14ac:dyDescent="0.3">
      <c r="A59">
        <v>6599</v>
      </c>
      <c r="B59">
        <v>1381</v>
      </c>
      <c r="C59" s="1">
        <v>45937.613506944443</v>
      </c>
      <c r="D59" t="s">
        <v>88</v>
      </c>
      <c r="E59" t="s">
        <v>57</v>
      </c>
    </row>
    <row r="60" spans="1:5" x14ac:dyDescent="0.3">
      <c r="A60">
        <v>6628</v>
      </c>
      <c r="B60">
        <v>1381</v>
      </c>
      <c r="C60" s="1">
        <v>45937.613958333335</v>
      </c>
      <c r="D60" t="s">
        <v>89</v>
      </c>
      <c r="E60" t="s">
        <v>57</v>
      </c>
    </row>
    <row r="61" spans="1:5" x14ac:dyDescent="0.3">
      <c r="A61">
        <v>6638</v>
      </c>
      <c r="B61">
        <v>1381</v>
      </c>
      <c r="C61" s="1">
        <v>45937.614236111112</v>
      </c>
      <c r="D61" t="s">
        <v>100</v>
      </c>
      <c r="E61" t="s">
        <v>57</v>
      </c>
    </row>
    <row r="62" spans="1:5" x14ac:dyDescent="0.3">
      <c r="A62">
        <v>6655</v>
      </c>
      <c r="B62">
        <v>1381</v>
      </c>
      <c r="C62" s="1">
        <v>45937.614560185182</v>
      </c>
      <c r="D62" t="s">
        <v>101</v>
      </c>
      <c r="E62" t="s">
        <v>57</v>
      </c>
    </row>
    <row r="63" spans="1:5" x14ac:dyDescent="0.3">
      <c r="A63">
        <v>6658</v>
      </c>
      <c r="B63">
        <v>1381</v>
      </c>
      <c r="C63" s="1">
        <v>45937.614652777775</v>
      </c>
      <c r="D63" t="s">
        <v>102</v>
      </c>
      <c r="E63" t="s">
        <v>57</v>
      </c>
    </row>
    <row r="64" spans="1:5" x14ac:dyDescent="0.3">
      <c r="A64">
        <v>6661</v>
      </c>
      <c r="B64">
        <v>1381</v>
      </c>
      <c r="C64" s="1">
        <v>45937.614675925928</v>
      </c>
      <c r="D64" t="s">
        <v>94</v>
      </c>
      <c r="E64" t="s">
        <v>57</v>
      </c>
    </row>
    <row r="65" spans="1:5" x14ac:dyDescent="0.3">
      <c r="A65">
        <v>6677</v>
      </c>
      <c r="B65">
        <v>1381</v>
      </c>
      <c r="C65" s="1">
        <v>45937.614930555559</v>
      </c>
      <c r="D65" t="s">
        <v>95</v>
      </c>
      <c r="E65" t="s">
        <v>57</v>
      </c>
    </row>
    <row r="66" spans="1:5" x14ac:dyDescent="0.3">
      <c r="A66">
        <v>6720</v>
      </c>
      <c r="B66">
        <v>1381</v>
      </c>
      <c r="C66" s="1">
        <v>45937.616585648146</v>
      </c>
      <c r="D66" t="s">
        <v>96</v>
      </c>
      <c r="E66" t="s">
        <v>57</v>
      </c>
    </row>
    <row r="67" spans="1:5" x14ac:dyDescent="0.3">
      <c r="A67">
        <v>6747</v>
      </c>
      <c r="B67">
        <v>1381</v>
      </c>
      <c r="C67" s="1">
        <v>45937.617164351854</v>
      </c>
      <c r="D67" t="s">
        <v>97</v>
      </c>
      <c r="E67" t="s">
        <v>57</v>
      </c>
    </row>
    <row r="68" spans="1:5" x14ac:dyDescent="0.3">
      <c r="A68">
        <v>6784</v>
      </c>
      <c r="B68">
        <v>1381</v>
      </c>
      <c r="C68" s="1">
        <v>45937.618078703701</v>
      </c>
      <c r="D68" t="s">
        <v>98</v>
      </c>
      <c r="E68" t="s">
        <v>57</v>
      </c>
    </row>
    <row r="69" spans="1:5" x14ac:dyDescent="0.3">
      <c r="A69">
        <v>6790</v>
      </c>
      <c r="B69">
        <v>1381</v>
      </c>
      <c r="C69" s="1">
        <v>45937.61824074074</v>
      </c>
      <c r="D69" t="s">
        <v>99</v>
      </c>
      <c r="E69" t="s">
        <v>57</v>
      </c>
    </row>
    <row r="70" spans="1:5" x14ac:dyDescent="0.3">
      <c r="A70">
        <v>6831</v>
      </c>
      <c r="B70">
        <v>1406</v>
      </c>
      <c r="C70" s="1">
        <v>45937.618900462963</v>
      </c>
      <c r="D70" t="s">
        <v>88</v>
      </c>
      <c r="E70" t="s">
        <v>57</v>
      </c>
    </row>
    <row r="71" spans="1:5" x14ac:dyDescent="0.3">
      <c r="A71">
        <v>6838</v>
      </c>
      <c r="B71">
        <v>1406</v>
      </c>
      <c r="C71" s="1">
        <v>45937.618969907409</v>
      </c>
      <c r="D71" t="s">
        <v>89</v>
      </c>
      <c r="E71" t="s">
        <v>57</v>
      </c>
    </row>
    <row r="72" spans="1:5" x14ac:dyDescent="0.3">
      <c r="A72">
        <v>6858</v>
      </c>
      <c r="B72">
        <v>1406</v>
      </c>
      <c r="C72" s="1">
        <v>45937.619537037041</v>
      </c>
      <c r="D72" t="s">
        <v>100</v>
      </c>
      <c r="E72" t="s">
        <v>57</v>
      </c>
    </row>
    <row r="73" spans="1:5" x14ac:dyDescent="0.3">
      <c r="A73">
        <v>6869</v>
      </c>
      <c r="B73">
        <v>1406</v>
      </c>
      <c r="C73" s="1">
        <v>45937.619618055556</v>
      </c>
      <c r="D73" t="s">
        <v>101</v>
      </c>
      <c r="E73" t="s">
        <v>57</v>
      </c>
    </row>
    <row r="74" spans="1:5" x14ac:dyDescent="0.3">
      <c r="A74">
        <v>6895</v>
      </c>
      <c r="B74">
        <v>1406</v>
      </c>
      <c r="C74" s="1">
        <v>45937.619872685187</v>
      </c>
      <c r="D74" t="s">
        <v>102</v>
      </c>
      <c r="E74" t="s">
        <v>57</v>
      </c>
    </row>
    <row r="75" spans="1:5" x14ac:dyDescent="0.3">
      <c r="A75">
        <v>6897</v>
      </c>
      <c r="B75">
        <v>1406</v>
      </c>
      <c r="C75" s="1">
        <v>45937.619895833333</v>
      </c>
      <c r="D75" t="s">
        <v>94</v>
      </c>
      <c r="E75" t="s">
        <v>57</v>
      </c>
    </row>
    <row r="76" spans="1:5" x14ac:dyDescent="0.3">
      <c r="A76">
        <v>6925</v>
      </c>
      <c r="B76">
        <v>1406</v>
      </c>
      <c r="C76" s="1">
        <v>45937.62027777778</v>
      </c>
      <c r="D76" t="s">
        <v>95</v>
      </c>
      <c r="E76" t="s">
        <v>57</v>
      </c>
    </row>
    <row r="77" spans="1:5" x14ac:dyDescent="0.3">
      <c r="A77">
        <v>6978</v>
      </c>
      <c r="B77">
        <v>1406</v>
      </c>
      <c r="C77" s="1">
        <v>45937.621967592589</v>
      </c>
      <c r="D77" t="s">
        <v>96</v>
      </c>
      <c r="E77" t="s">
        <v>57</v>
      </c>
    </row>
    <row r="78" spans="1:5" x14ac:dyDescent="0.3">
      <c r="A78">
        <v>6983</v>
      </c>
      <c r="B78">
        <v>1406</v>
      </c>
      <c r="C78" s="1">
        <v>45937.622129629628</v>
      </c>
      <c r="D78" t="s">
        <v>97</v>
      </c>
      <c r="E78" t="s">
        <v>57</v>
      </c>
    </row>
    <row r="79" spans="1:5" x14ac:dyDescent="0.3">
      <c r="A79">
        <v>7009</v>
      </c>
      <c r="B79">
        <v>1406</v>
      </c>
      <c r="C79" s="1">
        <v>45937.622835648152</v>
      </c>
      <c r="D79" t="s">
        <v>98</v>
      </c>
      <c r="E79" t="s">
        <v>57</v>
      </c>
    </row>
    <row r="80" spans="1:5" x14ac:dyDescent="0.3">
      <c r="A80">
        <v>7051</v>
      </c>
      <c r="B80">
        <v>1406</v>
      </c>
      <c r="C80" s="1">
        <v>45937.623680555553</v>
      </c>
      <c r="D80" t="s">
        <v>99</v>
      </c>
      <c r="E80" t="s">
        <v>57</v>
      </c>
    </row>
    <row r="81" spans="1:5" x14ac:dyDescent="0.3">
      <c r="A81">
        <v>7061</v>
      </c>
      <c r="B81">
        <v>1429</v>
      </c>
      <c r="C81" s="1">
        <v>45937.623912037037</v>
      </c>
      <c r="D81" t="s">
        <v>88</v>
      </c>
      <c r="E81" t="s">
        <v>57</v>
      </c>
    </row>
    <row r="82" spans="1:5" x14ac:dyDescent="0.3">
      <c r="A82">
        <v>7080</v>
      </c>
      <c r="B82">
        <v>1429</v>
      </c>
      <c r="C82" s="1">
        <v>45937.624050925922</v>
      </c>
      <c r="D82" t="s">
        <v>89</v>
      </c>
      <c r="E82" t="s">
        <v>57</v>
      </c>
    </row>
    <row r="83" spans="1:5" x14ac:dyDescent="0.3">
      <c r="A83">
        <v>7109</v>
      </c>
      <c r="B83">
        <v>1429</v>
      </c>
      <c r="C83" s="1">
        <v>45937.624837962961</v>
      </c>
      <c r="D83" t="s">
        <v>100</v>
      </c>
      <c r="E83" t="s">
        <v>57</v>
      </c>
    </row>
    <row r="84" spans="1:5" x14ac:dyDescent="0.3">
      <c r="A84">
        <v>7163</v>
      </c>
      <c r="B84">
        <v>1429</v>
      </c>
      <c r="C84" s="1">
        <v>45937.626331018517</v>
      </c>
      <c r="D84" t="s">
        <v>101</v>
      </c>
      <c r="E84" t="s">
        <v>57</v>
      </c>
    </row>
    <row r="85" spans="1:5" x14ac:dyDescent="0.3">
      <c r="A85">
        <v>7196</v>
      </c>
      <c r="B85">
        <v>1429</v>
      </c>
      <c r="C85" s="1">
        <v>45937.627442129633</v>
      </c>
      <c r="D85" t="s">
        <v>102</v>
      </c>
      <c r="E85" t="s">
        <v>57</v>
      </c>
    </row>
    <row r="86" spans="1:5" x14ac:dyDescent="0.3">
      <c r="A86">
        <v>7217</v>
      </c>
      <c r="B86">
        <v>1429</v>
      </c>
      <c r="C86" s="1">
        <v>45937.628796296296</v>
      </c>
      <c r="D86" t="s">
        <v>94</v>
      </c>
      <c r="E86" t="s">
        <v>57</v>
      </c>
    </row>
    <row r="87" spans="1:5" x14ac:dyDescent="0.3">
      <c r="A87">
        <v>7225</v>
      </c>
      <c r="B87">
        <v>1429</v>
      </c>
      <c r="C87" s="1">
        <v>45937.628877314812</v>
      </c>
      <c r="D87" t="s">
        <v>95</v>
      </c>
      <c r="E87" t="s">
        <v>57</v>
      </c>
    </row>
    <row r="88" spans="1:5" x14ac:dyDescent="0.3">
      <c r="A88">
        <v>7241</v>
      </c>
      <c r="B88">
        <v>1429</v>
      </c>
      <c r="C88" s="1">
        <v>45937.629236111112</v>
      </c>
      <c r="D88" t="s">
        <v>96</v>
      </c>
      <c r="E88" t="s">
        <v>57</v>
      </c>
    </row>
    <row r="89" spans="1:5" x14ac:dyDescent="0.3">
      <c r="A89">
        <v>7250</v>
      </c>
      <c r="B89">
        <v>1429</v>
      </c>
      <c r="C89" s="1">
        <v>45937.62940972222</v>
      </c>
      <c r="D89" t="s">
        <v>97</v>
      </c>
      <c r="E89" t="s">
        <v>57</v>
      </c>
    </row>
    <row r="90" spans="1:5" x14ac:dyDescent="0.3">
      <c r="A90">
        <v>7281</v>
      </c>
      <c r="B90">
        <v>1429</v>
      </c>
      <c r="C90" s="1">
        <v>45937.630995370368</v>
      </c>
      <c r="D90" t="s">
        <v>98</v>
      </c>
      <c r="E90" t="s">
        <v>57</v>
      </c>
    </row>
    <row r="91" spans="1:5" x14ac:dyDescent="0.3">
      <c r="A91">
        <v>7288</v>
      </c>
      <c r="B91">
        <v>1429</v>
      </c>
      <c r="C91" s="1">
        <v>45937.63113425926</v>
      </c>
      <c r="D91" t="s">
        <v>99</v>
      </c>
      <c r="E91" t="s">
        <v>57</v>
      </c>
    </row>
    <row r="92" spans="1:5" x14ac:dyDescent="0.3">
      <c r="A92">
        <v>6313</v>
      </c>
      <c r="B92">
        <v>1362</v>
      </c>
      <c r="C92" s="1">
        <v>45937.598113425927</v>
      </c>
      <c r="D92" t="s">
        <v>86</v>
      </c>
      <c r="E92" t="s">
        <v>87</v>
      </c>
    </row>
    <row r="93" spans="1:5" x14ac:dyDescent="0.3">
      <c r="A93">
        <v>6336</v>
      </c>
      <c r="B93">
        <v>1368</v>
      </c>
      <c r="C93" s="1">
        <v>45937.599340277775</v>
      </c>
      <c r="D93" t="s">
        <v>88</v>
      </c>
      <c r="E93" t="s">
        <v>57</v>
      </c>
    </row>
    <row r="94" spans="1:5" x14ac:dyDescent="0.3">
      <c r="A94">
        <v>6339</v>
      </c>
      <c r="B94">
        <v>1368</v>
      </c>
      <c r="C94" s="1">
        <v>45937.600428240738</v>
      </c>
      <c r="D94" t="s">
        <v>89</v>
      </c>
      <c r="E94" t="s">
        <v>57</v>
      </c>
    </row>
    <row r="95" spans="1:5" x14ac:dyDescent="0.3">
      <c r="A95">
        <v>6349</v>
      </c>
      <c r="B95">
        <v>1368</v>
      </c>
      <c r="C95" s="1">
        <v>45937.601006944446</v>
      </c>
      <c r="D95" t="s">
        <v>90</v>
      </c>
      <c r="E95" t="s">
        <v>57</v>
      </c>
    </row>
    <row r="96" spans="1:5" x14ac:dyDescent="0.3">
      <c r="A96">
        <v>6399</v>
      </c>
      <c r="B96">
        <v>1368</v>
      </c>
      <c r="C96" s="1">
        <v>45937.603750000002</v>
      </c>
      <c r="D96" t="s">
        <v>91</v>
      </c>
      <c r="E96" t="s">
        <v>57</v>
      </c>
    </row>
    <row r="97" spans="1:5" x14ac:dyDescent="0.3">
      <c r="A97">
        <v>6405</v>
      </c>
      <c r="B97">
        <v>1368</v>
      </c>
      <c r="C97" s="1">
        <v>45937.604201388887</v>
      </c>
      <c r="D97" t="s">
        <v>92</v>
      </c>
      <c r="E97" t="s">
        <v>104</v>
      </c>
    </row>
    <row r="98" spans="1:5" x14ac:dyDescent="0.3">
      <c r="A98">
        <v>6424</v>
      </c>
      <c r="B98">
        <v>1368</v>
      </c>
      <c r="C98" s="1">
        <v>45937.605300925927</v>
      </c>
      <c r="D98" t="s">
        <v>94</v>
      </c>
      <c r="E98" t="s">
        <v>57</v>
      </c>
    </row>
    <row r="99" spans="1:5" x14ac:dyDescent="0.3">
      <c r="A99">
        <v>6443</v>
      </c>
      <c r="B99">
        <v>1368</v>
      </c>
      <c r="C99" s="1">
        <v>45937.605914351851</v>
      </c>
      <c r="D99" t="s">
        <v>95</v>
      </c>
      <c r="E99" t="s">
        <v>57</v>
      </c>
    </row>
    <row r="100" spans="1:5" x14ac:dyDescent="0.3">
      <c r="A100">
        <v>6477</v>
      </c>
      <c r="B100">
        <v>1368</v>
      </c>
      <c r="C100" s="1">
        <v>45937.608275462961</v>
      </c>
      <c r="D100" t="s">
        <v>96</v>
      </c>
      <c r="E100" t="s">
        <v>57</v>
      </c>
    </row>
    <row r="101" spans="1:5" x14ac:dyDescent="0.3">
      <c r="A101">
        <v>6495</v>
      </c>
      <c r="B101">
        <v>1368</v>
      </c>
      <c r="C101" s="1">
        <v>45937.609074074076</v>
      </c>
      <c r="D101" t="s">
        <v>97</v>
      </c>
      <c r="E101" t="s">
        <v>57</v>
      </c>
    </row>
    <row r="102" spans="1:5" x14ac:dyDescent="0.3">
      <c r="A102">
        <v>6543</v>
      </c>
      <c r="B102">
        <v>1368</v>
      </c>
      <c r="C102" s="1">
        <v>45937.611944444441</v>
      </c>
      <c r="D102" t="s">
        <v>98</v>
      </c>
      <c r="E102" t="s">
        <v>57</v>
      </c>
    </row>
    <row r="103" spans="1:5" x14ac:dyDescent="0.3">
      <c r="A103">
        <v>6579</v>
      </c>
      <c r="B103">
        <v>1368</v>
      </c>
      <c r="C103" s="1">
        <v>45937.612835648149</v>
      </c>
      <c r="D103" t="s">
        <v>99</v>
      </c>
      <c r="E103" t="s">
        <v>57</v>
      </c>
    </row>
    <row r="104" spans="1:5" x14ac:dyDescent="0.3">
      <c r="A104">
        <v>6601</v>
      </c>
      <c r="B104">
        <v>1383</v>
      </c>
      <c r="C104" s="1">
        <v>45937.613541666666</v>
      </c>
      <c r="D104" t="s">
        <v>88</v>
      </c>
      <c r="E104" t="s">
        <v>57</v>
      </c>
    </row>
    <row r="105" spans="1:5" x14ac:dyDescent="0.3">
      <c r="A105">
        <v>6606</v>
      </c>
      <c r="B105">
        <v>1383</v>
      </c>
      <c r="C105" s="1">
        <v>45937.613611111112</v>
      </c>
      <c r="D105" t="s">
        <v>89</v>
      </c>
      <c r="E105" t="s">
        <v>57</v>
      </c>
    </row>
    <row r="106" spans="1:5" x14ac:dyDescent="0.3">
      <c r="A106">
        <v>6626</v>
      </c>
      <c r="B106">
        <v>1383</v>
      </c>
      <c r="C106" s="1">
        <v>45937.613935185182</v>
      </c>
      <c r="D106" t="s">
        <v>100</v>
      </c>
      <c r="E106" t="s">
        <v>57</v>
      </c>
    </row>
    <row r="107" spans="1:5" x14ac:dyDescent="0.3">
      <c r="A107">
        <v>6648</v>
      </c>
      <c r="B107">
        <v>1383</v>
      </c>
      <c r="C107" s="1">
        <v>45937.614386574074</v>
      </c>
      <c r="D107" t="s">
        <v>101</v>
      </c>
      <c r="E107" t="s">
        <v>57</v>
      </c>
    </row>
    <row r="108" spans="1:5" x14ac:dyDescent="0.3">
      <c r="A108">
        <v>6667</v>
      </c>
      <c r="B108">
        <v>1383</v>
      </c>
      <c r="C108" s="1">
        <v>45937.614768518521</v>
      </c>
      <c r="D108" t="s">
        <v>102</v>
      </c>
      <c r="E108" t="s">
        <v>57</v>
      </c>
    </row>
    <row r="109" spans="1:5" x14ac:dyDescent="0.3">
      <c r="A109">
        <v>6670</v>
      </c>
      <c r="B109">
        <v>1383</v>
      </c>
      <c r="C109" s="1">
        <v>45937.614837962959</v>
      </c>
      <c r="D109" t="s">
        <v>94</v>
      </c>
      <c r="E109" t="s">
        <v>57</v>
      </c>
    </row>
    <row r="110" spans="1:5" x14ac:dyDescent="0.3">
      <c r="A110">
        <v>6699</v>
      </c>
      <c r="B110">
        <v>1383</v>
      </c>
      <c r="C110" s="1">
        <v>45937.615590277775</v>
      </c>
      <c r="D110" t="s">
        <v>95</v>
      </c>
      <c r="E110" t="s">
        <v>57</v>
      </c>
    </row>
    <row r="111" spans="1:5" x14ac:dyDescent="0.3">
      <c r="A111">
        <v>6701</v>
      </c>
      <c r="B111">
        <v>1383</v>
      </c>
      <c r="C111" s="1">
        <v>45937.615740740737</v>
      </c>
      <c r="D111" t="s">
        <v>96</v>
      </c>
      <c r="E111" t="s">
        <v>57</v>
      </c>
    </row>
    <row r="112" spans="1:5" x14ac:dyDescent="0.3">
      <c r="A112">
        <v>6741</v>
      </c>
      <c r="B112">
        <v>1383</v>
      </c>
      <c r="C112" s="1">
        <v>45937.616990740738</v>
      </c>
      <c r="D112" t="s">
        <v>97</v>
      </c>
      <c r="E112" t="s">
        <v>57</v>
      </c>
    </row>
    <row r="113" spans="1:5" x14ac:dyDescent="0.3">
      <c r="A113">
        <v>6789</v>
      </c>
      <c r="B113">
        <v>1383</v>
      </c>
      <c r="C113" s="1">
        <v>45937.618206018517</v>
      </c>
      <c r="D113" t="s">
        <v>98</v>
      </c>
      <c r="E113" t="s">
        <v>57</v>
      </c>
    </row>
    <row r="114" spans="1:5" x14ac:dyDescent="0.3">
      <c r="A114">
        <v>6807</v>
      </c>
      <c r="B114">
        <v>1383</v>
      </c>
      <c r="C114" s="1">
        <v>45937.618495370371</v>
      </c>
      <c r="D114" t="s">
        <v>99</v>
      </c>
      <c r="E114" t="s">
        <v>57</v>
      </c>
    </row>
    <row r="115" spans="1:5" x14ac:dyDescent="0.3">
      <c r="A115">
        <v>6830</v>
      </c>
      <c r="B115">
        <v>1405</v>
      </c>
      <c r="C115" s="1">
        <v>45937.618900462963</v>
      </c>
      <c r="D115" t="s">
        <v>88</v>
      </c>
      <c r="E115" t="s">
        <v>57</v>
      </c>
    </row>
    <row r="116" spans="1:5" x14ac:dyDescent="0.3">
      <c r="A116">
        <v>6835</v>
      </c>
      <c r="B116">
        <v>1405</v>
      </c>
      <c r="C116" s="1">
        <v>45937.618969907409</v>
      </c>
      <c r="D116" t="s">
        <v>89</v>
      </c>
      <c r="E116" t="s">
        <v>57</v>
      </c>
    </row>
    <row r="117" spans="1:5" x14ac:dyDescent="0.3">
      <c r="A117">
        <v>6861</v>
      </c>
      <c r="B117">
        <v>1405</v>
      </c>
      <c r="C117" s="1">
        <v>45937.61954861111</v>
      </c>
      <c r="D117" t="s">
        <v>100</v>
      </c>
      <c r="E117" t="s">
        <v>57</v>
      </c>
    </row>
    <row r="118" spans="1:5" x14ac:dyDescent="0.3">
      <c r="A118">
        <v>6871</v>
      </c>
      <c r="B118">
        <v>1405</v>
      </c>
      <c r="C118" s="1">
        <v>45937.619618055556</v>
      </c>
      <c r="D118" t="s">
        <v>101</v>
      </c>
      <c r="E118" t="s">
        <v>57</v>
      </c>
    </row>
    <row r="119" spans="1:5" x14ac:dyDescent="0.3">
      <c r="A119">
        <v>6885</v>
      </c>
      <c r="B119">
        <v>1405</v>
      </c>
      <c r="C119" s="1">
        <v>45937.619756944441</v>
      </c>
      <c r="D119" t="s">
        <v>102</v>
      </c>
      <c r="E119" t="s">
        <v>57</v>
      </c>
    </row>
    <row r="120" spans="1:5" x14ac:dyDescent="0.3">
      <c r="A120">
        <v>6904</v>
      </c>
      <c r="B120">
        <v>1405</v>
      </c>
      <c r="C120" s="1">
        <v>45937.620081018518</v>
      </c>
      <c r="D120" t="s">
        <v>94</v>
      </c>
      <c r="E120" t="s">
        <v>57</v>
      </c>
    </row>
    <row r="121" spans="1:5" x14ac:dyDescent="0.3">
      <c r="A121">
        <v>6919</v>
      </c>
      <c r="B121">
        <v>1405</v>
      </c>
      <c r="C121" s="1">
        <v>45937.62023148148</v>
      </c>
      <c r="D121" t="s">
        <v>95</v>
      </c>
      <c r="E121" t="s">
        <v>57</v>
      </c>
    </row>
    <row r="122" spans="1:5" x14ac:dyDescent="0.3">
      <c r="A122">
        <v>6933</v>
      </c>
      <c r="B122">
        <v>1405</v>
      </c>
      <c r="C122" s="1">
        <v>45937.620509259257</v>
      </c>
      <c r="D122" t="s">
        <v>96</v>
      </c>
      <c r="E122" t="s">
        <v>57</v>
      </c>
    </row>
    <row r="123" spans="1:5" x14ac:dyDescent="0.3">
      <c r="A123">
        <v>6974</v>
      </c>
      <c r="B123">
        <v>1405</v>
      </c>
      <c r="C123" s="1">
        <v>45937.621851851851</v>
      </c>
      <c r="D123" t="s">
        <v>97</v>
      </c>
      <c r="E123" t="s">
        <v>57</v>
      </c>
    </row>
    <row r="124" spans="1:5" x14ac:dyDescent="0.3">
      <c r="A124">
        <v>7005</v>
      </c>
      <c r="B124">
        <v>1405</v>
      </c>
      <c r="C124" s="1">
        <v>45937.622777777775</v>
      </c>
      <c r="D124" t="s">
        <v>98</v>
      </c>
      <c r="E124" t="s">
        <v>57</v>
      </c>
    </row>
    <row r="125" spans="1:5" x14ac:dyDescent="0.3">
      <c r="A125">
        <v>7019</v>
      </c>
      <c r="B125">
        <v>1405</v>
      </c>
      <c r="C125" s="1">
        <v>45937.623252314814</v>
      </c>
      <c r="D125" t="s">
        <v>99</v>
      </c>
      <c r="E125" t="s">
        <v>57</v>
      </c>
    </row>
    <row r="126" spans="1:5" x14ac:dyDescent="0.3">
      <c r="A126">
        <v>7071</v>
      </c>
      <c r="B126">
        <v>1432</v>
      </c>
      <c r="C126" s="1">
        <v>45937.623969907407</v>
      </c>
      <c r="D126" t="s">
        <v>88</v>
      </c>
      <c r="E126" t="s">
        <v>57</v>
      </c>
    </row>
    <row r="127" spans="1:5" x14ac:dyDescent="0.3">
      <c r="A127">
        <v>7092</v>
      </c>
      <c r="B127">
        <v>1432</v>
      </c>
      <c r="C127" s="1">
        <v>45937.624293981484</v>
      </c>
      <c r="D127" t="s">
        <v>89</v>
      </c>
      <c r="E127" t="s">
        <v>57</v>
      </c>
    </row>
    <row r="128" spans="1:5" x14ac:dyDescent="0.3">
      <c r="A128">
        <v>7111</v>
      </c>
      <c r="B128">
        <v>1432</v>
      </c>
      <c r="C128" s="1">
        <v>45937.624895833331</v>
      </c>
      <c r="D128" t="s">
        <v>100</v>
      </c>
      <c r="E128" t="s">
        <v>57</v>
      </c>
    </row>
    <row r="129" spans="1:5" x14ac:dyDescent="0.3">
      <c r="A129">
        <v>7140</v>
      </c>
      <c r="B129">
        <v>1432</v>
      </c>
      <c r="C129" s="1">
        <v>45937.625671296293</v>
      </c>
      <c r="D129" t="s">
        <v>105</v>
      </c>
      <c r="E129" t="s">
        <v>57</v>
      </c>
    </row>
    <row r="130" spans="1:5" x14ac:dyDescent="0.3">
      <c r="A130">
        <v>7186</v>
      </c>
      <c r="B130">
        <v>1432</v>
      </c>
      <c r="C130" s="1">
        <v>45937.627175925925</v>
      </c>
      <c r="D130" t="s">
        <v>90</v>
      </c>
      <c r="E130" t="s">
        <v>106</v>
      </c>
    </row>
    <row r="131" spans="1:5" x14ac:dyDescent="0.3">
      <c r="A131">
        <v>7198</v>
      </c>
      <c r="B131">
        <v>1432</v>
      </c>
      <c r="C131" s="1">
        <v>45937.627615740741</v>
      </c>
      <c r="D131" t="s">
        <v>91</v>
      </c>
      <c r="E131" t="s">
        <v>57</v>
      </c>
    </row>
    <row r="132" spans="1:5" x14ac:dyDescent="0.3">
      <c r="A132">
        <v>7200</v>
      </c>
      <c r="B132">
        <v>1432</v>
      </c>
      <c r="C132" s="1">
        <v>45937.627766203703</v>
      </c>
      <c r="D132" t="s">
        <v>92</v>
      </c>
      <c r="E132" t="s">
        <v>107</v>
      </c>
    </row>
    <row r="133" spans="1:5" x14ac:dyDescent="0.3">
      <c r="A133">
        <v>7219</v>
      </c>
      <c r="B133">
        <v>1432</v>
      </c>
      <c r="C133" s="1">
        <v>45937.628796296296</v>
      </c>
      <c r="D133" t="s">
        <v>94</v>
      </c>
      <c r="E133" t="s">
        <v>57</v>
      </c>
    </row>
    <row r="134" spans="1:5" x14ac:dyDescent="0.3">
      <c r="A134">
        <v>7228</v>
      </c>
      <c r="B134">
        <v>1432</v>
      </c>
      <c r="C134" s="1">
        <v>45937.628912037035</v>
      </c>
      <c r="D134" t="s">
        <v>95</v>
      </c>
      <c r="E134" t="s">
        <v>57</v>
      </c>
    </row>
    <row r="135" spans="1:5" x14ac:dyDescent="0.3">
      <c r="A135">
        <v>7245</v>
      </c>
      <c r="B135">
        <v>1432</v>
      </c>
      <c r="C135" s="1">
        <v>45937.629305555558</v>
      </c>
      <c r="D135" t="s">
        <v>96</v>
      </c>
      <c r="E135" t="s">
        <v>57</v>
      </c>
    </row>
    <row r="136" spans="1:5" x14ac:dyDescent="0.3">
      <c r="A136">
        <v>7268</v>
      </c>
      <c r="B136">
        <v>1432</v>
      </c>
      <c r="C136" s="1">
        <v>45937.630104166667</v>
      </c>
      <c r="D136" t="s">
        <v>97</v>
      </c>
      <c r="E136" t="s">
        <v>57</v>
      </c>
    </row>
    <row r="137" spans="1:5" x14ac:dyDescent="0.3">
      <c r="A137">
        <v>7289</v>
      </c>
      <c r="B137">
        <v>1432</v>
      </c>
      <c r="C137" s="1">
        <v>45937.631168981483</v>
      </c>
      <c r="D137" t="s">
        <v>98</v>
      </c>
      <c r="E137" t="s">
        <v>57</v>
      </c>
    </row>
    <row r="138" spans="1:5" x14ac:dyDescent="0.3">
      <c r="A138">
        <v>7296</v>
      </c>
      <c r="B138">
        <v>1432</v>
      </c>
      <c r="C138" s="1">
        <v>45937.631296296298</v>
      </c>
      <c r="D138" t="s">
        <v>99</v>
      </c>
      <c r="E138" t="s">
        <v>57</v>
      </c>
    </row>
    <row r="139" spans="1:5" x14ac:dyDescent="0.3">
      <c r="A139">
        <v>6309</v>
      </c>
      <c r="B139">
        <v>1360</v>
      </c>
      <c r="C139" s="1">
        <v>45937.597615740742</v>
      </c>
      <c r="D139" t="s">
        <v>86</v>
      </c>
      <c r="E139" t="s">
        <v>87</v>
      </c>
    </row>
    <row r="140" spans="1:5" x14ac:dyDescent="0.3">
      <c r="A140">
        <v>6331</v>
      </c>
      <c r="B140">
        <v>1363</v>
      </c>
      <c r="C140" s="1">
        <v>45937.598680555559</v>
      </c>
      <c r="D140" t="s">
        <v>88</v>
      </c>
      <c r="E140" t="s">
        <v>57</v>
      </c>
    </row>
    <row r="141" spans="1:5" x14ac:dyDescent="0.3">
      <c r="A141">
        <v>6343</v>
      </c>
      <c r="B141">
        <v>1363</v>
      </c>
      <c r="C141" s="1">
        <v>45937.600717592592</v>
      </c>
      <c r="D141" t="s">
        <v>89</v>
      </c>
      <c r="E141" t="s">
        <v>57</v>
      </c>
    </row>
    <row r="142" spans="1:5" x14ac:dyDescent="0.3">
      <c r="A142">
        <v>6344</v>
      </c>
      <c r="B142">
        <v>1363</v>
      </c>
      <c r="C142" s="1">
        <v>45937.600752314815</v>
      </c>
      <c r="D142" t="s">
        <v>90</v>
      </c>
      <c r="E142" t="s">
        <v>57</v>
      </c>
    </row>
    <row r="143" spans="1:5" x14ac:dyDescent="0.3">
      <c r="A143">
        <v>6402</v>
      </c>
      <c r="B143">
        <v>1363</v>
      </c>
      <c r="C143" s="1">
        <v>45937.603773148148</v>
      </c>
      <c r="D143" t="s">
        <v>91</v>
      </c>
      <c r="E143" t="s">
        <v>57</v>
      </c>
    </row>
    <row r="144" spans="1:5" x14ac:dyDescent="0.3">
      <c r="A144">
        <v>6414</v>
      </c>
      <c r="B144">
        <v>1363</v>
      </c>
      <c r="C144" s="1">
        <v>45937.60465277778</v>
      </c>
      <c r="D144" t="s">
        <v>92</v>
      </c>
      <c r="E144" t="s">
        <v>108</v>
      </c>
    </row>
    <row r="145" spans="1:5" x14ac:dyDescent="0.3">
      <c r="A145">
        <v>6419</v>
      </c>
      <c r="B145">
        <v>1363</v>
      </c>
      <c r="C145" s="1">
        <v>45937.605243055557</v>
      </c>
      <c r="D145" t="s">
        <v>94</v>
      </c>
      <c r="E145" t="s">
        <v>57</v>
      </c>
    </row>
    <row r="146" spans="1:5" x14ac:dyDescent="0.3">
      <c r="A146">
        <v>6441</v>
      </c>
      <c r="B146">
        <v>1363</v>
      </c>
      <c r="C146" s="1">
        <v>45937.605902777781</v>
      </c>
      <c r="D146" t="s">
        <v>95</v>
      </c>
      <c r="E146" t="s">
        <v>57</v>
      </c>
    </row>
    <row r="147" spans="1:5" x14ac:dyDescent="0.3">
      <c r="A147">
        <v>6497</v>
      </c>
      <c r="B147">
        <v>1363</v>
      </c>
      <c r="C147" s="1">
        <v>45937.609444444446</v>
      </c>
      <c r="D147" t="s">
        <v>96</v>
      </c>
      <c r="E147" t="s">
        <v>57</v>
      </c>
    </row>
    <row r="148" spans="1:5" x14ac:dyDescent="0.3">
      <c r="A148">
        <v>6507</v>
      </c>
      <c r="B148">
        <v>1363</v>
      </c>
      <c r="C148" s="1">
        <v>45937.610150462962</v>
      </c>
      <c r="D148" t="s">
        <v>97</v>
      </c>
      <c r="E148" t="s">
        <v>57</v>
      </c>
    </row>
    <row r="149" spans="1:5" x14ac:dyDescent="0.3">
      <c r="A149">
        <v>6541</v>
      </c>
      <c r="B149">
        <v>1363</v>
      </c>
      <c r="C149" s="1">
        <v>45937.611944444441</v>
      </c>
      <c r="D149" t="s">
        <v>98</v>
      </c>
      <c r="E149" t="s">
        <v>57</v>
      </c>
    </row>
    <row r="150" spans="1:5" x14ac:dyDescent="0.3">
      <c r="A150">
        <v>6565</v>
      </c>
      <c r="B150">
        <v>1363</v>
      </c>
      <c r="C150" s="1">
        <v>45937.612476851849</v>
      </c>
      <c r="D150" t="s">
        <v>99</v>
      </c>
      <c r="E150" t="s">
        <v>57</v>
      </c>
    </row>
    <row r="151" spans="1:5" x14ac:dyDescent="0.3">
      <c r="A151">
        <v>6603</v>
      </c>
      <c r="B151">
        <v>1385</v>
      </c>
      <c r="C151" s="1">
        <v>45937.613564814812</v>
      </c>
      <c r="D151" t="s">
        <v>88</v>
      </c>
      <c r="E151" t="s">
        <v>57</v>
      </c>
    </row>
    <row r="152" spans="1:5" x14ac:dyDescent="0.3">
      <c r="A152">
        <v>6614</v>
      </c>
      <c r="B152">
        <v>1385</v>
      </c>
      <c r="C152" s="1">
        <v>45937.613680555558</v>
      </c>
      <c r="D152" t="s">
        <v>89</v>
      </c>
      <c r="E152" t="s">
        <v>57</v>
      </c>
    </row>
    <row r="153" spans="1:5" x14ac:dyDescent="0.3">
      <c r="A153">
        <v>6627</v>
      </c>
      <c r="B153">
        <v>1385</v>
      </c>
      <c r="C153" s="1">
        <v>45937.613935185182</v>
      </c>
      <c r="D153" t="s">
        <v>100</v>
      </c>
      <c r="E153" t="s">
        <v>57</v>
      </c>
    </row>
    <row r="154" spans="1:5" x14ac:dyDescent="0.3">
      <c r="A154">
        <v>6637</v>
      </c>
      <c r="B154">
        <v>1385</v>
      </c>
      <c r="C154" s="1">
        <v>45937.614189814813</v>
      </c>
      <c r="D154" t="s">
        <v>101</v>
      </c>
      <c r="E154" t="s">
        <v>57</v>
      </c>
    </row>
    <row r="155" spans="1:5" x14ac:dyDescent="0.3">
      <c r="A155">
        <v>6659</v>
      </c>
      <c r="B155">
        <v>1385</v>
      </c>
      <c r="C155" s="1">
        <v>45937.614652777775</v>
      </c>
      <c r="D155" t="s">
        <v>102</v>
      </c>
      <c r="E155" t="s">
        <v>57</v>
      </c>
    </row>
    <row r="156" spans="1:5" x14ac:dyDescent="0.3">
      <c r="A156">
        <v>6665</v>
      </c>
      <c r="B156">
        <v>1385</v>
      </c>
      <c r="C156" s="1">
        <v>45937.614722222221</v>
      </c>
      <c r="D156" t="s">
        <v>94</v>
      </c>
      <c r="E156" t="s">
        <v>57</v>
      </c>
    </row>
    <row r="157" spans="1:5" x14ac:dyDescent="0.3">
      <c r="A157">
        <v>6676</v>
      </c>
      <c r="B157">
        <v>1385</v>
      </c>
      <c r="C157" s="1">
        <v>45937.614918981482</v>
      </c>
      <c r="D157" t="s">
        <v>95</v>
      </c>
      <c r="E157" t="s">
        <v>57</v>
      </c>
    </row>
    <row r="158" spans="1:5" x14ac:dyDescent="0.3">
      <c r="A158">
        <v>6712</v>
      </c>
      <c r="B158">
        <v>1385</v>
      </c>
      <c r="C158" s="1">
        <v>45937.616226851853</v>
      </c>
      <c r="D158" t="s">
        <v>96</v>
      </c>
      <c r="E158" t="s">
        <v>57</v>
      </c>
    </row>
    <row r="159" spans="1:5" x14ac:dyDescent="0.3">
      <c r="A159">
        <v>6743</v>
      </c>
      <c r="B159">
        <v>1385</v>
      </c>
      <c r="C159" s="1">
        <v>45937.617013888892</v>
      </c>
      <c r="D159" t="s">
        <v>97</v>
      </c>
      <c r="E159" t="s">
        <v>57</v>
      </c>
    </row>
    <row r="160" spans="1:5" x14ac:dyDescent="0.3">
      <c r="A160">
        <v>6786</v>
      </c>
      <c r="B160">
        <v>1385</v>
      </c>
      <c r="C160" s="1">
        <v>45937.618101851855</v>
      </c>
      <c r="D160" t="s">
        <v>98</v>
      </c>
      <c r="E160" t="s">
        <v>57</v>
      </c>
    </row>
    <row r="161" spans="1:5" x14ac:dyDescent="0.3">
      <c r="A161">
        <v>6791</v>
      </c>
      <c r="B161">
        <v>1385</v>
      </c>
      <c r="C161" s="1">
        <v>45937.618333333332</v>
      </c>
      <c r="D161" t="s">
        <v>99</v>
      </c>
      <c r="E161" t="s">
        <v>57</v>
      </c>
    </row>
    <row r="162" spans="1:5" x14ac:dyDescent="0.3">
      <c r="A162">
        <v>6851</v>
      </c>
      <c r="B162">
        <v>1409</v>
      </c>
      <c r="C162" s="1">
        <v>45937.619189814817</v>
      </c>
      <c r="D162" t="s">
        <v>88</v>
      </c>
      <c r="E162" t="s">
        <v>57</v>
      </c>
    </row>
    <row r="163" spans="1:5" x14ac:dyDescent="0.3">
      <c r="A163">
        <v>6852</v>
      </c>
      <c r="B163">
        <v>1409</v>
      </c>
      <c r="C163" s="1">
        <v>45937.619259259256</v>
      </c>
      <c r="D163" t="s">
        <v>89</v>
      </c>
      <c r="E163" t="s">
        <v>57</v>
      </c>
    </row>
    <row r="164" spans="1:5" x14ac:dyDescent="0.3">
      <c r="A164">
        <v>6860</v>
      </c>
      <c r="B164">
        <v>1409</v>
      </c>
      <c r="C164" s="1">
        <v>45937.619537037041</v>
      </c>
      <c r="D164" t="s">
        <v>100</v>
      </c>
      <c r="E164" t="s">
        <v>57</v>
      </c>
    </row>
    <row r="165" spans="1:5" x14ac:dyDescent="0.3">
      <c r="A165">
        <v>6864</v>
      </c>
      <c r="B165">
        <v>1409</v>
      </c>
      <c r="C165" s="1">
        <v>45937.619583333333</v>
      </c>
      <c r="D165" t="s">
        <v>101</v>
      </c>
      <c r="E165" t="s">
        <v>57</v>
      </c>
    </row>
    <row r="166" spans="1:5" x14ac:dyDescent="0.3">
      <c r="A166">
        <v>6886</v>
      </c>
      <c r="B166">
        <v>1409</v>
      </c>
      <c r="C166" s="1">
        <v>45937.619780092595</v>
      </c>
      <c r="D166" t="s">
        <v>102</v>
      </c>
      <c r="E166" t="s">
        <v>57</v>
      </c>
    </row>
    <row r="167" spans="1:5" x14ac:dyDescent="0.3">
      <c r="A167">
        <v>6887</v>
      </c>
      <c r="B167">
        <v>1409</v>
      </c>
      <c r="C167" s="1">
        <v>45937.619803240741</v>
      </c>
      <c r="D167" t="s">
        <v>94</v>
      </c>
      <c r="E167" t="s">
        <v>57</v>
      </c>
    </row>
    <row r="168" spans="1:5" x14ac:dyDescent="0.3">
      <c r="A168">
        <v>6920</v>
      </c>
      <c r="B168">
        <v>1409</v>
      </c>
      <c r="C168" s="1">
        <v>45937.620243055557</v>
      </c>
      <c r="D168" t="s">
        <v>95</v>
      </c>
      <c r="E168" t="s">
        <v>57</v>
      </c>
    </row>
    <row r="169" spans="1:5" x14ac:dyDescent="0.3">
      <c r="A169">
        <v>6979</v>
      </c>
      <c r="B169">
        <v>1409</v>
      </c>
      <c r="C169" s="1">
        <v>45937.621979166666</v>
      </c>
      <c r="D169" t="s">
        <v>96</v>
      </c>
      <c r="E169" t="s">
        <v>57</v>
      </c>
    </row>
    <row r="170" spans="1:5" x14ac:dyDescent="0.3">
      <c r="A170">
        <v>6993</v>
      </c>
      <c r="B170">
        <v>1409</v>
      </c>
      <c r="C170" s="1">
        <v>45937.62226851852</v>
      </c>
      <c r="D170" t="s">
        <v>97</v>
      </c>
      <c r="E170" t="s">
        <v>57</v>
      </c>
    </row>
    <row r="171" spans="1:5" x14ac:dyDescent="0.3">
      <c r="A171">
        <v>7006</v>
      </c>
      <c r="B171">
        <v>1409</v>
      </c>
      <c r="C171" s="1">
        <v>45937.622800925928</v>
      </c>
      <c r="D171" t="s">
        <v>98</v>
      </c>
      <c r="E171" t="s">
        <v>57</v>
      </c>
    </row>
    <row r="172" spans="1:5" x14ac:dyDescent="0.3">
      <c r="A172">
        <v>7026</v>
      </c>
      <c r="B172">
        <v>1409</v>
      </c>
      <c r="C172" s="1">
        <v>45937.62332175926</v>
      </c>
      <c r="D172" t="s">
        <v>99</v>
      </c>
      <c r="E172" t="s">
        <v>57</v>
      </c>
    </row>
    <row r="173" spans="1:5" x14ac:dyDescent="0.3">
      <c r="A173">
        <v>7062</v>
      </c>
      <c r="B173">
        <v>1430</v>
      </c>
      <c r="C173" s="1">
        <v>45937.623912037037</v>
      </c>
      <c r="D173" t="s">
        <v>88</v>
      </c>
      <c r="E173" t="s">
        <v>57</v>
      </c>
    </row>
    <row r="174" spans="1:5" x14ac:dyDescent="0.3">
      <c r="A174">
        <v>7065</v>
      </c>
      <c r="B174">
        <v>1430</v>
      </c>
      <c r="C174" s="1">
        <v>45937.623935185184</v>
      </c>
      <c r="D174" t="s">
        <v>89</v>
      </c>
      <c r="E174" t="s">
        <v>57</v>
      </c>
    </row>
    <row r="175" spans="1:5" x14ac:dyDescent="0.3">
      <c r="A175">
        <v>7108</v>
      </c>
      <c r="B175">
        <v>1430</v>
      </c>
      <c r="C175" s="1">
        <v>45937.624814814815</v>
      </c>
      <c r="D175" t="s">
        <v>100</v>
      </c>
      <c r="E175" t="s">
        <v>57</v>
      </c>
    </row>
    <row r="176" spans="1:5" x14ac:dyDescent="0.3">
      <c r="A176">
        <v>7142</v>
      </c>
      <c r="B176">
        <v>1430</v>
      </c>
      <c r="C176" s="1">
        <v>45937.625694444447</v>
      </c>
      <c r="D176" t="s">
        <v>101</v>
      </c>
      <c r="E176" t="s">
        <v>57</v>
      </c>
    </row>
    <row r="177" spans="1:5" x14ac:dyDescent="0.3">
      <c r="A177">
        <v>7197</v>
      </c>
      <c r="B177">
        <v>1430</v>
      </c>
      <c r="C177" s="1">
        <v>45937.627476851849</v>
      </c>
      <c r="D177" t="s">
        <v>102</v>
      </c>
      <c r="E177" t="s">
        <v>57</v>
      </c>
    </row>
    <row r="178" spans="1:5" x14ac:dyDescent="0.3">
      <c r="A178">
        <v>7214</v>
      </c>
      <c r="B178">
        <v>1430</v>
      </c>
      <c r="C178" s="1">
        <v>45937.628750000003</v>
      </c>
      <c r="D178" t="s">
        <v>94</v>
      </c>
      <c r="E178" t="s">
        <v>57</v>
      </c>
    </row>
    <row r="179" spans="1:5" x14ac:dyDescent="0.3">
      <c r="A179">
        <v>7227</v>
      </c>
      <c r="B179">
        <v>1430</v>
      </c>
      <c r="C179" s="1">
        <v>45937.628900462965</v>
      </c>
      <c r="D179" t="s">
        <v>95</v>
      </c>
      <c r="E179" t="s">
        <v>57</v>
      </c>
    </row>
    <row r="180" spans="1:5" x14ac:dyDescent="0.3">
      <c r="A180">
        <v>7247</v>
      </c>
      <c r="B180">
        <v>1430</v>
      </c>
      <c r="C180" s="1">
        <v>45937.629328703704</v>
      </c>
      <c r="D180" t="s">
        <v>96</v>
      </c>
      <c r="E180" t="s">
        <v>57</v>
      </c>
    </row>
    <row r="181" spans="1:5" x14ac:dyDescent="0.3">
      <c r="A181">
        <v>7260</v>
      </c>
      <c r="B181">
        <v>1430</v>
      </c>
      <c r="C181" s="1">
        <v>45937.629675925928</v>
      </c>
      <c r="D181" t="s">
        <v>97</v>
      </c>
      <c r="E181" t="s">
        <v>57</v>
      </c>
    </row>
    <row r="182" spans="1:5" x14ac:dyDescent="0.3">
      <c r="A182">
        <v>7283</v>
      </c>
      <c r="B182">
        <v>1430</v>
      </c>
      <c r="C182" s="1">
        <v>45937.631006944444</v>
      </c>
      <c r="D182" t="s">
        <v>98</v>
      </c>
      <c r="E182" t="s">
        <v>57</v>
      </c>
    </row>
    <row r="183" spans="1:5" x14ac:dyDescent="0.3">
      <c r="A183">
        <v>7290</v>
      </c>
      <c r="B183">
        <v>1430</v>
      </c>
      <c r="C183" s="1">
        <v>45937.631215277775</v>
      </c>
      <c r="D183" t="s">
        <v>99</v>
      </c>
      <c r="E183" t="s">
        <v>57</v>
      </c>
    </row>
    <row r="184" spans="1:5" x14ac:dyDescent="0.3">
      <c r="A184">
        <v>6310</v>
      </c>
      <c r="B184">
        <v>1361</v>
      </c>
      <c r="C184" s="1">
        <v>45937.59783564815</v>
      </c>
      <c r="D184" t="s">
        <v>86</v>
      </c>
      <c r="E184" t="s">
        <v>87</v>
      </c>
    </row>
    <row r="185" spans="1:5" x14ac:dyDescent="0.3">
      <c r="A185">
        <v>6332</v>
      </c>
      <c r="B185">
        <v>1364</v>
      </c>
      <c r="C185" s="1">
        <v>45937.598854166667</v>
      </c>
      <c r="D185" t="s">
        <v>88</v>
      </c>
      <c r="E185" t="s">
        <v>57</v>
      </c>
    </row>
    <row r="186" spans="1:5" x14ac:dyDescent="0.3">
      <c r="A186">
        <v>6338</v>
      </c>
      <c r="B186">
        <v>1364</v>
      </c>
      <c r="C186" s="1">
        <v>45937.600405092591</v>
      </c>
      <c r="D186" t="s">
        <v>89</v>
      </c>
      <c r="E186" t="s">
        <v>57</v>
      </c>
    </row>
    <row r="187" spans="1:5" x14ac:dyDescent="0.3">
      <c r="A187">
        <v>6340</v>
      </c>
      <c r="B187">
        <v>1364</v>
      </c>
      <c r="C187" s="1">
        <v>45937.60056712963</v>
      </c>
      <c r="D187" t="s">
        <v>90</v>
      </c>
      <c r="E187" t="s">
        <v>57</v>
      </c>
    </row>
    <row r="188" spans="1:5" x14ac:dyDescent="0.3">
      <c r="A188">
        <v>6400</v>
      </c>
      <c r="B188">
        <v>1364</v>
      </c>
      <c r="C188" s="1">
        <v>45937.603761574072</v>
      </c>
      <c r="D188" t="s">
        <v>91</v>
      </c>
      <c r="E188" t="s">
        <v>57</v>
      </c>
    </row>
    <row r="189" spans="1:5" x14ac:dyDescent="0.3">
      <c r="A189">
        <v>6413</v>
      </c>
      <c r="B189">
        <v>1364</v>
      </c>
      <c r="C189" s="1">
        <v>45937.604537037034</v>
      </c>
      <c r="D189" t="s">
        <v>92</v>
      </c>
      <c r="E189" t="s">
        <v>109</v>
      </c>
    </row>
    <row r="190" spans="1:5" x14ac:dyDescent="0.3">
      <c r="A190">
        <v>6422</v>
      </c>
      <c r="B190">
        <v>1364</v>
      </c>
      <c r="C190" s="1">
        <v>45937.60528935185</v>
      </c>
      <c r="D190" t="s">
        <v>94</v>
      </c>
      <c r="E190" t="s">
        <v>57</v>
      </c>
    </row>
    <row r="191" spans="1:5" x14ac:dyDescent="0.3">
      <c r="A191">
        <v>6434</v>
      </c>
      <c r="B191">
        <v>1364</v>
      </c>
      <c r="C191" s="1">
        <v>45937.605844907404</v>
      </c>
      <c r="D191" t="s">
        <v>95</v>
      </c>
      <c r="E191" t="s">
        <v>57</v>
      </c>
    </row>
    <row r="192" spans="1:5" x14ac:dyDescent="0.3">
      <c r="A192">
        <v>6458</v>
      </c>
      <c r="B192">
        <v>1364</v>
      </c>
      <c r="C192" s="1">
        <v>45937.607465277775</v>
      </c>
      <c r="D192" t="s">
        <v>96</v>
      </c>
      <c r="E192" t="s">
        <v>57</v>
      </c>
    </row>
    <row r="193" spans="1:5" x14ac:dyDescent="0.3">
      <c r="A193">
        <v>6496</v>
      </c>
      <c r="B193">
        <v>1364</v>
      </c>
      <c r="C193" s="1">
        <v>45937.609201388892</v>
      </c>
      <c r="D193" t="s">
        <v>97</v>
      </c>
      <c r="E193" t="s">
        <v>57</v>
      </c>
    </row>
    <row r="194" spans="1:5" x14ac:dyDescent="0.3">
      <c r="A194">
        <v>6546</v>
      </c>
      <c r="B194">
        <v>1364</v>
      </c>
      <c r="C194" s="1">
        <v>45937.612013888887</v>
      </c>
      <c r="D194" t="s">
        <v>98</v>
      </c>
      <c r="E194" t="s">
        <v>57</v>
      </c>
    </row>
    <row r="195" spans="1:5" x14ac:dyDescent="0.3">
      <c r="A195">
        <v>6566</v>
      </c>
      <c r="B195">
        <v>1364</v>
      </c>
      <c r="C195" s="1">
        <v>45937.612500000003</v>
      </c>
      <c r="D195" t="s">
        <v>99</v>
      </c>
      <c r="E195" t="s">
        <v>57</v>
      </c>
    </row>
    <row r="196" spans="1:5" x14ac:dyDescent="0.3">
      <c r="A196">
        <v>6602</v>
      </c>
      <c r="B196">
        <v>1384</v>
      </c>
      <c r="C196" s="1">
        <v>45937.613553240742</v>
      </c>
      <c r="D196" t="s">
        <v>88</v>
      </c>
      <c r="E196" t="s">
        <v>57</v>
      </c>
    </row>
    <row r="197" spans="1:5" x14ac:dyDescent="0.3">
      <c r="A197">
        <v>6609</v>
      </c>
      <c r="B197">
        <v>1384</v>
      </c>
      <c r="C197" s="1">
        <v>45937.613634259258</v>
      </c>
      <c r="D197" t="s">
        <v>89</v>
      </c>
      <c r="E197" t="s">
        <v>57</v>
      </c>
    </row>
    <row r="198" spans="1:5" x14ac:dyDescent="0.3">
      <c r="A198">
        <v>6631</v>
      </c>
      <c r="B198">
        <v>1384</v>
      </c>
      <c r="C198" s="1">
        <v>45937.614004629628</v>
      </c>
      <c r="D198" t="s">
        <v>100</v>
      </c>
      <c r="E198" t="s">
        <v>57</v>
      </c>
    </row>
    <row r="199" spans="1:5" x14ac:dyDescent="0.3">
      <c r="A199">
        <v>6646</v>
      </c>
      <c r="B199">
        <v>1384</v>
      </c>
      <c r="C199" s="1">
        <v>45937.614363425928</v>
      </c>
      <c r="D199" t="s">
        <v>101</v>
      </c>
      <c r="E199" t="s">
        <v>57</v>
      </c>
    </row>
    <row r="200" spans="1:5" x14ac:dyDescent="0.3">
      <c r="A200">
        <v>6652</v>
      </c>
      <c r="B200">
        <v>1384</v>
      </c>
      <c r="C200" s="1">
        <v>45937.61451388889</v>
      </c>
      <c r="D200" t="s">
        <v>102</v>
      </c>
      <c r="E200" t="s">
        <v>57</v>
      </c>
    </row>
    <row r="201" spans="1:5" x14ac:dyDescent="0.3">
      <c r="A201">
        <v>6664</v>
      </c>
      <c r="B201">
        <v>1384</v>
      </c>
      <c r="C201" s="1">
        <v>45937.614710648151</v>
      </c>
      <c r="D201" t="s">
        <v>94</v>
      </c>
      <c r="E201" t="s">
        <v>57</v>
      </c>
    </row>
    <row r="202" spans="1:5" x14ac:dyDescent="0.3">
      <c r="A202">
        <v>6675</v>
      </c>
      <c r="B202">
        <v>1384</v>
      </c>
      <c r="C202" s="1">
        <v>45937.614918981482</v>
      </c>
      <c r="D202" t="s">
        <v>95</v>
      </c>
      <c r="E202" t="s">
        <v>57</v>
      </c>
    </row>
    <row r="203" spans="1:5" x14ac:dyDescent="0.3">
      <c r="A203">
        <v>6713</v>
      </c>
      <c r="B203">
        <v>1384</v>
      </c>
      <c r="C203" s="1">
        <v>45937.616249999999</v>
      </c>
      <c r="D203" t="s">
        <v>96</v>
      </c>
      <c r="E203" t="s">
        <v>57</v>
      </c>
    </row>
    <row r="204" spans="1:5" x14ac:dyDescent="0.3">
      <c r="A204">
        <v>6738</v>
      </c>
      <c r="B204">
        <v>1384</v>
      </c>
      <c r="C204" s="1">
        <v>45937.616979166669</v>
      </c>
      <c r="D204" t="s">
        <v>97</v>
      </c>
      <c r="E204" t="s">
        <v>57</v>
      </c>
    </row>
    <row r="205" spans="1:5" x14ac:dyDescent="0.3">
      <c r="A205">
        <v>6783</v>
      </c>
      <c r="B205">
        <v>1384</v>
      </c>
      <c r="C205" s="1">
        <v>45937.618078703701</v>
      </c>
      <c r="D205" t="s">
        <v>98</v>
      </c>
      <c r="E205" t="s">
        <v>57</v>
      </c>
    </row>
    <row r="206" spans="1:5" x14ac:dyDescent="0.3">
      <c r="A206">
        <v>6820</v>
      </c>
      <c r="B206">
        <v>1384</v>
      </c>
      <c r="C206" s="1">
        <v>45937.618773148148</v>
      </c>
      <c r="D206" t="s">
        <v>99</v>
      </c>
      <c r="E206" t="s">
        <v>57</v>
      </c>
    </row>
    <row r="207" spans="1:5" x14ac:dyDescent="0.3">
      <c r="A207">
        <v>6847</v>
      </c>
      <c r="B207">
        <v>1408</v>
      </c>
      <c r="C207" s="1">
        <v>45937.619097222225</v>
      </c>
      <c r="D207" t="s">
        <v>88</v>
      </c>
      <c r="E207" t="s">
        <v>57</v>
      </c>
    </row>
    <row r="208" spans="1:5" x14ac:dyDescent="0.3">
      <c r="A208">
        <v>6850</v>
      </c>
      <c r="B208">
        <v>1408</v>
      </c>
      <c r="C208" s="1">
        <v>45937.619189814817</v>
      </c>
      <c r="D208" t="s">
        <v>89</v>
      </c>
      <c r="E208" t="s">
        <v>57</v>
      </c>
    </row>
    <row r="209" spans="1:5" x14ac:dyDescent="0.3">
      <c r="A209">
        <v>6859</v>
      </c>
      <c r="B209">
        <v>1408</v>
      </c>
      <c r="C209" s="1">
        <v>45937.619537037041</v>
      </c>
      <c r="D209" t="s">
        <v>100</v>
      </c>
      <c r="E209" t="s">
        <v>57</v>
      </c>
    </row>
    <row r="210" spans="1:5" x14ac:dyDescent="0.3">
      <c r="A210">
        <v>6876</v>
      </c>
      <c r="B210">
        <v>1408</v>
      </c>
      <c r="C210" s="1">
        <v>45937.619641203702</v>
      </c>
      <c r="D210" t="s">
        <v>101</v>
      </c>
      <c r="E210" t="s">
        <v>57</v>
      </c>
    </row>
    <row r="211" spans="1:5" x14ac:dyDescent="0.3">
      <c r="A211">
        <v>6892</v>
      </c>
      <c r="B211">
        <v>1408</v>
      </c>
      <c r="C211" s="1">
        <v>45937.619837962964</v>
      </c>
      <c r="D211" t="s">
        <v>102</v>
      </c>
      <c r="E211" t="s">
        <v>57</v>
      </c>
    </row>
    <row r="212" spans="1:5" x14ac:dyDescent="0.3">
      <c r="A212">
        <v>6901</v>
      </c>
      <c r="B212">
        <v>1408</v>
      </c>
      <c r="C212" s="1">
        <v>45937.619988425926</v>
      </c>
      <c r="D212" t="s">
        <v>94</v>
      </c>
      <c r="E212" t="s">
        <v>57</v>
      </c>
    </row>
    <row r="213" spans="1:5" x14ac:dyDescent="0.3">
      <c r="A213">
        <v>6921</v>
      </c>
      <c r="B213">
        <v>1408</v>
      </c>
      <c r="C213" s="1">
        <v>45937.620243055557</v>
      </c>
      <c r="D213" t="s">
        <v>95</v>
      </c>
      <c r="E213" t="s">
        <v>57</v>
      </c>
    </row>
    <row r="214" spans="1:5" x14ac:dyDescent="0.3">
      <c r="A214">
        <v>6956</v>
      </c>
      <c r="B214">
        <v>1408</v>
      </c>
      <c r="C214" s="1">
        <v>45937.621238425927</v>
      </c>
      <c r="D214" t="s">
        <v>96</v>
      </c>
      <c r="E214" t="s">
        <v>57</v>
      </c>
    </row>
    <row r="215" spans="1:5" x14ac:dyDescent="0.3">
      <c r="A215">
        <v>6963</v>
      </c>
      <c r="B215">
        <v>1408</v>
      </c>
      <c r="C215" s="1">
        <v>45937.621550925927</v>
      </c>
      <c r="D215" t="s">
        <v>97</v>
      </c>
      <c r="E215" t="s">
        <v>57</v>
      </c>
    </row>
    <row r="216" spans="1:5" x14ac:dyDescent="0.3">
      <c r="A216">
        <v>7007</v>
      </c>
      <c r="B216">
        <v>1408</v>
      </c>
      <c r="C216" s="1">
        <v>45937.622812499998</v>
      </c>
      <c r="D216" t="s">
        <v>98</v>
      </c>
      <c r="E216" t="s">
        <v>57</v>
      </c>
    </row>
    <row r="217" spans="1:5" x14ac:dyDescent="0.3">
      <c r="A217">
        <v>7020</v>
      </c>
      <c r="B217">
        <v>1408</v>
      </c>
      <c r="C217" s="1">
        <v>45937.623252314814</v>
      </c>
      <c r="D217" t="s">
        <v>99</v>
      </c>
      <c r="E217" t="s">
        <v>57</v>
      </c>
    </row>
    <row r="218" spans="1:5" x14ac:dyDescent="0.3">
      <c r="A218">
        <v>7064</v>
      </c>
      <c r="B218">
        <v>1431</v>
      </c>
      <c r="C218" s="1">
        <v>45937.623935185184</v>
      </c>
      <c r="D218" t="s">
        <v>88</v>
      </c>
      <c r="E218" t="s">
        <v>57</v>
      </c>
    </row>
    <row r="219" spans="1:5" x14ac:dyDescent="0.3">
      <c r="A219">
        <v>7088</v>
      </c>
      <c r="B219">
        <v>1431</v>
      </c>
      <c r="C219" s="1">
        <v>45937.624178240738</v>
      </c>
      <c r="D219" t="s">
        <v>89</v>
      </c>
      <c r="E219" t="s">
        <v>57</v>
      </c>
    </row>
    <row r="220" spans="1:5" x14ac:dyDescent="0.3">
      <c r="A220">
        <v>7107</v>
      </c>
      <c r="B220">
        <v>1431</v>
      </c>
      <c r="C220" s="1">
        <v>45937.624791666669</v>
      </c>
      <c r="D220" t="s">
        <v>100</v>
      </c>
      <c r="E220" t="s">
        <v>57</v>
      </c>
    </row>
    <row r="221" spans="1:5" x14ac:dyDescent="0.3">
      <c r="A221">
        <v>7143</v>
      </c>
      <c r="B221">
        <v>1431</v>
      </c>
      <c r="C221" s="1">
        <v>45937.625706018516</v>
      </c>
      <c r="D221" t="s">
        <v>101</v>
      </c>
      <c r="E221" t="s">
        <v>57</v>
      </c>
    </row>
    <row r="222" spans="1:5" x14ac:dyDescent="0.3">
      <c r="A222">
        <v>7193</v>
      </c>
      <c r="B222">
        <v>1431</v>
      </c>
      <c r="C222" s="1">
        <v>45937.627326388887</v>
      </c>
      <c r="D222" t="s">
        <v>102</v>
      </c>
      <c r="E222" t="s">
        <v>57</v>
      </c>
    </row>
    <row r="223" spans="1:5" x14ac:dyDescent="0.3">
      <c r="A223">
        <v>7215</v>
      </c>
      <c r="B223">
        <v>1431</v>
      </c>
      <c r="C223" s="1">
        <v>45937.62877314815</v>
      </c>
      <c r="D223" t="s">
        <v>94</v>
      </c>
      <c r="E223" t="s">
        <v>57</v>
      </c>
    </row>
    <row r="224" spans="1:5" x14ac:dyDescent="0.3">
      <c r="A224">
        <v>7221</v>
      </c>
      <c r="B224">
        <v>1431</v>
      </c>
      <c r="C224" s="1">
        <v>45937.628854166665</v>
      </c>
      <c r="D224" t="s">
        <v>95</v>
      </c>
      <c r="E224" t="s">
        <v>57</v>
      </c>
    </row>
    <row r="225" spans="1:5" x14ac:dyDescent="0.3">
      <c r="A225">
        <v>7246</v>
      </c>
      <c r="B225">
        <v>1431</v>
      </c>
      <c r="C225" s="1">
        <v>45937.629317129627</v>
      </c>
      <c r="D225" t="s">
        <v>96</v>
      </c>
      <c r="E225" t="s">
        <v>57</v>
      </c>
    </row>
    <row r="226" spans="1:5" x14ac:dyDescent="0.3">
      <c r="A226">
        <v>7258</v>
      </c>
      <c r="B226">
        <v>1431</v>
      </c>
      <c r="C226" s="1">
        <v>45937.629629629628</v>
      </c>
      <c r="D226" t="s">
        <v>97</v>
      </c>
      <c r="E226" t="s">
        <v>57</v>
      </c>
    </row>
    <row r="227" spans="1:5" x14ac:dyDescent="0.3">
      <c r="A227">
        <v>7282</v>
      </c>
      <c r="B227">
        <v>1431</v>
      </c>
      <c r="C227" s="1">
        <v>45937.631006944444</v>
      </c>
      <c r="D227" t="s">
        <v>98</v>
      </c>
      <c r="E227" t="s">
        <v>57</v>
      </c>
    </row>
    <row r="228" spans="1:5" x14ac:dyDescent="0.3">
      <c r="A228">
        <v>7297</v>
      </c>
      <c r="B228">
        <v>1431</v>
      </c>
      <c r="C228" s="1">
        <v>45937.631296296298</v>
      </c>
      <c r="D228" t="s">
        <v>99</v>
      </c>
      <c r="E228" t="s">
        <v>57</v>
      </c>
    </row>
    <row r="229" spans="1:5" x14ac:dyDescent="0.3">
      <c r="A229">
        <v>6307</v>
      </c>
      <c r="B229">
        <v>1359</v>
      </c>
      <c r="C229" s="1">
        <v>45937.597418981481</v>
      </c>
      <c r="D229" t="s">
        <v>86</v>
      </c>
      <c r="E229" t="s">
        <v>87</v>
      </c>
    </row>
    <row r="230" spans="1:5" x14ac:dyDescent="0.3">
      <c r="A230">
        <v>6335</v>
      </c>
      <c r="B230">
        <v>1367</v>
      </c>
      <c r="C230" s="1">
        <v>45937.598969907405</v>
      </c>
      <c r="D230" t="s">
        <v>88</v>
      </c>
      <c r="E230" t="s">
        <v>57</v>
      </c>
    </row>
    <row r="231" spans="1:5" x14ac:dyDescent="0.3">
      <c r="A231">
        <v>6341</v>
      </c>
      <c r="B231">
        <v>1367</v>
      </c>
      <c r="C231" s="1">
        <v>45937.600636574076</v>
      </c>
      <c r="D231" t="s">
        <v>89</v>
      </c>
      <c r="E231" t="s">
        <v>57</v>
      </c>
    </row>
    <row r="232" spans="1:5" x14ac:dyDescent="0.3">
      <c r="A232">
        <v>6342</v>
      </c>
      <c r="B232">
        <v>1367</v>
      </c>
      <c r="C232" s="1">
        <v>45937.600682870368</v>
      </c>
      <c r="D232" t="s">
        <v>90</v>
      </c>
      <c r="E232" t="s">
        <v>57</v>
      </c>
    </row>
    <row r="233" spans="1:5" x14ac:dyDescent="0.3">
      <c r="A233">
        <v>6404</v>
      </c>
      <c r="B233">
        <v>1367</v>
      </c>
      <c r="C233" s="1">
        <v>45937.604062500002</v>
      </c>
      <c r="D233" t="s">
        <v>91</v>
      </c>
      <c r="E233" t="s">
        <v>57</v>
      </c>
    </row>
    <row r="234" spans="1:5" x14ac:dyDescent="0.3">
      <c r="A234">
        <v>6421</v>
      </c>
      <c r="B234">
        <v>1367</v>
      </c>
      <c r="C234" s="1">
        <v>45937.605266203704</v>
      </c>
      <c r="D234" t="s">
        <v>92</v>
      </c>
      <c r="E234" t="s">
        <v>110</v>
      </c>
    </row>
    <row r="235" spans="1:5" x14ac:dyDescent="0.3">
      <c r="A235">
        <v>6426</v>
      </c>
      <c r="B235">
        <v>1367</v>
      </c>
      <c r="C235" s="1">
        <v>45937.605312500003</v>
      </c>
      <c r="D235" t="s">
        <v>94</v>
      </c>
      <c r="E235" t="s">
        <v>57</v>
      </c>
    </row>
    <row r="236" spans="1:5" x14ac:dyDescent="0.3">
      <c r="A236">
        <v>6446</v>
      </c>
      <c r="B236">
        <v>1367</v>
      </c>
      <c r="C236" s="1">
        <v>45937.606006944443</v>
      </c>
      <c r="D236" t="s">
        <v>95</v>
      </c>
      <c r="E236" t="s">
        <v>57</v>
      </c>
    </row>
    <row r="237" spans="1:5" x14ac:dyDescent="0.3">
      <c r="A237">
        <v>6488</v>
      </c>
      <c r="B237">
        <v>1367</v>
      </c>
      <c r="C237" s="1">
        <v>45937.608738425923</v>
      </c>
      <c r="D237" t="s">
        <v>96</v>
      </c>
      <c r="E237" t="s">
        <v>57</v>
      </c>
    </row>
    <row r="238" spans="1:5" x14ac:dyDescent="0.3">
      <c r="A238">
        <v>6533</v>
      </c>
      <c r="B238">
        <v>1367</v>
      </c>
      <c r="C238" s="1">
        <v>45937.611631944441</v>
      </c>
      <c r="D238" t="s">
        <v>97</v>
      </c>
      <c r="E238" t="s">
        <v>57</v>
      </c>
    </row>
    <row r="239" spans="1:5" x14ac:dyDescent="0.3">
      <c r="A239">
        <v>6542</v>
      </c>
      <c r="B239">
        <v>1367</v>
      </c>
      <c r="C239" s="1">
        <v>45937.611944444441</v>
      </c>
      <c r="D239" t="s">
        <v>98</v>
      </c>
      <c r="E239" t="s">
        <v>57</v>
      </c>
    </row>
    <row r="240" spans="1:5" x14ac:dyDescent="0.3">
      <c r="A240">
        <v>6567</v>
      </c>
      <c r="B240">
        <v>1367</v>
      </c>
      <c r="C240" s="1">
        <v>45937.612546296295</v>
      </c>
      <c r="D240" t="s">
        <v>99</v>
      </c>
      <c r="E240" t="s">
        <v>57</v>
      </c>
    </row>
    <row r="241" spans="1:5" x14ac:dyDescent="0.3">
      <c r="A241">
        <v>6604</v>
      </c>
      <c r="B241">
        <v>1386</v>
      </c>
      <c r="C241" s="1">
        <v>45937.613576388889</v>
      </c>
      <c r="D241" t="s">
        <v>88</v>
      </c>
      <c r="E241" t="s">
        <v>57</v>
      </c>
    </row>
    <row r="242" spans="1:5" x14ac:dyDescent="0.3">
      <c r="A242">
        <v>6617</v>
      </c>
      <c r="B242">
        <v>1386</v>
      </c>
      <c r="C242" s="1">
        <v>45937.613715277781</v>
      </c>
      <c r="D242" t="s">
        <v>89</v>
      </c>
      <c r="E242" t="s">
        <v>57</v>
      </c>
    </row>
    <row r="243" spans="1:5" x14ac:dyDescent="0.3">
      <c r="A243">
        <v>6625</v>
      </c>
      <c r="B243">
        <v>1386</v>
      </c>
      <c r="C243" s="1">
        <v>45937.613923611112</v>
      </c>
      <c r="D243" t="s">
        <v>100</v>
      </c>
      <c r="E243" t="s">
        <v>57</v>
      </c>
    </row>
    <row r="244" spans="1:5" x14ac:dyDescent="0.3">
      <c r="A244">
        <v>6649</v>
      </c>
      <c r="B244">
        <v>1386</v>
      </c>
      <c r="C244" s="1">
        <v>45937.614398148151</v>
      </c>
      <c r="D244" t="s">
        <v>101</v>
      </c>
      <c r="E244" t="s">
        <v>57</v>
      </c>
    </row>
    <row r="245" spans="1:5" x14ac:dyDescent="0.3">
      <c r="A245">
        <v>6653</v>
      </c>
      <c r="B245">
        <v>1386</v>
      </c>
      <c r="C245" s="1">
        <v>45937.614548611113</v>
      </c>
      <c r="D245" t="s">
        <v>102</v>
      </c>
      <c r="E245" t="s">
        <v>57</v>
      </c>
    </row>
    <row r="246" spans="1:5" x14ac:dyDescent="0.3">
      <c r="A246">
        <v>6656</v>
      </c>
      <c r="B246">
        <v>1386</v>
      </c>
      <c r="C246" s="1">
        <v>45937.614618055559</v>
      </c>
      <c r="D246" t="s">
        <v>94</v>
      </c>
      <c r="E246" t="s">
        <v>57</v>
      </c>
    </row>
    <row r="247" spans="1:5" x14ac:dyDescent="0.3">
      <c r="A247">
        <v>6673</v>
      </c>
      <c r="B247">
        <v>1386</v>
      </c>
      <c r="C247" s="1">
        <v>45937.614884259259</v>
      </c>
      <c r="D247" t="s">
        <v>95</v>
      </c>
      <c r="E247" t="s">
        <v>57</v>
      </c>
    </row>
    <row r="248" spans="1:5" x14ac:dyDescent="0.3">
      <c r="A248">
        <v>6723</v>
      </c>
      <c r="B248">
        <v>1386</v>
      </c>
      <c r="C248" s="1">
        <v>45937.616701388892</v>
      </c>
      <c r="D248" t="s">
        <v>96</v>
      </c>
      <c r="E248" t="s">
        <v>57</v>
      </c>
    </row>
    <row r="249" spans="1:5" x14ac:dyDescent="0.3">
      <c r="A249">
        <v>6778</v>
      </c>
      <c r="B249">
        <v>1386</v>
      </c>
      <c r="C249" s="1">
        <v>45937.617974537039</v>
      </c>
      <c r="D249" t="s">
        <v>97</v>
      </c>
      <c r="E249" t="s">
        <v>57</v>
      </c>
    </row>
    <row r="250" spans="1:5" x14ac:dyDescent="0.3">
      <c r="A250">
        <v>6787</v>
      </c>
      <c r="B250">
        <v>1386</v>
      </c>
      <c r="C250" s="1">
        <v>45937.618113425924</v>
      </c>
      <c r="D250" t="s">
        <v>98</v>
      </c>
      <c r="E250" t="s">
        <v>57</v>
      </c>
    </row>
    <row r="251" spans="1:5" x14ac:dyDescent="0.3">
      <c r="A251">
        <v>6801</v>
      </c>
      <c r="B251">
        <v>1386</v>
      </c>
      <c r="C251" s="1">
        <v>45937.618414351855</v>
      </c>
      <c r="D251" t="s">
        <v>99</v>
      </c>
      <c r="E251" t="s">
        <v>57</v>
      </c>
    </row>
    <row r="252" spans="1:5" x14ac:dyDescent="0.3">
      <c r="A252">
        <v>6866</v>
      </c>
      <c r="B252">
        <v>1410</v>
      </c>
      <c r="C252" s="1">
        <v>45937.61959490741</v>
      </c>
      <c r="D252" t="s">
        <v>88</v>
      </c>
      <c r="E252" t="s">
        <v>57</v>
      </c>
    </row>
    <row r="253" spans="1:5" x14ac:dyDescent="0.3">
      <c r="A253">
        <v>6875</v>
      </c>
      <c r="B253">
        <v>1410</v>
      </c>
      <c r="C253" s="1">
        <v>45937.619641203702</v>
      </c>
      <c r="D253" t="s">
        <v>89</v>
      </c>
      <c r="E253" t="s">
        <v>57</v>
      </c>
    </row>
    <row r="254" spans="1:5" x14ac:dyDescent="0.3">
      <c r="A254">
        <v>6881</v>
      </c>
      <c r="B254">
        <v>1410</v>
      </c>
      <c r="C254" s="1">
        <v>45937.619710648149</v>
      </c>
      <c r="D254" t="s">
        <v>100</v>
      </c>
      <c r="E254" t="s">
        <v>57</v>
      </c>
    </row>
    <row r="255" spans="1:5" x14ac:dyDescent="0.3">
      <c r="A255">
        <v>6883</v>
      </c>
      <c r="B255">
        <v>1410</v>
      </c>
      <c r="C255" s="1">
        <v>45937.619745370372</v>
      </c>
      <c r="D255" t="s">
        <v>101</v>
      </c>
      <c r="E255" t="s">
        <v>57</v>
      </c>
    </row>
    <row r="256" spans="1:5" x14ac:dyDescent="0.3">
      <c r="A256">
        <v>6918</v>
      </c>
      <c r="B256">
        <v>1410</v>
      </c>
      <c r="C256" s="1">
        <v>45937.62023148148</v>
      </c>
      <c r="D256" t="s">
        <v>102</v>
      </c>
      <c r="E256" t="s">
        <v>57</v>
      </c>
    </row>
    <row r="257" spans="1:5" x14ac:dyDescent="0.3">
      <c r="A257">
        <v>6927</v>
      </c>
      <c r="B257">
        <v>1410</v>
      </c>
      <c r="C257" s="1">
        <v>45937.620289351849</v>
      </c>
      <c r="D257" t="s">
        <v>94</v>
      </c>
      <c r="E257" t="s">
        <v>57</v>
      </c>
    </row>
    <row r="258" spans="1:5" x14ac:dyDescent="0.3">
      <c r="A258">
        <v>6930</v>
      </c>
      <c r="B258">
        <v>1410</v>
      </c>
      <c r="C258" s="1">
        <v>45937.620324074072</v>
      </c>
      <c r="D258" t="s">
        <v>95</v>
      </c>
      <c r="E258" t="s">
        <v>57</v>
      </c>
    </row>
    <row r="259" spans="1:5" x14ac:dyDescent="0.3">
      <c r="A259">
        <v>6939</v>
      </c>
      <c r="B259">
        <v>1410</v>
      </c>
      <c r="C259" s="1">
        <v>45937.620740740742</v>
      </c>
      <c r="D259" t="s">
        <v>96</v>
      </c>
      <c r="E259" t="s">
        <v>57</v>
      </c>
    </row>
    <row r="260" spans="1:5" x14ac:dyDescent="0.3">
      <c r="A260">
        <v>6970</v>
      </c>
      <c r="B260">
        <v>1410</v>
      </c>
      <c r="C260" s="1">
        <v>45937.621724537035</v>
      </c>
      <c r="D260" t="s">
        <v>97</v>
      </c>
      <c r="E260" t="s">
        <v>57</v>
      </c>
    </row>
    <row r="261" spans="1:5" x14ac:dyDescent="0.3">
      <c r="A261">
        <v>7012</v>
      </c>
      <c r="B261">
        <v>1410</v>
      </c>
      <c r="C261" s="1">
        <v>45937.62290509259</v>
      </c>
      <c r="D261" t="s">
        <v>98</v>
      </c>
      <c r="E261" t="s">
        <v>57</v>
      </c>
    </row>
    <row r="262" spans="1:5" x14ac:dyDescent="0.3">
      <c r="A262">
        <v>7056</v>
      </c>
      <c r="B262">
        <v>1410</v>
      </c>
      <c r="C262" s="1">
        <v>45937.623726851853</v>
      </c>
      <c r="D262" t="s">
        <v>99</v>
      </c>
      <c r="E262" t="s">
        <v>57</v>
      </c>
    </row>
    <row r="263" spans="1:5" x14ac:dyDescent="0.3">
      <c r="A263">
        <v>7072</v>
      </c>
      <c r="B263">
        <v>1433</v>
      </c>
      <c r="C263" s="1">
        <v>45937.62400462963</v>
      </c>
      <c r="D263" t="s">
        <v>88</v>
      </c>
      <c r="E263" t="s">
        <v>57</v>
      </c>
    </row>
    <row r="264" spans="1:5" x14ac:dyDescent="0.3">
      <c r="A264">
        <v>7076</v>
      </c>
      <c r="B264">
        <v>1433</v>
      </c>
      <c r="C264" s="1">
        <v>45937.624039351853</v>
      </c>
      <c r="D264" t="s">
        <v>89</v>
      </c>
      <c r="E264" t="s">
        <v>57</v>
      </c>
    </row>
    <row r="265" spans="1:5" x14ac:dyDescent="0.3">
      <c r="A265">
        <v>7106</v>
      </c>
      <c r="B265">
        <v>1433</v>
      </c>
      <c r="C265" s="1">
        <v>45937.624768518515</v>
      </c>
      <c r="D265" t="s">
        <v>100</v>
      </c>
      <c r="E265" t="s">
        <v>57</v>
      </c>
    </row>
    <row r="266" spans="1:5" x14ac:dyDescent="0.3">
      <c r="A266">
        <v>7165</v>
      </c>
      <c r="B266">
        <v>1433</v>
      </c>
      <c r="C266" s="1">
        <v>45937.626516203702</v>
      </c>
      <c r="D266" t="s">
        <v>105</v>
      </c>
      <c r="E266" t="s">
        <v>57</v>
      </c>
    </row>
    <row r="267" spans="1:5" x14ac:dyDescent="0.3">
      <c r="A267">
        <v>7199</v>
      </c>
      <c r="B267">
        <v>1433</v>
      </c>
      <c r="C267" s="1">
        <v>45937.627662037034</v>
      </c>
      <c r="D267" t="s">
        <v>90</v>
      </c>
      <c r="E267" t="s">
        <v>106</v>
      </c>
    </row>
    <row r="268" spans="1:5" x14ac:dyDescent="0.3">
      <c r="A268">
        <v>7201</v>
      </c>
      <c r="B268">
        <v>1433</v>
      </c>
      <c r="C268" s="1">
        <v>45937.627800925926</v>
      </c>
      <c r="D268" t="s">
        <v>91</v>
      </c>
      <c r="E268" t="s">
        <v>57</v>
      </c>
    </row>
    <row r="269" spans="1:5" x14ac:dyDescent="0.3">
      <c r="A269">
        <v>7211</v>
      </c>
      <c r="B269">
        <v>1433</v>
      </c>
      <c r="C269" s="1">
        <v>45937.628657407404</v>
      </c>
      <c r="D269" t="s">
        <v>92</v>
      </c>
      <c r="E269" t="s">
        <v>111</v>
      </c>
    </row>
    <row r="270" spans="1:5" x14ac:dyDescent="0.3">
      <c r="A270">
        <v>7218</v>
      </c>
      <c r="B270">
        <v>1433</v>
      </c>
      <c r="C270" s="1">
        <v>45937.628796296296</v>
      </c>
      <c r="D270" t="s">
        <v>94</v>
      </c>
      <c r="E270" t="s">
        <v>57</v>
      </c>
    </row>
    <row r="271" spans="1:5" x14ac:dyDescent="0.3">
      <c r="A271">
        <v>7224</v>
      </c>
      <c r="B271">
        <v>1433</v>
      </c>
      <c r="C271" s="1">
        <v>45937.628877314812</v>
      </c>
      <c r="D271" t="s">
        <v>95</v>
      </c>
      <c r="E271" t="s">
        <v>57</v>
      </c>
    </row>
    <row r="272" spans="1:5" x14ac:dyDescent="0.3">
      <c r="A272">
        <v>7249</v>
      </c>
      <c r="B272">
        <v>1433</v>
      </c>
      <c r="C272" s="1">
        <v>45937.629386574074</v>
      </c>
      <c r="D272" t="s">
        <v>96</v>
      </c>
      <c r="E272" t="s">
        <v>57</v>
      </c>
    </row>
    <row r="273" spans="1:5" x14ac:dyDescent="0.3">
      <c r="A273">
        <v>7280</v>
      </c>
      <c r="B273">
        <v>1433</v>
      </c>
      <c r="C273" s="1">
        <v>45937.630925925929</v>
      </c>
      <c r="D273" t="s">
        <v>97</v>
      </c>
      <c r="E273" t="s">
        <v>57</v>
      </c>
    </row>
    <row r="274" spans="1:5" x14ac:dyDescent="0.3">
      <c r="A274">
        <v>7285</v>
      </c>
      <c r="B274">
        <v>1433</v>
      </c>
      <c r="C274" s="1">
        <v>45937.631030092591</v>
      </c>
      <c r="D274" t="s">
        <v>98</v>
      </c>
      <c r="E274" t="s">
        <v>57</v>
      </c>
    </row>
    <row r="275" spans="1:5" x14ac:dyDescent="0.3">
      <c r="A275">
        <v>6262</v>
      </c>
      <c r="B275">
        <v>1323</v>
      </c>
      <c r="C275" s="1">
        <v>45937.57849537037</v>
      </c>
      <c r="D275" t="s">
        <v>86</v>
      </c>
      <c r="E275" t="s">
        <v>87</v>
      </c>
    </row>
    <row r="276" spans="1:5" x14ac:dyDescent="0.3">
      <c r="A276">
        <v>6299</v>
      </c>
      <c r="B276">
        <v>1352</v>
      </c>
      <c r="C276" s="1">
        <v>45937.596921296295</v>
      </c>
      <c r="D276" t="s">
        <v>88</v>
      </c>
      <c r="E276" t="s">
        <v>57</v>
      </c>
    </row>
    <row r="277" spans="1:5" x14ac:dyDescent="0.3">
      <c r="A277">
        <v>6325</v>
      </c>
      <c r="B277">
        <v>1352</v>
      </c>
      <c r="C277" s="1">
        <v>45937.598425925928</v>
      </c>
      <c r="D277" t="s">
        <v>89</v>
      </c>
      <c r="E277" t="s">
        <v>57</v>
      </c>
    </row>
    <row r="278" spans="1:5" x14ac:dyDescent="0.3">
      <c r="A278">
        <v>6358</v>
      </c>
      <c r="B278">
        <v>1352</v>
      </c>
      <c r="C278" s="1">
        <v>45937.601446759261</v>
      </c>
      <c r="D278" t="s">
        <v>90</v>
      </c>
      <c r="E278" t="s">
        <v>57</v>
      </c>
    </row>
    <row r="279" spans="1:5" x14ac:dyDescent="0.3">
      <c r="A279">
        <v>6423</v>
      </c>
      <c r="B279">
        <v>1352</v>
      </c>
      <c r="C279" s="1">
        <v>45937.60528935185</v>
      </c>
      <c r="D279" t="s">
        <v>91</v>
      </c>
      <c r="E279" t="s">
        <v>57</v>
      </c>
    </row>
    <row r="280" spans="1:5" x14ac:dyDescent="0.3">
      <c r="A280">
        <v>6442</v>
      </c>
      <c r="B280">
        <v>1352</v>
      </c>
      <c r="C280" s="1">
        <v>45937.605902777781</v>
      </c>
      <c r="D280" t="s">
        <v>92</v>
      </c>
      <c r="E280" t="s">
        <v>108</v>
      </c>
    </row>
    <row r="281" spans="1:5" x14ac:dyDescent="0.3">
      <c r="A281">
        <v>6465</v>
      </c>
      <c r="B281">
        <v>1352</v>
      </c>
      <c r="C281" s="1">
        <v>45937.607685185183</v>
      </c>
      <c r="D281" t="s">
        <v>94</v>
      </c>
      <c r="E281" t="s">
        <v>57</v>
      </c>
    </row>
    <row r="282" spans="1:5" x14ac:dyDescent="0.3">
      <c r="A282">
        <v>6474</v>
      </c>
      <c r="B282">
        <v>1352</v>
      </c>
      <c r="C282" s="1">
        <v>45937.608043981483</v>
      </c>
      <c r="D282" t="s">
        <v>95</v>
      </c>
      <c r="E282" t="s">
        <v>57</v>
      </c>
    </row>
    <row r="283" spans="1:5" x14ac:dyDescent="0.3">
      <c r="A283">
        <v>6494</v>
      </c>
      <c r="B283">
        <v>1352</v>
      </c>
      <c r="C283" s="1">
        <v>45937.609027777777</v>
      </c>
      <c r="D283" t="s">
        <v>96</v>
      </c>
      <c r="E283" t="s">
        <v>57</v>
      </c>
    </row>
    <row r="284" spans="1:5" x14ac:dyDescent="0.3">
      <c r="A284">
        <v>6548</v>
      </c>
      <c r="B284">
        <v>1352</v>
      </c>
      <c r="C284" s="1">
        <v>45937.612129629626</v>
      </c>
      <c r="D284" t="s">
        <v>97</v>
      </c>
      <c r="E284" t="s">
        <v>57</v>
      </c>
    </row>
    <row r="285" spans="1:5" x14ac:dyDescent="0.3">
      <c r="A285">
        <v>6651</v>
      </c>
      <c r="B285">
        <v>1352</v>
      </c>
      <c r="C285" s="1">
        <v>45937.61446759259</v>
      </c>
      <c r="D285" t="s">
        <v>98</v>
      </c>
      <c r="E285" t="s">
        <v>57</v>
      </c>
    </row>
    <row r="286" spans="1:5" x14ac:dyDescent="0.3">
      <c r="A286">
        <v>6686</v>
      </c>
      <c r="B286">
        <v>1352</v>
      </c>
      <c r="C286" s="1">
        <v>45937.615208333336</v>
      </c>
      <c r="D286" t="s">
        <v>99</v>
      </c>
      <c r="E286" t="s">
        <v>57</v>
      </c>
    </row>
    <row r="287" spans="1:5" x14ac:dyDescent="0.3">
      <c r="A287">
        <v>6692</v>
      </c>
      <c r="B287">
        <v>1392</v>
      </c>
      <c r="C287" s="1">
        <v>45937.615289351852</v>
      </c>
      <c r="D287" t="s">
        <v>88</v>
      </c>
      <c r="E287" t="s">
        <v>57</v>
      </c>
    </row>
    <row r="288" spans="1:5" x14ac:dyDescent="0.3">
      <c r="A288">
        <v>6703</v>
      </c>
      <c r="B288">
        <v>1392</v>
      </c>
      <c r="C288" s="1">
        <v>45937.615879629629</v>
      </c>
      <c r="D288" t="s">
        <v>89</v>
      </c>
      <c r="E288" t="s">
        <v>57</v>
      </c>
    </row>
    <row r="289" spans="1:5" x14ac:dyDescent="0.3">
      <c r="A289">
        <v>6733</v>
      </c>
      <c r="B289">
        <v>1392</v>
      </c>
      <c r="C289" s="1">
        <v>45937.616863425923</v>
      </c>
      <c r="D289" t="s">
        <v>100</v>
      </c>
      <c r="E289" t="s">
        <v>57</v>
      </c>
    </row>
    <row r="290" spans="1:5" x14ac:dyDescent="0.3">
      <c r="A290">
        <v>6745</v>
      </c>
      <c r="B290">
        <v>1392</v>
      </c>
      <c r="C290" s="1">
        <v>45937.617060185185</v>
      </c>
      <c r="D290" t="s">
        <v>101</v>
      </c>
      <c r="E290" t="s">
        <v>57</v>
      </c>
    </row>
    <row r="291" spans="1:5" x14ac:dyDescent="0.3">
      <c r="A291">
        <v>6770</v>
      </c>
      <c r="B291">
        <v>1392</v>
      </c>
      <c r="C291" s="1">
        <v>45937.617858796293</v>
      </c>
      <c r="D291" t="s">
        <v>102</v>
      </c>
      <c r="E291" t="s">
        <v>57</v>
      </c>
    </row>
    <row r="292" spans="1:5" x14ac:dyDescent="0.3">
      <c r="A292">
        <v>6779</v>
      </c>
      <c r="B292">
        <v>1392</v>
      </c>
      <c r="C292" s="1">
        <v>45937.618032407408</v>
      </c>
      <c r="D292" t="s">
        <v>94</v>
      </c>
      <c r="E292" t="s">
        <v>57</v>
      </c>
    </row>
    <row r="293" spans="1:5" x14ac:dyDescent="0.3">
      <c r="A293">
        <v>6788</v>
      </c>
      <c r="B293">
        <v>1392</v>
      </c>
      <c r="C293" s="1">
        <v>45937.618125000001</v>
      </c>
      <c r="D293" t="s">
        <v>95</v>
      </c>
      <c r="E293" t="s">
        <v>57</v>
      </c>
    </row>
    <row r="294" spans="1:5" x14ac:dyDescent="0.3">
      <c r="A294">
        <v>6856</v>
      </c>
      <c r="B294">
        <v>1392</v>
      </c>
      <c r="C294" s="1">
        <v>45937.619490740741</v>
      </c>
      <c r="D294" t="s">
        <v>96</v>
      </c>
      <c r="E294" t="s">
        <v>57</v>
      </c>
    </row>
    <row r="295" spans="1:5" x14ac:dyDescent="0.3">
      <c r="A295">
        <v>6909</v>
      </c>
      <c r="B295">
        <v>1392</v>
      </c>
      <c r="C295" s="1">
        <v>45937.620138888888</v>
      </c>
      <c r="D295" t="s">
        <v>97</v>
      </c>
      <c r="E295" t="s">
        <v>57</v>
      </c>
    </row>
    <row r="296" spans="1:5" x14ac:dyDescent="0.3">
      <c r="A296">
        <v>6944</v>
      </c>
      <c r="B296">
        <v>1392</v>
      </c>
      <c r="C296" s="1">
        <v>45937.620995370373</v>
      </c>
      <c r="D296" t="s">
        <v>98</v>
      </c>
      <c r="E296" t="s">
        <v>57</v>
      </c>
    </row>
    <row r="297" spans="1:5" x14ac:dyDescent="0.3">
      <c r="A297">
        <v>7003</v>
      </c>
      <c r="B297">
        <v>1392</v>
      </c>
      <c r="C297" s="1">
        <v>45937.622708333336</v>
      </c>
      <c r="D297" t="s">
        <v>99</v>
      </c>
      <c r="E297" t="s">
        <v>57</v>
      </c>
    </row>
    <row r="298" spans="1:5" x14ac:dyDescent="0.3">
      <c r="A298">
        <v>7016</v>
      </c>
      <c r="B298">
        <v>1420</v>
      </c>
      <c r="C298" s="1">
        <v>45937.623020833336</v>
      </c>
      <c r="D298" t="s">
        <v>88</v>
      </c>
      <c r="E298" t="s">
        <v>57</v>
      </c>
    </row>
    <row r="299" spans="1:5" x14ac:dyDescent="0.3">
      <c r="A299">
        <v>7033</v>
      </c>
      <c r="B299">
        <v>1420</v>
      </c>
      <c r="C299" s="1">
        <v>45937.623425925929</v>
      </c>
      <c r="D299" t="s">
        <v>89</v>
      </c>
      <c r="E299" t="s">
        <v>57</v>
      </c>
    </row>
    <row r="300" spans="1:5" x14ac:dyDescent="0.3">
      <c r="A300">
        <v>7039</v>
      </c>
      <c r="B300">
        <v>1420</v>
      </c>
      <c r="C300" s="1">
        <v>45937.623518518521</v>
      </c>
      <c r="D300" t="s">
        <v>100</v>
      </c>
      <c r="E300" t="s">
        <v>57</v>
      </c>
    </row>
    <row r="301" spans="1:5" x14ac:dyDescent="0.3">
      <c r="A301">
        <v>7044</v>
      </c>
      <c r="B301">
        <v>1420</v>
      </c>
      <c r="C301" s="1">
        <v>45937.623553240737</v>
      </c>
      <c r="D301" t="s">
        <v>101</v>
      </c>
      <c r="E301" t="s">
        <v>57</v>
      </c>
    </row>
    <row r="302" spans="1:5" x14ac:dyDescent="0.3">
      <c r="A302">
        <v>7063</v>
      </c>
      <c r="B302">
        <v>1420</v>
      </c>
      <c r="C302" s="1">
        <v>45937.623935185184</v>
      </c>
      <c r="D302" t="s">
        <v>102</v>
      </c>
      <c r="E302" t="s">
        <v>57</v>
      </c>
    </row>
    <row r="303" spans="1:5" x14ac:dyDescent="0.3">
      <c r="A303">
        <v>7077</v>
      </c>
      <c r="B303">
        <v>1420</v>
      </c>
      <c r="C303" s="1">
        <v>45937.624039351853</v>
      </c>
      <c r="D303" t="s">
        <v>94</v>
      </c>
      <c r="E303" t="s">
        <v>57</v>
      </c>
    </row>
    <row r="304" spans="1:5" x14ac:dyDescent="0.3">
      <c r="A304">
        <v>7089</v>
      </c>
      <c r="B304">
        <v>1420</v>
      </c>
      <c r="C304" s="1">
        <v>45937.624189814815</v>
      </c>
      <c r="D304" t="s">
        <v>95</v>
      </c>
      <c r="E304" t="s">
        <v>57</v>
      </c>
    </row>
    <row r="305" spans="1:5" x14ac:dyDescent="0.3">
      <c r="A305">
        <v>7147</v>
      </c>
      <c r="B305">
        <v>1420</v>
      </c>
      <c r="C305" s="1">
        <v>45937.625775462962</v>
      </c>
      <c r="D305" t="s">
        <v>96</v>
      </c>
      <c r="E305" t="s">
        <v>57</v>
      </c>
    </row>
    <row r="306" spans="1:5" x14ac:dyDescent="0.3">
      <c r="A306">
        <v>7162</v>
      </c>
      <c r="B306">
        <v>1420</v>
      </c>
      <c r="C306" s="1">
        <v>45937.626319444447</v>
      </c>
      <c r="D306" t="s">
        <v>97</v>
      </c>
      <c r="E306" t="s">
        <v>57</v>
      </c>
    </row>
    <row r="307" spans="1:5" x14ac:dyDescent="0.3">
      <c r="A307">
        <v>7176</v>
      </c>
      <c r="B307">
        <v>1420</v>
      </c>
      <c r="C307" s="1">
        <v>45937.626863425925</v>
      </c>
      <c r="D307" t="s">
        <v>98</v>
      </c>
      <c r="E307" t="s">
        <v>57</v>
      </c>
    </row>
    <row r="308" spans="1:5" x14ac:dyDescent="0.3">
      <c r="A308">
        <v>7189</v>
      </c>
      <c r="B308">
        <v>1420</v>
      </c>
      <c r="C308" s="1">
        <v>45937.627199074072</v>
      </c>
      <c r="D308" t="s">
        <v>99</v>
      </c>
      <c r="E308" t="s">
        <v>57</v>
      </c>
    </row>
    <row r="309" spans="1:5" x14ac:dyDescent="0.3">
      <c r="A309">
        <v>7222</v>
      </c>
      <c r="B309">
        <v>1440</v>
      </c>
      <c r="C309" s="1">
        <v>45937.628854166665</v>
      </c>
      <c r="D309" t="s">
        <v>88</v>
      </c>
      <c r="E309" t="s">
        <v>57</v>
      </c>
    </row>
    <row r="310" spans="1:5" x14ac:dyDescent="0.3">
      <c r="A310">
        <v>7232</v>
      </c>
      <c r="B310">
        <v>1440</v>
      </c>
      <c r="C310" s="1">
        <v>45937.629074074073</v>
      </c>
      <c r="D310" t="s">
        <v>89</v>
      </c>
      <c r="E310" t="s">
        <v>57</v>
      </c>
    </row>
    <row r="311" spans="1:5" x14ac:dyDescent="0.3">
      <c r="A311">
        <v>7243</v>
      </c>
      <c r="B311">
        <v>1440</v>
      </c>
      <c r="C311" s="1">
        <v>45937.629270833335</v>
      </c>
      <c r="D311" t="s">
        <v>100</v>
      </c>
      <c r="E311" t="s">
        <v>57</v>
      </c>
    </row>
    <row r="312" spans="1:5" x14ac:dyDescent="0.3">
      <c r="A312">
        <v>7244</v>
      </c>
      <c r="B312">
        <v>1440</v>
      </c>
      <c r="C312" s="1">
        <v>45937.629305555558</v>
      </c>
      <c r="D312" t="s">
        <v>101</v>
      </c>
      <c r="E312" t="s">
        <v>57</v>
      </c>
    </row>
    <row r="313" spans="1:5" x14ac:dyDescent="0.3">
      <c r="A313">
        <v>7294</v>
      </c>
      <c r="B313">
        <v>1440</v>
      </c>
      <c r="C313" s="1">
        <v>45937.631238425929</v>
      </c>
      <c r="D313" t="s">
        <v>102</v>
      </c>
      <c r="E313" t="s">
        <v>57</v>
      </c>
    </row>
    <row r="314" spans="1:5" x14ac:dyDescent="0.3">
      <c r="A314">
        <v>7312</v>
      </c>
      <c r="B314">
        <v>1440</v>
      </c>
      <c r="C314" s="1">
        <v>45937.631921296299</v>
      </c>
      <c r="D314" t="s">
        <v>94</v>
      </c>
      <c r="E314" t="s">
        <v>57</v>
      </c>
    </row>
    <row r="315" spans="1:5" x14ac:dyDescent="0.3">
      <c r="A315">
        <v>7315</v>
      </c>
      <c r="B315">
        <v>1440</v>
      </c>
      <c r="C315" s="1">
        <v>45937.631990740738</v>
      </c>
      <c r="D315" t="s">
        <v>95</v>
      </c>
      <c r="E315" t="s">
        <v>57</v>
      </c>
    </row>
    <row r="316" spans="1:5" x14ac:dyDescent="0.3">
      <c r="A316">
        <v>7328</v>
      </c>
      <c r="B316">
        <v>1440</v>
      </c>
      <c r="C316" s="1">
        <v>45937.632951388892</v>
      </c>
      <c r="D316" t="s">
        <v>96</v>
      </c>
      <c r="E316" t="s">
        <v>57</v>
      </c>
    </row>
    <row r="317" spans="1:5" x14ac:dyDescent="0.3">
      <c r="A317">
        <v>7335</v>
      </c>
      <c r="B317">
        <v>1440</v>
      </c>
      <c r="C317" s="1">
        <v>45937.633530092593</v>
      </c>
      <c r="D317" t="s">
        <v>97</v>
      </c>
      <c r="E317" t="s">
        <v>57</v>
      </c>
    </row>
    <row r="318" spans="1:5" x14ac:dyDescent="0.3">
      <c r="A318">
        <v>7341</v>
      </c>
      <c r="B318">
        <v>1440</v>
      </c>
      <c r="C318" s="1">
        <v>45937.634155092594</v>
      </c>
      <c r="D318" t="s">
        <v>98</v>
      </c>
      <c r="E318" t="s">
        <v>57</v>
      </c>
    </row>
    <row r="319" spans="1:5" x14ac:dyDescent="0.3">
      <c r="A319">
        <v>7346</v>
      </c>
      <c r="B319">
        <v>1440</v>
      </c>
      <c r="C319" s="1">
        <v>45937.634247685186</v>
      </c>
      <c r="D319" t="s">
        <v>99</v>
      </c>
      <c r="E319" t="s">
        <v>57</v>
      </c>
    </row>
    <row r="320" spans="1:5" x14ac:dyDescent="0.3">
      <c r="A320">
        <v>6272</v>
      </c>
      <c r="B320">
        <v>1333</v>
      </c>
      <c r="C320" s="1">
        <v>45937.582592592589</v>
      </c>
      <c r="D320" t="s">
        <v>86</v>
      </c>
      <c r="E320" t="s">
        <v>87</v>
      </c>
    </row>
    <row r="321" spans="1:5" x14ac:dyDescent="0.3">
      <c r="A321">
        <v>6302</v>
      </c>
      <c r="B321">
        <v>1355</v>
      </c>
      <c r="C321" s="1">
        <v>45937.596956018519</v>
      </c>
      <c r="D321" t="s">
        <v>88</v>
      </c>
      <c r="E321" t="s">
        <v>57</v>
      </c>
    </row>
    <row r="322" spans="1:5" x14ac:dyDescent="0.3">
      <c r="A322">
        <v>6327</v>
      </c>
      <c r="B322">
        <v>1355</v>
      </c>
      <c r="C322" s="1">
        <v>45937.598460648151</v>
      </c>
      <c r="D322" t="s">
        <v>89</v>
      </c>
      <c r="E322" t="s">
        <v>57</v>
      </c>
    </row>
    <row r="323" spans="1:5" x14ac:dyDescent="0.3">
      <c r="A323">
        <v>6361</v>
      </c>
      <c r="B323">
        <v>1355</v>
      </c>
      <c r="C323" s="1">
        <v>45937.601631944446</v>
      </c>
      <c r="D323" t="s">
        <v>90</v>
      </c>
      <c r="E323" t="s">
        <v>57</v>
      </c>
    </row>
    <row r="324" spans="1:5" x14ac:dyDescent="0.3">
      <c r="A324">
        <v>6416</v>
      </c>
      <c r="B324">
        <v>1355</v>
      </c>
      <c r="C324" s="1">
        <v>45937.605208333334</v>
      </c>
      <c r="D324" t="s">
        <v>91</v>
      </c>
      <c r="E324" t="s">
        <v>57</v>
      </c>
    </row>
    <row r="325" spans="1:5" x14ac:dyDescent="0.3">
      <c r="A325">
        <v>6431</v>
      </c>
      <c r="B325">
        <v>1355</v>
      </c>
      <c r="C325" s="1">
        <v>45937.605752314812</v>
      </c>
      <c r="D325" t="s">
        <v>92</v>
      </c>
      <c r="E325" t="s">
        <v>103</v>
      </c>
    </row>
    <row r="326" spans="1:5" x14ac:dyDescent="0.3">
      <c r="A326">
        <v>6466</v>
      </c>
      <c r="B326">
        <v>1355</v>
      </c>
      <c r="C326" s="1">
        <v>45937.607685185183</v>
      </c>
      <c r="D326" t="s">
        <v>94</v>
      </c>
      <c r="E326" t="s">
        <v>57</v>
      </c>
    </row>
    <row r="327" spans="1:5" x14ac:dyDescent="0.3">
      <c r="A327">
        <v>6476</v>
      </c>
      <c r="B327">
        <v>1355</v>
      </c>
      <c r="C327" s="1">
        <v>45937.608263888891</v>
      </c>
      <c r="D327" t="s">
        <v>95</v>
      </c>
      <c r="E327" t="s">
        <v>57</v>
      </c>
    </row>
    <row r="328" spans="1:5" x14ac:dyDescent="0.3">
      <c r="A328">
        <v>6568</v>
      </c>
      <c r="B328">
        <v>1355</v>
      </c>
      <c r="C328" s="1">
        <v>45937.612546296295</v>
      </c>
      <c r="D328" t="s">
        <v>96</v>
      </c>
      <c r="E328" t="s">
        <v>57</v>
      </c>
    </row>
    <row r="329" spans="1:5" x14ac:dyDescent="0.3">
      <c r="A329">
        <v>6607</v>
      </c>
      <c r="B329">
        <v>1355</v>
      </c>
      <c r="C329" s="1">
        <v>45937.613622685189</v>
      </c>
      <c r="D329" t="s">
        <v>97</v>
      </c>
      <c r="E329" t="s">
        <v>57</v>
      </c>
    </row>
    <row r="330" spans="1:5" x14ac:dyDescent="0.3">
      <c r="A330">
        <v>6639</v>
      </c>
      <c r="B330">
        <v>1355</v>
      </c>
      <c r="C330" s="1">
        <v>45937.614270833335</v>
      </c>
      <c r="D330" t="s">
        <v>98</v>
      </c>
      <c r="E330" t="s">
        <v>57</v>
      </c>
    </row>
    <row r="331" spans="1:5" x14ac:dyDescent="0.3">
      <c r="A331">
        <v>6666</v>
      </c>
      <c r="B331">
        <v>1355</v>
      </c>
      <c r="C331" s="1">
        <v>45937.614733796298</v>
      </c>
      <c r="D331" t="s">
        <v>99</v>
      </c>
      <c r="E331" t="s">
        <v>57</v>
      </c>
    </row>
    <row r="332" spans="1:5" x14ac:dyDescent="0.3">
      <c r="A332">
        <v>6685</v>
      </c>
      <c r="B332">
        <v>1389</v>
      </c>
      <c r="C332" s="1">
        <v>45937.615208333336</v>
      </c>
      <c r="D332" t="s">
        <v>88</v>
      </c>
      <c r="E332" t="s">
        <v>57</v>
      </c>
    </row>
    <row r="333" spans="1:5" x14ac:dyDescent="0.3">
      <c r="A333">
        <v>6709</v>
      </c>
      <c r="B333">
        <v>1389</v>
      </c>
      <c r="C333" s="1">
        <v>45937.615983796299</v>
      </c>
      <c r="D333" t="s">
        <v>89</v>
      </c>
      <c r="E333" t="s">
        <v>57</v>
      </c>
    </row>
    <row r="334" spans="1:5" x14ac:dyDescent="0.3">
      <c r="A334">
        <v>6750</v>
      </c>
      <c r="B334">
        <v>1389</v>
      </c>
      <c r="C334" s="1">
        <v>45937.617256944446</v>
      </c>
      <c r="D334" t="s">
        <v>100</v>
      </c>
      <c r="E334" t="s">
        <v>57</v>
      </c>
    </row>
    <row r="335" spans="1:5" x14ac:dyDescent="0.3">
      <c r="A335">
        <v>6757</v>
      </c>
      <c r="B335">
        <v>1389</v>
      </c>
      <c r="C335" s="1">
        <v>45937.617650462962</v>
      </c>
      <c r="D335" t="s">
        <v>101</v>
      </c>
      <c r="E335" t="s">
        <v>57</v>
      </c>
    </row>
    <row r="336" spans="1:5" x14ac:dyDescent="0.3">
      <c r="A336">
        <v>6767</v>
      </c>
      <c r="B336">
        <v>1389</v>
      </c>
      <c r="C336" s="1">
        <v>45937.617847222224</v>
      </c>
      <c r="D336" t="s">
        <v>102</v>
      </c>
      <c r="E336" t="s">
        <v>57</v>
      </c>
    </row>
    <row r="337" spans="1:5" x14ac:dyDescent="0.3">
      <c r="A337">
        <v>6775</v>
      </c>
      <c r="B337">
        <v>1389</v>
      </c>
      <c r="C337" s="1">
        <v>45937.617928240739</v>
      </c>
      <c r="D337" t="s">
        <v>94</v>
      </c>
      <c r="E337" t="s">
        <v>57</v>
      </c>
    </row>
    <row r="338" spans="1:5" x14ac:dyDescent="0.3">
      <c r="A338">
        <v>6782</v>
      </c>
      <c r="B338">
        <v>1389</v>
      </c>
      <c r="C338" s="1">
        <v>45937.618032407408</v>
      </c>
      <c r="D338" t="s">
        <v>95</v>
      </c>
      <c r="E338" t="s">
        <v>57</v>
      </c>
    </row>
    <row r="339" spans="1:5" x14ac:dyDescent="0.3">
      <c r="A339">
        <v>6855</v>
      </c>
      <c r="B339">
        <v>1389</v>
      </c>
      <c r="C339" s="1">
        <v>45937.619456018518</v>
      </c>
      <c r="D339" t="s">
        <v>96</v>
      </c>
      <c r="E339" t="s">
        <v>57</v>
      </c>
    </row>
    <row r="340" spans="1:5" x14ac:dyDescent="0.3">
      <c r="A340">
        <v>6907</v>
      </c>
      <c r="B340">
        <v>1389</v>
      </c>
      <c r="C340" s="1">
        <v>45937.620127314818</v>
      </c>
      <c r="D340" t="s">
        <v>97</v>
      </c>
      <c r="E340" t="s">
        <v>57</v>
      </c>
    </row>
    <row r="341" spans="1:5" x14ac:dyDescent="0.3">
      <c r="A341">
        <v>6957</v>
      </c>
      <c r="B341">
        <v>1389</v>
      </c>
      <c r="C341" s="1">
        <v>45937.621249999997</v>
      </c>
      <c r="D341" t="s">
        <v>98</v>
      </c>
      <c r="E341" t="s">
        <v>57</v>
      </c>
    </row>
    <row r="342" spans="1:5" x14ac:dyDescent="0.3">
      <c r="A342">
        <v>7004</v>
      </c>
      <c r="B342">
        <v>1389</v>
      </c>
      <c r="C342" s="1">
        <v>45937.622777777775</v>
      </c>
      <c r="D342" t="s">
        <v>99</v>
      </c>
      <c r="E342" t="s">
        <v>57</v>
      </c>
    </row>
    <row r="343" spans="1:5" x14ac:dyDescent="0.3">
      <c r="A343">
        <v>7038</v>
      </c>
      <c r="B343">
        <v>1422</v>
      </c>
      <c r="C343" s="1">
        <v>45937.623506944445</v>
      </c>
      <c r="D343" t="s">
        <v>88</v>
      </c>
      <c r="E343" t="s">
        <v>57</v>
      </c>
    </row>
    <row r="344" spans="1:5" x14ac:dyDescent="0.3">
      <c r="A344">
        <v>7052</v>
      </c>
      <c r="B344">
        <v>1422</v>
      </c>
      <c r="C344" s="1">
        <v>45937.623680555553</v>
      </c>
      <c r="D344" t="s">
        <v>89</v>
      </c>
      <c r="E344" t="s">
        <v>57</v>
      </c>
    </row>
    <row r="345" spans="1:5" x14ac:dyDescent="0.3">
      <c r="A345">
        <v>7055</v>
      </c>
      <c r="B345">
        <v>1422</v>
      </c>
      <c r="C345" s="1">
        <v>45937.623726851853</v>
      </c>
      <c r="D345" t="s">
        <v>100</v>
      </c>
      <c r="E345" t="s">
        <v>57</v>
      </c>
    </row>
    <row r="346" spans="1:5" x14ac:dyDescent="0.3">
      <c r="A346">
        <v>7058</v>
      </c>
      <c r="B346">
        <v>1422</v>
      </c>
      <c r="C346" s="1">
        <v>45937.623761574076</v>
      </c>
      <c r="D346" t="s">
        <v>101</v>
      </c>
      <c r="E346" t="s">
        <v>57</v>
      </c>
    </row>
    <row r="347" spans="1:5" x14ac:dyDescent="0.3">
      <c r="A347">
        <v>7073</v>
      </c>
      <c r="B347">
        <v>1422</v>
      </c>
      <c r="C347" s="1">
        <v>45937.624016203707</v>
      </c>
      <c r="D347" t="s">
        <v>102</v>
      </c>
      <c r="E347" t="s">
        <v>57</v>
      </c>
    </row>
    <row r="348" spans="1:5" x14ac:dyDescent="0.3">
      <c r="A348">
        <v>7084</v>
      </c>
      <c r="B348">
        <v>1422</v>
      </c>
      <c r="C348" s="1">
        <v>45937.624108796299</v>
      </c>
      <c r="D348" t="s">
        <v>94</v>
      </c>
      <c r="E348" t="s">
        <v>57</v>
      </c>
    </row>
    <row r="349" spans="1:5" x14ac:dyDescent="0.3">
      <c r="A349">
        <v>7091</v>
      </c>
      <c r="B349">
        <v>1422</v>
      </c>
      <c r="C349" s="1">
        <v>45937.624247685184</v>
      </c>
      <c r="D349" t="s">
        <v>95</v>
      </c>
      <c r="E349" t="s">
        <v>57</v>
      </c>
    </row>
    <row r="350" spans="1:5" x14ac:dyDescent="0.3">
      <c r="A350">
        <v>7131</v>
      </c>
      <c r="B350">
        <v>1422</v>
      </c>
      <c r="C350" s="1">
        <v>45937.625347222223</v>
      </c>
      <c r="D350" t="s">
        <v>96</v>
      </c>
      <c r="E350" t="s">
        <v>57</v>
      </c>
    </row>
    <row r="351" spans="1:5" x14ac:dyDescent="0.3">
      <c r="A351">
        <v>7145</v>
      </c>
      <c r="B351">
        <v>1422</v>
      </c>
      <c r="C351" s="1">
        <v>45937.625740740739</v>
      </c>
      <c r="D351" t="s">
        <v>97</v>
      </c>
      <c r="E351" t="s">
        <v>57</v>
      </c>
    </row>
    <row r="352" spans="1:5" x14ac:dyDescent="0.3">
      <c r="A352">
        <v>7179</v>
      </c>
      <c r="B352">
        <v>1422</v>
      </c>
      <c r="C352" s="1">
        <v>45937.626967592594</v>
      </c>
      <c r="D352" t="s">
        <v>98</v>
      </c>
      <c r="E352" t="s">
        <v>57</v>
      </c>
    </row>
    <row r="353" spans="1:5" x14ac:dyDescent="0.3">
      <c r="A353">
        <v>7195</v>
      </c>
      <c r="B353">
        <v>1422</v>
      </c>
      <c r="C353" s="1">
        <v>45937.627372685187</v>
      </c>
      <c r="D353" t="s">
        <v>99</v>
      </c>
      <c r="E353" t="s">
        <v>57</v>
      </c>
    </row>
    <row r="354" spans="1:5" x14ac:dyDescent="0.3">
      <c r="A354">
        <v>7207</v>
      </c>
      <c r="B354">
        <v>1437</v>
      </c>
      <c r="C354" s="1">
        <v>45937.628368055557</v>
      </c>
      <c r="D354" t="s">
        <v>88</v>
      </c>
      <c r="E354" t="s">
        <v>57</v>
      </c>
    </row>
    <row r="355" spans="1:5" x14ac:dyDescent="0.3">
      <c r="A355">
        <v>7251</v>
      </c>
      <c r="B355">
        <v>1437</v>
      </c>
      <c r="C355" s="1">
        <v>45937.629467592589</v>
      </c>
      <c r="D355" t="s">
        <v>89</v>
      </c>
      <c r="E355" t="s">
        <v>57</v>
      </c>
    </row>
    <row r="356" spans="1:5" x14ac:dyDescent="0.3">
      <c r="A356">
        <v>7265</v>
      </c>
      <c r="B356">
        <v>1437</v>
      </c>
      <c r="C356" s="1">
        <v>45937.629976851851</v>
      </c>
      <c r="D356" t="s">
        <v>100</v>
      </c>
      <c r="E356" t="s">
        <v>57</v>
      </c>
    </row>
    <row r="357" spans="1:5" x14ac:dyDescent="0.3">
      <c r="A357">
        <v>7301</v>
      </c>
      <c r="B357">
        <v>1437</v>
      </c>
      <c r="C357" s="1">
        <v>45937.631527777776</v>
      </c>
      <c r="D357" t="s">
        <v>101</v>
      </c>
      <c r="E357" t="s">
        <v>57</v>
      </c>
    </row>
    <row r="358" spans="1:5" x14ac:dyDescent="0.3">
      <c r="A358">
        <v>7326</v>
      </c>
      <c r="B358">
        <v>1437</v>
      </c>
      <c r="C358" s="1">
        <v>45937.632847222223</v>
      </c>
      <c r="D358" t="s">
        <v>102</v>
      </c>
      <c r="E358" t="s">
        <v>57</v>
      </c>
    </row>
    <row r="359" spans="1:5" x14ac:dyDescent="0.3">
      <c r="A359">
        <v>7327</v>
      </c>
      <c r="B359">
        <v>1437</v>
      </c>
      <c r="C359" s="1">
        <v>45937.632870370369</v>
      </c>
      <c r="D359" t="s">
        <v>94</v>
      </c>
      <c r="E359" t="s">
        <v>57</v>
      </c>
    </row>
    <row r="360" spans="1:5" x14ac:dyDescent="0.3">
      <c r="A360">
        <v>7329</v>
      </c>
      <c r="B360">
        <v>1437</v>
      </c>
      <c r="C360" s="1">
        <v>45937.632951388892</v>
      </c>
      <c r="D360" t="s">
        <v>95</v>
      </c>
      <c r="E360" t="s">
        <v>57</v>
      </c>
    </row>
    <row r="361" spans="1:5" x14ac:dyDescent="0.3">
      <c r="A361">
        <v>7333</v>
      </c>
      <c r="B361">
        <v>1437</v>
      </c>
      <c r="C361" s="1">
        <v>45937.633379629631</v>
      </c>
      <c r="D361" t="s">
        <v>96</v>
      </c>
      <c r="E361" t="s">
        <v>57</v>
      </c>
    </row>
    <row r="362" spans="1:5" x14ac:dyDescent="0.3">
      <c r="A362">
        <v>7334</v>
      </c>
      <c r="B362">
        <v>1437</v>
      </c>
      <c r="C362" s="1">
        <v>45937.633506944447</v>
      </c>
      <c r="D362" t="s">
        <v>97</v>
      </c>
      <c r="E362" t="s">
        <v>57</v>
      </c>
    </row>
    <row r="363" spans="1:5" x14ac:dyDescent="0.3">
      <c r="A363">
        <v>7339</v>
      </c>
      <c r="B363">
        <v>1437</v>
      </c>
      <c r="C363" s="1">
        <v>45937.634143518517</v>
      </c>
      <c r="D363" t="s">
        <v>98</v>
      </c>
      <c r="E363" t="s">
        <v>57</v>
      </c>
    </row>
    <row r="364" spans="1:5" x14ac:dyDescent="0.3">
      <c r="A364">
        <v>7343</v>
      </c>
      <c r="B364">
        <v>1437</v>
      </c>
      <c r="C364" s="1">
        <v>45937.634236111109</v>
      </c>
      <c r="D364" t="s">
        <v>99</v>
      </c>
      <c r="E364" t="s">
        <v>57</v>
      </c>
    </row>
    <row r="365" spans="1:5" x14ac:dyDescent="0.3">
      <c r="A365">
        <v>6273</v>
      </c>
      <c r="B365">
        <v>1334</v>
      </c>
      <c r="C365" s="1">
        <v>45937.582824074074</v>
      </c>
      <c r="D365" t="s">
        <v>86</v>
      </c>
      <c r="E365" t="s">
        <v>87</v>
      </c>
    </row>
    <row r="366" spans="1:5" x14ac:dyDescent="0.3">
      <c r="A366">
        <v>6303</v>
      </c>
      <c r="B366">
        <v>1356</v>
      </c>
      <c r="C366" s="1">
        <v>45937.597025462965</v>
      </c>
      <c r="D366" t="s">
        <v>88</v>
      </c>
      <c r="E366" t="s">
        <v>57</v>
      </c>
    </row>
    <row r="367" spans="1:5" x14ac:dyDescent="0.3">
      <c r="A367">
        <v>6329</v>
      </c>
      <c r="B367">
        <v>1356</v>
      </c>
      <c r="C367" s="1">
        <v>45937.59847222222</v>
      </c>
      <c r="D367" t="s">
        <v>89</v>
      </c>
      <c r="E367" t="s">
        <v>57</v>
      </c>
    </row>
    <row r="368" spans="1:5" x14ac:dyDescent="0.3">
      <c r="A368">
        <v>6359</v>
      </c>
      <c r="B368">
        <v>1356</v>
      </c>
      <c r="C368" s="1">
        <v>45937.601446759261</v>
      </c>
      <c r="D368" t="s">
        <v>90</v>
      </c>
      <c r="E368" t="s">
        <v>57</v>
      </c>
    </row>
    <row r="369" spans="1:5" x14ac:dyDescent="0.3">
      <c r="A369">
        <v>6415</v>
      </c>
      <c r="B369">
        <v>1356</v>
      </c>
      <c r="C369" s="1">
        <v>45937.605208333334</v>
      </c>
      <c r="D369" t="s">
        <v>91</v>
      </c>
      <c r="E369" t="s">
        <v>57</v>
      </c>
    </row>
    <row r="370" spans="1:5" x14ac:dyDescent="0.3">
      <c r="A370">
        <v>6430</v>
      </c>
      <c r="B370">
        <v>1356</v>
      </c>
      <c r="C370" s="1">
        <v>45937.605682870373</v>
      </c>
      <c r="D370" t="s">
        <v>92</v>
      </c>
      <c r="E370" t="s">
        <v>104</v>
      </c>
    </row>
    <row r="371" spans="1:5" x14ac:dyDescent="0.3">
      <c r="A371">
        <v>6468</v>
      </c>
      <c r="B371">
        <v>1356</v>
      </c>
      <c r="C371" s="1">
        <v>45937.60769675926</v>
      </c>
      <c r="D371" t="s">
        <v>94</v>
      </c>
      <c r="E371" t="s">
        <v>57</v>
      </c>
    </row>
    <row r="372" spans="1:5" x14ac:dyDescent="0.3">
      <c r="A372">
        <v>6481</v>
      </c>
      <c r="B372">
        <v>1356</v>
      </c>
      <c r="C372" s="1">
        <v>45937.608541666668</v>
      </c>
      <c r="D372" t="s">
        <v>95</v>
      </c>
      <c r="E372" t="s">
        <v>57</v>
      </c>
    </row>
    <row r="373" spans="1:5" x14ac:dyDescent="0.3">
      <c r="A373">
        <v>6500</v>
      </c>
      <c r="B373">
        <v>1356</v>
      </c>
      <c r="C373" s="1">
        <v>45937.609872685185</v>
      </c>
      <c r="D373" t="s">
        <v>96</v>
      </c>
      <c r="E373" t="s">
        <v>57</v>
      </c>
    </row>
    <row r="374" spans="1:5" x14ac:dyDescent="0.3">
      <c r="A374">
        <v>6545</v>
      </c>
      <c r="B374">
        <v>1356</v>
      </c>
      <c r="C374" s="1">
        <v>45937.612002314818</v>
      </c>
      <c r="D374" t="s">
        <v>97</v>
      </c>
      <c r="E374" t="s">
        <v>57</v>
      </c>
    </row>
    <row r="375" spans="1:5" x14ac:dyDescent="0.3">
      <c r="A375">
        <v>6643</v>
      </c>
      <c r="B375">
        <v>1356</v>
      </c>
      <c r="C375" s="1">
        <v>45937.614328703705</v>
      </c>
      <c r="D375" t="s">
        <v>98</v>
      </c>
      <c r="E375" t="s">
        <v>57</v>
      </c>
    </row>
    <row r="376" spans="1:5" x14ac:dyDescent="0.3">
      <c r="A376">
        <v>6668</v>
      </c>
      <c r="B376">
        <v>1356</v>
      </c>
      <c r="C376" s="1">
        <v>45937.614768518521</v>
      </c>
      <c r="D376" t="s">
        <v>99</v>
      </c>
      <c r="E376" t="s">
        <v>57</v>
      </c>
    </row>
    <row r="377" spans="1:5" x14ac:dyDescent="0.3">
      <c r="A377">
        <v>6691</v>
      </c>
      <c r="B377">
        <v>1391</v>
      </c>
      <c r="C377" s="1">
        <v>45937.615231481483</v>
      </c>
      <c r="D377" t="s">
        <v>88</v>
      </c>
      <c r="E377" t="s">
        <v>57</v>
      </c>
    </row>
    <row r="378" spans="1:5" x14ac:dyDescent="0.3">
      <c r="A378">
        <v>6708</v>
      </c>
      <c r="B378">
        <v>1391</v>
      </c>
      <c r="C378" s="1">
        <v>45937.615960648145</v>
      </c>
      <c r="D378" t="s">
        <v>89</v>
      </c>
      <c r="E378" t="s">
        <v>57</v>
      </c>
    </row>
    <row r="379" spans="1:5" x14ac:dyDescent="0.3">
      <c r="A379">
        <v>6724</v>
      </c>
      <c r="B379">
        <v>1391</v>
      </c>
      <c r="C379" s="1">
        <v>45937.616747685184</v>
      </c>
      <c r="D379" t="s">
        <v>100</v>
      </c>
      <c r="E379" t="s">
        <v>57</v>
      </c>
    </row>
    <row r="380" spans="1:5" x14ac:dyDescent="0.3">
      <c r="A380">
        <v>6744</v>
      </c>
      <c r="B380">
        <v>1391</v>
      </c>
      <c r="C380" s="1">
        <v>45937.617060185185</v>
      </c>
      <c r="D380" t="s">
        <v>101</v>
      </c>
      <c r="E380" t="s">
        <v>57</v>
      </c>
    </row>
    <row r="381" spans="1:5" x14ac:dyDescent="0.3">
      <c r="A381">
        <v>6771</v>
      </c>
      <c r="B381">
        <v>1391</v>
      </c>
      <c r="C381" s="1">
        <v>45937.61787037037</v>
      </c>
      <c r="D381" t="s">
        <v>102</v>
      </c>
      <c r="E381" t="s">
        <v>57</v>
      </c>
    </row>
    <row r="382" spans="1:5" x14ac:dyDescent="0.3">
      <c r="A382">
        <v>6777</v>
      </c>
      <c r="B382">
        <v>1391</v>
      </c>
      <c r="C382" s="1">
        <v>45937.617974537039</v>
      </c>
      <c r="D382" t="s">
        <v>94</v>
      </c>
      <c r="E382" t="s">
        <v>57</v>
      </c>
    </row>
    <row r="383" spans="1:5" x14ac:dyDescent="0.3">
      <c r="A383">
        <v>6797</v>
      </c>
      <c r="B383">
        <v>1391</v>
      </c>
      <c r="C383" s="1">
        <v>45937.618391203701</v>
      </c>
      <c r="D383" t="s">
        <v>95</v>
      </c>
      <c r="E383" t="s">
        <v>57</v>
      </c>
    </row>
    <row r="384" spans="1:5" x14ac:dyDescent="0.3">
      <c r="A384">
        <v>6849</v>
      </c>
      <c r="B384">
        <v>1391</v>
      </c>
      <c r="C384" s="1">
        <v>45937.619155092594</v>
      </c>
      <c r="D384" t="s">
        <v>96</v>
      </c>
      <c r="E384" t="s">
        <v>57</v>
      </c>
    </row>
    <row r="385" spans="1:5" x14ac:dyDescent="0.3">
      <c r="A385">
        <v>6911</v>
      </c>
      <c r="B385">
        <v>1391</v>
      </c>
      <c r="C385" s="1">
        <v>45937.620150462964</v>
      </c>
      <c r="D385" t="s">
        <v>97</v>
      </c>
      <c r="E385" t="s">
        <v>57</v>
      </c>
    </row>
    <row r="386" spans="1:5" x14ac:dyDescent="0.3">
      <c r="A386">
        <v>6947</v>
      </c>
      <c r="B386">
        <v>1391</v>
      </c>
      <c r="C386" s="1">
        <v>45937.621111111112</v>
      </c>
      <c r="D386" t="s">
        <v>98</v>
      </c>
      <c r="E386" t="s">
        <v>57</v>
      </c>
    </row>
    <row r="387" spans="1:5" x14ac:dyDescent="0.3">
      <c r="A387">
        <v>6994</v>
      </c>
      <c r="B387">
        <v>1391</v>
      </c>
      <c r="C387" s="1">
        <v>45937.622291666667</v>
      </c>
      <c r="D387" t="s">
        <v>99</v>
      </c>
      <c r="E387" t="s">
        <v>57</v>
      </c>
    </row>
    <row r="388" spans="1:5" x14ac:dyDescent="0.3">
      <c r="A388">
        <v>7015</v>
      </c>
      <c r="B388">
        <v>1419</v>
      </c>
      <c r="C388" s="1">
        <v>45937.622974537036</v>
      </c>
      <c r="D388" t="s">
        <v>88</v>
      </c>
      <c r="E388" t="s">
        <v>57</v>
      </c>
    </row>
    <row r="389" spans="1:5" x14ac:dyDescent="0.3">
      <c r="A389">
        <v>7035</v>
      </c>
      <c r="B389">
        <v>1419</v>
      </c>
      <c r="C389" s="1">
        <v>45937.623472222222</v>
      </c>
      <c r="D389" t="s">
        <v>89</v>
      </c>
      <c r="E389" t="s">
        <v>57</v>
      </c>
    </row>
    <row r="390" spans="1:5" x14ac:dyDescent="0.3">
      <c r="A390">
        <v>7040</v>
      </c>
      <c r="B390">
        <v>1419</v>
      </c>
      <c r="C390" s="1">
        <v>45937.623541666668</v>
      </c>
      <c r="D390" t="s">
        <v>100</v>
      </c>
      <c r="E390" t="s">
        <v>57</v>
      </c>
    </row>
    <row r="391" spans="1:5" x14ac:dyDescent="0.3">
      <c r="A391">
        <v>7048</v>
      </c>
      <c r="B391">
        <v>1419</v>
      </c>
      <c r="C391" s="1">
        <v>45937.623611111114</v>
      </c>
      <c r="D391" t="s">
        <v>101</v>
      </c>
      <c r="E391" t="s">
        <v>57</v>
      </c>
    </row>
    <row r="392" spans="1:5" x14ac:dyDescent="0.3">
      <c r="A392">
        <v>7070</v>
      </c>
      <c r="B392">
        <v>1419</v>
      </c>
      <c r="C392" s="1">
        <v>45937.623969907407</v>
      </c>
      <c r="D392" t="s">
        <v>102</v>
      </c>
      <c r="E392" t="s">
        <v>57</v>
      </c>
    </row>
    <row r="393" spans="1:5" x14ac:dyDescent="0.3">
      <c r="A393">
        <v>7085</v>
      </c>
      <c r="B393">
        <v>1419</v>
      </c>
      <c r="C393" s="1">
        <v>45937.624131944445</v>
      </c>
      <c r="D393" t="s">
        <v>94</v>
      </c>
      <c r="E393" t="s">
        <v>57</v>
      </c>
    </row>
    <row r="394" spans="1:5" x14ac:dyDescent="0.3">
      <c r="A394">
        <v>7090</v>
      </c>
      <c r="B394">
        <v>1419</v>
      </c>
      <c r="C394" s="1">
        <v>45937.624224537038</v>
      </c>
      <c r="D394" t="s">
        <v>95</v>
      </c>
      <c r="E394" t="s">
        <v>57</v>
      </c>
    </row>
    <row r="395" spans="1:5" x14ac:dyDescent="0.3">
      <c r="A395">
        <v>7098</v>
      </c>
      <c r="B395">
        <v>1419</v>
      </c>
      <c r="C395" s="1">
        <v>45937.624618055554</v>
      </c>
      <c r="D395" t="s">
        <v>96</v>
      </c>
      <c r="E395" t="s">
        <v>57</v>
      </c>
    </row>
    <row r="396" spans="1:5" x14ac:dyDescent="0.3">
      <c r="A396">
        <v>7149</v>
      </c>
      <c r="B396">
        <v>1419</v>
      </c>
      <c r="C396" s="1">
        <v>45937.625891203701</v>
      </c>
      <c r="D396" t="s">
        <v>97</v>
      </c>
      <c r="E396" t="s">
        <v>57</v>
      </c>
    </row>
    <row r="397" spans="1:5" x14ac:dyDescent="0.3">
      <c r="A397">
        <v>7177</v>
      </c>
      <c r="B397">
        <v>1419</v>
      </c>
      <c r="C397" s="1">
        <v>45937.626863425925</v>
      </c>
      <c r="D397" t="s">
        <v>98</v>
      </c>
      <c r="E397" t="s">
        <v>57</v>
      </c>
    </row>
    <row r="398" spans="1:5" x14ac:dyDescent="0.3">
      <c r="A398">
        <v>7187</v>
      </c>
      <c r="B398">
        <v>1419</v>
      </c>
      <c r="C398" s="1">
        <v>45937.627187500002</v>
      </c>
      <c r="D398" t="s">
        <v>99</v>
      </c>
      <c r="E398" t="s">
        <v>57</v>
      </c>
    </row>
    <row r="399" spans="1:5" x14ac:dyDescent="0.3">
      <c r="A399">
        <v>7202</v>
      </c>
      <c r="B399">
        <v>1436</v>
      </c>
      <c r="C399" s="1">
        <v>45937.627824074072</v>
      </c>
      <c r="D399" t="s">
        <v>88</v>
      </c>
      <c r="E399" t="s">
        <v>57</v>
      </c>
    </row>
    <row r="400" spans="1:5" x14ac:dyDescent="0.3">
      <c r="A400">
        <v>7235</v>
      </c>
      <c r="B400">
        <v>1436</v>
      </c>
      <c r="C400" s="1">
        <v>45937.62909722222</v>
      </c>
      <c r="D400" t="s">
        <v>89</v>
      </c>
      <c r="E400" t="s">
        <v>57</v>
      </c>
    </row>
    <row r="401" spans="1:5" x14ac:dyDescent="0.3">
      <c r="A401">
        <v>7239</v>
      </c>
      <c r="B401">
        <v>1436</v>
      </c>
      <c r="C401" s="1">
        <v>45937.629224537035</v>
      </c>
      <c r="D401" t="s">
        <v>100</v>
      </c>
      <c r="E401" t="s">
        <v>57</v>
      </c>
    </row>
    <row r="402" spans="1:5" x14ac:dyDescent="0.3">
      <c r="A402">
        <v>7276</v>
      </c>
      <c r="B402">
        <v>1436</v>
      </c>
      <c r="C402" s="1">
        <v>45937.630520833336</v>
      </c>
      <c r="D402" t="s">
        <v>101</v>
      </c>
      <c r="E402" t="s">
        <v>57</v>
      </c>
    </row>
    <row r="403" spans="1:5" x14ac:dyDescent="0.3">
      <c r="A403">
        <v>7295</v>
      </c>
      <c r="B403">
        <v>1436</v>
      </c>
      <c r="C403" s="1">
        <v>45937.631284722222</v>
      </c>
      <c r="D403" t="s">
        <v>102</v>
      </c>
      <c r="E403" t="s">
        <v>57</v>
      </c>
    </row>
    <row r="404" spans="1:5" x14ac:dyDescent="0.3">
      <c r="A404">
        <v>7309</v>
      </c>
      <c r="B404">
        <v>1436</v>
      </c>
      <c r="C404" s="1">
        <v>45937.631874999999</v>
      </c>
      <c r="D404" t="s">
        <v>94</v>
      </c>
      <c r="E404" t="s">
        <v>57</v>
      </c>
    </row>
    <row r="405" spans="1:5" x14ac:dyDescent="0.3">
      <c r="A405">
        <v>7313</v>
      </c>
      <c r="B405">
        <v>1436</v>
      </c>
      <c r="C405" s="1">
        <v>45937.631944444445</v>
      </c>
      <c r="D405" t="s">
        <v>95</v>
      </c>
      <c r="E405" t="s">
        <v>57</v>
      </c>
    </row>
    <row r="406" spans="1:5" x14ac:dyDescent="0.3">
      <c r="A406">
        <v>7322</v>
      </c>
      <c r="B406">
        <v>1436</v>
      </c>
      <c r="C406" s="1">
        <v>45937.632407407407</v>
      </c>
      <c r="D406" t="s">
        <v>96</v>
      </c>
      <c r="E406" t="s">
        <v>57</v>
      </c>
    </row>
    <row r="407" spans="1:5" x14ac:dyDescent="0.3">
      <c r="A407">
        <v>7331</v>
      </c>
      <c r="B407">
        <v>1436</v>
      </c>
      <c r="C407" s="1">
        <v>45937.633252314816</v>
      </c>
      <c r="D407" t="s">
        <v>97</v>
      </c>
      <c r="E407" t="s">
        <v>57</v>
      </c>
    </row>
    <row r="408" spans="1:5" x14ac:dyDescent="0.3">
      <c r="A408">
        <v>7342</v>
      </c>
      <c r="B408">
        <v>1436</v>
      </c>
      <c r="C408" s="1">
        <v>45937.634155092594</v>
      </c>
      <c r="D408" t="s">
        <v>98</v>
      </c>
      <c r="E408" t="s">
        <v>57</v>
      </c>
    </row>
    <row r="409" spans="1:5" x14ac:dyDescent="0.3">
      <c r="A409">
        <v>7347</v>
      </c>
      <c r="B409">
        <v>1436</v>
      </c>
      <c r="C409" s="1">
        <v>45937.634259259263</v>
      </c>
      <c r="D409" t="s">
        <v>99</v>
      </c>
      <c r="E409" t="s">
        <v>57</v>
      </c>
    </row>
    <row r="410" spans="1:5" x14ac:dyDescent="0.3">
      <c r="A410">
        <v>6275</v>
      </c>
      <c r="B410">
        <v>1336</v>
      </c>
      <c r="C410" s="1">
        <v>45937.595081018517</v>
      </c>
      <c r="D410" t="s">
        <v>86</v>
      </c>
      <c r="E410" t="s">
        <v>87</v>
      </c>
    </row>
    <row r="411" spans="1:5" x14ac:dyDescent="0.3">
      <c r="A411">
        <v>6298</v>
      </c>
      <c r="B411">
        <v>1351</v>
      </c>
      <c r="C411" s="1">
        <v>45937.596909722219</v>
      </c>
      <c r="D411" t="s">
        <v>88</v>
      </c>
      <c r="E411" t="s">
        <v>57</v>
      </c>
    </row>
    <row r="412" spans="1:5" x14ac:dyDescent="0.3">
      <c r="A412">
        <v>6337</v>
      </c>
      <c r="B412">
        <v>1351</v>
      </c>
      <c r="C412" s="1">
        <v>45937.600370370368</v>
      </c>
      <c r="D412" t="s">
        <v>89</v>
      </c>
      <c r="E412" t="s">
        <v>57</v>
      </c>
    </row>
    <row r="413" spans="1:5" x14ac:dyDescent="0.3">
      <c r="A413">
        <v>6356</v>
      </c>
      <c r="B413">
        <v>1351</v>
      </c>
      <c r="C413" s="1">
        <v>45937.601423611108</v>
      </c>
      <c r="D413" t="s">
        <v>90</v>
      </c>
      <c r="E413" t="s">
        <v>57</v>
      </c>
    </row>
    <row r="414" spans="1:5" x14ac:dyDescent="0.3">
      <c r="A414">
        <v>6417</v>
      </c>
      <c r="B414">
        <v>1351</v>
      </c>
      <c r="C414" s="1">
        <v>45937.605219907404</v>
      </c>
      <c r="D414" t="s">
        <v>91</v>
      </c>
      <c r="E414" t="s">
        <v>57</v>
      </c>
    </row>
    <row r="415" spans="1:5" x14ac:dyDescent="0.3">
      <c r="A415">
        <v>6437</v>
      </c>
      <c r="B415">
        <v>1351</v>
      </c>
      <c r="C415" s="1">
        <v>45937.605891203704</v>
      </c>
      <c r="D415" t="s">
        <v>92</v>
      </c>
      <c r="E415" t="s">
        <v>112</v>
      </c>
    </row>
    <row r="416" spans="1:5" x14ac:dyDescent="0.3">
      <c r="A416">
        <v>6463</v>
      </c>
      <c r="B416">
        <v>1351</v>
      </c>
      <c r="C416" s="1">
        <v>45937.607662037037</v>
      </c>
      <c r="D416" t="s">
        <v>94</v>
      </c>
      <c r="E416" t="s">
        <v>57</v>
      </c>
    </row>
    <row r="417" spans="1:5" x14ac:dyDescent="0.3">
      <c r="A417">
        <v>6473</v>
      </c>
      <c r="B417">
        <v>1351</v>
      </c>
      <c r="C417" s="1">
        <v>45937.60800925926</v>
      </c>
      <c r="D417" t="s">
        <v>95</v>
      </c>
      <c r="E417" t="s">
        <v>57</v>
      </c>
    </row>
    <row r="418" spans="1:5" x14ac:dyDescent="0.3">
      <c r="A418">
        <v>6479</v>
      </c>
      <c r="B418">
        <v>1351</v>
      </c>
      <c r="C418" s="1">
        <v>45937.60833333333</v>
      </c>
      <c r="D418" t="s">
        <v>96</v>
      </c>
      <c r="E418" t="s">
        <v>57</v>
      </c>
    </row>
    <row r="419" spans="1:5" x14ac:dyDescent="0.3">
      <c r="A419">
        <v>6562</v>
      </c>
      <c r="B419">
        <v>1351</v>
      </c>
      <c r="C419" s="1">
        <v>45937.612384259257</v>
      </c>
      <c r="D419" t="s">
        <v>97</v>
      </c>
      <c r="E419" t="s">
        <v>57</v>
      </c>
    </row>
    <row r="420" spans="1:5" x14ac:dyDescent="0.3">
      <c r="A420">
        <v>6644</v>
      </c>
      <c r="B420">
        <v>1351</v>
      </c>
      <c r="C420" s="1">
        <v>45937.614340277774</v>
      </c>
      <c r="D420" t="s">
        <v>98</v>
      </c>
      <c r="E420" t="s">
        <v>57</v>
      </c>
    </row>
    <row r="421" spans="1:5" x14ac:dyDescent="0.3">
      <c r="A421">
        <v>6662</v>
      </c>
      <c r="B421">
        <v>1351</v>
      </c>
      <c r="C421" s="1">
        <v>45937.614699074074</v>
      </c>
      <c r="D421" t="s">
        <v>99</v>
      </c>
      <c r="E421" t="s">
        <v>57</v>
      </c>
    </row>
    <row r="422" spans="1:5" x14ac:dyDescent="0.3">
      <c r="A422">
        <v>6687</v>
      </c>
      <c r="B422">
        <v>1390</v>
      </c>
      <c r="C422" s="1">
        <v>45937.615208333336</v>
      </c>
      <c r="D422" t="s">
        <v>88</v>
      </c>
      <c r="E422" t="s">
        <v>57</v>
      </c>
    </row>
    <row r="423" spans="1:5" x14ac:dyDescent="0.3">
      <c r="A423">
        <v>6710</v>
      </c>
      <c r="B423">
        <v>1390</v>
      </c>
      <c r="C423" s="1">
        <v>45937.616006944445</v>
      </c>
      <c r="D423" t="s">
        <v>89</v>
      </c>
      <c r="E423" t="s">
        <v>57</v>
      </c>
    </row>
    <row r="424" spans="1:5" x14ac:dyDescent="0.3">
      <c r="A424">
        <v>6721</v>
      </c>
      <c r="B424">
        <v>1390</v>
      </c>
      <c r="C424" s="1">
        <v>45937.616620370369</v>
      </c>
      <c r="D424" t="s">
        <v>100</v>
      </c>
      <c r="E424" t="s">
        <v>57</v>
      </c>
    </row>
    <row r="425" spans="1:5" x14ac:dyDescent="0.3">
      <c r="A425">
        <v>6739</v>
      </c>
      <c r="B425">
        <v>1390</v>
      </c>
      <c r="C425" s="1">
        <v>45937.616990740738</v>
      </c>
      <c r="D425" t="s">
        <v>101</v>
      </c>
      <c r="E425" t="s">
        <v>57</v>
      </c>
    </row>
    <row r="426" spans="1:5" x14ac:dyDescent="0.3">
      <c r="A426">
        <v>6772</v>
      </c>
      <c r="B426">
        <v>1390</v>
      </c>
      <c r="C426" s="1">
        <v>45937.617893518516</v>
      </c>
      <c r="D426" t="s">
        <v>102</v>
      </c>
      <c r="E426" t="s">
        <v>57</v>
      </c>
    </row>
    <row r="427" spans="1:5" x14ac:dyDescent="0.3">
      <c r="A427">
        <v>6793</v>
      </c>
      <c r="B427">
        <v>1390</v>
      </c>
      <c r="C427" s="1">
        <v>45937.618344907409</v>
      </c>
      <c r="D427" t="s">
        <v>94</v>
      </c>
      <c r="E427" t="s">
        <v>57</v>
      </c>
    </row>
    <row r="428" spans="1:5" x14ac:dyDescent="0.3">
      <c r="A428">
        <v>6812</v>
      </c>
      <c r="B428">
        <v>1390</v>
      </c>
      <c r="C428" s="1">
        <v>45937.618703703702</v>
      </c>
      <c r="D428" t="s">
        <v>95</v>
      </c>
      <c r="E428" t="s">
        <v>57</v>
      </c>
    </row>
    <row r="429" spans="1:5" x14ac:dyDescent="0.3">
      <c r="A429">
        <v>6853</v>
      </c>
      <c r="B429">
        <v>1390</v>
      </c>
      <c r="C429" s="1">
        <v>45937.619317129633</v>
      </c>
      <c r="D429" t="s">
        <v>96</v>
      </c>
      <c r="E429" t="s">
        <v>57</v>
      </c>
    </row>
    <row r="430" spans="1:5" x14ac:dyDescent="0.3">
      <c r="A430">
        <v>6905</v>
      </c>
      <c r="B430">
        <v>1390</v>
      </c>
      <c r="C430" s="1">
        <v>45937.620092592595</v>
      </c>
      <c r="D430" t="s">
        <v>97</v>
      </c>
      <c r="E430" t="s">
        <v>57</v>
      </c>
    </row>
    <row r="431" spans="1:5" x14ac:dyDescent="0.3">
      <c r="A431">
        <v>6940</v>
      </c>
      <c r="B431">
        <v>1390</v>
      </c>
      <c r="C431" s="1">
        <v>45937.620740740742</v>
      </c>
      <c r="D431" t="s">
        <v>98</v>
      </c>
      <c r="E431" t="s">
        <v>57</v>
      </c>
    </row>
    <row r="432" spans="1:5" x14ac:dyDescent="0.3">
      <c r="A432">
        <v>6980</v>
      </c>
      <c r="B432">
        <v>1390</v>
      </c>
      <c r="C432" s="1">
        <v>45937.622118055559</v>
      </c>
      <c r="D432" t="s">
        <v>99</v>
      </c>
      <c r="E432" t="s">
        <v>57</v>
      </c>
    </row>
    <row r="433" spans="1:5" x14ac:dyDescent="0.3">
      <c r="A433">
        <v>7018</v>
      </c>
      <c r="B433">
        <v>1421</v>
      </c>
      <c r="C433" s="1">
        <v>45937.623113425929</v>
      </c>
      <c r="D433" t="s">
        <v>88</v>
      </c>
      <c r="E433" t="s">
        <v>57</v>
      </c>
    </row>
    <row r="434" spans="1:5" x14ac:dyDescent="0.3">
      <c r="A434">
        <v>7030</v>
      </c>
      <c r="B434">
        <v>1421</v>
      </c>
      <c r="C434" s="1">
        <v>45937.623368055552</v>
      </c>
      <c r="D434" t="s">
        <v>89</v>
      </c>
      <c r="E434" t="s">
        <v>57</v>
      </c>
    </row>
    <row r="435" spans="1:5" x14ac:dyDescent="0.3">
      <c r="A435">
        <v>7041</v>
      </c>
      <c r="B435">
        <v>1421</v>
      </c>
      <c r="C435" s="1">
        <v>45937.623553240737</v>
      </c>
      <c r="D435" t="s">
        <v>100</v>
      </c>
      <c r="E435" t="s">
        <v>57</v>
      </c>
    </row>
    <row r="436" spans="1:5" x14ac:dyDescent="0.3">
      <c r="A436">
        <v>7047</v>
      </c>
      <c r="B436">
        <v>1421</v>
      </c>
      <c r="C436" s="1">
        <v>45937.623599537037</v>
      </c>
      <c r="D436" t="s">
        <v>101</v>
      </c>
      <c r="E436" t="s">
        <v>57</v>
      </c>
    </row>
    <row r="437" spans="1:5" x14ac:dyDescent="0.3">
      <c r="A437">
        <v>7066</v>
      </c>
      <c r="B437">
        <v>1421</v>
      </c>
      <c r="C437" s="1">
        <v>45937.623935185184</v>
      </c>
      <c r="D437" t="s">
        <v>102</v>
      </c>
      <c r="E437" t="s">
        <v>57</v>
      </c>
    </row>
    <row r="438" spans="1:5" x14ac:dyDescent="0.3">
      <c r="A438">
        <v>7078</v>
      </c>
      <c r="B438">
        <v>1421</v>
      </c>
      <c r="C438" s="1">
        <v>45937.624039351853</v>
      </c>
      <c r="D438" t="s">
        <v>94</v>
      </c>
      <c r="E438" t="s">
        <v>57</v>
      </c>
    </row>
    <row r="439" spans="1:5" x14ac:dyDescent="0.3">
      <c r="A439">
        <v>7083</v>
      </c>
      <c r="B439">
        <v>1421</v>
      </c>
      <c r="C439" s="1">
        <v>45937.624097222222</v>
      </c>
      <c r="D439" t="s">
        <v>95</v>
      </c>
      <c r="E439" t="s">
        <v>57</v>
      </c>
    </row>
    <row r="440" spans="1:5" x14ac:dyDescent="0.3">
      <c r="A440">
        <v>7087</v>
      </c>
      <c r="B440">
        <v>1421</v>
      </c>
      <c r="C440" s="1">
        <v>45937.624166666668</v>
      </c>
      <c r="D440" t="s">
        <v>96</v>
      </c>
      <c r="E440" t="s">
        <v>57</v>
      </c>
    </row>
    <row r="441" spans="1:5" x14ac:dyDescent="0.3">
      <c r="A441">
        <v>7151</v>
      </c>
      <c r="B441">
        <v>1421</v>
      </c>
      <c r="C441" s="1">
        <v>45937.625949074078</v>
      </c>
      <c r="D441" t="s">
        <v>97</v>
      </c>
      <c r="E441" t="s">
        <v>57</v>
      </c>
    </row>
    <row r="442" spans="1:5" x14ac:dyDescent="0.3">
      <c r="A442">
        <v>7170</v>
      </c>
      <c r="B442">
        <v>1421</v>
      </c>
      <c r="C442" s="1">
        <v>45937.626805555556</v>
      </c>
      <c r="D442" t="s">
        <v>98</v>
      </c>
      <c r="E442" t="s">
        <v>57</v>
      </c>
    </row>
    <row r="443" spans="1:5" x14ac:dyDescent="0.3">
      <c r="A443">
        <v>7192</v>
      </c>
      <c r="B443">
        <v>1421</v>
      </c>
      <c r="C443" s="1">
        <v>45937.627245370371</v>
      </c>
      <c r="D443" t="s">
        <v>99</v>
      </c>
      <c r="E443" t="s">
        <v>57</v>
      </c>
    </row>
    <row r="444" spans="1:5" x14ac:dyDescent="0.3">
      <c r="A444">
        <v>7213</v>
      </c>
      <c r="B444">
        <v>1439</v>
      </c>
      <c r="C444" s="1">
        <v>45937.628750000003</v>
      </c>
      <c r="D444" t="s">
        <v>88</v>
      </c>
      <c r="E444" t="s">
        <v>57</v>
      </c>
    </row>
    <row r="445" spans="1:5" x14ac:dyDescent="0.3">
      <c r="A445">
        <v>7236</v>
      </c>
      <c r="B445">
        <v>1439</v>
      </c>
      <c r="C445" s="1">
        <v>45937.629131944443</v>
      </c>
      <c r="D445" t="s">
        <v>89</v>
      </c>
      <c r="E445" t="s">
        <v>57</v>
      </c>
    </row>
    <row r="446" spans="1:5" x14ac:dyDescent="0.3">
      <c r="A446">
        <v>7240</v>
      </c>
      <c r="B446">
        <v>1439</v>
      </c>
      <c r="C446" s="1">
        <v>45937.629236111112</v>
      </c>
      <c r="D446" t="s">
        <v>100</v>
      </c>
      <c r="E446" t="s">
        <v>57</v>
      </c>
    </row>
    <row r="447" spans="1:5" x14ac:dyDescent="0.3">
      <c r="A447">
        <v>7274</v>
      </c>
      <c r="B447">
        <v>1439</v>
      </c>
      <c r="C447" s="1">
        <v>45937.630474537036</v>
      </c>
      <c r="D447" t="s">
        <v>105</v>
      </c>
      <c r="E447" t="s">
        <v>57</v>
      </c>
    </row>
    <row r="448" spans="1:5" x14ac:dyDescent="0.3">
      <c r="A448">
        <v>7279</v>
      </c>
      <c r="B448">
        <v>1439</v>
      </c>
      <c r="C448" s="1">
        <v>45937.630740740744</v>
      </c>
      <c r="D448" t="s">
        <v>90</v>
      </c>
      <c r="E448" t="s">
        <v>106</v>
      </c>
    </row>
    <row r="449" spans="1:5" x14ac:dyDescent="0.3">
      <c r="A449">
        <v>7292</v>
      </c>
      <c r="B449">
        <v>1439</v>
      </c>
      <c r="C449" s="1">
        <v>45937.631238425929</v>
      </c>
      <c r="D449" t="s">
        <v>91</v>
      </c>
      <c r="E449" t="s">
        <v>57</v>
      </c>
    </row>
    <row r="450" spans="1:5" x14ac:dyDescent="0.3">
      <c r="A450">
        <v>7299</v>
      </c>
      <c r="B450">
        <v>1439</v>
      </c>
      <c r="C450" s="1">
        <v>45937.631423611114</v>
      </c>
      <c r="D450" t="s">
        <v>92</v>
      </c>
      <c r="E450" t="s">
        <v>113</v>
      </c>
    </row>
    <row r="451" spans="1:5" x14ac:dyDescent="0.3">
      <c r="A451">
        <v>7310</v>
      </c>
      <c r="B451">
        <v>1439</v>
      </c>
      <c r="C451" s="1">
        <v>45937.631886574076</v>
      </c>
      <c r="D451" t="s">
        <v>94</v>
      </c>
      <c r="E451" t="s">
        <v>57</v>
      </c>
    </row>
    <row r="452" spans="1:5" x14ac:dyDescent="0.3">
      <c r="A452">
        <v>7318</v>
      </c>
      <c r="B452">
        <v>1439</v>
      </c>
      <c r="C452" s="1">
        <v>45937.632048611114</v>
      </c>
      <c r="D452" t="s">
        <v>95</v>
      </c>
      <c r="E452" t="s">
        <v>57</v>
      </c>
    </row>
    <row r="453" spans="1:5" x14ac:dyDescent="0.3">
      <c r="A453">
        <v>7320</v>
      </c>
      <c r="B453">
        <v>1439</v>
      </c>
      <c r="C453" s="1">
        <v>45937.632118055553</v>
      </c>
      <c r="D453" t="s">
        <v>96</v>
      </c>
      <c r="E453" t="s">
        <v>57</v>
      </c>
    </row>
    <row r="454" spans="1:5" x14ac:dyDescent="0.3">
      <c r="A454">
        <v>7336</v>
      </c>
      <c r="B454">
        <v>1439</v>
      </c>
      <c r="C454" s="1">
        <v>45937.633738425924</v>
      </c>
      <c r="D454" t="s">
        <v>97</v>
      </c>
      <c r="E454" t="s">
        <v>57</v>
      </c>
    </row>
    <row r="455" spans="1:5" x14ac:dyDescent="0.3">
      <c r="A455">
        <v>7337</v>
      </c>
      <c r="B455">
        <v>1439</v>
      </c>
      <c r="C455" s="1">
        <v>45937.634120370371</v>
      </c>
      <c r="D455" t="s">
        <v>98</v>
      </c>
      <c r="E455" t="s">
        <v>57</v>
      </c>
    </row>
    <row r="456" spans="1:5" x14ac:dyDescent="0.3">
      <c r="A456">
        <v>7344</v>
      </c>
      <c r="B456">
        <v>1439</v>
      </c>
      <c r="C456" s="1">
        <v>45937.634236111109</v>
      </c>
      <c r="D456" t="s">
        <v>99</v>
      </c>
      <c r="E456" t="s">
        <v>57</v>
      </c>
    </row>
    <row r="457" spans="1:5" x14ac:dyDescent="0.3">
      <c r="A457">
        <v>6285</v>
      </c>
      <c r="B457">
        <v>1346</v>
      </c>
      <c r="C457" s="1">
        <v>45937.595891203702</v>
      </c>
      <c r="D457" t="s">
        <v>86</v>
      </c>
      <c r="E457" t="s">
        <v>87</v>
      </c>
    </row>
    <row r="458" spans="1:5" x14ac:dyDescent="0.3">
      <c r="A458">
        <v>6300</v>
      </c>
      <c r="B458">
        <v>1353</v>
      </c>
      <c r="C458" s="1">
        <v>45937.596932870372</v>
      </c>
      <c r="D458" t="s">
        <v>88</v>
      </c>
      <c r="E458" t="s">
        <v>57</v>
      </c>
    </row>
    <row r="459" spans="1:5" x14ac:dyDescent="0.3">
      <c r="A459">
        <v>6328</v>
      </c>
      <c r="B459">
        <v>1353</v>
      </c>
      <c r="C459" s="1">
        <v>45937.598460648151</v>
      </c>
      <c r="D459" t="s">
        <v>89</v>
      </c>
      <c r="E459" t="s">
        <v>57</v>
      </c>
    </row>
    <row r="460" spans="1:5" x14ac:dyDescent="0.3">
      <c r="A460">
        <v>6357</v>
      </c>
      <c r="B460">
        <v>1353</v>
      </c>
      <c r="C460" s="1">
        <v>45937.601435185185</v>
      </c>
      <c r="D460" t="s">
        <v>90</v>
      </c>
      <c r="E460" t="s">
        <v>57</v>
      </c>
    </row>
    <row r="461" spans="1:5" x14ac:dyDescent="0.3">
      <c r="A461">
        <v>6427</v>
      </c>
      <c r="B461">
        <v>1353</v>
      </c>
      <c r="C461" s="1">
        <v>45937.60533564815</v>
      </c>
      <c r="D461" t="s">
        <v>91</v>
      </c>
      <c r="E461" t="s">
        <v>57</v>
      </c>
    </row>
    <row r="462" spans="1:5" x14ac:dyDescent="0.3">
      <c r="A462">
        <v>6435</v>
      </c>
      <c r="B462">
        <v>1353</v>
      </c>
      <c r="C462" s="1">
        <v>45937.605844907404</v>
      </c>
      <c r="D462" t="s">
        <v>92</v>
      </c>
      <c r="E462" t="s">
        <v>110</v>
      </c>
    </row>
    <row r="463" spans="1:5" x14ac:dyDescent="0.3">
      <c r="A463">
        <v>6469</v>
      </c>
      <c r="B463">
        <v>1353</v>
      </c>
      <c r="C463" s="1">
        <v>45937.607719907406</v>
      </c>
      <c r="D463" t="s">
        <v>94</v>
      </c>
      <c r="E463" t="s">
        <v>57</v>
      </c>
    </row>
    <row r="464" spans="1:5" x14ac:dyDescent="0.3">
      <c r="A464">
        <v>6487</v>
      </c>
      <c r="B464">
        <v>1353</v>
      </c>
      <c r="C464" s="1">
        <v>45937.608738425923</v>
      </c>
      <c r="D464" t="s">
        <v>95</v>
      </c>
      <c r="E464" t="s">
        <v>57</v>
      </c>
    </row>
    <row r="465" spans="1:5" x14ac:dyDescent="0.3">
      <c r="A465">
        <v>6534</v>
      </c>
      <c r="B465">
        <v>1353</v>
      </c>
      <c r="C465" s="1">
        <v>45937.611655092594</v>
      </c>
      <c r="D465" t="s">
        <v>96</v>
      </c>
      <c r="E465" t="s">
        <v>57</v>
      </c>
    </row>
    <row r="466" spans="1:5" x14ac:dyDescent="0.3">
      <c r="A466">
        <v>6552</v>
      </c>
      <c r="B466">
        <v>1353</v>
      </c>
      <c r="C466" s="1">
        <v>45937.612256944441</v>
      </c>
      <c r="D466" t="s">
        <v>97</v>
      </c>
      <c r="E466" t="s">
        <v>57</v>
      </c>
    </row>
    <row r="467" spans="1:5" x14ac:dyDescent="0.3">
      <c r="A467">
        <v>6650</v>
      </c>
      <c r="B467">
        <v>1353</v>
      </c>
      <c r="C467" s="1">
        <v>45937.614432870374</v>
      </c>
      <c r="D467" t="s">
        <v>98</v>
      </c>
      <c r="E467" t="s">
        <v>57</v>
      </c>
    </row>
    <row r="468" spans="1:5" x14ac:dyDescent="0.3">
      <c r="A468">
        <v>6663</v>
      </c>
      <c r="B468">
        <v>1353</v>
      </c>
      <c r="C468" s="1">
        <v>45937.614710648151</v>
      </c>
      <c r="D468" t="s">
        <v>99</v>
      </c>
      <c r="E468" t="s">
        <v>57</v>
      </c>
    </row>
    <row r="469" spans="1:5" x14ac:dyDescent="0.3">
      <c r="A469">
        <v>6684</v>
      </c>
      <c r="B469">
        <v>1388</v>
      </c>
      <c r="C469" s="1">
        <v>45937.61519675926</v>
      </c>
      <c r="D469" t="s">
        <v>88</v>
      </c>
      <c r="E469" t="s">
        <v>57</v>
      </c>
    </row>
    <row r="470" spans="1:5" x14ac:dyDescent="0.3">
      <c r="A470">
        <v>6704</v>
      </c>
      <c r="B470">
        <v>1388</v>
      </c>
      <c r="C470" s="1">
        <v>45937.615891203706</v>
      </c>
      <c r="D470" t="s">
        <v>89</v>
      </c>
      <c r="E470" t="s">
        <v>57</v>
      </c>
    </row>
    <row r="471" spans="1:5" x14ac:dyDescent="0.3">
      <c r="A471">
        <v>6725</v>
      </c>
      <c r="B471">
        <v>1388</v>
      </c>
      <c r="C471" s="1">
        <v>45937.616747685184</v>
      </c>
      <c r="D471" t="s">
        <v>100</v>
      </c>
      <c r="E471" t="s">
        <v>57</v>
      </c>
    </row>
    <row r="472" spans="1:5" x14ac:dyDescent="0.3">
      <c r="A472">
        <v>6742</v>
      </c>
      <c r="B472">
        <v>1388</v>
      </c>
      <c r="C472" s="1">
        <v>45937.617002314815</v>
      </c>
      <c r="D472" t="s">
        <v>101</v>
      </c>
      <c r="E472" t="s">
        <v>57</v>
      </c>
    </row>
    <row r="473" spans="1:5" x14ac:dyDescent="0.3">
      <c r="A473">
        <v>6764</v>
      </c>
      <c r="B473">
        <v>1388</v>
      </c>
      <c r="C473" s="1">
        <v>45937.617800925924</v>
      </c>
      <c r="D473" t="s">
        <v>102</v>
      </c>
      <c r="E473" t="s">
        <v>57</v>
      </c>
    </row>
    <row r="474" spans="1:5" x14ac:dyDescent="0.3">
      <c r="A474">
        <v>6776</v>
      </c>
      <c r="B474">
        <v>1388</v>
      </c>
      <c r="C474" s="1">
        <v>45937.617951388886</v>
      </c>
      <c r="D474" t="s">
        <v>94</v>
      </c>
      <c r="E474" t="s">
        <v>57</v>
      </c>
    </row>
    <row r="475" spans="1:5" x14ac:dyDescent="0.3">
      <c r="A475">
        <v>6780</v>
      </c>
      <c r="B475">
        <v>1388</v>
      </c>
      <c r="C475" s="1">
        <v>45937.618032407408</v>
      </c>
      <c r="D475" t="s">
        <v>95</v>
      </c>
      <c r="E475" t="s">
        <v>57</v>
      </c>
    </row>
    <row r="476" spans="1:5" x14ac:dyDescent="0.3">
      <c r="A476">
        <v>6882</v>
      </c>
      <c r="B476">
        <v>1388</v>
      </c>
      <c r="C476" s="1">
        <v>45937.619745370372</v>
      </c>
      <c r="D476" t="s">
        <v>96</v>
      </c>
      <c r="E476" t="s">
        <v>57</v>
      </c>
    </row>
    <row r="477" spans="1:5" x14ac:dyDescent="0.3">
      <c r="A477">
        <v>6906</v>
      </c>
      <c r="B477">
        <v>1388</v>
      </c>
      <c r="C477" s="1">
        <v>45937.620115740741</v>
      </c>
      <c r="D477" t="s">
        <v>97</v>
      </c>
      <c r="E477" t="s">
        <v>57</v>
      </c>
    </row>
    <row r="478" spans="1:5" x14ac:dyDescent="0.3">
      <c r="A478">
        <v>6942</v>
      </c>
      <c r="B478">
        <v>1388</v>
      </c>
      <c r="C478" s="1">
        <v>45937.620775462965</v>
      </c>
      <c r="D478" t="s">
        <v>98</v>
      </c>
      <c r="E478" t="s">
        <v>57</v>
      </c>
    </row>
    <row r="479" spans="1:5" x14ac:dyDescent="0.3">
      <c r="A479">
        <v>7001</v>
      </c>
      <c r="B479">
        <v>1388</v>
      </c>
      <c r="C479" s="1">
        <v>45937.622557870367</v>
      </c>
      <c r="D479" t="s">
        <v>99</v>
      </c>
      <c r="E479" t="s">
        <v>57</v>
      </c>
    </row>
    <row r="480" spans="1:5" x14ac:dyDescent="0.3">
      <c r="A480">
        <v>7013</v>
      </c>
      <c r="B480">
        <v>1417</v>
      </c>
      <c r="C480" s="1">
        <v>45937.622928240744</v>
      </c>
      <c r="D480" t="s">
        <v>88</v>
      </c>
      <c r="E480" t="s">
        <v>57</v>
      </c>
    </row>
    <row r="481" spans="1:5" x14ac:dyDescent="0.3">
      <c r="A481">
        <v>7028</v>
      </c>
      <c r="B481">
        <v>1417</v>
      </c>
      <c r="C481" s="1">
        <v>45937.623356481483</v>
      </c>
      <c r="D481" t="s">
        <v>89</v>
      </c>
      <c r="E481" t="s">
        <v>57</v>
      </c>
    </row>
    <row r="482" spans="1:5" x14ac:dyDescent="0.3">
      <c r="A482">
        <v>7037</v>
      </c>
      <c r="B482">
        <v>1417</v>
      </c>
      <c r="C482" s="1">
        <v>45937.623506944445</v>
      </c>
      <c r="D482" t="s">
        <v>100</v>
      </c>
      <c r="E482" t="s">
        <v>57</v>
      </c>
    </row>
    <row r="483" spans="1:5" x14ac:dyDescent="0.3">
      <c r="A483">
        <v>7043</v>
      </c>
      <c r="B483">
        <v>1417</v>
      </c>
      <c r="C483" s="1">
        <v>45937.623553240737</v>
      </c>
      <c r="D483" t="s">
        <v>101</v>
      </c>
      <c r="E483" t="s">
        <v>57</v>
      </c>
    </row>
    <row r="484" spans="1:5" x14ac:dyDescent="0.3">
      <c r="A484">
        <v>7069</v>
      </c>
      <c r="B484">
        <v>1417</v>
      </c>
      <c r="C484" s="1">
        <v>45937.62395833333</v>
      </c>
      <c r="D484" t="s">
        <v>102</v>
      </c>
      <c r="E484" t="s">
        <v>57</v>
      </c>
    </row>
    <row r="485" spans="1:5" x14ac:dyDescent="0.3">
      <c r="A485">
        <v>7082</v>
      </c>
      <c r="B485">
        <v>1417</v>
      </c>
      <c r="C485" s="1">
        <v>45937.624074074076</v>
      </c>
      <c r="D485" t="s">
        <v>94</v>
      </c>
      <c r="E485" t="s">
        <v>57</v>
      </c>
    </row>
    <row r="486" spans="1:5" x14ac:dyDescent="0.3">
      <c r="A486">
        <v>7086</v>
      </c>
      <c r="B486">
        <v>1417</v>
      </c>
      <c r="C486" s="1">
        <v>45937.624155092592</v>
      </c>
      <c r="D486" t="s">
        <v>95</v>
      </c>
      <c r="E486" t="s">
        <v>57</v>
      </c>
    </row>
    <row r="487" spans="1:5" x14ac:dyDescent="0.3">
      <c r="A487">
        <v>7148</v>
      </c>
      <c r="B487">
        <v>1417</v>
      </c>
      <c r="C487" s="1">
        <v>45937.625821759262</v>
      </c>
      <c r="D487" t="s">
        <v>96</v>
      </c>
      <c r="E487" t="s">
        <v>57</v>
      </c>
    </row>
    <row r="488" spans="1:5" x14ac:dyDescent="0.3">
      <c r="A488">
        <v>7156</v>
      </c>
      <c r="B488">
        <v>1417</v>
      </c>
      <c r="C488" s="1">
        <v>45937.626215277778</v>
      </c>
      <c r="D488" t="s">
        <v>97</v>
      </c>
      <c r="E488" t="s">
        <v>57</v>
      </c>
    </row>
    <row r="489" spans="1:5" x14ac:dyDescent="0.3">
      <c r="A489">
        <v>7173</v>
      </c>
      <c r="B489">
        <v>1417</v>
      </c>
      <c r="C489" s="1">
        <v>45937.626817129632</v>
      </c>
      <c r="D489" t="s">
        <v>98</v>
      </c>
      <c r="E489" t="s">
        <v>57</v>
      </c>
    </row>
    <row r="490" spans="1:5" x14ac:dyDescent="0.3">
      <c r="A490">
        <v>7188</v>
      </c>
      <c r="B490">
        <v>1417</v>
      </c>
      <c r="C490" s="1">
        <v>45937.627199074072</v>
      </c>
      <c r="D490" t="s">
        <v>99</v>
      </c>
      <c r="E490" t="s">
        <v>57</v>
      </c>
    </row>
    <row r="491" spans="1:5" x14ac:dyDescent="0.3">
      <c r="A491">
        <v>7212</v>
      </c>
      <c r="B491">
        <v>1438</v>
      </c>
      <c r="C491" s="1">
        <v>45937.628750000003</v>
      </c>
      <c r="D491" t="s">
        <v>88</v>
      </c>
      <c r="E491" t="s">
        <v>57</v>
      </c>
    </row>
    <row r="492" spans="1:5" x14ac:dyDescent="0.3">
      <c r="A492">
        <v>7262</v>
      </c>
      <c r="B492">
        <v>1438</v>
      </c>
      <c r="C492" s="1">
        <v>45937.629710648151</v>
      </c>
      <c r="D492" t="s">
        <v>89</v>
      </c>
      <c r="E492" t="s">
        <v>57</v>
      </c>
    </row>
    <row r="493" spans="1:5" x14ac:dyDescent="0.3">
      <c r="A493">
        <v>7264</v>
      </c>
      <c r="B493">
        <v>1438</v>
      </c>
      <c r="C493" s="1">
        <v>45937.629872685182</v>
      </c>
      <c r="D493" t="s">
        <v>100</v>
      </c>
      <c r="E493" t="s">
        <v>57</v>
      </c>
    </row>
    <row r="494" spans="1:5" x14ac:dyDescent="0.3">
      <c r="A494">
        <v>7278</v>
      </c>
      <c r="B494">
        <v>1438</v>
      </c>
      <c r="C494" s="1">
        <v>45937.630671296298</v>
      </c>
      <c r="D494" t="s">
        <v>101</v>
      </c>
      <c r="E494" t="s">
        <v>57</v>
      </c>
    </row>
    <row r="495" spans="1:5" x14ac:dyDescent="0.3">
      <c r="A495">
        <v>7293</v>
      </c>
      <c r="B495">
        <v>1438</v>
      </c>
      <c r="C495" s="1">
        <v>45937.631238425929</v>
      </c>
      <c r="D495" t="s">
        <v>102</v>
      </c>
      <c r="E495" t="s">
        <v>57</v>
      </c>
    </row>
    <row r="496" spans="1:5" x14ac:dyDescent="0.3">
      <c r="A496">
        <v>7307</v>
      </c>
      <c r="B496">
        <v>1438</v>
      </c>
      <c r="C496" s="1">
        <v>45937.63181712963</v>
      </c>
      <c r="D496" t="s">
        <v>94</v>
      </c>
      <c r="E496" t="s">
        <v>57</v>
      </c>
    </row>
    <row r="497" spans="1:5" x14ac:dyDescent="0.3">
      <c r="A497">
        <v>7311</v>
      </c>
      <c r="B497">
        <v>1438</v>
      </c>
      <c r="C497" s="1">
        <v>45937.631898148145</v>
      </c>
      <c r="D497" t="s">
        <v>95</v>
      </c>
      <c r="E497" t="s">
        <v>57</v>
      </c>
    </row>
    <row r="498" spans="1:5" x14ac:dyDescent="0.3">
      <c r="A498">
        <v>7325</v>
      </c>
      <c r="B498">
        <v>1438</v>
      </c>
      <c r="C498" s="1">
        <v>45937.632557870369</v>
      </c>
      <c r="D498" t="s">
        <v>96</v>
      </c>
      <c r="E498" t="s">
        <v>57</v>
      </c>
    </row>
    <row r="499" spans="1:5" x14ac:dyDescent="0.3">
      <c r="A499">
        <v>7332</v>
      </c>
      <c r="B499">
        <v>1438</v>
      </c>
      <c r="C499" s="1">
        <v>45937.633321759262</v>
      </c>
      <c r="D499" t="s">
        <v>97</v>
      </c>
      <c r="E499" t="s">
        <v>57</v>
      </c>
    </row>
    <row r="500" spans="1:5" x14ac:dyDescent="0.3">
      <c r="A500">
        <v>7338</v>
      </c>
      <c r="B500">
        <v>1438</v>
      </c>
      <c r="C500" s="1">
        <v>45937.634120370371</v>
      </c>
      <c r="D500" t="s">
        <v>98</v>
      </c>
      <c r="E500" t="s">
        <v>57</v>
      </c>
    </row>
    <row r="501" spans="1:5" x14ac:dyDescent="0.3">
      <c r="A501">
        <v>7348</v>
      </c>
      <c r="B501">
        <v>1438</v>
      </c>
      <c r="C501" s="1">
        <v>45937.634293981479</v>
      </c>
      <c r="D501" t="s">
        <v>99</v>
      </c>
      <c r="E501" t="s">
        <v>57</v>
      </c>
    </row>
    <row r="502" spans="1:5" x14ac:dyDescent="0.3">
      <c r="A502">
        <v>6261</v>
      </c>
      <c r="B502">
        <v>1322</v>
      </c>
      <c r="C502" s="1">
        <v>45937.577881944446</v>
      </c>
      <c r="D502" t="s">
        <v>86</v>
      </c>
      <c r="E502" t="s">
        <v>87</v>
      </c>
    </row>
    <row r="503" spans="1:5" x14ac:dyDescent="0.3">
      <c r="A503">
        <v>6301</v>
      </c>
      <c r="B503">
        <v>1354</v>
      </c>
      <c r="C503" s="1">
        <v>45937.596932870372</v>
      </c>
      <c r="D503" t="s">
        <v>88</v>
      </c>
      <c r="E503" t="s">
        <v>57</v>
      </c>
    </row>
    <row r="504" spans="1:5" x14ac:dyDescent="0.3">
      <c r="A504">
        <v>6326</v>
      </c>
      <c r="B504">
        <v>1354</v>
      </c>
      <c r="C504" s="1">
        <v>45937.598449074074</v>
      </c>
      <c r="D504" t="s">
        <v>89</v>
      </c>
      <c r="E504" t="s">
        <v>57</v>
      </c>
    </row>
    <row r="505" spans="1:5" x14ac:dyDescent="0.3">
      <c r="A505">
        <v>6360</v>
      </c>
      <c r="B505">
        <v>1354</v>
      </c>
      <c r="C505" s="1">
        <v>45937.601504629631</v>
      </c>
      <c r="D505" t="s">
        <v>90</v>
      </c>
      <c r="E505" t="s">
        <v>57</v>
      </c>
    </row>
    <row r="506" spans="1:5" x14ac:dyDescent="0.3">
      <c r="A506">
        <v>6436</v>
      </c>
      <c r="B506">
        <v>1354</v>
      </c>
      <c r="C506" s="1">
        <v>45937.605891203704</v>
      </c>
      <c r="D506" t="s">
        <v>91</v>
      </c>
      <c r="E506" t="s">
        <v>57</v>
      </c>
    </row>
    <row r="507" spans="1:5" x14ac:dyDescent="0.3">
      <c r="A507">
        <v>6471</v>
      </c>
      <c r="B507">
        <v>1354</v>
      </c>
      <c r="C507" s="1">
        <v>45937.607812499999</v>
      </c>
      <c r="D507" t="s">
        <v>92</v>
      </c>
      <c r="E507" t="s">
        <v>114</v>
      </c>
    </row>
    <row r="508" spans="1:5" x14ac:dyDescent="0.3">
      <c r="A508">
        <v>6482</v>
      </c>
      <c r="B508">
        <v>1354</v>
      </c>
      <c r="C508" s="1">
        <v>45937.608541666668</v>
      </c>
      <c r="D508" t="s">
        <v>94</v>
      </c>
      <c r="E508" t="s">
        <v>57</v>
      </c>
    </row>
    <row r="509" spans="1:5" x14ac:dyDescent="0.3">
      <c r="A509">
        <v>6484</v>
      </c>
      <c r="B509">
        <v>1354</v>
      </c>
      <c r="C509" s="1">
        <v>45937.608657407407</v>
      </c>
      <c r="D509" t="s">
        <v>95</v>
      </c>
      <c r="E509" t="s">
        <v>57</v>
      </c>
    </row>
    <row r="510" spans="1:5" x14ac:dyDescent="0.3">
      <c r="A510">
        <v>6514</v>
      </c>
      <c r="B510">
        <v>1354</v>
      </c>
      <c r="C510" s="1">
        <v>45937.610706018517</v>
      </c>
      <c r="D510" t="s">
        <v>96</v>
      </c>
      <c r="E510" t="s">
        <v>57</v>
      </c>
    </row>
    <row r="511" spans="1:5" x14ac:dyDescent="0.3">
      <c r="A511">
        <v>6554</v>
      </c>
      <c r="B511">
        <v>1354</v>
      </c>
      <c r="C511" s="1">
        <v>45937.612268518518</v>
      </c>
      <c r="D511" t="s">
        <v>97</v>
      </c>
      <c r="E511" t="s">
        <v>57</v>
      </c>
    </row>
    <row r="512" spans="1:5" x14ac:dyDescent="0.3">
      <c r="A512">
        <v>6647</v>
      </c>
      <c r="B512">
        <v>1354</v>
      </c>
      <c r="C512" s="1">
        <v>45937.614386574074</v>
      </c>
      <c r="D512" t="s">
        <v>98</v>
      </c>
      <c r="E512" t="s">
        <v>57</v>
      </c>
    </row>
    <row r="513" spans="1:5" x14ac:dyDescent="0.3">
      <c r="A513">
        <v>6660</v>
      </c>
      <c r="B513">
        <v>1354</v>
      </c>
      <c r="C513" s="1">
        <v>45937.614664351851</v>
      </c>
      <c r="D513" t="s">
        <v>99</v>
      </c>
      <c r="E513" t="s">
        <v>57</v>
      </c>
    </row>
    <row r="514" spans="1:5" x14ac:dyDescent="0.3">
      <c r="A514">
        <v>6683</v>
      </c>
      <c r="B514">
        <v>1387</v>
      </c>
      <c r="C514" s="1">
        <v>45937.615173611113</v>
      </c>
      <c r="D514" t="s">
        <v>88</v>
      </c>
      <c r="E514" t="s">
        <v>57</v>
      </c>
    </row>
    <row r="515" spans="1:5" x14ac:dyDescent="0.3">
      <c r="A515">
        <v>6706</v>
      </c>
      <c r="B515">
        <v>1387</v>
      </c>
      <c r="C515" s="1">
        <v>45937.615902777776</v>
      </c>
      <c r="D515" t="s">
        <v>89</v>
      </c>
      <c r="E515" t="s">
        <v>57</v>
      </c>
    </row>
    <row r="516" spans="1:5" x14ac:dyDescent="0.3">
      <c r="A516">
        <v>6731</v>
      </c>
      <c r="B516">
        <v>1387</v>
      </c>
      <c r="C516" s="1">
        <v>45937.616851851853</v>
      </c>
      <c r="D516" t="s">
        <v>100</v>
      </c>
      <c r="E516" t="s">
        <v>57</v>
      </c>
    </row>
    <row r="517" spans="1:5" x14ac:dyDescent="0.3">
      <c r="A517">
        <v>6740</v>
      </c>
      <c r="B517">
        <v>1387</v>
      </c>
      <c r="C517" s="1">
        <v>45937.616990740738</v>
      </c>
      <c r="D517" t="s">
        <v>101</v>
      </c>
      <c r="E517" t="s">
        <v>57</v>
      </c>
    </row>
    <row r="518" spans="1:5" x14ac:dyDescent="0.3">
      <c r="A518">
        <v>6768</v>
      </c>
      <c r="B518">
        <v>1387</v>
      </c>
      <c r="C518" s="1">
        <v>45937.617847222224</v>
      </c>
      <c r="D518" t="s">
        <v>102</v>
      </c>
      <c r="E518" t="s">
        <v>57</v>
      </c>
    </row>
    <row r="519" spans="1:5" x14ac:dyDescent="0.3">
      <c r="A519">
        <v>6774</v>
      </c>
      <c r="B519">
        <v>1387</v>
      </c>
      <c r="C519" s="1">
        <v>45937.61791666667</v>
      </c>
      <c r="D519" t="s">
        <v>94</v>
      </c>
      <c r="E519" t="s">
        <v>57</v>
      </c>
    </row>
    <row r="520" spans="1:5" x14ac:dyDescent="0.3">
      <c r="A520">
        <v>6781</v>
      </c>
      <c r="B520">
        <v>1387</v>
      </c>
      <c r="C520" s="1">
        <v>45937.618032407408</v>
      </c>
      <c r="D520" t="s">
        <v>95</v>
      </c>
      <c r="E520" t="s">
        <v>57</v>
      </c>
    </row>
    <row r="521" spans="1:5" x14ac:dyDescent="0.3">
      <c r="A521">
        <v>6834</v>
      </c>
      <c r="B521">
        <v>1387</v>
      </c>
      <c r="C521" s="1">
        <v>45937.618946759256</v>
      </c>
      <c r="D521" t="s">
        <v>96</v>
      </c>
      <c r="E521" t="s">
        <v>57</v>
      </c>
    </row>
    <row r="522" spans="1:5" x14ac:dyDescent="0.3">
      <c r="A522">
        <v>6903</v>
      </c>
      <c r="B522">
        <v>1387</v>
      </c>
      <c r="C522" s="1">
        <v>45937.620023148149</v>
      </c>
      <c r="D522" t="s">
        <v>97</v>
      </c>
      <c r="E522" t="s">
        <v>57</v>
      </c>
    </row>
    <row r="523" spans="1:5" x14ac:dyDescent="0.3">
      <c r="A523">
        <v>6941</v>
      </c>
      <c r="B523">
        <v>1387</v>
      </c>
      <c r="C523" s="1">
        <v>45937.620740740742</v>
      </c>
      <c r="D523" t="s">
        <v>98</v>
      </c>
      <c r="E523" t="s">
        <v>57</v>
      </c>
    </row>
    <row r="524" spans="1:5" x14ac:dyDescent="0.3">
      <c r="A524">
        <v>6976</v>
      </c>
      <c r="B524">
        <v>1387</v>
      </c>
      <c r="C524" s="1">
        <v>45937.621944444443</v>
      </c>
      <c r="D524" t="s">
        <v>99</v>
      </c>
      <c r="E524" t="s">
        <v>57</v>
      </c>
    </row>
    <row r="525" spans="1:5" x14ac:dyDescent="0.3">
      <c r="A525">
        <v>7014</v>
      </c>
      <c r="B525">
        <v>1418</v>
      </c>
      <c r="C525" s="1">
        <v>45937.622939814813</v>
      </c>
      <c r="D525" t="s">
        <v>88</v>
      </c>
      <c r="E525" t="s">
        <v>57</v>
      </c>
    </row>
    <row r="526" spans="1:5" x14ac:dyDescent="0.3">
      <c r="A526">
        <v>7029</v>
      </c>
      <c r="B526">
        <v>1418</v>
      </c>
      <c r="C526" s="1">
        <v>45937.623368055552</v>
      </c>
      <c r="D526" t="s">
        <v>89</v>
      </c>
      <c r="E526" t="s">
        <v>57</v>
      </c>
    </row>
    <row r="527" spans="1:5" x14ac:dyDescent="0.3">
      <c r="A527">
        <v>7036</v>
      </c>
      <c r="B527">
        <v>1418</v>
      </c>
      <c r="C527" s="1">
        <v>45937.623495370368</v>
      </c>
      <c r="D527" t="s">
        <v>100</v>
      </c>
      <c r="E527" t="s">
        <v>57</v>
      </c>
    </row>
    <row r="528" spans="1:5" x14ac:dyDescent="0.3">
      <c r="A528">
        <v>7045</v>
      </c>
      <c r="B528">
        <v>1418</v>
      </c>
      <c r="C528" s="1">
        <v>45937.623564814814</v>
      </c>
      <c r="D528" t="s">
        <v>101</v>
      </c>
      <c r="E528" t="s">
        <v>57</v>
      </c>
    </row>
    <row r="529" spans="1:5" x14ac:dyDescent="0.3">
      <c r="A529">
        <v>7074</v>
      </c>
      <c r="B529">
        <v>1418</v>
      </c>
      <c r="C529" s="1">
        <v>45937.624016203707</v>
      </c>
      <c r="D529" t="s">
        <v>102</v>
      </c>
      <c r="E529" t="s">
        <v>57</v>
      </c>
    </row>
    <row r="530" spans="1:5" x14ac:dyDescent="0.3">
      <c r="A530">
        <v>7079</v>
      </c>
      <c r="B530">
        <v>1418</v>
      </c>
      <c r="C530" s="1">
        <v>45937.624039351853</v>
      </c>
      <c r="D530" t="s">
        <v>94</v>
      </c>
      <c r="E530" t="s">
        <v>57</v>
      </c>
    </row>
    <row r="531" spans="1:5" x14ac:dyDescent="0.3">
      <c r="A531">
        <v>7081</v>
      </c>
      <c r="B531">
        <v>1418</v>
      </c>
      <c r="C531" s="1">
        <v>45937.624062499999</v>
      </c>
      <c r="D531" t="s">
        <v>95</v>
      </c>
      <c r="E531" t="s">
        <v>57</v>
      </c>
    </row>
    <row r="532" spans="1:5" x14ac:dyDescent="0.3">
      <c r="A532">
        <v>7116</v>
      </c>
      <c r="B532">
        <v>1418</v>
      </c>
      <c r="C532" s="1">
        <v>45937.625034722223</v>
      </c>
      <c r="D532" t="s">
        <v>96</v>
      </c>
      <c r="E532" t="s">
        <v>57</v>
      </c>
    </row>
    <row r="533" spans="1:5" x14ac:dyDescent="0.3">
      <c r="A533">
        <v>7146</v>
      </c>
      <c r="B533">
        <v>1418</v>
      </c>
      <c r="C533" s="1">
        <v>45937.625752314816</v>
      </c>
      <c r="D533" t="s">
        <v>97</v>
      </c>
      <c r="E533" t="s">
        <v>57</v>
      </c>
    </row>
    <row r="534" spans="1:5" x14ac:dyDescent="0.3">
      <c r="A534">
        <v>7166</v>
      </c>
      <c r="B534">
        <v>1418</v>
      </c>
      <c r="C534" s="1">
        <v>45937.62672453704</v>
      </c>
      <c r="D534" t="s">
        <v>98</v>
      </c>
      <c r="E534" t="s">
        <v>57</v>
      </c>
    </row>
    <row r="535" spans="1:5" x14ac:dyDescent="0.3">
      <c r="A535">
        <v>7190</v>
      </c>
      <c r="B535">
        <v>1418</v>
      </c>
      <c r="C535" s="1">
        <v>45937.627222222225</v>
      </c>
      <c r="D535" t="s">
        <v>99</v>
      </c>
      <c r="E535" t="s">
        <v>57</v>
      </c>
    </row>
    <row r="536" spans="1:5" x14ac:dyDescent="0.3">
      <c r="A536">
        <v>7194</v>
      </c>
      <c r="B536">
        <v>1435</v>
      </c>
      <c r="C536" s="1">
        <v>45937.627349537041</v>
      </c>
      <c r="D536" t="s">
        <v>88</v>
      </c>
      <c r="E536" t="s">
        <v>57</v>
      </c>
    </row>
    <row r="537" spans="1:5" x14ac:dyDescent="0.3">
      <c r="A537">
        <v>7233</v>
      </c>
      <c r="B537">
        <v>1435</v>
      </c>
      <c r="C537" s="1">
        <v>45937.62908564815</v>
      </c>
      <c r="D537" t="s">
        <v>89</v>
      </c>
      <c r="E537" t="s">
        <v>57</v>
      </c>
    </row>
    <row r="538" spans="1:5" x14ac:dyDescent="0.3">
      <c r="A538">
        <v>7238</v>
      </c>
      <c r="B538">
        <v>1435</v>
      </c>
      <c r="C538" s="1">
        <v>45937.629224537035</v>
      </c>
      <c r="D538" t="s">
        <v>100</v>
      </c>
      <c r="E538" t="s">
        <v>57</v>
      </c>
    </row>
    <row r="539" spans="1:5" x14ac:dyDescent="0.3">
      <c r="A539">
        <v>7269</v>
      </c>
      <c r="B539">
        <v>1435</v>
      </c>
      <c r="C539" s="1">
        <v>45937.630254629628</v>
      </c>
      <c r="D539" t="s">
        <v>101</v>
      </c>
      <c r="E539" t="s">
        <v>57</v>
      </c>
    </row>
    <row r="540" spans="1:5" x14ac:dyDescent="0.3">
      <c r="A540">
        <v>7291</v>
      </c>
      <c r="B540">
        <v>1435</v>
      </c>
      <c r="C540" s="1">
        <v>45937.631226851852</v>
      </c>
      <c r="D540" t="s">
        <v>102</v>
      </c>
      <c r="E540" t="s">
        <v>57</v>
      </c>
    </row>
    <row r="541" spans="1:5" x14ac:dyDescent="0.3">
      <c r="A541">
        <v>7308</v>
      </c>
      <c r="B541">
        <v>1435</v>
      </c>
      <c r="C541" s="1">
        <v>45937.631840277776</v>
      </c>
      <c r="D541" t="s">
        <v>94</v>
      </c>
      <c r="E541" t="s">
        <v>57</v>
      </c>
    </row>
    <row r="542" spans="1:5" x14ac:dyDescent="0.3">
      <c r="A542">
        <v>7314</v>
      </c>
      <c r="B542">
        <v>1435</v>
      </c>
      <c r="C542" s="1">
        <v>45937.631956018522</v>
      </c>
      <c r="D542" t="s">
        <v>95</v>
      </c>
      <c r="E542" t="s">
        <v>57</v>
      </c>
    </row>
    <row r="543" spans="1:5" x14ac:dyDescent="0.3">
      <c r="A543">
        <v>7323</v>
      </c>
      <c r="B543">
        <v>1435</v>
      </c>
      <c r="C543" s="1">
        <v>45937.632407407407</v>
      </c>
      <c r="D543" t="s">
        <v>96</v>
      </c>
      <c r="E543" t="s">
        <v>57</v>
      </c>
    </row>
    <row r="544" spans="1:5" x14ac:dyDescent="0.3">
      <c r="A544">
        <v>7330</v>
      </c>
      <c r="B544">
        <v>1435</v>
      </c>
      <c r="C544" s="1">
        <v>45937.633229166669</v>
      </c>
      <c r="D544" t="s">
        <v>97</v>
      </c>
      <c r="E544" t="s">
        <v>57</v>
      </c>
    </row>
    <row r="545" spans="1:5" x14ac:dyDescent="0.3">
      <c r="A545">
        <v>7340</v>
      </c>
      <c r="B545">
        <v>1435</v>
      </c>
      <c r="C545" s="1">
        <v>45937.634155092594</v>
      </c>
      <c r="D545" t="s">
        <v>98</v>
      </c>
      <c r="E545" t="s">
        <v>57</v>
      </c>
    </row>
    <row r="546" spans="1:5" x14ac:dyDescent="0.3">
      <c r="A546">
        <v>7345</v>
      </c>
      <c r="B546">
        <v>1435</v>
      </c>
      <c r="C546" s="1">
        <v>45937.634247685186</v>
      </c>
      <c r="D546" t="s">
        <v>99</v>
      </c>
      <c r="E546" t="s">
        <v>57</v>
      </c>
    </row>
    <row r="547" spans="1:5" x14ac:dyDescent="0.3">
      <c r="A547">
        <v>6271</v>
      </c>
      <c r="B547">
        <v>1332</v>
      </c>
      <c r="C547" s="1">
        <v>45937.581006944441</v>
      </c>
      <c r="D547" t="s">
        <v>86</v>
      </c>
      <c r="E547" t="s">
        <v>87</v>
      </c>
    </row>
    <row r="548" spans="1:5" x14ac:dyDescent="0.3">
      <c r="A548">
        <v>6278</v>
      </c>
      <c r="B548">
        <v>1339</v>
      </c>
      <c r="C548" s="1">
        <v>45937.595671296294</v>
      </c>
      <c r="D548" t="s">
        <v>88</v>
      </c>
      <c r="E548" t="s">
        <v>57</v>
      </c>
    </row>
    <row r="549" spans="1:5" x14ac:dyDescent="0.3">
      <c r="A549">
        <v>6297</v>
      </c>
      <c r="B549">
        <v>1339</v>
      </c>
      <c r="C549" s="1">
        <v>45937.59679398148</v>
      </c>
      <c r="D549" t="s">
        <v>89</v>
      </c>
      <c r="E549" t="s">
        <v>57</v>
      </c>
    </row>
    <row r="550" spans="1:5" x14ac:dyDescent="0.3">
      <c r="A550">
        <v>6318</v>
      </c>
      <c r="B550">
        <v>1339</v>
      </c>
      <c r="C550" s="1">
        <v>45937.598136574074</v>
      </c>
      <c r="D550" t="s">
        <v>90</v>
      </c>
      <c r="E550" t="s">
        <v>57</v>
      </c>
    </row>
    <row r="551" spans="1:5" x14ac:dyDescent="0.3">
      <c r="A551">
        <v>6388</v>
      </c>
      <c r="B551">
        <v>1339</v>
      </c>
      <c r="C551" s="1">
        <v>45937.603043981479</v>
      </c>
      <c r="D551" t="s">
        <v>91</v>
      </c>
      <c r="E551" t="s">
        <v>57</v>
      </c>
    </row>
    <row r="552" spans="1:5" x14ac:dyDescent="0.3">
      <c r="A552">
        <v>6390</v>
      </c>
      <c r="B552">
        <v>1339</v>
      </c>
      <c r="C552" s="1">
        <v>45937.603217592594</v>
      </c>
      <c r="D552" t="s">
        <v>92</v>
      </c>
      <c r="E552" t="s">
        <v>93</v>
      </c>
    </row>
    <row r="553" spans="1:5" x14ac:dyDescent="0.3">
      <c r="A553">
        <v>6392</v>
      </c>
      <c r="B553">
        <v>1339</v>
      </c>
      <c r="C553" s="1">
        <v>45937.603425925925</v>
      </c>
      <c r="D553" t="s">
        <v>94</v>
      </c>
      <c r="E553" t="s">
        <v>57</v>
      </c>
    </row>
    <row r="554" spans="1:5" x14ac:dyDescent="0.3">
      <c r="A554">
        <v>6412</v>
      </c>
      <c r="B554">
        <v>1339</v>
      </c>
      <c r="C554" s="1">
        <v>45937.604456018518</v>
      </c>
      <c r="D554" t="s">
        <v>95</v>
      </c>
      <c r="E554" t="s">
        <v>57</v>
      </c>
    </row>
    <row r="555" spans="1:5" x14ac:dyDescent="0.3">
      <c r="A555">
        <v>6432</v>
      </c>
      <c r="B555">
        <v>1339</v>
      </c>
      <c r="C555" s="1">
        <v>45937.605821759258</v>
      </c>
      <c r="D555" t="s">
        <v>96</v>
      </c>
      <c r="E555" t="s">
        <v>57</v>
      </c>
    </row>
    <row r="556" spans="1:5" x14ac:dyDescent="0.3">
      <c r="A556">
        <v>6478</v>
      </c>
      <c r="B556">
        <v>1339</v>
      </c>
      <c r="C556" s="1">
        <v>45937.608298611114</v>
      </c>
      <c r="D556" t="s">
        <v>97</v>
      </c>
      <c r="E556" t="s">
        <v>57</v>
      </c>
    </row>
    <row r="557" spans="1:5" x14ac:dyDescent="0.3">
      <c r="A557">
        <v>6502</v>
      </c>
      <c r="B557">
        <v>1339</v>
      </c>
      <c r="C557" s="1">
        <v>45937.609884259262</v>
      </c>
      <c r="D557" t="s">
        <v>98</v>
      </c>
      <c r="E557" t="s">
        <v>57</v>
      </c>
    </row>
    <row r="558" spans="1:5" x14ac:dyDescent="0.3">
      <c r="A558">
        <v>6509</v>
      </c>
      <c r="B558">
        <v>1339</v>
      </c>
      <c r="C558" s="1">
        <v>45937.610312500001</v>
      </c>
      <c r="D558" t="s">
        <v>99</v>
      </c>
      <c r="E558" t="s">
        <v>57</v>
      </c>
    </row>
    <row r="559" spans="1:5" x14ac:dyDescent="0.3">
      <c r="A559">
        <v>6522</v>
      </c>
      <c r="B559">
        <v>1376</v>
      </c>
      <c r="C559" s="1">
        <v>45937.611354166664</v>
      </c>
      <c r="D559" t="s">
        <v>88</v>
      </c>
      <c r="E559" t="s">
        <v>57</v>
      </c>
    </row>
    <row r="560" spans="1:5" x14ac:dyDescent="0.3">
      <c r="A560">
        <v>6547</v>
      </c>
      <c r="B560">
        <v>1376</v>
      </c>
      <c r="C560" s="1">
        <v>45937.612013888887</v>
      </c>
      <c r="D560" t="s">
        <v>89</v>
      </c>
      <c r="E560" t="s">
        <v>57</v>
      </c>
    </row>
    <row r="561" spans="1:5" x14ac:dyDescent="0.3">
      <c r="A561">
        <v>6557</v>
      </c>
      <c r="B561">
        <v>1376</v>
      </c>
      <c r="C561" s="1">
        <v>45937.612303240741</v>
      </c>
      <c r="D561" t="s">
        <v>100</v>
      </c>
      <c r="E561" t="s">
        <v>57</v>
      </c>
    </row>
    <row r="562" spans="1:5" x14ac:dyDescent="0.3">
      <c r="A562">
        <v>6571</v>
      </c>
      <c r="B562">
        <v>1376</v>
      </c>
      <c r="C562" s="1">
        <v>45937.612615740742</v>
      </c>
      <c r="D562" t="s">
        <v>101</v>
      </c>
      <c r="E562" t="s">
        <v>57</v>
      </c>
    </row>
    <row r="563" spans="1:5" x14ac:dyDescent="0.3">
      <c r="A563">
        <v>6583</v>
      </c>
      <c r="B563">
        <v>1376</v>
      </c>
      <c r="C563" s="1">
        <v>45937.613078703704</v>
      </c>
      <c r="D563" t="s">
        <v>102</v>
      </c>
      <c r="E563" t="s">
        <v>57</v>
      </c>
    </row>
    <row r="564" spans="1:5" x14ac:dyDescent="0.3">
      <c r="A564">
        <v>6621</v>
      </c>
      <c r="B564">
        <v>1376</v>
      </c>
      <c r="C564" s="1">
        <v>45937.613865740743</v>
      </c>
      <c r="D564" t="s">
        <v>94</v>
      </c>
      <c r="E564" t="s">
        <v>57</v>
      </c>
    </row>
    <row r="565" spans="1:5" x14ac:dyDescent="0.3">
      <c r="A565">
        <v>6636</v>
      </c>
      <c r="B565">
        <v>1376</v>
      </c>
      <c r="C565" s="1">
        <v>45937.614120370374</v>
      </c>
      <c r="D565" t="s">
        <v>95</v>
      </c>
      <c r="E565" t="s">
        <v>57</v>
      </c>
    </row>
    <row r="566" spans="1:5" x14ac:dyDescent="0.3">
      <c r="A566">
        <v>6682</v>
      </c>
      <c r="B566">
        <v>1376</v>
      </c>
      <c r="C566" s="1">
        <v>45937.61513888889</v>
      </c>
      <c r="D566" t="s">
        <v>96</v>
      </c>
      <c r="E566" t="s">
        <v>57</v>
      </c>
    </row>
    <row r="567" spans="1:5" x14ac:dyDescent="0.3">
      <c r="A567">
        <v>6697</v>
      </c>
      <c r="B567">
        <v>1376</v>
      </c>
      <c r="C567" s="1">
        <v>45937.615474537037</v>
      </c>
      <c r="D567" t="s">
        <v>97</v>
      </c>
      <c r="E567" t="s">
        <v>57</v>
      </c>
    </row>
    <row r="568" spans="1:5" x14ac:dyDescent="0.3">
      <c r="A568">
        <v>6722</v>
      </c>
      <c r="B568">
        <v>1376</v>
      </c>
      <c r="C568" s="1">
        <v>45937.616643518515</v>
      </c>
      <c r="D568" t="s">
        <v>98</v>
      </c>
      <c r="E568" t="s">
        <v>57</v>
      </c>
    </row>
    <row r="569" spans="1:5" x14ac:dyDescent="0.3">
      <c r="A569">
        <v>6809</v>
      </c>
      <c r="B569">
        <v>1376</v>
      </c>
      <c r="C569" s="1">
        <v>45937.618587962963</v>
      </c>
      <c r="D569" t="s">
        <v>99</v>
      </c>
      <c r="E569" t="s">
        <v>57</v>
      </c>
    </row>
    <row r="570" spans="1:5" x14ac:dyDescent="0.3">
      <c r="A570">
        <v>6815</v>
      </c>
      <c r="B570">
        <v>1402</v>
      </c>
      <c r="C570" s="1">
        <v>45937.618726851855</v>
      </c>
      <c r="D570" t="s">
        <v>88</v>
      </c>
      <c r="E570" t="s">
        <v>57</v>
      </c>
    </row>
    <row r="571" spans="1:5" x14ac:dyDescent="0.3">
      <c r="A571">
        <v>6845</v>
      </c>
      <c r="B571">
        <v>1402</v>
      </c>
      <c r="C571" s="1">
        <v>45937.619039351855</v>
      </c>
      <c r="D571" t="s">
        <v>89</v>
      </c>
      <c r="E571" t="s">
        <v>57</v>
      </c>
    </row>
    <row r="572" spans="1:5" x14ac:dyDescent="0.3">
      <c r="A572">
        <v>6865</v>
      </c>
      <c r="B572">
        <v>1402</v>
      </c>
      <c r="C572" s="1">
        <v>45937.61959490741</v>
      </c>
      <c r="D572" t="s">
        <v>100</v>
      </c>
      <c r="E572" t="s">
        <v>57</v>
      </c>
    </row>
    <row r="573" spans="1:5" x14ac:dyDescent="0.3">
      <c r="A573">
        <v>6879</v>
      </c>
      <c r="B573">
        <v>1402</v>
      </c>
      <c r="C573" s="1">
        <v>45937.619664351849</v>
      </c>
      <c r="D573" t="s">
        <v>101</v>
      </c>
      <c r="E573" t="s">
        <v>57</v>
      </c>
    </row>
    <row r="574" spans="1:5" x14ac:dyDescent="0.3">
      <c r="A574">
        <v>6893</v>
      </c>
      <c r="B574">
        <v>1402</v>
      </c>
      <c r="C574" s="1">
        <v>45937.61986111111</v>
      </c>
      <c r="D574" t="s">
        <v>102</v>
      </c>
      <c r="E574" t="s">
        <v>57</v>
      </c>
    </row>
    <row r="575" spans="1:5" x14ac:dyDescent="0.3">
      <c r="A575">
        <v>6916</v>
      </c>
      <c r="B575">
        <v>1402</v>
      </c>
      <c r="C575" s="1">
        <v>45937.620173611111</v>
      </c>
      <c r="D575" t="s">
        <v>94</v>
      </c>
      <c r="E575" t="s">
        <v>57</v>
      </c>
    </row>
    <row r="576" spans="1:5" x14ac:dyDescent="0.3">
      <c r="A576">
        <v>6922</v>
      </c>
      <c r="B576">
        <v>1402</v>
      </c>
      <c r="C576" s="1">
        <v>45937.620243055557</v>
      </c>
      <c r="D576" t="s">
        <v>95</v>
      </c>
      <c r="E576" t="s">
        <v>57</v>
      </c>
    </row>
    <row r="577" spans="1:5" x14ac:dyDescent="0.3">
      <c r="A577">
        <v>6961</v>
      </c>
      <c r="B577">
        <v>1402</v>
      </c>
      <c r="C577" s="1">
        <v>45937.621516203704</v>
      </c>
      <c r="D577" t="s">
        <v>96</v>
      </c>
      <c r="E577" t="s">
        <v>57</v>
      </c>
    </row>
    <row r="578" spans="1:5" x14ac:dyDescent="0.3">
      <c r="A578">
        <v>6972</v>
      </c>
      <c r="B578">
        <v>1402</v>
      </c>
      <c r="C578" s="1">
        <v>45937.621770833335</v>
      </c>
      <c r="D578" t="s">
        <v>97</v>
      </c>
      <c r="E578" t="s">
        <v>57</v>
      </c>
    </row>
    <row r="579" spans="1:5" x14ac:dyDescent="0.3">
      <c r="A579">
        <v>6997</v>
      </c>
      <c r="B579">
        <v>1402</v>
      </c>
      <c r="C579" s="1">
        <v>45937.622418981482</v>
      </c>
      <c r="D579" t="s">
        <v>98</v>
      </c>
      <c r="E579" t="s">
        <v>57</v>
      </c>
    </row>
    <row r="580" spans="1:5" x14ac:dyDescent="0.3">
      <c r="A580">
        <v>7042</v>
      </c>
      <c r="B580">
        <v>1402</v>
      </c>
      <c r="C580" s="1">
        <v>45937.623553240737</v>
      </c>
      <c r="D580" t="s">
        <v>99</v>
      </c>
      <c r="E580" t="s">
        <v>57</v>
      </c>
    </row>
    <row r="581" spans="1:5" x14ac:dyDescent="0.3">
      <c r="A581">
        <v>7050</v>
      </c>
      <c r="B581">
        <v>1425</v>
      </c>
      <c r="C581" s="1">
        <v>45937.623645833337</v>
      </c>
      <c r="D581" t="s">
        <v>88</v>
      </c>
      <c r="E581" t="s">
        <v>57</v>
      </c>
    </row>
    <row r="582" spans="1:5" x14ac:dyDescent="0.3">
      <c r="A582">
        <v>7075</v>
      </c>
      <c r="B582">
        <v>1425</v>
      </c>
      <c r="C582" s="1">
        <v>45937.624027777776</v>
      </c>
      <c r="D582" t="s">
        <v>89</v>
      </c>
      <c r="E582" t="s">
        <v>57</v>
      </c>
    </row>
    <row r="583" spans="1:5" x14ac:dyDescent="0.3">
      <c r="A583">
        <v>7097</v>
      </c>
      <c r="B583">
        <v>1425</v>
      </c>
      <c r="C583" s="1">
        <v>45937.624456018515</v>
      </c>
      <c r="D583" t="s">
        <v>100</v>
      </c>
      <c r="E583" t="s">
        <v>57</v>
      </c>
    </row>
    <row r="584" spans="1:5" x14ac:dyDescent="0.3">
      <c r="A584">
        <v>7113</v>
      </c>
      <c r="B584">
        <v>1425</v>
      </c>
      <c r="C584" s="1">
        <v>45937.624976851854</v>
      </c>
      <c r="D584" t="s">
        <v>101</v>
      </c>
      <c r="E584" t="s">
        <v>57</v>
      </c>
    </row>
    <row r="585" spans="1:5" x14ac:dyDescent="0.3">
      <c r="A585">
        <v>7205</v>
      </c>
      <c r="B585">
        <v>1425</v>
      </c>
      <c r="C585" s="1">
        <v>45937.628101851849</v>
      </c>
      <c r="D585" t="s">
        <v>102</v>
      </c>
      <c r="E585" t="s">
        <v>57</v>
      </c>
    </row>
    <row r="586" spans="1:5" x14ac:dyDescent="0.3">
      <c r="A586">
        <v>7229</v>
      </c>
      <c r="B586">
        <v>1425</v>
      </c>
      <c r="C586" s="1">
        <v>45937.628923611112</v>
      </c>
      <c r="D586" t="s">
        <v>94</v>
      </c>
      <c r="E586" t="s">
        <v>57</v>
      </c>
    </row>
    <row r="587" spans="1:5" x14ac:dyDescent="0.3">
      <c r="A587">
        <v>7253</v>
      </c>
      <c r="B587">
        <v>1425</v>
      </c>
      <c r="C587" s="1">
        <v>45937.629560185182</v>
      </c>
      <c r="D587" t="s">
        <v>95</v>
      </c>
      <c r="E587" t="s">
        <v>57</v>
      </c>
    </row>
    <row r="588" spans="1:5" x14ac:dyDescent="0.3">
      <c r="A588">
        <v>7271</v>
      </c>
      <c r="B588">
        <v>1425</v>
      </c>
      <c r="C588" s="1">
        <v>45937.630312499998</v>
      </c>
      <c r="D588" t="s">
        <v>96</v>
      </c>
      <c r="E588" t="s">
        <v>57</v>
      </c>
    </row>
    <row r="589" spans="1:5" x14ac:dyDescent="0.3">
      <c r="A589">
        <v>7273</v>
      </c>
      <c r="B589">
        <v>1425</v>
      </c>
      <c r="C589" s="1">
        <v>45937.63045138889</v>
      </c>
      <c r="D589" t="s">
        <v>97</v>
      </c>
      <c r="E589" t="s">
        <v>57</v>
      </c>
    </row>
    <row r="590" spans="1:5" x14ac:dyDescent="0.3">
      <c r="A590">
        <v>7303</v>
      </c>
      <c r="B590">
        <v>1425</v>
      </c>
      <c r="C590" s="1">
        <v>45937.631550925929</v>
      </c>
      <c r="D590" t="s">
        <v>98</v>
      </c>
      <c r="E590" t="s">
        <v>57</v>
      </c>
    </row>
    <row r="591" spans="1:5" x14ac:dyDescent="0.3">
      <c r="A591">
        <v>6264</v>
      </c>
      <c r="B591">
        <v>1325</v>
      </c>
      <c r="C591" s="1">
        <v>45937.579074074078</v>
      </c>
      <c r="D591" t="s">
        <v>86</v>
      </c>
      <c r="E591" t="s">
        <v>87</v>
      </c>
    </row>
    <row r="592" spans="1:5" x14ac:dyDescent="0.3">
      <c r="A592">
        <v>6281</v>
      </c>
      <c r="B592">
        <v>1342</v>
      </c>
      <c r="C592" s="1">
        <v>45937.595821759256</v>
      </c>
      <c r="D592" t="s">
        <v>88</v>
      </c>
      <c r="E592" t="s">
        <v>57</v>
      </c>
    </row>
    <row r="593" spans="1:5" x14ac:dyDescent="0.3">
      <c r="A593">
        <v>6290</v>
      </c>
      <c r="B593">
        <v>1342</v>
      </c>
      <c r="C593" s="1">
        <v>45937.596261574072</v>
      </c>
      <c r="D593" t="s">
        <v>89</v>
      </c>
      <c r="E593" t="s">
        <v>57</v>
      </c>
    </row>
    <row r="594" spans="1:5" x14ac:dyDescent="0.3">
      <c r="A594">
        <v>6315</v>
      </c>
      <c r="B594">
        <v>1342</v>
      </c>
      <c r="C594" s="1">
        <v>45937.598124999997</v>
      </c>
      <c r="D594" t="s">
        <v>90</v>
      </c>
      <c r="E594" t="s">
        <v>57</v>
      </c>
    </row>
    <row r="595" spans="1:5" x14ac:dyDescent="0.3">
      <c r="A595">
        <v>6379</v>
      </c>
      <c r="B595">
        <v>1342</v>
      </c>
      <c r="C595" s="1">
        <v>45937.60255787037</v>
      </c>
      <c r="D595" t="s">
        <v>91</v>
      </c>
      <c r="E595" t="s">
        <v>57</v>
      </c>
    </row>
    <row r="596" spans="1:5" x14ac:dyDescent="0.3">
      <c r="A596">
        <v>6389</v>
      </c>
      <c r="B596">
        <v>1342</v>
      </c>
      <c r="C596" s="1">
        <v>45937.603101851855</v>
      </c>
      <c r="D596" t="s">
        <v>92</v>
      </c>
      <c r="E596" t="s">
        <v>109</v>
      </c>
    </row>
    <row r="597" spans="1:5" x14ac:dyDescent="0.3">
      <c r="A597">
        <v>6394</v>
      </c>
      <c r="B597">
        <v>1342</v>
      </c>
      <c r="C597" s="1">
        <v>45937.603460648148</v>
      </c>
      <c r="D597" t="s">
        <v>94</v>
      </c>
      <c r="E597" t="s">
        <v>57</v>
      </c>
    </row>
    <row r="598" spans="1:5" x14ac:dyDescent="0.3">
      <c r="A598">
        <v>6409</v>
      </c>
      <c r="B598">
        <v>1342</v>
      </c>
      <c r="C598" s="1">
        <v>45937.60428240741</v>
      </c>
      <c r="D598" t="s">
        <v>95</v>
      </c>
      <c r="E598" t="s">
        <v>57</v>
      </c>
    </row>
    <row r="599" spans="1:5" x14ac:dyDescent="0.3">
      <c r="A599">
        <v>6444</v>
      </c>
      <c r="B599">
        <v>1342</v>
      </c>
      <c r="C599" s="1">
        <v>45937.605937499997</v>
      </c>
      <c r="D599" t="s">
        <v>96</v>
      </c>
      <c r="E599" t="s">
        <v>57</v>
      </c>
    </row>
    <row r="600" spans="1:5" x14ac:dyDescent="0.3">
      <c r="A600">
        <v>6457</v>
      </c>
      <c r="B600">
        <v>1342</v>
      </c>
      <c r="C600" s="1">
        <v>45937.607407407406</v>
      </c>
      <c r="D600" t="s">
        <v>97</v>
      </c>
      <c r="E600" t="s">
        <v>57</v>
      </c>
    </row>
    <row r="601" spans="1:5" x14ac:dyDescent="0.3">
      <c r="A601">
        <v>6499</v>
      </c>
      <c r="B601">
        <v>1342</v>
      </c>
      <c r="C601" s="1">
        <v>45937.609861111108</v>
      </c>
      <c r="D601" t="s">
        <v>98</v>
      </c>
      <c r="E601" t="s">
        <v>57</v>
      </c>
    </row>
    <row r="602" spans="1:5" x14ac:dyDescent="0.3">
      <c r="A602">
        <v>6508</v>
      </c>
      <c r="B602">
        <v>1342</v>
      </c>
      <c r="C602" s="1">
        <v>45937.610173611109</v>
      </c>
      <c r="D602" t="s">
        <v>99</v>
      </c>
      <c r="E602" t="s">
        <v>57</v>
      </c>
    </row>
    <row r="603" spans="1:5" x14ac:dyDescent="0.3">
      <c r="A603">
        <v>6516</v>
      </c>
      <c r="B603">
        <v>1370</v>
      </c>
      <c r="C603" s="1">
        <v>45937.61105324074</v>
      </c>
      <c r="D603" t="s">
        <v>88</v>
      </c>
      <c r="E603" t="s">
        <v>57</v>
      </c>
    </row>
    <row r="604" spans="1:5" x14ac:dyDescent="0.3">
      <c r="A604">
        <v>6538</v>
      </c>
      <c r="B604">
        <v>1370</v>
      </c>
      <c r="C604" s="1">
        <v>45937.611840277779</v>
      </c>
      <c r="D604" t="s">
        <v>89</v>
      </c>
      <c r="E604" t="s">
        <v>57</v>
      </c>
    </row>
    <row r="605" spans="1:5" x14ac:dyDescent="0.3">
      <c r="A605">
        <v>6555</v>
      </c>
      <c r="B605">
        <v>1370</v>
      </c>
      <c r="C605" s="1">
        <v>45937.612291666665</v>
      </c>
      <c r="D605" t="s">
        <v>100</v>
      </c>
      <c r="E605" t="s">
        <v>57</v>
      </c>
    </row>
    <row r="606" spans="1:5" x14ac:dyDescent="0.3">
      <c r="A606">
        <v>6570</v>
      </c>
      <c r="B606">
        <v>1370</v>
      </c>
      <c r="C606" s="1">
        <v>45937.612581018519</v>
      </c>
      <c r="D606" t="s">
        <v>101</v>
      </c>
      <c r="E606" t="s">
        <v>57</v>
      </c>
    </row>
    <row r="607" spans="1:5" x14ac:dyDescent="0.3">
      <c r="A607">
        <v>6581</v>
      </c>
      <c r="B607">
        <v>1370</v>
      </c>
      <c r="C607" s="1">
        <v>45937.613009259258</v>
      </c>
      <c r="D607" t="s">
        <v>102</v>
      </c>
      <c r="E607" t="s">
        <v>57</v>
      </c>
    </row>
    <row r="608" spans="1:5" x14ac:dyDescent="0.3">
      <c r="A608">
        <v>6620</v>
      </c>
      <c r="B608">
        <v>1370</v>
      </c>
      <c r="C608" s="1">
        <v>45937.613854166666</v>
      </c>
      <c r="D608" t="s">
        <v>94</v>
      </c>
      <c r="E608" t="s">
        <v>57</v>
      </c>
    </row>
    <row r="609" spans="1:5" x14ac:dyDescent="0.3">
      <c r="A609">
        <v>6633</v>
      </c>
      <c r="B609">
        <v>1370</v>
      </c>
      <c r="C609" s="1">
        <v>45937.614039351851</v>
      </c>
      <c r="D609" t="s">
        <v>95</v>
      </c>
      <c r="E609" t="s">
        <v>57</v>
      </c>
    </row>
    <row r="610" spans="1:5" x14ac:dyDescent="0.3">
      <c r="A610">
        <v>6671</v>
      </c>
      <c r="B610">
        <v>1370</v>
      </c>
      <c r="C610" s="1">
        <v>45937.614837962959</v>
      </c>
      <c r="D610" t="s">
        <v>96</v>
      </c>
      <c r="E610" t="s">
        <v>57</v>
      </c>
    </row>
    <row r="611" spans="1:5" x14ac:dyDescent="0.3">
      <c r="A611">
        <v>6705</v>
      </c>
      <c r="B611">
        <v>1370</v>
      </c>
      <c r="C611" s="1">
        <v>45937.615902777776</v>
      </c>
      <c r="D611" t="s">
        <v>97</v>
      </c>
      <c r="E611" t="s">
        <v>57</v>
      </c>
    </row>
    <row r="612" spans="1:5" x14ac:dyDescent="0.3">
      <c r="A612">
        <v>6735</v>
      </c>
      <c r="B612">
        <v>1370</v>
      </c>
      <c r="C612" s="1">
        <v>45937.616909722223</v>
      </c>
      <c r="D612" t="s">
        <v>98</v>
      </c>
      <c r="E612" t="s">
        <v>57</v>
      </c>
    </row>
    <row r="613" spans="1:5" x14ac:dyDescent="0.3">
      <c r="A613">
        <v>6773</v>
      </c>
      <c r="B613">
        <v>1370</v>
      </c>
      <c r="C613" s="1">
        <v>45937.61791666667</v>
      </c>
      <c r="D613" t="s">
        <v>99</v>
      </c>
      <c r="E613" t="s">
        <v>57</v>
      </c>
    </row>
    <row r="614" spans="1:5" x14ac:dyDescent="0.3">
      <c r="A614">
        <v>6824</v>
      </c>
      <c r="B614">
        <v>1404</v>
      </c>
      <c r="C614" s="1">
        <v>45937.618796296294</v>
      </c>
      <c r="D614" t="s">
        <v>88</v>
      </c>
      <c r="E614" t="s">
        <v>57</v>
      </c>
    </row>
    <row r="615" spans="1:5" x14ac:dyDescent="0.3">
      <c r="A615">
        <v>6846</v>
      </c>
      <c r="B615">
        <v>1404</v>
      </c>
      <c r="C615" s="1">
        <v>45937.619062500002</v>
      </c>
      <c r="D615" t="s">
        <v>89</v>
      </c>
      <c r="E615" t="s">
        <v>57</v>
      </c>
    </row>
    <row r="616" spans="1:5" x14ac:dyDescent="0.3">
      <c r="A616">
        <v>6870</v>
      </c>
      <c r="B616">
        <v>1404</v>
      </c>
      <c r="C616" s="1">
        <v>45937.619618055556</v>
      </c>
      <c r="D616" t="s">
        <v>100</v>
      </c>
      <c r="E616" t="s">
        <v>57</v>
      </c>
    </row>
    <row r="617" spans="1:5" x14ac:dyDescent="0.3">
      <c r="A617">
        <v>6874</v>
      </c>
      <c r="B617">
        <v>1404</v>
      </c>
      <c r="C617" s="1">
        <v>45937.619641203702</v>
      </c>
      <c r="D617" t="s">
        <v>101</v>
      </c>
      <c r="E617" t="s">
        <v>57</v>
      </c>
    </row>
    <row r="618" spans="1:5" x14ac:dyDescent="0.3">
      <c r="A618">
        <v>6898</v>
      </c>
      <c r="B618">
        <v>1404</v>
      </c>
      <c r="C618" s="1">
        <v>45937.61990740741</v>
      </c>
      <c r="D618" t="s">
        <v>102</v>
      </c>
      <c r="E618" t="s">
        <v>57</v>
      </c>
    </row>
    <row r="619" spans="1:5" x14ac:dyDescent="0.3">
      <c r="A619">
        <v>6915</v>
      </c>
      <c r="B619">
        <v>1404</v>
      </c>
      <c r="C619" s="1">
        <v>45937.620173611111</v>
      </c>
      <c r="D619" t="s">
        <v>94</v>
      </c>
      <c r="E619" t="s">
        <v>57</v>
      </c>
    </row>
    <row r="620" spans="1:5" x14ac:dyDescent="0.3">
      <c r="A620">
        <v>6928</v>
      </c>
      <c r="B620">
        <v>1404</v>
      </c>
      <c r="C620" s="1">
        <v>45937.620289351849</v>
      </c>
      <c r="D620" t="s">
        <v>95</v>
      </c>
      <c r="E620" t="s">
        <v>57</v>
      </c>
    </row>
    <row r="621" spans="1:5" x14ac:dyDescent="0.3">
      <c r="A621">
        <v>6951</v>
      </c>
      <c r="B621">
        <v>1404</v>
      </c>
      <c r="C621" s="1">
        <v>45937.621203703704</v>
      </c>
      <c r="D621" t="s">
        <v>96</v>
      </c>
      <c r="E621" t="s">
        <v>57</v>
      </c>
    </row>
    <row r="622" spans="1:5" x14ac:dyDescent="0.3">
      <c r="A622">
        <v>6971</v>
      </c>
      <c r="B622">
        <v>1404</v>
      </c>
      <c r="C622" s="1">
        <v>45937.621736111112</v>
      </c>
      <c r="D622" t="s">
        <v>97</v>
      </c>
      <c r="E622" t="s">
        <v>57</v>
      </c>
    </row>
    <row r="623" spans="1:5" x14ac:dyDescent="0.3">
      <c r="A623">
        <v>6998</v>
      </c>
      <c r="B623">
        <v>1404</v>
      </c>
      <c r="C623" s="1">
        <v>45937.622418981482</v>
      </c>
      <c r="D623" t="s">
        <v>98</v>
      </c>
      <c r="E623" t="s">
        <v>57</v>
      </c>
    </row>
    <row r="624" spans="1:5" x14ac:dyDescent="0.3">
      <c r="A624">
        <v>7031</v>
      </c>
      <c r="B624">
        <v>1404</v>
      </c>
      <c r="C624" s="1">
        <v>45937.623402777775</v>
      </c>
      <c r="D624" t="s">
        <v>99</v>
      </c>
      <c r="E624" t="s">
        <v>57</v>
      </c>
    </row>
    <row r="625" spans="1:5" x14ac:dyDescent="0.3">
      <c r="A625">
        <v>7049</v>
      </c>
      <c r="B625">
        <v>1424</v>
      </c>
      <c r="C625" s="1">
        <v>45937.623622685183</v>
      </c>
      <c r="D625" t="s">
        <v>88</v>
      </c>
      <c r="E625" t="s">
        <v>57</v>
      </c>
    </row>
    <row r="626" spans="1:5" x14ac:dyDescent="0.3">
      <c r="A626">
        <v>7093</v>
      </c>
      <c r="B626">
        <v>1424</v>
      </c>
      <c r="C626" s="1">
        <v>45937.624351851853</v>
      </c>
      <c r="D626" t="s">
        <v>89</v>
      </c>
      <c r="E626" t="s">
        <v>57</v>
      </c>
    </row>
    <row r="627" spans="1:5" x14ac:dyDescent="0.3">
      <c r="A627">
        <v>7114</v>
      </c>
      <c r="B627">
        <v>1424</v>
      </c>
      <c r="C627" s="1">
        <v>45937.625011574077</v>
      </c>
      <c r="D627" t="s">
        <v>100</v>
      </c>
      <c r="E627" t="s">
        <v>57</v>
      </c>
    </row>
    <row r="628" spans="1:5" x14ac:dyDescent="0.3">
      <c r="A628">
        <v>7138</v>
      </c>
      <c r="B628">
        <v>1424</v>
      </c>
      <c r="C628" s="1">
        <v>45937.625439814816</v>
      </c>
      <c r="D628" t="s">
        <v>101</v>
      </c>
      <c r="E628" t="s">
        <v>57</v>
      </c>
    </row>
    <row r="629" spans="1:5" x14ac:dyDescent="0.3">
      <c r="A629">
        <v>7203</v>
      </c>
      <c r="B629">
        <v>1424</v>
      </c>
      <c r="C629" s="1">
        <v>45937.627974537034</v>
      </c>
      <c r="D629" t="s">
        <v>102</v>
      </c>
      <c r="E629" t="s">
        <v>57</v>
      </c>
    </row>
    <row r="630" spans="1:5" x14ac:dyDescent="0.3">
      <c r="A630">
        <v>7230</v>
      </c>
      <c r="B630">
        <v>1424</v>
      </c>
      <c r="C630" s="1">
        <v>45937.628946759258</v>
      </c>
      <c r="D630" t="s">
        <v>94</v>
      </c>
      <c r="E630" t="s">
        <v>57</v>
      </c>
    </row>
    <row r="631" spans="1:5" x14ac:dyDescent="0.3">
      <c r="A631">
        <v>7257</v>
      </c>
      <c r="B631">
        <v>1424</v>
      </c>
      <c r="C631" s="1">
        <v>45937.629629629628</v>
      </c>
      <c r="D631" t="s">
        <v>95</v>
      </c>
      <c r="E631" t="s">
        <v>57</v>
      </c>
    </row>
    <row r="632" spans="1:5" x14ac:dyDescent="0.3">
      <c r="A632">
        <v>7261</v>
      </c>
      <c r="B632">
        <v>1424</v>
      </c>
      <c r="C632" s="1">
        <v>45937.629699074074</v>
      </c>
      <c r="D632" t="s">
        <v>96</v>
      </c>
      <c r="E632" t="s">
        <v>57</v>
      </c>
    </row>
    <row r="633" spans="1:5" x14ac:dyDescent="0.3">
      <c r="A633">
        <v>7287</v>
      </c>
      <c r="B633">
        <v>1424</v>
      </c>
      <c r="C633" s="1">
        <v>45937.631099537037</v>
      </c>
      <c r="D633" t="s">
        <v>97</v>
      </c>
      <c r="E633" t="s">
        <v>57</v>
      </c>
    </row>
    <row r="634" spans="1:5" x14ac:dyDescent="0.3">
      <c r="A634">
        <v>7304</v>
      </c>
      <c r="B634">
        <v>1424</v>
      </c>
      <c r="C634" s="1">
        <v>45937.631574074076</v>
      </c>
      <c r="D634" t="s">
        <v>98</v>
      </c>
      <c r="E634" t="s">
        <v>57</v>
      </c>
    </row>
    <row r="635" spans="1:5" x14ac:dyDescent="0.3">
      <c r="A635">
        <v>7316</v>
      </c>
      <c r="B635">
        <v>1424</v>
      </c>
      <c r="C635" s="1">
        <v>45937.632002314815</v>
      </c>
      <c r="D635" t="s">
        <v>99</v>
      </c>
      <c r="E635" t="s">
        <v>57</v>
      </c>
    </row>
    <row r="636" spans="1:5" x14ac:dyDescent="0.3">
      <c r="A636">
        <v>6276</v>
      </c>
      <c r="B636">
        <v>1337</v>
      </c>
      <c r="C636" s="1">
        <v>45937.595150462963</v>
      </c>
      <c r="D636" t="s">
        <v>86</v>
      </c>
      <c r="E636" t="s">
        <v>87</v>
      </c>
    </row>
    <row r="637" spans="1:5" x14ac:dyDescent="0.3">
      <c r="A637">
        <v>6280</v>
      </c>
      <c r="B637">
        <v>1341</v>
      </c>
      <c r="C637" s="1">
        <v>45937.595775462964</v>
      </c>
      <c r="D637" t="s">
        <v>88</v>
      </c>
      <c r="E637" t="s">
        <v>57</v>
      </c>
    </row>
    <row r="638" spans="1:5" x14ac:dyDescent="0.3">
      <c r="A638">
        <v>6312</v>
      </c>
      <c r="B638">
        <v>1341</v>
      </c>
      <c r="C638" s="1">
        <v>45937.597986111112</v>
      </c>
      <c r="D638" t="s">
        <v>89</v>
      </c>
      <c r="E638" t="s">
        <v>57</v>
      </c>
    </row>
    <row r="639" spans="1:5" x14ac:dyDescent="0.3">
      <c r="A639">
        <v>6317</v>
      </c>
      <c r="B639">
        <v>1341</v>
      </c>
      <c r="C639" s="1">
        <v>45937.598136574074</v>
      </c>
      <c r="D639" t="s">
        <v>90</v>
      </c>
      <c r="E639" t="s">
        <v>57</v>
      </c>
    </row>
    <row r="640" spans="1:5" x14ac:dyDescent="0.3">
      <c r="A640">
        <v>6384</v>
      </c>
      <c r="B640">
        <v>1341</v>
      </c>
      <c r="C640" s="1">
        <v>45937.602743055555</v>
      </c>
      <c r="D640" t="s">
        <v>91</v>
      </c>
      <c r="E640" t="s">
        <v>57</v>
      </c>
    </row>
    <row r="641" spans="1:5" x14ac:dyDescent="0.3">
      <c r="A641">
        <v>6391</v>
      </c>
      <c r="B641">
        <v>1341</v>
      </c>
      <c r="C641" s="1">
        <v>45937.603368055556</v>
      </c>
      <c r="D641" t="s">
        <v>92</v>
      </c>
      <c r="E641" t="s">
        <v>104</v>
      </c>
    </row>
    <row r="642" spans="1:5" x14ac:dyDescent="0.3">
      <c r="A642">
        <v>6393</v>
      </c>
      <c r="B642">
        <v>1341</v>
      </c>
      <c r="C642" s="1">
        <v>45937.603449074071</v>
      </c>
      <c r="D642" t="s">
        <v>94</v>
      </c>
      <c r="E642" t="s">
        <v>57</v>
      </c>
    </row>
    <row r="643" spans="1:5" x14ac:dyDescent="0.3">
      <c r="A643">
        <v>6407</v>
      </c>
      <c r="B643">
        <v>1341</v>
      </c>
      <c r="C643" s="1">
        <v>45937.60423611111</v>
      </c>
      <c r="D643" t="s">
        <v>95</v>
      </c>
      <c r="E643" t="s">
        <v>57</v>
      </c>
    </row>
    <row r="644" spans="1:5" x14ac:dyDescent="0.3">
      <c r="A644">
        <v>6445</v>
      </c>
      <c r="B644">
        <v>1341</v>
      </c>
      <c r="C644" s="1">
        <v>45937.605937499997</v>
      </c>
      <c r="D644" t="s">
        <v>96</v>
      </c>
      <c r="E644" t="s">
        <v>57</v>
      </c>
    </row>
    <row r="645" spans="1:5" x14ac:dyDescent="0.3">
      <c r="A645">
        <v>6455</v>
      </c>
      <c r="B645">
        <v>1341</v>
      </c>
      <c r="C645" s="1">
        <v>45937.607118055559</v>
      </c>
      <c r="D645" t="s">
        <v>97</v>
      </c>
      <c r="E645" t="s">
        <v>57</v>
      </c>
    </row>
    <row r="646" spans="1:5" x14ac:dyDescent="0.3">
      <c r="A646">
        <v>6504</v>
      </c>
      <c r="B646">
        <v>1341</v>
      </c>
      <c r="C646" s="1">
        <v>45937.609942129631</v>
      </c>
      <c r="D646" t="s">
        <v>98</v>
      </c>
      <c r="E646" t="s">
        <v>57</v>
      </c>
    </row>
    <row r="647" spans="1:5" x14ac:dyDescent="0.3">
      <c r="A647">
        <v>6511</v>
      </c>
      <c r="B647">
        <v>1341</v>
      </c>
      <c r="C647" s="1">
        <v>45937.610439814816</v>
      </c>
      <c r="D647" t="s">
        <v>99</v>
      </c>
      <c r="E647" t="s">
        <v>57</v>
      </c>
    </row>
    <row r="648" spans="1:5" x14ac:dyDescent="0.3">
      <c r="A648">
        <v>6518</v>
      </c>
      <c r="B648">
        <v>1372</v>
      </c>
      <c r="C648" s="1">
        <v>45937.61109953704</v>
      </c>
      <c r="D648" t="s">
        <v>88</v>
      </c>
      <c r="E648" t="s">
        <v>57</v>
      </c>
    </row>
    <row r="649" spans="1:5" x14ac:dyDescent="0.3">
      <c r="A649">
        <v>6537</v>
      </c>
      <c r="B649">
        <v>1372</v>
      </c>
      <c r="C649" s="1">
        <v>45937.611828703702</v>
      </c>
      <c r="D649" t="s">
        <v>89</v>
      </c>
      <c r="E649" t="s">
        <v>57</v>
      </c>
    </row>
    <row r="650" spans="1:5" x14ac:dyDescent="0.3">
      <c r="A650">
        <v>6549</v>
      </c>
      <c r="B650">
        <v>1372</v>
      </c>
      <c r="C650" s="1">
        <v>45937.612210648149</v>
      </c>
      <c r="D650" t="s">
        <v>100</v>
      </c>
      <c r="E650" t="s">
        <v>57</v>
      </c>
    </row>
    <row r="651" spans="1:5" x14ac:dyDescent="0.3">
      <c r="A651">
        <v>6580</v>
      </c>
      <c r="B651">
        <v>1372</v>
      </c>
      <c r="C651" s="1">
        <v>45937.612893518519</v>
      </c>
      <c r="D651" t="s">
        <v>101</v>
      </c>
      <c r="E651" t="s">
        <v>57</v>
      </c>
    </row>
    <row r="652" spans="1:5" x14ac:dyDescent="0.3">
      <c r="A652">
        <v>6619</v>
      </c>
      <c r="B652">
        <v>1372</v>
      </c>
      <c r="C652" s="1">
        <v>45937.613796296297</v>
      </c>
      <c r="D652" t="s">
        <v>102</v>
      </c>
      <c r="E652" t="s">
        <v>57</v>
      </c>
    </row>
    <row r="653" spans="1:5" x14ac:dyDescent="0.3">
      <c r="A653">
        <v>6623</v>
      </c>
      <c r="B653">
        <v>1372</v>
      </c>
      <c r="C653" s="1">
        <v>45937.613888888889</v>
      </c>
      <c r="D653" t="s">
        <v>94</v>
      </c>
      <c r="E653" t="s">
        <v>57</v>
      </c>
    </row>
    <row r="654" spans="1:5" x14ac:dyDescent="0.3">
      <c r="A654">
        <v>6635</v>
      </c>
      <c r="B654">
        <v>1372</v>
      </c>
      <c r="C654" s="1">
        <v>45937.614074074074</v>
      </c>
      <c r="D654" t="s">
        <v>95</v>
      </c>
      <c r="E654" t="s">
        <v>57</v>
      </c>
    </row>
    <row r="655" spans="1:5" x14ac:dyDescent="0.3">
      <c r="A655">
        <v>6688</v>
      </c>
      <c r="B655">
        <v>1372</v>
      </c>
      <c r="C655" s="1">
        <v>45937.615219907406</v>
      </c>
      <c r="D655" t="s">
        <v>96</v>
      </c>
      <c r="E655" t="s">
        <v>57</v>
      </c>
    </row>
    <row r="656" spans="1:5" x14ac:dyDescent="0.3">
      <c r="A656">
        <v>6694</v>
      </c>
      <c r="B656">
        <v>1372</v>
      </c>
      <c r="C656" s="1">
        <v>45937.615358796298</v>
      </c>
      <c r="D656" t="s">
        <v>97</v>
      </c>
      <c r="E656" t="s">
        <v>57</v>
      </c>
    </row>
    <row r="657" spans="1:5" x14ac:dyDescent="0.3">
      <c r="A657">
        <v>6736</v>
      </c>
      <c r="B657">
        <v>1372</v>
      </c>
      <c r="C657" s="1">
        <v>45937.616909722223</v>
      </c>
      <c r="D657" t="s">
        <v>98</v>
      </c>
      <c r="E657" t="s">
        <v>57</v>
      </c>
    </row>
    <row r="658" spans="1:5" x14ac:dyDescent="0.3">
      <c r="A658">
        <v>6766</v>
      </c>
      <c r="B658">
        <v>1372</v>
      </c>
      <c r="C658" s="1">
        <v>45937.617835648147</v>
      </c>
      <c r="D658" t="s">
        <v>99</v>
      </c>
      <c r="E658" t="s">
        <v>57</v>
      </c>
    </row>
    <row r="659" spans="1:5" x14ac:dyDescent="0.3">
      <c r="A659">
        <v>6813</v>
      </c>
      <c r="B659">
        <v>1400</v>
      </c>
      <c r="C659" s="1">
        <v>45937.618715277778</v>
      </c>
      <c r="D659" t="s">
        <v>88</v>
      </c>
      <c r="E659" t="s">
        <v>57</v>
      </c>
    </row>
    <row r="660" spans="1:5" x14ac:dyDescent="0.3">
      <c r="A660">
        <v>6843</v>
      </c>
      <c r="B660">
        <v>1400</v>
      </c>
      <c r="C660" s="1">
        <v>45937.619039351855</v>
      </c>
      <c r="D660" t="s">
        <v>89</v>
      </c>
      <c r="E660" t="s">
        <v>57</v>
      </c>
    </row>
    <row r="661" spans="1:5" x14ac:dyDescent="0.3">
      <c r="A661">
        <v>6877</v>
      </c>
      <c r="B661">
        <v>1400</v>
      </c>
      <c r="C661" s="1">
        <v>45937.619641203702</v>
      </c>
      <c r="D661" t="s">
        <v>100</v>
      </c>
      <c r="E661" t="s">
        <v>57</v>
      </c>
    </row>
    <row r="662" spans="1:5" x14ac:dyDescent="0.3">
      <c r="A662">
        <v>6884</v>
      </c>
      <c r="B662">
        <v>1400</v>
      </c>
      <c r="C662" s="1">
        <v>45937.619745370372</v>
      </c>
      <c r="D662" t="s">
        <v>101</v>
      </c>
      <c r="E662" t="s">
        <v>57</v>
      </c>
    </row>
    <row r="663" spans="1:5" x14ac:dyDescent="0.3">
      <c r="A663">
        <v>6896</v>
      </c>
      <c r="B663">
        <v>1400</v>
      </c>
      <c r="C663" s="1">
        <v>45937.619884259257</v>
      </c>
      <c r="D663" t="s">
        <v>102</v>
      </c>
      <c r="E663" t="s">
        <v>57</v>
      </c>
    </row>
    <row r="664" spans="1:5" x14ac:dyDescent="0.3">
      <c r="A664">
        <v>6910</v>
      </c>
      <c r="B664">
        <v>1400</v>
      </c>
      <c r="C664" s="1">
        <v>45937.620138888888</v>
      </c>
      <c r="D664" t="s">
        <v>94</v>
      </c>
      <c r="E664" t="s">
        <v>57</v>
      </c>
    </row>
    <row r="665" spans="1:5" x14ac:dyDescent="0.3">
      <c r="A665">
        <v>6932</v>
      </c>
      <c r="B665">
        <v>1400</v>
      </c>
      <c r="C665" s="1">
        <v>45937.620347222219</v>
      </c>
      <c r="D665" t="s">
        <v>95</v>
      </c>
      <c r="E665" t="s">
        <v>57</v>
      </c>
    </row>
    <row r="666" spans="1:5" x14ac:dyDescent="0.3">
      <c r="A666">
        <v>6967</v>
      </c>
      <c r="B666">
        <v>1400</v>
      </c>
      <c r="C666" s="1">
        <v>45937.62164351852</v>
      </c>
      <c r="D666" t="s">
        <v>96</v>
      </c>
      <c r="E666" t="s">
        <v>57</v>
      </c>
    </row>
    <row r="667" spans="1:5" x14ac:dyDescent="0.3">
      <c r="A667">
        <v>6973</v>
      </c>
      <c r="B667">
        <v>1400</v>
      </c>
      <c r="C667" s="1">
        <v>45937.621793981481</v>
      </c>
      <c r="D667" t="s">
        <v>97</v>
      </c>
      <c r="E667" t="s">
        <v>57</v>
      </c>
    </row>
    <row r="668" spans="1:5" x14ac:dyDescent="0.3">
      <c r="A668">
        <v>6999</v>
      </c>
      <c r="B668">
        <v>1400</v>
      </c>
      <c r="C668" s="1">
        <v>45937.622442129628</v>
      </c>
      <c r="D668" t="s">
        <v>98</v>
      </c>
      <c r="E668" t="s">
        <v>57</v>
      </c>
    </row>
    <row r="669" spans="1:5" x14ac:dyDescent="0.3">
      <c r="A669">
        <v>7011</v>
      </c>
      <c r="B669">
        <v>1400</v>
      </c>
      <c r="C669" s="1">
        <v>45937.622893518521</v>
      </c>
      <c r="D669" t="s">
        <v>99</v>
      </c>
      <c r="E669" t="s">
        <v>57</v>
      </c>
    </row>
    <row r="670" spans="1:5" x14ac:dyDescent="0.3">
      <c r="A670">
        <v>7057</v>
      </c>
      <c r="B670">
        <v>1427</v>
      </c>
      <c r="C670" s="1">
        <v>45937.623749999999</v>
      </c>
      <c r="D670" t="s">
        <v>88</v>
      </c>
      <c r="E670" t="s">
        <v>57</v>
      </c>
    </row>
    <row r="671" spans="1:5" x14ac:dyDescent="0.3">
      <c r="A671">
        <v>7060</v>
      </c>
      <c r="B671">
        <v>1427</v>
      </c>
      <c r="C671" s="1">
        <v>45937.623900462961</v>
      </c>
      <c r="D671" t="s">
        <v>89</v>
      </c>
      <c r="E671" t="s">
        <v>57</v>
      </c>
    </row>
    <row r="672" spans="1:5" x14ac:dyDescent="0.3">
      <c r="A672">
        <v>7094</v>
      </c>
      <c r="B672">
        <v>1427</v>
      </c>
      <c r="C672" s="1">
        <v>45937.624398148146</v>
      </c>
      <c r="D672" t="s">
        <v>100</v>
      </c>
      <c r="E672" t="s">
        <v>57</v>
      </c>
    </row>
    <row r="673" spans="1:5" x14ac:dyDescent="0.3">
      <c r="A673">
        <v>7130</v>
      </c>
      <c r="B673">
        <v>1427</v>
      </c>
      <c r="C673" s="1">
        <v>45937.625324074077</v>
      </c>
      <c r="D673" t="s">
        <v>105</v>
      </c>
      <c r="E673" t="s">
        <v>57</v>
      </c>
    </row>
    <row r="674" spans="1:5" x14ac:dyDescent="0.3">
      <c r="A674">
        <v>7204</v>
      </c>
      <c r="B674">
        <v>1427</v>
      </c>
      <c r="C674" s="1">
        <v>45937.62804398148</v>
      </c>
      <c r="D674" t="s">
        <v>90</v>
      </c>
      <c r="E674" t="s">
        <v>106</v>
      </c>
    </row>
    <row r="675" spans="1:5" x14ac:dyDescent="0.3">
      <c r="A675">
        <v>7208</v>
      </c>
      <c r="B675">
        <v>1427</v>
      </c>
      <c r="C675" s="1">
        <v>45937.628506944442</v>
      </c>
      <c r="D675" t="s">
        <v>91</v>
      </c>
      <c r="E675" t="s">
        <v>57</v>
      </c>
    </row>
    <row r="676" spans="1:5" x14ac:dyDescent="0.3">
      <c r="A676">
        <v>7237</v>
      </c>
      <c r="B676">
        <v>1427</v>
      </c>
      <c r="C676" s="1">
        <v>45937.629189814812</v>
      </c>
      <c r="D676" t="s">
        <v>92</v>
      </c>
      <c r="E676" t="s">
        <v>115</v>
      </c>
    </row>
    <row r="677" spans="1:5" x14ac:dyDescent="0.3">
      <c r="A677">
        <v>7242</v>
      </c>
      <c r="B677">
        <v>1427</v>
      </c>
      <c r="C677" s="1">
        <v>45937.629247685189</v>
      </c>
      <c r="D677" t="s">
        <v>94</v>
      </c>
      <c r="E677" t="s">
        <v>57</v>
      </c>
    </row>
    <row r="678" spans="1:5" x14ac:dyDescent="0.3">
      <c r="A678">
        <v>7252</v>
      </c>
      <c r="B678">
        <v>1427</v>
      </c>
      <c r="C678" s="1">
        <v>45937.629560185182</v>
      </c>
      <c r="D678" t="s">
        <v>95</v>
      </c>
      <c r="E678" t="s">
        <v>57</v>
      </c>
    </row>
    <row r="679" spans="1:5" x14ac:dyDescent="0.3">
      <c r="A679">
        <v>7272</v>
      </c>
      <c r="B679">
        <v>1427</v>
      </c>
      <c r="C679" s="1">
        <v>45937.630312499998</v>
      </c>
      <c r="D679" t="s">
        <v>96</v>
      </c>
      <c r="E679" t="s">
        <v>57</v>
      </c>
    </row>
    <row r="680" spans="1:5" x14ac:dyDescent="0.3">
      <c r="A680">
        <v>7286</v>
      </c>
      <c r="B680">
        <v>1427</v>
      </c>
      <c r="C680" s="1">
        <v>45937.631064814814</v>
      </c>
      <c r="D680" t="s">
        <v>97</v>
      </c>
      <c r="E680" t="s">
        <v>57</v>
      </c>
    </row>
    <row r="681" spans="1:5" x14ac:dyDescent="0.3">
      <c r="A681">
        <v>7300</v>
      </c>
      <c r="B681">
        <v>1427</v>
      </c>
      <c r="C681" s="1">
        <v>45937.631458333337</v>
      </c>
      <c r="D681" t="s">
        <v>98</v>
      </c>
      <c r="E681" t="s">
        <v>57</v>
      </c>
    </row>
    <row r="682" spans="1:5" x14ac:dyDescent="0.3">
      <c r="A682">
        <v>7317</v>
      </c>
      <c r="B682">
        <v>1427</v>
      </c>
      <c r="C682" s="1">
        <v>45937.632037037038</v>
      </c>
      <c r="D682" t="s">
        <v>99</v>
      </c>
      <c r="E682" t="s">
        <v>57</v>
      </c>
    </row>
    <row r="683" spans="1:5" x14ac:dyDescent="0.3">
      <c r="A683">
        <v>6265</v>
      </c>
      <c r="B683">
        <v>1326</v>
      </c>
      <c r="C683" s="1">
        <v>45937.579351851855</v>
      </c>
      <c r="D683" t="s">
        <v>86</v>
      </c>
      <c r="E683" t="s">
        <v>87</v>
      </c>
    </row>
    <row r="684" spans="1:5" x14ac:dyDescent="0.3">
      <c r="A684">
        <v>6304</v>
      </c>
      <c r="B684">
        <v>1357</v>
      </c>
      <c r="C684" s="1">
        <v>45937.597199074073</v>
      </c>
      <c r="D684" t="s">
        <v>88</v>
      </c>
      <c r="E684" t="s">
        <v>57</v>
      </c>
    </row>
    <row r="685" spans="1:5" x14ac:dyDescent="0.3">
      <c r="A685">
        <v>6308</v>
      </c>
      <c r="B685">
        <v>1357</v>
      </c>
      <c r="C685" s="1">
        <v>45937.597604166665</v>
      </c>
      <c r="D685" t="s">
        <v>89</v>
      </c>
      <c r="E685" t="s">
        <v>57</v>
      </c>
    </row>
    <row r="686" spans="1:5" x14ac:dyDescent="0.3">
      <c r="A686">
        <v>6314</v>
      </c>
      <c r="B686">
        <v>1357</v>
      </c>
      <c r="C686" s="1">
        <v>45937.598113425927</v>
      </c>
      <c r="D686" t="s">
        <v>90</v>
      </c>
      <c r="E686" t="s">
        <v>57</v>
      </c>
    </row>
    <row r="687" spans="1:5" x14ac:dyDescent="0.3">
      <c r="A687">
        <v>6383</v>
      </c>
      <c r="B687">
        <v>1357</v>
      </c>
      <c r="C687" s="1">
        <v>45937.602708333332</v>
      </c>
      <c r="D687" t="s">
        <v>91</v>
      </c>
      <c r="E687" t="s">
        <v>57</v>
      </c>
    </row>
    <row r="688" spans="1:5" x14ac:dyDescent="0.3">
      <c r="A688">
        <v>6387</v>
      </c>
      <c r="B688">
        <v>1357</v>
      </c>
      <c r="C688" s="1">
        <v>45937.603043981479</v>
      </c>
      <c r="D688" t="s">
        <v>92</v>
      </c>
      <c r="E688" t="s">
        <v>116</v>
      </c>
    </row>
    <row r="689" spans="1:5" x14ac:dyDescent="0.3">
      <c r="A689">
        <v>6397</v>
      </c>
      <c r="B689">
        <v>1357</v>
      </c>
      <c r="C689" s="1">
        <v>45937.603703703702</v>
      </c>
      <c r="D689" t="s">
        <v>94</v>
      </c>
      <c r="E689" t="s">
        <v>57</v>
      </c>
    </row>
    <row r="690" spans="1:5" x14ac:dyDescent="0.3">
      <c r="A690">
        <v>6411</v>
      </c>
      <c r="B690">
        <v>1357</v>
      </c>
      <c r="C690" s="1">
        <v>45937.604363425926</v>
      </c>
      <c r="D690" t="s">
        <v>95</v>
      </c>
      <c r="E690" t="s">
        <v>57</v>
      </c>
    </row>
    <row r="691" spans="1:5" x14ac:dyDescent="0.3">
      <c r="A691">
        <v>6456</v>
      </c>
      <c r="B691">
        <v>1357</v>
      </c>
      <c r="C691" s="1">
        <v>45937.60728009259</v>
      </c>
      <c r="D691" t="s">
        <v>96</v>
      </c>
      <c r="E691" t="s">
        <v>57</v>
      </c>
    </row>
    <row r="692" spans="1:5" x14ac:dyDescent="0.3">
      <c r="A692">
        <v>6459</v>
      </c>
      <c r="B692">
        <v>1357</v>
      </c>
      <c r="C692" s="1">
        <v>45937.607534722221</v>
      </c>
      <c r="D692" t="s">
        <v>97</v>
      </c>
      <c r="E692" t="s">
        <v>57</v>
      </c>
    </row>
    <row r="693" spans="1:5" x14ac:dyDescent="0.3">
      <c r="A693">
        <v>6506</v>
      </c>
      <c r="B693">
        <v>1357</v>
      </c>
      <c r="C693" s="1">
        <v>45937.610023148147</v>
      </c>
      <c r="D693" t="s">
        <v>98</v>
      </c>
      <c r="E693" t="s">
        <v>57</v>
      </c>
    </row>
    <row r="694" spans="1:5" x14ac:dyDescent="0.3">
      <c r="A694">
        <v>6512</v>
      </c>
      <c r="B694">
        <v>1357</v>
      </c>
      <c r="C694" s="1">
        <v>45937.610613425924</v>
      </c>
      <c r="D694" t="s">
        <v>99</v>
      </c>
      <c r="E694" t="s">
        <v>57</v>
      </c>
    </row>
    <row r="695" spans="1:5" x14ac:dyDescent="0.3">
      <c r="A695">
        <v>6515</v>
      </c>
      <c r="B695">
        <v>1369</v>
      </c>
      <c r="C695" s="1">
        <v>45937.610844907409</v>
      </c>
      <c r="D695" t="s">
        <v>88</v>
      </c>
      <c r="E695" t="s">
        <v>57</v>
      </c>
    </row>
    <row r="696" spans="1:5" x14ac:dyDescent="0.3">
      <c r="A696">
        <v>6539</v>
      </c>
      <c r="B696">
        <v>1369</v>
      </c>
      <c r="C696" s="1">
        <v>45937.611909722225</v>
      </c>
      <c r="D696" t="s">
        <v>89</v>
      </c>
      <c r="E696" t="s">
        <v>57</v>
      </c>
    </row>
    <row r="697" spans="1:5" x14ac:dyDescent="0.3">
      <c r="A697">
        <v>6550</v>
      </c>
      <c r="B697">
        <v>1369</v>
      </c>
      <c r="C697" s="1">
        <v>45937.612210648149</v>
      </c>
      <c r="D697" t="s">
        <v>100</v>
      </c>
      <c r="E697" t="s">
        <v>57</v>
      </c>
    </row>
    <row r="698" spans="1:5" x14ac:dyDescent="0.3">
      <c r="A698">
        <v>6591</v>
      </c>
      <c r="B698">
        <v>1369</v>
      </c>
      <c r="C698" s="1">
        <v>45937.613194444442</v>
      </c>
      <c r="D698" t="s">
        <v>105</v>
      </c>
      <c r="E698" t="s">
        <v>57</v>
      </c>
    </row>
    <row r="699" spans="1:5" x14ac:dyDescent="0.3">
      <c r="A699">
        <v>6598</v>
      </c>
      <c r="B699">
        <v>1369</v>
      </c>
      <c r="C699" s="1">
        <v>45937.613495370373</v>
      </c>
      <c r="D699" t="s">
        <v>101</v>
      </c>
      <c r="E699" t="s">
        <v>57</v>
      </c>
    </row>
    <row r="700" spans="1:5" x14ac:dyDescent="0.3">
      <c r="A700">
        <v>6618</v>
      </c>
      <c r="B700">
        <v>1369</v>
      </c>
      <c r="C700" s="1">
        <v>45937.613749999997</v>
      </c>
      <c r="D700" t="s">
        <v>102</v>
      </c>
      <c r="E700" t="s">
        <v>57</v>
      </c>
    </row>
    <row r="701" spans="1:5" x14ac:dyDescent="0.3">
      <c r="A701">
        <v>6629</v>
      </c>
      <c r="B701">
        <v>1369</v>
      </c>
      <c r="C701" s="1">
        <v>45937.613981481481</v>
      </c>
      <c r="D701" t="s">
        <v>94</v>
      </c>
      <c r="E701" t="s">
        <v>57</v>
      </c>
    </row>
    <row r="702" spans="1:5" x14ac:dyDescent="0.3">
      <c r="A702">
        <v>6642</v>
      </c>
      <c r="B702">
        <v>1369</v>
      </c>
      <c r="C702" s="1">
        <v>45937.614328703705</v>
      </c>
      <c r="D702" t="s">
        <v>95</v>
      </c>
      <c r="E702" t="s">
        <v>57</v>
      </c>
    </row>
    <row r="703" spans="1:5" x14ac:dyDescent="0.3">
      <c r="A703">
        <v>6657</v>
      </c>
      <c r="B703">
        <v>1369</v>
      </c>
      <c r="C703" s="1">
        <v>45937.614629629628</v>
      </c>
      <c r="D703" t="s">
        <v>96</v>
      </c>
      <c r="E703" t="s">
        <v>57</v>
      </c>
    </row>
    <row r="704" spans="1:5" x14ac:dyDescent="0.3">
      <c r="A704">
        <v>6674</v>
      </c>
      <c r="B704">
        <v>1369</v>
      </c>
      <c r="C704" s="1">
        <v>45937.614884259259</v>
      </c>
      <c r="D704" t="s">
        <v>97</v>
      </c>
      <c r="E704" t="s">
        <v>57</v>
      </c>
    </row>
    <row r="705" spans="1:5" x14ac:dyDescent="0.3">
      <c r="A705">
        <v>6728</v>
      </c>
      <c r="B705">
        <v>1369</v>
      </c>
      <c r="C705" s="1">
        <v>45937.61681712963</v>
      </c>
      <c r="D705" t="s">
        <v>98</v>
      </c>
      <c r="E705" t="s">
        <v>57</v>
      </c>
    </row>
    <row r="706" spans="1:5" x14ac:dyDescent="0.3">
      <c r="A706">
        <v>6769</v>
      </c>
      <c r="B706">
        <v>1369</v>
      </c>
      <c r="C706" s="1">
        <v>45937.617858796293</v>
      </c>
      <c r="D706" t="s">
        <v>99</v>
      </c>
      <c r="E706" t="s">
        <v>57</v>
      </c>
    </row>
    <row r="707" spans="1:5" x14ac:dyDescent="0.3">
      <c r="A707">
        <v>6814</v>
      </c>
      <c r="B707">
        <v>1401</v>
      </c>
      <c r="C707" s="1">
        <v>45937.618715277778</v>
      </c>
      <c r="D707" t="s">
        <v>88</v>
      </c>
      <c r="E707" t="s">
        <v>57</v>
      </c>
    </row>
    <row r="708" spans="1:5" x14ac:dyDescent="0.3">
      <c r="A708">
        <v>6844</v>
      </c>
      <c r="B708">
        <v>1401</v>
      </c>
      <c r="C708" s="1">
        <v>45937.619039351855</v>
      </c>
      <c r="D708" t="s">
        <v>89</v>
      </c>
      <c r="E708" t="s">
        <v>57</v>
      </c>
    </row>
    <row r="709" spans="1:5" x14ac:dyDescent="0.3">
      <c r="A709">
        <v>6867</v>
      </c>
      <c r="B709">
        <v>1401</v>
      </c>
      <c r="C709" s="1">
        <v>45937.619606481479</v>
      </c>
      <c r="D709" t="s">
        <v>100</v>
      </c>
      <c r="E709" t="s">
        <v>57</v>
      </c>
    </row>
    <row r="710" spans="1:5" x14ac:dyDescent="0.3">
      <c r="A710">
        <v>6894</v>
      </c>
      <c r="B710">
        <v>1401</v>
      </c>
      <c r="C710" s="1">
        <v>45937.619872685187</v>
      </c>
      <c r="D710" t="s">
        <v>101</v>
      </c>
      <c r="E710" t="s">
        <v>57</v>
      </c>
    </row>
    <row r="711" spans="1:5" x14ac:dyDescent="0.3">
      <c r="A711">
        <v>6917</v>
      </c>
      <c r="B711">
        <v>1401</v>
      </c>
      <c r="C711" s="1">
        <v>45937.620173611111</v>
      </c>
      <c r="D711" t="s">
        <v>102</v>
      </c>
      <c r="E711" t="s">
        <v>57</v>
      </c>
    </row>
    <row r="712" spans="1:5" x14ac:dyDescent="0.3">
      <c r="A712">
        <v>6923</v>
      </c>
      <c r="B712">
        <v>1401</v>
      </c>
      <c r="C712" s="1">
        <v>45937.620243055557</v>
      </c>
      <c r="D712" t="s">
        <v>94</v>
      </c>
      <c r="E712" t="s">
        <v>57</v>
      </c>
    </row>
    <row r="713" spans="1:5" x14ac:dyDescent="0.3">
      <c r="A713">
        <v>6931</v>
      </c>
      <c r="B713">
        <v>1401</v>
      </c>
      <c r="C713" s="1">
        <v>45937.620324074072</v>
      </c>
      <c r="D713" t="s">
        <v>95</v>
      </c>
      <c r="E713" t="s">
        <v>57</v>
      </c>
    </row>
    <row r="714" spans="1:5" x14ac:dyDescent="0.3">
      <c r="A714">
        <v>6945</v>
      </c>
      <c r="B714">
        <v>1401</v>
      </c>
      <c r="C714" s="1">
        <v>45937.621006944442</v>
      </c>
      <c r="D714" t="s">
        <v>96</v>
      </c>
      <c r="E714" t="s">
        <v>57</v>
      </c>
    </row>
    <row r="715" spans="1:5" x14ac:dyDescent="0.3">
      <c r="A715">
        <v>6949</v>
      </c>
      <c r="B715">
        <v>1401</v>
      </c>
      <c r="C715" s="1">
        <v>45937.621203703704</v>
      </c>
      <c r="D715" t="s">
        <v>97</v>
      </c>
      <c r="E715" t="s">
        <v>57</v>
      </c>
    </row>
    <row r="716" spans="1:5" x14ac:dyDescent="0.3">
      <c r="A716">
        <v>7002</v>
      </c>
      <c r="B716">
        <v>1401</v>
      </c>
      <c r="C716" s="1">
        <v>45937.622569444444</v>
      </c>
      <c r="D716" t="s">
        <v>98</v>
      </c>
      <c r="E716" t="s">
        <v>57</v>
      </c>
    </row>
    <row r="717" spans="1:5" x14ac:dyDescent="0.3">
      <c r="A717">
        <v>7032</v>
      </c>
      <c r="B717">
        <v>1401</v>
      </c>
      <c r="C717" s="1">
        <v>45937.623414351852</v>
      </c>
      <c r="D717" t="s">
        <v>99</v>
      </c>
      <c r="E717" t="s">
        <v>57</v>
      </c>
    </row>
    <row r="718" spans="1:5" x14ac:dyDescent="0.3">
      <c r="A718">
        <v>7110</v>
      </c>
      <c r="B718">
        <v>1434</v>
      </c>
      <c r="C718" s="1">
        <v>45937.624884259261</v>
      </c>
      <c r="D718" t="s">
        <v>88</v>
      </c>
      <c r="E718" t="s">
        <v>57</v>
      </c>
    </row>
    <row r="719" spans="1:5" x14ac:dyDescent="0.3">
      <c r="A719">
        <v>7112</v>
      </c>
      <c r="B719">
        <v>1434</v>
      </c>
      <c r="C719" s="1">
        <v>45937.624965277777</v>
      </c>
      <c r="D719" t="s">
        <v>89</v>
      </c>
      <c r="E719" t="s">
        <v>57</v>
      </c>
    </row>
    <row r="720" spans="1:5" x14ac:dyDescent="0.3">
      <c r="A720">
        <v>7115</v>
      </c>
      <c r="B720">
        <v>1434</v>
      </c>
      <c r="C720" s="1">
        <v>45937.625023148146</v>
      </c>
      <c r="D720" t="s">
        <v>100</v>
      </c>
      <c r="E720" t="s">
        <v>57</v>
      </c>
    </row>
    <row r="721" spans="1:5" x14ac:dyDescent="0.3">
      <c r="A721">
        <v>7160</v>
      </c>
      <c r="B721">
        <v>1434</v>
      </c>
      <c r="C721" s="1">
        <v>45937.626284722224</v>
      </c>
      <c r="D721" t="s">
        <v>105</v>
      </c>
      <c r="E721" t="s">
        <v>57</v>
      </c>
    </row>
    <row r="722" spans="1:5" x14ac:dyDescent="0.3">
      <c r="A722">
        <v>7185</v>
      </c>
      <c r="B722">
        <v>1434</v>
      </c>
      <c r="C722" s="1">
        <v>45937.627152777779</v>
      </c>
      <c r="D722" t="s">
        <v>90</v>
      </c>
      <c r="E722" t="s">
        <v>106</v>
      </c>
    </row>
    <row r="723" spans="1:5" x14ac:dyDescent="0.3">
      <c r="A723">
        <v>7206</v>
      </c>
      <c r="B723">
        <v>1434</v>
      </c>
      <c r="C723" s="1">
        <v>45937.628344907411</v>
      </c>
      <c r="D723" t="s">
        <v>91</v>
      </c>
      <c r="E723" t="s">
        <v>57</v>
      </c>
    </row>
    <row r="724" spans="1:5" x14ac:dyDescent="0.3">
      <c r="A724">
        <v>7220</v>
      </c>
      <c r="B724">
        <v>1434</v>
      </c>
      <c r="C724" s="1">
        <v>45937.628796296296</v>
      </c>
      <c r="D724" t="s">
        <v>92</v>
      </c>
      <c r="E724" t="s">
        <v>117</v>
      </c>
    </row>
    <row r="725" spans="1:5" x14ac:dyDescent="0.3">
      <c r="A725">
        <v>7231</v>
      </c>
      <c r="B725">
        <v>1434</v>
      </c>
      <c r="C725" s="1">
        <v>45937.628993055558</v>
      </c>
      <c r="D725" t="s">
        <v>94</v>
      </c>
      <c r="E725" t="s">
        <v>57</v>
      </c>
    </row>
    <row r="726" spans="1:5" x14ac:dyDescent="0.3">
      <c r="A726">
        <v>7254</v>
      </c>
      <c r="B726">
        <v>1434</v>
      </c>
      <c r="C726" s="1">
        <v>45937.629571759258</v>
      </c>
      <c r="D726" t="s">
        <v>95</v>
      </c>
      <c r="E726" t="s">
        <v>57</v>
      </c>
    </row>
    <row r="727" spans="1:5" x14ac:dyDescent="0.3">
      <c r="A727">
        <v>7270</v>
      </c>
      <c r="B727">
        <v>1434</v>
      </c>
      <c r="C727" s="1">
        <v>45937.630300925928</v>
      </c>
      <c r="D727" t="s">
        <v>96</v>
      </c>
      <c r="E727" t="s">
        <v>57</v>
      </c>
    </row>
    <row r="728" spans="1:5" x14ac:dyDescent="0.3">
      <c r="A728">
        <v>7275</v>
      </c>
      <c r="B728">
        <v>1434</v>
      </c>
      <c r="C728" s="1">
        <v>45937.630509259259</v>
      </c>
      <c r="D728" t="s">
        <v>97</v>
      </c>
      <c r="E728" t="s">
        <v>57</v>
      </c>
    </row>
    <row r="729" spans="1:5" x14ac:dyDescent="0.3">
      <c r="A729">
        <v>7306</v>
      </c>
      <c r="B729">
        <v>1434</v>
      </c>
      <c r="C729" s="1">
        <v>45937.631620370368</v>
      </c>
      <c r="D729" t="s">
        <v>98</v>
      </c>
      <c r="E729" t="s">
        <v>57</v>
      </c>
    </row>
    <row r="730" spans="1:5" x14ac:dyDescent="0.3">
      <c r="A730">
        <v>7324</v>
      </c>
      <c r="B730">
        <v>1434</v>
      </c>
      <c r="C730" s="1">
        <v>45937.6325462963</v>
      </c>
      <c r="D730" t="s">
        <v>99</v>
      </c>
      <c r="E730" t="s">
        <v>57</v>
      </c>
    </row>
    <row r="731" spans="1:5" x14ac:dyDescent="0.3">
      <c r="A731">
        <v>6277</v>
      </c>
      <c r="B731">
        <v>1338</v>
      </c>
      <c r="C731" s="1">
        <v>45937.595520833333</v>
      </c>
      <c r="D731" t="s">
        <v>86</v>
      </c>
      <c r="E731" t="s">
        <v>87</v>
      </c>
    </row>
    <row r="732" spans="1:5" x14ac:dyDescent="0.3">
      <c r="A732">
        <v>6283</v>
      </c>
      <c r="B732">
        <v>1344</v>
      </c>
      <c r="C732" s="1">
        <v>45937.595891203702</v>
      </c>
      <c r="D732" t="s">
        <v>88</v>
      </c>
      <c r="E732" t="s">
        <v>57</v>
      </c>
    </row>
    <row r="733" spans="1:5" x14ac:dyDescent="0.3">
      <c r="A733">
        <v>6311</v>
      </c>
      <c r="B733">
        <v>1344</v>
      </c>
      <c r="C733" s="1">
        <v>45937.597881944443</v>
      </c>
      <c r="D733" t="s">
        <v>89</v>
      </c>
      <c r="E733" t="s">
        <v>57</v>
      </c>
    </row>
    <row r="734" spans="1:5" x14ac:dyDescent="0.3">
      <c r="A734">
        <v>6330</v>
      </c>
      <c r="B734">
        <v>1344</v>
      </c>
      <c r="C734" s="1">
        <v>45937.598506944443</v>
      </c>
      <c r="D734" t="s">
        <v>90</v>
      </c>
      <c r="E734" t="s">
        <v>57</v>
      </c>
    </row>
    <row r="735" spans="1:5" x14ac:dyDescent="0.3">
      <c r="A735">
        <v>6382</v>
      </c>
      <c r="B735">
        <v>1344</v>
      </c>
      <c r="C735" s="1">
        <v>45937.602685185186</v>
      </c>
      <c r="D735" t="s">
        <v>91</v>
      </c>
      <c r="E735" t="s">
        <v>57</v>
      </c>
    </row>
    <row r="736" spans="1:5" x14ac:dyDescent="0.3">
      <c r="A736">
        <v>6386</v>
      </c>
      <c r="B736">
        <v>1344</v>
      </c>
      <c r="C736" s="1">
        <v>45937.602905092594</v>
      </c>
      <c r="D736" t="s">
        <v>92</v>
      </c>
      <c r="E736" t="s">
        <v>110</v>
      </c>
    </row>
    <row r="737" spans="1:5" x14ac:dyDescent="0.3">
      <c r="A737">
        <v>6396</v>
      </c>
      <c r="B737">
        <v>1344</v>
      </c>
      <c r="C737" s="1">
        <v>45937.603483796294</v>
      </c>
      <c r="D737" t="s">
        <v>94</v>
      </c>
      <c r="E737" t="s">
        <v>57</v>
      </c>
    </row>
    <row r="738" spans="1:5" x14ac:dyDescent="0.3">
      <c r="A738">
        <v>6406</v>
      </c>
      <c r="B738">
        <v>1344</v>
      </c>
      <c r="C738" s="1">
        <v>45937.604224537034</v>
      </c>
      <c r="D738" t="s">
        <v>95</v>
      </c>
      <c r="E738" t="s">
        <v>57</v>
      </c>
    </row>
    <row r="739" spans="1:5" x14ac:dyDescent="0.3">
      <c r="A739">
        <v>6453</v>
      </c>
      <c r="B739">
        <v>1344</v>
      </c>
      <c r="C739" s="1">
        <v>45937.606793981482</v>
      </c>
      <c r="D739" t="s">
        <v>96</v>
      </c>
      <c r="E739" t="s">
        <v>57</v>
      </c>
    </row>
    <row r="740" spans="1:5" x14ac:dyDescent="0.3">
      <c r="A740">
        <v>6483</v>
      </c>
      <c r="B740">
        <v>1344</v>
      </c>
      <c r="C740" s="1">
        <v>45937.608564814815</v>
      </c>
      <c r="D740" t="s">
        <v>97</v>
      </c>
      <c r="E740" t="s">
        <v>57</v>
      </c>
    </row>
    <row r="741" spans="1:5" x14ac:dyDescent="0.3">
      <c r="A741">
        <v>6501</v>
      </c>
      <c r="B741">
        <v>1344</v>
      </c>
      <c r="C741" s="1">
        <v>45937.609884259262</v>
      </c>
      <c r="D741" t="s">
        <v>98</v>
      </c>
      <c r="E741" t="s">
        <v>57</v>
      </c>
    </row>
    <row r="742" spans="1:5" x14ac:dyDescent="0.3">
      <c r="A742">
        <v>6510</v>
      </c>
      <c r="B742">
        <v>1344</v>
      </c>
      <c r="C742" s="1">
        <v>45937.61042824074</v>
      </c>
      <c r="D742" t="s">
        <v>99</v>
      </c>
      <c r="E742" t="s">
        <v>57</v>
      </c>
    </row>
    <row r="743" spans="1:5" x14ac:dyDescent="0.3">
      <c r="A743">
        <v>6517</v>
      </c>
      <c r="B743">
        <v>1371</v>
      </c>
      <c r="C743" s="1">
        <v>45937.61105324074</v>
      </c>
      <c r="D743" t="s">
        <v>88</v>
      </c>
      <c r="E743" t="s">
        <v>57</v>
      </c>
    </row>
    <row r="744" spans="1:5" x14ac:dyDescent="0.3">
      <c r="A744">
        <v>6536</v>
      </c>
      <c r="B744">
        <v>1371</v>
      </c>
      <c r="C744" s="1">
        <v>45937.611828703702</v>
      </c>
      <c r="D744" t="s">
        <v>89</v>
      </c>
      <c r="E744" t="s">
        <v>57</v>
      </c>
    </row>
    <row r="745" spans="1:5" x14ac:dyDescent="0.3">
      <c r="A745">
        <v>6553</v>
      </c>
      <c r="B745">
        <v>1371</v>
      </c>
      <c r="C745" s="1">
        <v>45937.612268518518</v>
      </c>
      <c r="D745" t="s">
        <v>100</v>
      </c>
      <c r="E745" t="s">
        <v>57</v>
      </c>
    </row>
    <row r="746" spans="1:5" x14ac:dyDescent="0.3">
      <c r="A746">
        <v>6572</v>
      </c>
      <c r="B746">
        <v>1371</v>
      </c>
      <c r="C746" s="1">
        <v>45937.612673611111</v>
      </c>
      <c r="D746" t="s">
        <v>101</v>
      </c>
      <c r="E746" t="s">
        <v>57</v>
      </c>
    </row>
    <row r="747" spans="1:5" x14ac:dyDescent="0.3">
      <c r="A747">
        <v>6582</v>
      </c>
      <c r="B747">
        <v>1371</v>
      </c>
      <c r="C747" s="1">
        <v>45937.613055555557</v>
      </c>
      <c r="D747" t="s">
        <v>102</v>
      </c>
      <c r="E747" t="s">
        <v>57</v>
      </c>
    </row>
    <row r="748" spans="1:5" x14ac:dyDescent="0.3">
      <c r="A748">
        <v>6622</v>
      </c>
      <c r="B748">
        <v>1371</v>
      </c>
      <c r="C748" s="1">
        <v>45937.613865740743</v>
      </c>
      <c r="D748" t="s">
        <v>94</v>
      </c>
      <c r="E748" t="s">
        <v>57</v>
      </c>
    </row>
    <row r="749" spans="1:5" x14ac:dyDescent="0.3">
      <c r="A749">
        <v>6632</v>
      </c>
      <c r="B749">
        <v>1371</v>
      </c>
      <c r="C749" s="1">
        <v>45937.614016203705</v>
      </c>
      <c r="D749" t="s">
        <v>95</v>
      </c>
      <c r="E749" t="s">
        <v>57</v>
      </c>
    </row>
    <row r="750" spans="1:5" x14ac:dyDescent="0.3">
      <c r="A750">
        <v>6693</v>
      </c>
      <c r="B750">
        <v>1371</v>
      </c>
      <c r="C750" s="1">
        <v>45937.615300925929</v>
      </c>
      <c r="D750" t="s">
        <v>96</v>
      </c>
      <c r="E750" t="s">
        <v>57</v>
      </c>
    </row>
    <row r="751" spans="1:5" x14ac:dyDescent="0.3">
      <c r="A751">
        <v>6707</v>
      </c>
      <c r="B751">
        <v>1371</v>
      </c>
      <c r="C751" s="1">
        <v>45937.615925925929</v>
      </c>
      <c r="D751" t="s">
        <v>97</v>
      </c>
      <c r="E751" t="s">
        <v>57</v>
      </c>
    </row>
    <row r="752" spans="1:5" x14ac:dyDescent="0.3">
      <c r="A752">
        <v>6727</v>
      </c>
      <c r="B752">
        <v>1371</v>
      </c>
      <c r="C752" s="1">
        <v>45937.616770833331</v>
      </c>
      <c r="D752" t="s">
        <v>98</v>
      </c>
      <c r="E752" t="s">
        <v>57</v>
      </c>
    </row>
    <row r="753" spans="1:5" x14ac:dyDescent="0.3">
      <c r="A753">
        <v>6758</v>
      </c>
      <c r="B753">
        <v>1371</v>
      </c>
      <c r="C753" s="1">
        <v>45937.617708333331</v>
      </c>
      <c r="D753" t="s">
        <v>99</v>
      </c>
      <c r="E753" t="s">
        <v>57</v>
      </c>
    </row>
    <row r="754" spans="1:5" x14ac:dyDescent="0.3">
      <c r="A754">
        <v>6811</v>
      </c>
      <c r="B754">
        <v>1399</v>
      </c>
      <c r="C754" s="1">
        <v>45937.618703703702</v>
      </c>
      <c r="D754" t="s">
        <v>88</v>
      </c>
      <c r="E754" t="s">
        <v>57</v>
      </c>
    </row>
    <row r="755" spans="1:5" x14ac:dyDescent="0.3">
      <c r="A755">
        <v>6842</v>
      </c>
      <c r="B755">
        <v>1399</v>
      </c>
      <c r="C755" s="1">
        <v>45937.619016203702</v>
      </c>
      <c r="D755" t="s">
        <v>89</v>
      </c>
      <c r="E755" t="s">
        <v>57</v>
      </c>
    </row>
    <row r="756" spans="1:5" x14ac:dyDescent="0.3">
      <c r="A756">
        <v>6868</v>
      </c>
      <c r="B756">
        <v>1399</v>
      </c>
      <c r="C756" s="1">
        <v>45937.619606481479</v>
      </c>
      <c r="D756" t="s">
        <v>100</v>
      </c>
      <c r="E756" t="s">
        <v>57</v>
      </c>
    </row>
    <row r="757" spans="1:5" x14ac:dyDescent="0.3">
      <c r="A757">
        <v>6873</v>
      </c>
      <c r="B757">
        <v>1399</v>
      </c>
      <c r="C757" s="1">
        <v>45937.619641203702</v>
      </c>
      <c r="D757" t="s">
        <v>101</v>
      </c>
      <c r="E757" t="s">
        <v>57</v>
      </c>
    </row>
    <row r="758" spans="1:5" x14ac:dyDescent="0.3">
      <c r="A758">
        <v>6888</v>
      </c>
      <c r="B758">
        <v>1399</v>
      </c>
      <c r="C758" s="1">
        <v>45937.619814814818</v>
      </c>
      <c r="D758" t="s">
        <v>102</v>
      </c>
      <c r="E758" t="s">
        <v>57</v>
      </c>
    </row>
    <row r="759" spans="1:5" x14ac:dyDescent="0.3">
      <c r="A759">
        <v>6912</v>
      </c>
      <c r="B759">
        <v>1399</v>
      </c>
      <c r="C759" s="1">
        <v>45937.620150462964</v>
      </c>
      <c r="D759" t="s">
        <v>94</v>
      </c>
      <c r="E759" t="s">
        <v>57</v>
      </c>
    </row>
    <row r="760" spans="1:5" x14ac:dyDescent="0.3">
      <c r="A760">
        <v>6926</v>
      </c>
      <c r="B760">
        <v>1399</v>
      </c>
      <c r="C760" s="1">
        <v>45937.62027777778</v>
      </c>
      <c r="D760" t="s">
        <v>95</v>
      </c>
      <c r="E760" t="s">
        <v>57</v>
      </c>
    </row>
    <row r="761" spans="1:5" x14ac:dyDescent="0.3">
      <c r="A761">
        <v>6946</v>
      </c>
      <c r="B761">
        <v>1399</v>
      </c>
      <c r="C761" s="1">
        <v>45937.621006944442</v>
      </c>
      <c r="D761" t="s">
        <v>96</v>
      </c>
      <c r="E761" t="s">
        <v>57</v>
      </c>
    </row>
    <row r="762" spans="1:5" x14ac:dyDescent="0.3">
      <c r="A762">
        <v>6968</v>
      </c>
      <c r="B762">
        <v>1399</v>
      </c>
      <c r="C762" s="1">
        <v>45937.62164351852</v>
      </c>
      <c r="D762" t="s">
        <v>97</v>
      </c>
      <c r="E762" t="s">
        <v>57</v>
      </c>
    </row>
    <row r="763" spans="1:5" x14ac:dyDescent="0.3">
      <c r="A763">
        <v>6996</v>
      </c>
      <c r="B763">
        <v>1399</v>
      </c>
      <c r="C763" s="1">
        <v>45937.622395833336</v>
      </c>
      <c r="D763" t="s">
        <v>98</v>
      </c>
      <c r="E763" t="s">
        <v>57</v>
      </c>
    </row>
    <row r="764" spans="1:5" x14ac:dyDescent="0.3">
      <c r="A764">
        <v>7010</v>
      </c>
      <c r="B764">
        <v>1399</v>
      </c>
      <c r="C764" s="1">
        <v>45937.622881944444</v>
      </c>
      <c r="D764" t="s">
        <v>99</v>
      </c>
      <c r="E764" t="s">
        <v>57</v>
      </c>
    </row>
    <row r="765" spans="1:5" x14ac:dyDescent="0.3">
      <c r="A765">
        <v>7053</v>
      </c>
      <c r="B765">
        <v>1426</v>
      </c>
      <c r="C765" s="1">
        <v>45937.623692129629</v>
      </c>
      <c r="D765" t="s">
        <v>88</v>
      </c>
      <c r="E765" t="s">
        <v>57</v>
      </c>
    </row>
    <row r="766" spans="1:5" x14ac:dyDescent="0.3">
      <c r="A766">
        <v>7067</v>
      </c>
      <c r="B766">
        <v>1426</v>
      </c>
      <c r="C766" s="1">
        <v>45937.62394675926</v>
      </c>
      <c r="D766" t="s">
        <v>89</v>
      </c>
      <c r="E766" t="s">
        <v>57</v>
      </c>
    </row>
    <row r="767" spans="1:5" x14ac:dyDescent="0.3">
      <c r="A767">
        <v>7096</v>
      </c>
      <c r="B767">
        <v>1426</v>
      </c>
      <c r="C767" s="1">
        <v>45937.624444444446</v>
      </c>
      <c r="D767" t="s">
        <v>100</v>
      </c>
      <c r="E767" t="s">
        <v>57</v>
      </c>
    </row>
    <row r="768" spans="1:5" x14ac:dyDescent="0.3">
      <c r="A768">
        <v>7150</v>
      </c>
      <c r="B768">
        <v>1426</v>
      </c>
      <c r="C768" s="1">
        <v>45937.625891203701</v>
      </c>
      <c r="D768" t="s">
        <v>101</v>
      </c>
      <c r="E768" t="s">
        <v>57</v>
      </c>
    </row>
    <row r="769" spans="1:5" x14ac:dyDescent="0.3">
      <c r="A769">
        <v>7210</v>
      </c>
      <c r="B769">
        <v>1426</v>
      </c>
      <c r="C769" s="1">
        <v>45937.628645833334</v>
      </c>
      <c r="D769" t="s">
        <v>102</v>
      </c>
      <c r="E769" t="s">
        <v>57</v>
      </c>
    </row>
    <row r="770" spans="1:5" x14ac:dyDescent="0.3">
      <c r="A770">
        <v>7234</v>
      </c>
      <c r="B770">
        <v>1426</v>
      </c>
      <c r="C770" s="1">
        <v>45937.62909722222</v>
      </c>
      <c r="D770" t="s">
        <v>94</v>
      </c>
      <c r="E770" t="s">
        <v>57</v>
      </c>
    </row>
    <row r="771" spans="1:5" x14ac:dyDescent="0.3">
      <c r="A771">
        <v>7256</v>
      </c>
      <c r="B771">
        <v>1426</v>
      </c>
      <c r="C771" s="1">
        <v>45937.629594907405</v>
      </c>
      <c r="D771" t="s">
        <v>95</v>
      </c>
      <c r="E771" t="s">
        <v>57</v>
      </c>
    </row>
    <row r="772" spans="1:5" x14ac:dyDescent="0.3">
      <c r="A772">
        <v>7267</v>
      </c>
      <c r="B772">
        <v>1426</v>
      </c>
      <c r="C772" s="1">
        <v>45937.63008101852</v>
      </c>
      <c r="D772" t="s">
        <v>96</v>
      </c>
      <c r="E772" t="s">
        <v>57</v>
      </c>
    </row>
    <row r="773" spans="1:5" x14ac:dyDescent="0.3">
      <c r="A773">
        <v>7277</v>
      </c>
      <c r="B773">
        <v>1426</v>
      </c>
      <c r="C773" s="1">
        <v>45937.630590277775</v>
      </c>
      <c r="D773" t="s">
        <v>97</v>
      </c>
      <c r="E773" t="s">
        <v>57</v>
      </c>
    </row>
    <row r="774" spans="1:5" x14ac:dyDescent="0.3">
      <c r="A774">
        <v>7305</v>
      </c>
      <c r="B774">
        <v>1426</v>
      </c>
      <c r="C774" s="1">
        <v>45937.631608796299</v>
      </c>
      <c r="D774" t="s">
        <v>98</v>
      </c>
      <c r="E774" t="s">
        <v>57</v>
      </c>
    </row>
    <row r="775" spans="1:5" x14ac:dyDescent="0.3">
      <c r="A775">
        <v>7321</v>
      </c>
      <c r="B775">
        <v>1426</v>
      </c>
      <c r="C775" s="1">
        <v>45937.632164351853</v>
      </c>
      <c r="D775" t="s">
        <v>99</v>
      </c>
      <c r="E775" t="s">
        <v>57</v>
      </c>
    </row>
    <row r="776" spans="1:5" x14ac:dyDescent="0.3">
      <c r="A776">
        <v>6269</v>
      </c>
      <c r="B776">
        <v>1330</v>
      </c>
      <c r="C776" s="1">
        <v>45937.579965277779</v>
      </c>
      <c r="D776" t="s">
        <v>86</v>
      </c>
      <c r="E776" t="s">
        <v>87</v>
      </c>
    </row>
    <row r="777" spans="1:5" x14ac:dyDescent="0.3">
      <c r="A777">
        <v>6279</v>
      </c>
      <c r="B777">
        <v>1340</v>
      </c>
      <c r="C777" s="1">
        <v>45937.595729166664</v>
      </c>
      <c r="D777" t="s">
        <v>88</v>
      </c>
      <c r="E777" t="s">
        <v>57</v>
      </c>
    </row>
    <row r="778" spans="1:5" x14ac:dyDescent="0.3">
      <c r="A778">
        <v>6288</v>
      </c>
      <c r="B778">
        <v>1340</v>
      </c>
      <c r="C778" s="1">
        <v>45937.596215277779</v>
      </c>
      <c r="D778" t="s">
        <v>89</v>
      </c>
      <c r="E778" t="s">
        <v>57</v>
      </c>
    </row>
    <row r="779" spans="1:5" x14ac:dyDescent="0.3">
      <c r="A779">
        <v>6316</v>
      </c>
      <c r="B779">
        <v>1340</v>
      </c>
      <c r="C779" s="1">
        <v>45937.598124999997</v>
      </c>
      <c r="D779" t="s">
        <v>90</v>
      </c>
      <c r="E779" t="s">
        <v>57</v>
      </c>
    </row>
    <row r="780" spans="1:5" x14ac:dyDescent="0.3">
      <c r="A780">
        <v>6371</v>
      </c>
      <c r="B780">
        <v>1340</v>
      </c>
      <c r="C780" s="1">
        <v>45937.60224537037</v>
      </c>
      <c r="D780" t="s">
        <v>91</v>
      </c>
      <c r="E780" t="s">
        <v>57</v>
      </c>
    </row>
    <row r="781" spans="1:5" x14ac:dyDescent="0.3">
      <c r="A781">
        <v>6385</v>
      </c>
      <c r="B781">
        <v>1340</v>
      </c>
      <c r="C781" s="1">
        <v>45937.602824074071</v>
      </c>
      <c r="D781" t="s">
        <v>92</v>
      </c>
      <c r="E781" t="s">
        <v>103</v>
      </c>
    </row>
    <row r="782" spans="1:5" x14ac:dyDescent="0.3">
      <c r="A782">
        <v>6395</v>
      </c>
      <c r="B782">
        <v>1340</v>
      </c>
      <c r="C782" s="1">
        <v>45937.603460648148</v>
      </c>
      <c r="D782" t="s">
        <v>94</v>
      </c>
      <c r="E782" t="s">
        <v>57</v>
      </c>
    </row>
    <row r="783" spans="1:5" x14ac:dyDescent="0.3">
      <c r="A783">
        <v>6408</v>
      </c>
      <c r="B783">
        <v>1340</v>
      </c>
      <c r="C783" s="1">
        <v>45937.60428240741</v>
      </c>
      <c r="D783" t="s">
        <v>95</v>
      </c>
      <c r="E783" t="s">
        <v>57</v>
      </c>
    </row>
    <row r="784" spans="1:5" x14ac:dyDescent="0.3">
      <c r="A784">
        <v>6475</v>
      </c>
      <c r="B784">
        <v>1340</v>
      </c>
      <c r="C784" s="1">
        <v>45937.608159722222</v>
      </c>
      <c r="D784" t="s">
        <v>96</v>
      </c>
      <c r="E784" t="s">
        <v>57</v>
      </c>
    </row>
    <row r="785" spans="1:5" x14ac:dyDescent="0.3">
      <c r="A785">
        <v>6493</v>
      </c>
      <c r="B785">
        <v>1340</v>
      </c>
      <c r="C785" s="1">
        <v>45937.608981481484</v>
      </c>
      <c r="D785" t="s">
        <v>97</v>
      </c>
      <c r="E785" t="s">
        <v>57</v>
      </c>
    </row>
    <row r="786" spans="1:5" x14ac:dyDescent="0.3">
      <c r="A786">
        <v>6503</v>
      </c>
      <c r="B786">
        <v>1340</v>
      </c>
      <c r="C786" s="1">
        <v>45937.609895833331</v>
      </c>
      <c r="D786" t="s">
        <v>98</v>
      </c>
      <c r="E786" t="s">
        <v>57</v>
      </c>
    </row>
    <row r="787" spans="1:5" x14ac:dyDescent="0.3">
      <c r="A787">
        <v>6513</v>
      </c>
      <c r="B787">
        <v>1340</v>
      </c>
      <c r="C787" s="1">
        <v>45937.610694444447</v>
      </c>
      <c r="D787" t="s">
        <v>99</v>
      </c>
      <c r="E787" t="s">
        <v>57</v>
      </c>
    </row>
    <row r="788" spans="1:5" x14ac:dyDescent="0.3">
      <c r="A788">
        <v>6521</v>
      </c>
      <c r="B788">
        <v>1375</v>
      </c>
      <c r="C788" s="1">
        <v>45937.611342592594</v>
      </c>
      <c r="D788" t="s">
        <v>88</v>
      </c>
      <c r="E788" t="s">
        <v>57</v>
      </c>
    </row>
    <row r="789" spans="1:5" x14ac:dyDescent="0.3">
      <c r="A789">
        <v>6535</v>
      </c>
      <c r="B789">
        <v>1375</v>
      </c>
      <c r="C789" s="1">
        <v>45937.611793981479</v>
      </c>
      <c r="D789" t="s">
        <v>89</v>
      </c>
      <c r="E789" t="s">
        <v>57</v>
      </c>
    </row>
    <row r="790" spans="1:5" x14ac:dyDescent="0.3">
      <c r="A790">
        <v>6551</v>
      </c>
      <c r="B790">
        <v>1375</v>
      </c>
      <c r="C790" s="1">
        <v>45937.612256944441</v>
      </c>
      <c r="D790" t="s">
        <v>100</v>
      </c>
      <c r="E790" t="s">
        <v>57</v>
      </c>
    </row>
    <row r="791" spans="1:5" x14ac:dyDescent="0.3">
      <c r="A791">
        <v>6584</v>
      </c>
      <c r="B791">
        <v>1375</v>
      </c>
      <c r="C791" s="1">
        <v>45937.613113425927</v>
      </c>
      <c r="D791" t="s">
        <v>101</v>
      </c>
      <c r="E791" t="s">
        <v>57</v>
      </c>
    </row>
    <row r="792" spans="1:5" x14ac:dyDescent="0.3">
      <c r="A792">
        <v>6616</v>
      </c>
      <c r="B792">
        <v>1375</v>
      </c>
      <c r="C792" s="1">
        <v>45937.613703703704</v>
      </c>
      <c r="D792" t="s">
        <v>102</v>
      </c>
      <c r="E792" t="s">
        <v>57</v>
      </c>
    </row>
    <row r="793" spans="1:5" x14ac:dyDescent="0.3">
      <c r="A793">
        <v>6624</v>
      </c>
      <c r="B793">
        <v>1375</v>
      </c>
      <c r="C793" s="1">
        <v>45937.613912037035</v>
      </c>
      <c r="D793" t="s">
        <v>94</v>
      </c>
      <c r="E793" t="s">
        <v>57</v>
      </c>
    </row>
    <row r="794" spans="1:5" x14ac:dyDescent="0.3">
      <c r="A794">
        <v>6634</v>
      </c>
      <c r="B794">
        <v>1375</v>
      </c>
      <c r="C794" s="1">
        <v>45937.614050925928</v>
      </c>
      <c r="D794" t="s">
        <v>95</v>
      </c>
      <c r="E794" t="s">
        <v>57</v>
      </c>
    </row>
    <row r="795" spans="1:5" x14ac:dyDescent="0.3">
      <c r="A795">
        <v>6700</v>
      </c>
      <c r="B795">
        <v>1375</v>
      </c>
      <c r="C795" s="1">
        <v>45937.615624999999</v>
      </c>
      <c r="D795" t="s">
        <v>96</v>
      </c>
      <c r="E795" t="s">
        <v>57</v>
      </c>
    </row>
    <row r="796" spans="1:5" x14ac:dyDescent="0.3">
      <c r="A796">
        <v>6711</v>
      </c>
      <c r="B796">
        <v>1375</v>
      </c>
      <c r="C796" s="1">
        <v>45937.61614583333</v>
      </c>
      <c r="D796" t="s">
        <v>97</v>
      </c>
      <c r="E796" t="s">
        <v>57</v>
      </c>
    </row>
    <row r="797" spans="1:5" x14ac:dyDescent="0.3">
      <c r="A797">
        <v>6726</v>
      </c>
      <c r="B797">
        <v>1375</v>
      </c>
      <c r="C797" s="1">
        <v>45937.616770833331</v>
      </c>
      <c r="D797" t="s">
        <v>98</v>
      </c>
      <c r="E797" t="s">
        <v>57</v>
      </c>
    </row>
    <row r="798" spans="1:5" x14ac:dyDescent="0.3">
      <c r="A798">
        <v>6810</v>
      </c>
      <c r="B798">
        <v>1375</v>
      </c>
      <c r="C798" s="1">
        <v>45937.618668981479</v>
      </c>
      <c r="D798" t="s">
        <v>99</v>
      </c>
      <c r="E798" t="s">
        <v>57</v>
      </c>
    </row>
    <row r="799" spans="1:5" x14ac:dyDescent="0.3">
      <c r="A799">
        <v>6816</v>
      </c>
      <c r="B799">
        <v>1403</v>
      </c>
      <c r="C799" s="1">
        <v>45937.618726851855</v>
      </c>
      <c r="D799" t="s">
        <v>88</v>
      </c>
      <c r="E799" t="s">
        <v>57</v>
      </c>
    </row>
    <row r="800" spans="1:5" x14ac:dyDescent="0.3">
      <c r="A800">
        <v>6854</v>
      </c>
      <c r="B800">
        <v>1403</v>
      </c>
      <c r="C800" s="1">
        <v>45937.619409722225</v>
      </c>
      <c r="D800" t="s">
        <v>89</v>
      </c>
      <c r="E800" t="s">
        <v>57</v>
      </c>
    </row>
    <row r="801" spans="1:5" x14ac:dyDescent="0.3">
      <c r="A801">
        <v>6878</v>
      </c>
      <c r="B801">
        <v>1403</v>
      </c>
      <c r="C801" s="1">
        <v>45937.619664351849</v>
      </c>
      <c r="D801" t="s">
        <v>100</v>
      </c>
      <c r="E801" t="s">
        <v>57</v>
      </c>
    </row>
    <row r="802" spans="1:5" x14ac:dyDescent="0.3">
      <c r="A802">
        <v>6899</v>
      </c>
      <c r="B802">
        <v>1403</v>
      </c>
      <c r="C802" s="1">
        <v>45937.619930555556</v>
      </c>
      <c r="D802" t="s">
        <v>101</v>
      </c>
      <c r="E802" t="s">
        <v>57</v>
      </c>
    </row>
    <row r="803" spans="1:5" x14ac:dyDescent="0.3">
      <c r="A803">
        <v>6902</v>
      </c>
      <c r="B803">
        <v>1403</v>
      </c>
      <c r="C803" s="1">
        <v>45937.620023148149</v>
      </c>
      <c r="D803" t="s">
        <v>102</v>
      </c>
      <c r="E803" t="s">
        <v>57</v>
      </c>
    </row>
    <row r="804" spans="1:5" x14ac:dyDescent="0.3">
      <c r="A804">
        <v>6913</v>
      </c>
      <c r="B804">
        <v>1403</v>
      </c>
      <c r="C804" s="1">
        <v>45937.620150462964</v>
      </c>
      <c r="D804" t="s">
        <v>94</v>
      </c>
      <c r="E804" t="s">
        <v>57</v>
      </c>
    </row>
    <row r="805" spans="1:5" x14ac:dyDescent="0.3">
      <c r="A805">
        <v>6929</v>
      </c>
      <c r="B805">
        <v>1403</v>
      </c>
      <c r="C805" s="1">
        <v>45937.620300925926</v>
      </c>
      <c r="D805" t="s">
        <v>95</v>
      </c>
      <c r="E805" t="s">
        <v>57</v>
      </c>
    </row>
    <row r="806" spans="1:5" x14ac:dyDescent="0.3">
      <c r="A806">
        <v>6958</v>
      </c>
      <c r="B806">
        <v>1403</v>
      </c>
      <c r="C806" s="1">
        <v>45937.62127314815</v>
      </c>
      <c r="D806" t="s">
        <v>96</v>
      </c>
      <c r="E806" t="s">
        <v>57</v>
      </c>
    </row>
    <row r="807" spans="1:5" x14ac:dyDescent="0.3">
      <c r="A807">
        <v>6959</v>
      </c>
      <c r="B807">
        <v>1403</v>
      </c>
      <c r="C807" s="1">
        <v>45937.621469907404</v>
      </c>
      <c r="D807" t="s">
        <v>97</v>
      </c>
      <c r="E807" t="s">
        <v>57</v>
      </c>
    </row>
    <row r="808" spans="1:5" x14ac:dyDescent="0.3">
      <c r="A808">
        <v>6995</v>
      </c>
      <c r="B808">
        <v>1403</v>
      </c>
      <c r="C808" s="1">
        <v>45937.622384259259</v>
      </c>
      <c r="D808" t="s">
        <v>98</v>
      </c>
      <c r="E808" t="s">
        <v>57</v>
      </c>
    </row>
    <row r="809" spans="1:5" x14ac:dyDescent="0.3">
      <c r="A809">
        <v>7027</v>
      </c>
      <c r="B809">
        <v>1403</v>
      </c>
      <c r="C809" s="1">
        <v>45937.623333333337</v>
      </c>
      <c r="D809" t="s">
        <v>99</v>
      </c>
      <c r="E809" t="s">
        <v>57</v>
      </c>
    </row>
    <row r="810" spans="1:5" x14ac:dyDescent="0.3">
      <c r="A810">
        <v>7046</v>
      </c>
      <c r="B810">
        <v>1423</v>
      </c>
      <c r="C810" s="1">
        <v>45937.623599537037</v>
      </c>
      <c r="D810" t="s">
        <v>88</v>
      </c>
      <c r="E810" t="s">
        <v>57</v>
      </c>
    </row>
    <row r="811" spans="1:5" x14ac:dyDescent="0.3">
      <c r="A811">
        <v>7054</v>
      </c>
      <c r="B811">
        <v>1423</v>
      </c>
      <c r="C811" s="1">
        <v>45937.623715277776</v>
      </c>
      <c r="D811" t="s">
        <v>89</v>
      </c>
      <c r="E811" t="s">
        <v>57</v>
      </c>
    </row>
    <row r="812" spans="1:5" x14ac:dyDescent="0.3">
      <c r="A812">
        <v>7095</v>
      </c>
      <c r="B812">
        <v>1423</v>
      </c>
      <c r="C812" s="1">
        <v>45937.624398148146</v>
      </c>
      <c r="D812" t="s">
        <v>100</v>
      </c>
      <c r="E812" t="s">
        <v>57</v>
      </c>
    </row>
    <row r="813" spans="1:5" x14ac:dyDescent="0.3">
      <c r="A813">
        <v>7167</v>
      </c>
      <c r="B813">
        <v>1423</v>
      </c>
      <c r="C813" s="1">
        <v>45937.626736111109</v>
      </c>
      <c r="D813" t="s">
        <v>101</v>
      </c>
      <c r="E813" t="s">
        <v>57</v>
      </c>
    </row>
    <row r="814" spans="1:5" x14ac:dyDescent="0.3">
      <c r="A814">
        <v>7209</v>
      </c>
      <c r="B814">
        <v>1423</v>
      </c>
      <c r="C814" s="1">
        <v>45937.628576388888</v>
      </c>
      <c r="D814" t="s">
        <v>102</v>
      </c>
      <c r="E814" t="s">
        <v>57</v>
      </c>
    </row>
    <row r="815" spans="1:5" x14ac:dyDescent="0.3">
      <c r="A815">
        <v>7226</v>
      </c>
      <c r="B815">
        <v>1423</v>
      </c>
      <c r="C815" s="1">
        <v>45937.628888888888</v>
      </c>
      <c r="D815" t="s">
        <v>94</v>
      </c>
      <c r="E815" t="s">
        <v>57</v>
      </c>
    </row>
    <row r="816" spans="1:5" x14ac:dyDescent="0.3">
      <c r="A816">
        <v>7255</v>
      </c>
      <c r="B816">
        <v>1423</v>
      </c>
      <c r="C816" s="1">
        <v>45937.629583333335</v>
      </c>
      <c r="D816" t="s">
        <v>95</v>
      </c>
      <c r="E816" t="s">
        <v>57</v>
      </c>
    </row>
    <row r="817" spans="1:5" x14ac:dyDescent="0.3">
      <c r="A817">
        <v>7263</v>
      </c>
      <c r="B817">
        <v>1423</v>
      </c>
      <c r="C817" s="1">
        <v>45937.629861111112</v>
      </c>
      <c r="D817" t="s">
        <v>96</v>
      </c>
      <c r="E817" t="s">
        <v>57</v>
      </c>
    </row>
    <row r="818" spans="1:5" x14ac:dyDescent="0.3">
      <c r="A818">
        <v>7266</v>
      </c>
      <c r="B818">
        <v>1423</v>
      </c>
      <c r="C818" s="1">
        <v>45937.630069444444</v>
      </c>
      <c r="D818" t="s">
        <v>97</v>
      </c>
      <c r="E818" t="s">
        <v>57</v>
      </c>
    </row>
    <row r="819" spans="1:5" x14ac:dyDescent="0.3">
      <c r="A819">
        <v>7302</v>
      </c>
      <c r="B819">
        <v>1423</v>
      </c>
      <c r="C819" s="1">
        <v>45937.631539351853</v>
      </c>
      <c r="D819" t="s">
        <v>98</v>
      </c>
      <c r="E819" t="s">
        <v>57</v>
      </c>
    </row>
    <row r="820" spans="1:5" x14ac:dyDescent="0.3">
      <c r="A820">
        <v>7319</v>
      </c>
      <c r="B820">
        <v>1423</v>
      </c>
      <c r="C820" s="1">
        <v>45937.632060185184</v>
      </c>
      <c r="D820" t="s">
        <v>99</v>
      </c>
      <c r="E820" t="s">
        <v>57</v>
      </c>
    </row>
    <row r="821" spans="1:5" x14ac:dyDescent="0.3">
      <c r="A821">
        <v>6274</v>
      </c>
      <c r="B821">
        <v>1335</v>
      </c>
      <c r="C821" s="1">
        <v>45937.584537037037</v>
      </c>
      <c r="D821" t="s">
        <v>86</v>
      </c>
      <c r="E821" t="s">
        <v>87</v>
      </c>
    </row>
    <row r="822" spans="1:5" x14ac:dyDescent="0.3">
      <c r="A822">
        <v>6287</v>
      </c>
      <c r="B822">
        <v>1348</v>
      </c>
      <c r="C822" s="1">
        <v>45937.596134259256</v>
      </c>
      <c r="D822" t="s">
        <v>88</v>
      </c>
      <c r="E822" t="s">
        <v>57</v>
      </c>
    </row>
    <row r="823" spans="1:5" x14ac:dyDescent="0.3">
      <c r="A823">
        <v>6296</v>
      </c>
      <c r="B823">
        <v>1348</v>
      </c>
      <c r="C823" s="1">
        <v>45937.596712962964</v>
      </c>
      <c r="D823" t="s">
        <v>89</v>
      </c>
      <c r="E823" t="s">
        <v>57</v>
      </c>
    </row>
    <row r="824" spans="1:5" x14ac:dyDescent="0.3">
      <c r="A824">
        <v>6323</v>
      </c>
      <c r="B824">
        <v>1348</v>
      </c>
      <c r="C824" s="1">
        <v>45937.598379629628</v>
      </c>
      <c r="D824" t="s">
        <v>90</v>
      </c>
      <c r="E824" t="s">
        <v>57</v>
      </c>
    </row>
    <row r="825" spans="1:5" x14ac:dyDescent="0.3">
      <c r="A825">
        <v>6353</v>
      </c>
      <c r="B825">
        <v>1348</v>
      </c>
      <c r="C825" s="1">
        <v>45937.601226851853</v>
      </c>
      <c r="D825" t="s">
        <v>91</v>
      </c>
      <c r="E825" t="s">
        <v>57</v>
      </c>
    </row>
    <row r="826" spans="1:5" x14ac:dyDescent="0.3">
      <c r="A826">
        <v>6367</v>
      </c>
      <c r="B826">
        <v>1348</v>
      </c>
      <c r="C826" s="1">
        <v>45937.601851851854</v>
      </c>
      <c r="D826" t="s">
        <v>92</v>
      </c>
      <c r="E826" t="s">
        <v>109</v>
      </c>
    </row>
    <row r="827" spans="1:5" x14ac:dyDescent="0.3">
      <c r="A827">
        <v>6373</v>
      </c>
      <c r="B827">
        <v>1348</v>
      </c>
      <c r="C827" s="1">
        <v>45937.602361111109</v>
      </c>
      <c r="D827" t="s">
        <v>94</v>
      </c>
      <c r="E827" t="s">
        <v>57</v>
      </c>
    </row>
    <row r="828" spans="1:5" x14ac:dyDescent="0.3">
      <c r="A828">
        <v>6376</v>
      </c>
      <c r="B828">
        <v>1348</v>
      </c>
      <c r="C828" s="1">
        <v>45937.602442129632</v>
      </c>
      <c r="D828" t="s">
        <v>95</v>
      </c>
      <c r="E828" t="s">
        <v>57</v>
      </c>
    </row>
    <row r="829" spans="1:5" x14ac:dyDescent="0.3">
      <c r="A829">
        <v>6433</v>
      </c>
      <c r="B829">
        <v>1348</v>
      </c>
      <c r="C829" s="1">
        <v>45937.605833333335</v>
      </c>
      <c r="D829" t="s">
        <v>96</v>
      </c>
      <c r="E829" t="s">
        <v>57</v>
      </c>
    </row>
    <row r="830" spans="1:5" x14ac:dyDescent="0.3">
      <c r="A830">
        <v>6450</v>
      </c>
      <c r="B830">
        <v>1348</v>
      </c>
      <c r="C830" s="1">
        <v>45937.60664351852</v>
      </c>
      <c r="D830" t="s">
        <v>97</v>
      </c>
      <c r="E830" t="s">
        <v>57</v>
      </c>
    </row>
    <row r="831" spans="1:5" x14ac:dyDescent="0.3">
      <c r="A831">
        <v>6470</v>
      </c>
      <c r="B831">
        <v>1348</v>
      </c>
      <c r="C831" s="1">
        <v>45937.607731481483</v>
      </c>
      <c r="D831" t="s">
        <v>98</v>
      </c>
      <c r="E831" t="s">
        <v>57</v>
      </c>
    </row>
    <row r="832" spans="1:5" x14ac:dyDescent="0.3">
      <c r="A832">
        <v>6491</v>
      </c>
      <c r="B832">
        <v>1348</v>
      </c>
      <c r="C832" s="1">
        <v>45937.608773148146</v>
      </c>
      <c r="D832" t="s">
        <v>99</v>
      </c>
      <c r="E832" t="s">
        <v>57</v>
      </c>
    </row>
    <row r="833" spans="1:5" x14ac:dyDescent="0.3">
      <c r="A833">
        <v>6519</v>
      </c>
      <c r="B833">
        <v>1373</v>
      </c>
      <c r="C833" s="1">
        <v>45937.611342592594</v>
      </c>
      <c r="D833" t="s">
        <v>88</v>
      </c>
      <c r="E833" t="s">
        <v>57</v>
      </c>
    </row>
    <row r="834" spans="1:5" x14ac:dyDescent="0.3">
      <c r="A834">
        <v>6530</v>
      </c>
      <c r="B834">
        <v>1373</v>
      </c>
      <c r="C834" s="1">
        <v>45937.611435185187</v>
      </c>
      <c r="D834" t="s">
        <v>89</v>
      </c>
      <c r="E834" t="s">
        <v>57</v>
      </c>
    </row>
    <row r="835" spans="1:5" x14ac:dyDescent="0.3">
      <c r="A835">
        <v>6561</v>
      </c>
      <c r="B835">
        <v>1373</v>
      </c>
      <c r="C835" s="1">
        <v>45937.612361111111</v>
      </c>
      <c r="D835" t="s">
        <v>100</v>
      </c>
      <c r="E835" t="s">
        <v>57</v>
      </c>
    </row>
    <row r="836" spans="1:5" x14ac:dyDescent="0.3">
      <c r="A836">
        <v>6574</v>
      </c>
      <c r="B836">
        <v>1373</v>
      </c>
      <c r="C836" s="1">
        <v>45937.61273148148</v>
      </c>
      <c r="D836" t="s">
        <v>101</v>
      </c>
      <c r="E836" t="s">
        <v>57</v>
      </c>
    </row>
    <row r="837" spans="1:5" x14ac:dyDescent="0.3">
      <c r="A837">
        <v>6586</v>
      </c>
      <c r="B837">
        <v>1373</v>
      </c>
      <c r="C837" s="1">
        <v>45937.613125000003</v>
      </c>
      <c r="D837" t="s">
        <v>102</v>
      </c>
      <c r="E837" t="s">
        <v>57</v>
      </c>
    </row>
    <row r="838" spans="1:5" x14ac:dyDescent="0.3">
      <c r="A838">
        <v>6594</v>
      </c>
      <c r="B838">
        <v>1373</v>
      </c>
      <c r="C838" s="1">
        <v>45937.613229166665</v>
      </c>
      <c r="D838" t="s">
        <v>94</v>
      </c>
      <c r="E838" t="s">
        <v>57</v>
      </c>
    </row>
    <row r="839" spans="1:5" x14ac:dyDescent="0.3">
      <c r="A839">
        <v>6615</v>
      </c>
      <c r="B839">
        <v>1373</v>
      </c>
      <c r="C839" s="1">
        <v>45937.613692129627</v>
      </c>
      <c r="D839" t="s">
        <v>95</v>
      </c>
      <c r="E839" t="s">
        <v>57</v>
      </c>
    </row>
    <row r="840" spans="1:5" x14ac:dyDescent="0.3">
      <c r="A840">
        <v>6681</v>
      </c>
      <c r="B840">
        <v>1373</v>
      </c>
      <c r="C840" s="1">
        <v>45937.61513888889</v>
      </c>
      <c r="D840" t="s">
        <v>96</v>
      </c>
      <c r="E840" t="s">
        <v>57</v>
      </c>
    </row>
    <row r="841" spans="1:5" x14ac:dyDescent="0.3">
      <c r="A841">
        <v>6696</v>
      </c>
      <c r="B841">
        <v>1373</v>
      </c>
      <c r="C841" s="1">
        <v>45937.61546296296</v>
      </c>
      <c r="D841" t="s">
        <v>97</v>
      </c>
      <c r="E841" t="s">
        <v>57</v>
      </c>
    </row>
    <row r="842" spans="1:5" x14ac:dyDescent="0.3">
      <c r="A842">
        <v>6719</v>
      </c>
      <c r="B842">
        <v>1373</v>
      </c>
      <c r="C842" s="1">
        <v>45937.616388888891</v>
      </c>
      <c r="D842" t="s">
        <v>98</v>
      </c>
      <c r="E842" t="s">
        <v>57</v>
      </c>
    </row>
    <row r="843" spans="1:5" x14ac:dyDescent="0.3">
      <c r="A843">
        <v>6734</v>
      </c>
      <c r="B843">
        <v>1373</v>
      </c>
      <c r="C843" s="1">
        <v>45937.616898148146</v>
      </c>
      <c r="D843" t="s">
        <v>99</v>
      </c>
      <c r="E843" t="s">
        <v>57</v>
      </c>
    </row>
    <row r="844" spans="1:5" x14ac:dyDescent="0.3">
      <c r="A844">
        <v>6752</v>
      </c>
      <c r="B844">
        <v>1394</v>
      </c>
      <c r="C844" s="1">
        <v>45937.617407407408</v>
      </c>
      <c r="D844" t="s">
        <v>88</v>
      </c>
      <c r="E844" t="s">
        <v>57</v>
      </c>
    </row>
    <row r="845" spans="1:5" x14ac:dyDescent="0.3">
      <c r="A845">
        <v>6763</v>
      </c>
      <c r="B845">
        <v>1394</v>
      </c>
      <c r="C845" s="1">
        <v>45937.617777777778</v>
      </c>
      <c r="D845" t="s">
        <v>89</v>
      </c>
      <c r="E845" t="s">
        <v>57</v>
      </c>
    </row>
    <row r="846" spans="1:5" x14ac:dyDescent="0.3">
      <c r="A846">
        <v>6806</v>
      </c>
      <c r="B846">
        <v>1394</v>
      </c>
      <c r="C846" s="1">
        <v>45937.618449074071</v>
      </c>
      <c r="D846" t="s">
        <v>100</v>
      </c>
      <c r="E846" t="s">
        <v>57</v>
      </c>
    </row>
    <row r="847" spans="1:5" x14ac:dyDescent="0.3">
      <c r="A847">
        <v>6808</v>
      </c>
      <c r="B847">
        <v>1394</v>
      </c>
      <c r="C847" s="1">
        <v>45937.618530092594</v>
      </c>
      <c r="D847" t="s">
        <v>101</v>
      </c>
      <c r="E847" t="s">
        <v>57</v>
      </c>
    </row>
    <row r="848" spans="1:5" x14ac:dyDescent="0.3">
      <c r="A848">
        <v>6822</v>
      </c>
      <c r="B848">
        <v>1394</v>
      </c>
      <c r="C848" s="1">
        <v>45937.618784722225</v>
      </c>
      <c r="D848" t="s">
        <v>102</v>
      </c>
      <c r="E848" t="s">
        <v>57</v>
      </c>
    </row>
    <row r="849" spans="1:5" x14ac:dyDescent="0.3">
      <c r="A849">
        <v>6827</v>
      </c>
      <c r="B849">
        <v>1394</v>
      </c>
      <c r="C849" s="1">
        <v>45937.618831018517</v>
      </c>
      <c r="D849" t="s">
        <v>94</v>
      </c>
      <c r="E849" t="s">
        <v>57</v>
      </c>
    </row>
    <row r="850" spans="1:5" x14ac:dyDescent="0.3">
      <c r="A850">
        <v>6840</v>
      </c>
      <c r="B850">
        <v>1394</v>
      </c>
      <c r="C850" s="1">
        <v>45937.618981481479</v>
      </c>
      <c r="D850" t="s">
        <v>95</v>
      </c>
      <c r="E850" t="s">
        <v>57</v>
      </c>
    </row>
    <row r="851" spans="1:5" x14ac:dyDescent="0.3">
      <c r="A851">
        <v>6890</v>
      </c>
      <c r="B851">
        <v>1394</v>
      </c>
      <c r="C851" s="1">
        <v>45937.619826388887</v>
      </c>
      <c r="D851" t="s">
        <v>96</v>
      </c>
      <c r="E851" t="s">
        <v>57</v>
      </c>
    </row>
    <row r="852" spans="1:5" x14ac:dyDescent="0.3">
      <c r="A852">
        <v>6936</v>
      </c>
      <c r="B852">
        <v>1394</v>
      </c>
      <c r="C852" s="1">
        <v>45937.620555555557</v>
      </c>
      <c r="D852" t="s">
        <v>97</v>
      </c>
      <c r="E852" t="s">
        <v>57</v>
      </c>
    </row>
    <row r="853" spans="1:5" x14ac:dyDescent="0.3">
      <c r="A853">
        <v>6948</v>
      </c>
      <c r="B853">
        <v>1394</v>
      </c>
      <c r="C853" s="1">
        <v>45937.621180555558</v>
      </c>
      <c r="D853" t="s">
        <v>98</v>
      </c>
      <c r="E853" t="s">
        <v>57</v>
      </c>
    </row>
    <row r="854" spans="1:5" x14ac:dyDescent="0.3">
      <c r="A854">
        <v>6964</v>
      </c>
      <c r="B854">
        <v>1394</v>
      </c>
      <c r="C854" s="1">
        <v>45937.621574074074</v>
      </c>
      <c r="D854" t="s">
        <v>99</v>
      </c>
      <c r="E854" t="s">
        <v>57</v>
      </c>
    </row>
    <row r="855" spans="1:5" x14ac:dyDescent="0.3">
      <c r="A855">
        <v>6984</v>
      </c>
      <c r="B855">
        <v>1413</v>
      </c>
      <c r="C855" s="1">
        <v>45937.622152777774</v>
      </c>
      <c r="D855" t="s">
        <v>88</v>
      </c>
      <c r="E855" t="s">
        <v>57</v>
      </c>
    </row>
    <row r="856" spans="1:5" x14ac:dyDescent="0.3">
      <c r="A856">
        <v>7000</v>
      </c>
      <c r="B856">
        <v>1413</v>
      </c>
      <c r="C856" s="1">
        <v>45937.622499999998</v>
      </c>
      <c r="D856" t="s">
        <v>89</v>
      </c>
      <c r="E856" t="s">
        <v>57</v>
      </c>
    </row>
    <row r="857" spans="1:5" x14ac:dyDescent="0.3">
      <c r="A857">
        <v>7025</v>
      </c>
      <c r="B857">
        <v>1413</v>
      </c>
      <c r="C857" s="1">
        <v>45937.623310185183</v>
      </c>
      <c r="D857" t="s">
        <v>100</v>
      </c>
      <c r="E857" t="s">
        <v>57</v>
      </c>
    </row>
    <row r="858" spans="1:5" x14ac:dyDescent="0.3">
      <c r="A858">
        <v>7102</v>
      </c>
      <c r="B858">
        <v>1413</v>
      </c>
      <c r="C858" s="1">
        <v>45937.624722222223</v>
      </c>
      <c r="D858" t="s">
        <v>101</v>
      </c>
      <c r="E858" t="s">
        <v>57</v>
      </c>
    </row>
    <row r="859" spans="1:5" x14ac:dyDescent="0.3">
      <c r="A859">
        <v>7121</v>
      </c>
      <c r="B859">
        <v>1413</v>
      </c>
      <c r="C859" s="1">
        <v>45937.625231481485</v>
      </c>
      <c r="D859" t="s">
        <v>102</v>
      </c>
      <c r="E859" t="s">
        <v>57</v>
      </c>
    </row>
    <row r="860" spans="1:5" x14ac:dyDescent="0.3">
      <c r="A860">
        <v>7124</v>
      </c>
      <c r="B860">
        <v>1413</v>
      </c>
      <c r="C860" s="1">
        <v>45937.6252662037</v>
      </c>
      <c r="D860" t="s">
        <v>94</v>
      </c>
      <c r="E860" t="s">
        <v>57</v>
      </c>
    </row>
    <row r="861" spans="1:5" x14ac:dyDescent="0.3">
      <c r="A861">
        <v>7137</v>
      </c>
      <c r="B861">
        <v>1413</v>
      </c>
      <c r="C861" s="1">
        <v>45937.625428240739</v>
      </c>
      <c r="D861" t="s">
        <v>95</v>
      </c>
      <c r="E861" t="s">
        <v>57</v>
      </c>
    </row>
    <row r="862" spans="1:5" x14ac:dyDescent="0.3">
      <c r="A862">
        <v>7144</v>
      </c>
      <c r="B862">
        <v>1413</v>
      </c>
      <c r="C862" s="1">
        <v>45937.625706018516</v>
      </c>
      <c r="D862" t="s">
        <v>96</v>
      </c>
      <c r="E862" t="s">
        <v>57</v>
      </c>
    </row>
    <row r="863" spans="1:5" x14ac:dyDescent="0.3">
      <c r="A863">
        <v>7158</v>
      </c>
      <c r="B863">
        <v>1413</v>
      </c>
      <c r="C863" s="1">
        <v>45937.626238425924</v>
      </c>
      <c r="D863" t="s">
        <v>97</v>
      </c>
      <c r="E863" t="s">
        <v>57</v>
      </c>
    </row>
    <row r="864" spans="1:5" x14ac:dyDescent="0.3">
      <c r="A864">
        <v>7174</v>
      </c>
      <c r="B864">
        <v>1413</v>
      </c>
      <c r="C864" s="1">
        <v>45937.626828703702</v>
      </c>
      <c r="D864" t="s">
        <v>98</v>
      </c>
      <c r="E864" t="s">
        <v>57</v>
      </c>
    </row>
    <row r="865" spans="1:5" x14ac:dyDescent="0.3">
      <c r="A865">
        <v>7181</v>
      </c>
      <c r="B865">
        <v>1413</v>
      </c>
      <c r="C865" s="1">
        <v>45937.627025462964</v>
      </c>
      <c r="D865" t="s">
        <v>99</v>
      </c>
      <c r="E865" t="s">
        <v>57</v>
      </c>
    </row>
    <row r="866" spans="1:5" x14ac:dyDescent="0.3">
      <c r="A866">
        <v>6263</v>
      </c>
      <c r="B866">
        <v>1324</v>
      </c>
      <c r="C866" s="1">
        <v>45937.578645833331</v>
      </c>
      <c r="D866" t="s">
        <v>86</v>
      </c>
      <c r="E866" t="s">
        <v>87</v>
      </c>
    </row>
    <row r="867" spans="1:5" x14ac:dyDescent="0.3">
      <c r="A867">
        <v>6286</v>
      </c>
      <c r="B867">
        <v>1347</v>
      </c>
      <c r="C867" s="1">
        <v>45937.595902777779</v>
      </c>
      <c r="D867" t="s">
        <v>88</v>
      </c>
      <c r="E867" t="s">
        <v>57</v>
      </c>
    </row>
    <row r="868" spans="1:5" x14ac:dyDescent="0.3">
      <c r="A868">
        <v>6294</v>
      </c>
      <c r="B868">
        <v>1347</v>
      </c>
      <c r="C868" s="1">
        <v>45937.596689814818</v>
      </c>
      <c r="D868" t="s">
        <v>89</v>
      </c>
      <c r="E868" t="s">
        <v>57</v>
      </c>
    </row>
    <row r="869" spans="1:5" x14ac:dyDescent="0.3">
      <c r="A869">
        <v>6324</v>
      </c>
      <c r="B869">
        <v>1347</v>
      </c>
      <c r="C869" s="1">
        <v>45937.598391203705</v>
      </c>
      <c r="D869" t="s">
        <v>90</v>
      </c>
      <c r="E869" t="s">
        <v>57</v>
      </c>
    </row>
    <row r="870" spans="1:5" x14ac:dyDescent="0.3">
      <c r="A870">
        <v>6354</v>
      </c>
      <c r="B870">
        <v>1347</v>
      </c>
      <c r="C870" s="1">
        <v>45937.601238425923</v>
      </c>
      <c r="D870" t="s">
        <v>91</v>
      </c>
      <c r="E870" t="s">
        <v>57</v>
      </c>
    </row>
    <row r="871" spans="1:5" x14ac:dyDescent="0.3">
      <c r="A871">
        <v>6366</v>
      </c>
      <c r="B871">
        <v>1347</v>
      </c>
      <c r="C871" s="1">
        <v>45937.601840277777</v>
      </c>
      <c r="D871" t="s">
        <v>92</v>
      </c>
      <c r="E871" t="s">
        <v>116</v>
      </c>
    </row>
    <row r="872" spans="1:5" x14ac:dyDescent="0.3">
      <c r="A872">
        <v>6370</v>
      </c>
      <c r="B872">
        <v>1347</v>
      </c>
      <c r="C872" s="1">
        <v>45937.602013888885</v>
      </c>
      <c r="D872" t="s">
        <v>94</v>
      </c>
      <c r="E872" t="s">
        <v>57</v>
      </c>
    </row>
    <row r="873" spans="1:5" x14ac:dyDescent="0.3">
      <c r="A873">
        <v>6377</v>
      </c>
      <c r="B873">
        <v>1347</v>
      </c>
      <c r="C873" s="1">
        <v>45937.602453703701</v>
      </c>
      <c r="D873" t="s">
        <v>95</v>
      </c>
      <c r="E873" t="s">
        <v>57</v>
      </c>
    </row>
    <row r="874" spans="1:5" x14ac:dyDescent="0.3">
      <c r="A874">
        <v>6429</v>
      </c>
      <c r="B874">
        <v>1347</v>
      </c>
      <c r="C874" s="1">
        <v>45937.605405092596</v>
      </c>
      <c r="D874" t="s">
        <v>96</v>
      </c>
      <c r="E874" t="s">
        <v>57</v>
      </c>
    </row>
    <row r="875" spans="1:5" x14ac:dyDescent="0.3">
      <c r="A875">
        <v>6451</v>
      </c>
      <c r="B875">
        <v>1347</v>
      </c>
      <c r="C875" s="1">
        <v>45937.60665509259</v>
      </c>
      <c r="D875" t="s">
        <v>97</v>
      </c>
      <c r="E875" t="s">
        <v>57</v>
      </c>
    </row>
    <row r="876" spans="1:5" x14ac:dyDescent="0.3">
      <c r="A876">
        <v>6464</v>
      </c>
      <c r="B876">
        <v>1347</v>
      </c>
      <c r="C876" s="1">
        <v>45937.607662037037</v>
      </c>
      <c r="D876" t="s">
        <v>98</v>
      </c>
      <c r="E876" t="s">
        <v>57</v>
      </c>
    </row>
    <row r="877" spans="1:5" x14ac:dyDescent="0.3">
      <c r="A877">
        <v>6486</v>
      </c>
      <c r="B877">
        <v>1347</v>
      </c>
      <c r="C877" s="1">
        <v>45937.608738425923</v>
      </c>
      <c r="D877" t="s">
        <v>99</v>
      </c>
      <c r="E877" t="s">
        <v>57</v>
      </c>
    </row>
    <row r="878" spans="1:5" x14ac:dyDescent="0.3">
      <c r="A878">
        <v>6526</v>
      </c>
      <c r="B878">
        <v>1380</v>
      </c>
      <c r="C878" s="1">
        <v>45937.611388888887</v>
      </c>
      <c r="D878" t="s">
        <v>88</v>
      </c>
      <c r="E878" t="s">
        <v>57</v>
      </c>
    </row>
    <row r="879" spans="1:5" x14ac:dyDescent="0.3">
      <c r="A879">
        <v>6531</v>
      </c>
      <c r="B879">
        <v>1380</v>
      </c>
      <c r="C879" s="1">
        <v>45937.611446759256</v>
      </c>
      <c r="D879" t="s">
        <v>89</v>
      </c>
      <c r="E879" t="s">
        <v>57</v>
      </c>
    </row>
    <row r="880" spans="1:5" x14ac:dyDescent="0.3">
      <c r="A880">
        <v>6563</v>
      </c>
      <c r="B880">
        <v>1380</v>
      </c>
      <c r="C880" s="1">
        <v>45937.612453703703</v>
      </c>
      <c r="D880" t="s">
        <v>100</v>
      </c>
      <c r="E880" t="s">
        <v>57</v>
      </c>
    </row>
    <row r="881" spans="1:5" x14ac:dyDescent="0.3">
      <c r="A881">
        <v>6577</v>
      </c>
      <c r="B881">
        <v>1380</v>
      </c>
      <c r="C881" s="1">
        <v>45937.61277777778</v>
      </c>
      <c r="D881" t="s">
        <v>101</v>
      </c>
      <c r="E881" t="s">
        <v>57</v>
      </c>
    </row>
    <row r="882" spans="1:5" x14ac:dyDescent="0.3">
      <c r="A882">
        <v>6589</v>
      </c>
      <c r="B882">
        <v>1380</v>
      </c>
      <c r="C882" s="1">
        <v>45937.613171296296</v>
      </c>
      <c r="D882" t="s">
        <v>102</v>
      </c>
      <c r="E882" t="s">
        <v>57</v>
      </c>
    </row>
    <row r="883" spans="1:5" x14ac:dyDescent="0.3">
      <c r="A883">
        <v>6592</v>
      </c>
      <c r="B883">
        <v>1380</v>
      </c>
      <c r="C883" s="1">
        <v>45937.613206018519</v>
      </c>
      <c r="D883" t="s">
        <v>94</v>
      </c>
      <c r="E883" t="s">
        <v>57</v>
      </c>
    </row>
    <row r="884" spans="1:5" x14ac:dyDescent="0.3">
      <c r="A884">
        <v>6611</v>
      </c>
      <c r="B884">
        <v>1380</v>
      </c>
      <c r="C884" s="1">
        <v>45937.613645833335</v>
      </c>
      <c r="D884" t="s">
        <v>95</v>
      </c>
      <c r="E884" t="s">
        <v>57</v>
      </c>
    </row>
    <row r="885" spans="1:5" x14ac:dyDescent="0.3">
      <c r="A885">
        <v>6630</v>
      </c>
      <c r="B885">
        <v>1380</v>
      </c>
      <c r="C885" s="1">
        <v>45937.614004629628</v>
      </c>
      <c r="D885" t="s">
        <v>96</v>
      </c>
      <c r="E885" t="s">
        <v>57</v>
      </c>
    </row>
    <row r="886" spans="1:5" x14ac:dyDescent="0.3">
      <c r="A886">
        <v>6689</v>
      </c>
      <c r="B886">
        <v>1380</v>
      </c>
      <c r="C886" s="1">
        <v>45937.615219907406</v>
      </c>
      <c r="D886" t="s">
        <v>97</v>
      </c>
      <c r="E886" t="s">
        <v>57</v>
      </c>
    </row>
    <row r="887" spans="1:5" x14ac:dyDescent="0.3">
      <c r="A887">
        <v>6718</v>
      </c>
      <c r="B887">
        <v>1380</v>
      </c>
      <c r="C887" s="1">
        <v>45937.616307870368</v>
      </c>
      <c r="D887" t="s">
        <v>98</v>
      </c>
      <c r="E887" t="s">
        <v>57</v>
      </c>
    </row>
    <row r="888" spans="1:5" x14ac:dyDescent="0.3">
      <c r="A888">
        <v>6732</v>
      </c>
      <c r="B888">
        <v>1380</v>
      </c>
      <c r="C888" s="1">
        <v>45937.616863425923</v>
      </c>
      <c r="D888" t="s">
        <v>99</v>
      </c>
      <c r="E888" t="s">
        <v>57</v>
      </c>
    </row>
    <row r="889" spans="1:5" x14ac:dyDescent="0.3">
      <c r="A889">
        <v>6755</v>
      </c>
      <c r="B889">
        <v>1397</v>
      </c>
      <c r="C889" s="1">
        <v>45937.617511574077</v>
      </c>
      <c r="D889" t="s">
        <v>88</v>
      </c>
      <c r="E889" t="s">
        <v>57</v>
      </c>
    </row>
    <row r="890" spans="1:5" x14ac:dyDescent="0.3">
      <c r="A890">
        <v>6759</v>
      </c>
      <c r="B890">
        <v>1397</v>
      </c>
      <c r="C890" s="1">
        <v>45937.617708333331</v>
      </c>
      <c r="D890" t="s">
        <v>89</v>
      </c>
      <c r="E890" t="s">
        <v>57</v>
      </c>
    </row>
    <row r="891" spans="1:5" x14ac:dyDescent="0.3">
      <c r="A891">
        <v>6799</v>
      </c>
      <c r="B891">
        <v>1397</v>
      </c>
      <c r="C891" s="1">
        <v>45937.618402777778</v>
      </c>
      <c r="D891" t="s">
        <v>100</v>
      </c>
      <c r="E891" t="s">
        <v>57</v>
      </c>
    </row>
    <row r="892" spans="1:5" x14ac:dyDescent="0.3">
      <c r="A892">
        <v>6805</v>
      </c>
      <c r="B892">
        <v>1397</v>
      </c>
      <c r="C892" s="1">
        <v>45937.618437500001</v>
      </c>
      <c r="D892" t="s">
        <v>101</v>
      </c>
      <c r="E892" t="s">
        <v>57</v>
      </c>
    </row>
    <row r="893" spans="1:5" x14ac:dyDescent="0.3">
      <c r="A893">
        <v>6819</v>
      </c>
      <c r="B893">
        <v>1397</v>
      </c>
      <c r="C893" s="1">
        <v>45937.618761574071</v>
      </c>
      <c r="D893" t="s">
        <v>102</v>
      </c>
      <c r="E893" t="s">
        <v>57</v>
      </c>
    </row>
    <row r="894" spans="1:5" x14ac:dyDescent="0.3">
      <c r="A894">
        <v>6828</v>
      </c>
      <c r="B894">
        <v>1397</v>
      </c>
      <c r="C894" s="1">
        <v>45937.618842592594</v>
      </c>
      <c r="D894" t="s">
        <v>94</v>
      </c>
      <c r="E894" t="s">
        <v>57</v>
      </c>
    </row>
    <row r="895" spans="1:5" x14ac:dyDescent="0.3">
      <c r="A895">
        <v>6839</v>
      </c>
      <c r="B895">
        <v>1397</v>
      </c>
      <c r="C895" s="1">
        <v>45937.618981481479</v>
      </c>
      <c r="D895" t="s">
        <v>95</v>
      </c>
      <c r="E895" t="s">
        <v>57</v>
      </c>
    </row>
    <row r="896" spans="1:5" x14ac:dyDescent="0.3">
      <c r="A896">
        <v>6891</v>
      </c>
      <c r="B896">
        <v>1397</v>
      </c>
      <c r="C896" s="1">
        <v>45937.619837962964</v>
      </c>
      <c r="D896" t="s">
        <v>96</v>
      </c>
      <c r="E896" t="s">
        <v>57</v>
      </c>
    </row>
    <row r="897" spans="1:5" x14ac:dyDescent="0.3">
      <c r="A897">
        <v>6938</v>
      </c>
      <c r="B897">
        <v>1397</v>
      </c>
      <c r="C897" s="1">
        <v>45937.620567129627</v>
      </c>
      <c r="D897" t="s">
        <v>97</v>
      </c>
      <c r="E897" t="s">
        <v>57</v>
      </c>
    </row>
    <row r="898" spans="1:5" x14ac:dyDescent="0.3">
      <c r="A898">
        <v>6952</v>
      </c>
      <c r="B898">
        <v>1397</v>
      </c>
      <c r="C898" s="1">
        <v>45937.621203703704</v>
      </c>
      <c r="D898" t="s">
        <v>98</v>
      </c>
      <c r="E898" t="s">
        <v>57</v>
      </c>
    </row>
    <row r="899" spans="1:5" x14ac:dyDescent="0.3">
      <c r="A899">
        <v>6966</v>
      </c>
      <c r="B899">
        <v>1397</v>
      </c>
      <c r="C899" s="1">
        <v>45937.62158564815</v>
      </c>
      <c r="D899" t="s">
        <v>99</v>
      </c>
      <c r="E899" t="s">
        <v>57</v>
      </c>
    </row>
    <row r="900" spans="1:5" x14ac:dyDescent="0.3">
      <c r="A900">
        <v>6986</v>
      </c>
      <c r="B900">
        <v>1415</v>
      </c>
      <c r="C900" s="1">
        <v>45937.622164351851</v>
      </c>
      <c r="D900" t="s">
        <v>88</v>
      </c>
      <c r="E900" t="s">
        <v>57</v>
      </c>
    </row>
    <row r="901" spans="1:5" x14ac:dyDescent="0.3">
      <c r="A901">
        <v>6988</v>
      </c>
      <c r="B901">
        <v>1415</v>
      </c>
      <c r="C901" s="1">
        <v>45937.622199074074</v>
      </c>
      <c r="D901" t="s">
        <v>89</v>
      </c>
      <c r="E901" t="s">
        <v>57</v>
      </c>
    </row>
    <row r="902" spans="1:5" x14ac:dyDescent="0.3">
      <c r="A902">
        <v>7024</v>
      </c>
      <c r="B902">
        <v>1415</v>
      </c>
      <c r="C902" s="1">
        <v>45937.623310185183</v>
      </c>
      <c r="D902" t="s">
        <v>100</v>
      </c>
      <c r="E902" t="s">
        <v>57</v>
      </c>
    </row>
    <row r="903" spans="1:5" x14ac:dyDescent="0.3">
      <c r="A903">
        <v>7100</v>
      </c>
      <c r="B903">
        <v>1415</v>
      </c>
      <c r="C903" s="1">
        <v>45937.624710648146</v>
      </c>
      <c r="D903" t="s">
        <v>101</v>
      </c>
      <c r="E903" t="s">
        <v>57</v>
      </c>
    </row>
    <row r="904" spans="1:5" x14ac:dyDescent="0.3">
      <c r="A904">
        <v>7119</v>
      </c>
      <c r="B904">
        <v>1415</v>
      </c>
      <c r="C904" s="1">
        <v>45937.625208333331</v>
      </c>
      <c r="D904" t="s">
        <v>102</v>
      </c>
      <c r="E904" t="s">
        <v>57</v>
      </c>
    </row>
    <row r="905" spans="1:5" x14ac:dyDescent="0.3">
      <c r="A905">
        <v>7128</v>
      </c>
      <c r="B905">
        <v>1415</v>
      </c>
      <c r="C905" s="1">
        <v>45937.6253125</v>
      </c>
      <c r="D905" t="s">
        <v>94</v>
      </c>
      <c r="E905" t="s">
        <v>57</v>
      </c>
    </row>
    <row r="906" spans="1:5" x14ac:dyDescent="0.3">
      <c r="A906">
        <v>7135</v>
      </c>
      <c r="B906">
        <v>1415</v>
      </c>
      <c r="C906" s="1">
        <v>45937.625405092593</v>
      </c>
      <c r="D906" t="s">
        <v>95</v>
      </c>
      <c r="E906" t="s">
        <v>57</v>
      </c>
    </row>
    <row r="907" spans="1:5" x14ac:dyDescent="0.3">
      <c r="A907">
        <v>7152</v>
      </c>
      <c r="B907">
        <v>1415</v>
      </c>
      <c r="C907" s="1">
        <v>45937.625972222224</v>
      </c>
      <c r="D907" t="s">
        <v>96</v>
      </c>
      <c r="E907" t="s">
        <v>57</v>
      </c>
    </row>
    <row r="908" spans="1:5" x14ac:dyDescent="0.3">
      <c r="A908">
        <v>7159</v>
      </c>
      <c r="B908">
        <v>1415</v>
      </c>
      <c r="C908" s="1">
        <v>45937.626250000001</v>
      </c>
      <c r="D908" t="s">
        <v>97</v>
      </c>
      <c r="E908" t="s">
        <v>57</v>
      </c>
    </row>
    <row r="909" spans="1:5" x14ac:dyDescent="0.3">
      <c r="A909">
        <v>7175</v>
      </c>
      <c r="B909">
        <v>1415</v>
      </c>
      <c r="C909" s="1">
        <v>45937.626840277779</v>
      </c>
      <c r="D909" t="s">
        <v>98</v>
      </c>
      <c r="E909" t="s">
        <v>57</v>
      </c>
    </row>
    <row r="910" spans="1:5" x14ac:dyDescent="0.3">
      <c r="A910">
        <v>7183</v>
      </c>
      <c r="B910">
        <v>1415</v>
      </c>
      <c r="C910" s="1">
        <v>45937.62703703704</v>
      </c>
      <c r="D910" t="s">
        <v>99</v>
      </c>
      <c r="E910" t="s">
        <v>57</v>
      </c>
    </row>
    <row r="911" spans="1:5" x14ac:dyDescent="0.3">
      <c r="A911">
        <v>6268</v>
      </c>
      <c r="B911">
        <v>1329</v>
      </c>
      <c r="C911" s="1">
        <v>45937.579710648148</v>
      </c>
      <c r="D911" t="s">
        <v>86</v>
      </c>
      <c r="E911" t="s">
        <v>87</v>
      </c>
    </row>
    <row r="912" spans="1:5" x14ac:dyDescent="0.3">
      <c r="A912">
        <v>6284</v>
      </c>
      <c r="B912">
        <v>1345</v>
      </c>
      <c r="C912" s="1">
        <v>45937.595891203702</v>
      </c>
      <c r="D912" t="s">
        <v>88</v>
      </c>
      <c r="E912" t="s">
        <v>57</v>
      </c>
    </row>
    <row r="913" spans="1:5" x14ac:dyDescent="0.3">
      <c r="A913">
        <v>6292</v>
      </c>
      <c r="B913">
        <v>1345</v>
      </c>
      <c r="C913" s="1">
        <v>45937.596678240741</v>
      </c>
      <c r="D913" t="s">
        <v>89</v>
      </c>
      <c r="E913" t="s">
        <v>57</v>
      </c>
    </row>
    <row r="914" spans="1:5" x14ac:dyDescent="0.3">
      <c r="A914">
        <v>6321</v>
      </c>
      <c r="B914">
        <v>1345</v>
      </c>
      <c r="C914" s="1">
        <v>45937.598368055558</v>
      </c>
      <c r="D914" t="s">
        <v>90</v>
      </c>
      <c r="E914" t="s">
        <v>57</v>
      </c>
    </row>
    <row r="915" spans="1:5" x14ac:dyDescent="0.3">
      <c r="A915">
        <v>6355</v>
      </c>
      <c r="B915">
        <v>1345</v>
      </c>
      <c r="C915" s="1">
        <v>45937.601261574076</v>
      </c>
      <c r="D915" t="s">
        <v>91</v>
      </c>
      <c r="E915" t="s">
        <v>57</v>
      </c>
    </row>
    <row r="916" spans="1:5" x14ac:dyDescent="0.3">
      <c r="A916">
        <v>6363</v>
      </c>
      <c r="B916">
        <v>1345</v>
      </c>
      <c r="C916" s="1">
        <v>45937.6018287037</v>
      </c>
      <c r="D916" t="s">
        <v>92</v>
      </c>
      <c r="E916" t="s">
        <v>104</v>
      </c>
    </row>
    <row r="917" spans="1:5" x14ac:dyDescent="0.3">
      <c r="A917">
        <v>6368</v>
      </c>
      <c r="B917">
        <v>1345</v>
      </c>
      <c r="C917" s="1">
        <v>45937.601898148147</v>
      </c>
      <c r="D917" t="s">
        <v>94</v>
      </c>
      <c r="E917" t="s">
        <v>57</v>
      </c>
    </row>
    <row r="918" spans="1:5" x14ac:dyDescent="0.3">
      <c r="A918">
        <v>6374</v>
      </c>
      <c r="B918">
        <v>1345</v>
      </c>
      <c r="C918" s="1">
        <v>45937.602407407408</v>
      </c>
      <c r="D918" t="s">
        <v>95</v>
      </c>
      <c r="E918" t="s">
        <v>57</v>
      </c>
    </row>
    <row r="919" spans="1:5" x14ac:dyDescent="0.3">
      <c r="A919">
        <v>6440</v>
      </c>
      <c r="B919">
        <v>1345</v>
      </c>
      <c r="C919" s="1">
        <v>45937.605902777781</v>
      </c>
      <c r="D919" t="s">
        <v>96</v>
      </c>
      <c r="E919" t="s">
        <v>57</v>
      </c>
    </row>
    <row r="920" spans="1:5" x14ac:dyDescent="0.3">
      <c r="A920">
        <v>6452</v>
      </c>
      <c r="B920">
        <v>1345</v>
      </c>
      <c r="C920" s="1">
        <v>45937.60670138889</v>
      </c>
      <c r="D920" t="s">
        <v>97</v>
      </c>
      <c r="E920" t="s">
        <v>57</v>
      </c>
    </row>
    <row r="921" spans="1:5" x14ac:dyDescent="0.3">
      <c r="A921">
        <v>6472</v>
      </c>
      <c r="B921">
        <v>1345</v>
      </c>
      <c r="C921" s="1">
        <v>45937.607824074075</v>
      </c>
      <c r="D921" t="s">
        <v>98</v>
      </c>
      <c r="E921" t="s">
        <v>57</v>
      </c>
    </row>
    <row r="922" spans="1:5" x14ac:dyDescent="0.3">
      <c r="A922">
        <v>6490</v>
      </c>
      <c r="B922">
        <v>1345</v>
      </c>
      <c r="C922" s="1">
        <v>45937.608749999999</v>
      </c>
      <c r="D922" t="s">
        <v>99</v>
      </c>
      <c r="E922" t="s">
        <v>57</v>
      </c>
    </row>
    <row r="923" spans="1:5" x14ac:dyDescent="0.3">
      <c r="A923">
        <v>6524</v>
      </c>
      <c r="B923">
        <v>1378</v>
      </c>
      <c r="C923" s="1">
        <v>45937.61136574074</v>
      </c>
      <c r="D923" t="s">
        <v>88</v>
      </c>
      <c r="E923" t="s">
        <v>57</v>
      </c>
    </row>
    <row r="924" spans="1:5" x14ac:dyDescent="0.3">
      <c r="A924">
        <v>6529</v>
      </c>
      <c r="B924">
        <v>1378</v>
      </c>
      <c r="C924" s="1">
        <v>45937.611435185187</v>
      </c>
      <c r="D924" t="s">
        <v>89</v>
      </c>
      <c r="E924" t="s">
        <v>57</v>
      </c>
    </row>
    <row r="925" spans="1:5" x14ac:dyDescent="0.3">
      <c r="A925">
        <v>6559</v>
      </c>
      <c r="B925">
        <v>1378</v>
      </c>
      <c r="C925" s="1">
        <v>45937.612337962964</v>
      </c>
      <c r="D925" t="s">
        <v>100</v>
      </c>
      <c r="E925" t="s">
        <v>57</v>
      </c>
    </row>
    <row r="926" spans="1:5" x14ac:dyDescent="0.3">
      <c r="A926">
        <v>6576</v>
      </c>
      <c r="B926">
        <v>1378</v>
      </c>
      <c r="C926" s="1">
        <v>45937.612766203703</v>
      </c>
      <c r="D926" t="s">
        <v>101</v>
      </c>
      <c r="E926" t="s">
        <v>57</v>
      </c>
    </row>
    <row r="927" spans="1:5" x14ac:dyDescent="0.3">
      <c r="A927">
        <v>6587</v>
      </c>
      <c r="B927">
        <v>1378</v>
      </c>
      <c r="C927" s="1">
        <v>45937.613125000003</v>
      </c>
      <c r="D927" t="s">
        <v>102</v>
      </c>
      <c r="E927" t="s">
        <v>57</v>
      </c>
    </row>
    <row r="928" spans="1:5" x14ac:dyDescent="0.3">
      <c r="A928">
        <v>6595</v>
      </c>
      <c r="B928">
        <v>1378</v>
      </c>
      <c r="C928" s="1">
        <v>45937.613263888888</v>
      </c>
      <c r="D928" t="s">
        <v>94</v>
      </c>
      <c r="E928" t="s">
        <v>57</v>
      </c>
    </row>
    <row r="929" spans="1:5" x14ac:dyDescent="0.3">
      <c r="A929">
        <v>6612</v>
      </c>
      <c r="B929">
        <v>1378</v>
      </c>
      <c r="C929" s="1">
        <v>45937.613645833335</v>
      </c>
      <c r="D929" t="s">
        <v>95</v>
      </c>
      <c r="E929" t="s">
        <v>57</v>
      </c>
    </row>
    <row r="930" spans="1:5" x14ac:dyDescent="0.3">
      <c r="A930">
        <v>6669</v>
      </c>
      <c r="B930">
        <v>1378</v>
      </c>
      <c r="C930" s="1">
        <v>45937.614814814813</v>
      </c>
      <c r="D930" t="s">
        <v>96</v>
      </c>
      <c r="E930" t="s">
        <v>57</v>
      </c>
    </row>
    <row r="931" spans="1:5" x14ac:dyDescent="0.3">
      <c r="A931">
        <v>6695</v>
      </c>
      <c r="B931">
        <v>1378</v>
      </c>
      <c r="C931" s="1">
        <v>45937.615451388891</v>
      </c>
      <c r="D931" t="s">
        <v>97</v>
      </c>
      <c r="E931" t="s">
        <v>57</v>
      </c>
    </row>
    <row r="932" spans="1:5" x14ac:dyDescent="0.3">
      <c r="A932">
        <v>6714</v>
      </c>
      <c r="B932">
        <v>1378</v>
      </c>
      <c r="C932" s="1">
        <v>45937.616261574076</v>
      </c>
      <c r="D932" t="s">
        <v>98</v>
      </c>
      <c r="E932" t="s">
        <v>57</v>
      </c>
    </row>
    <row r="933" spans="1:5" x14ac:dyDescent="0.3">
      <c r="A933">
        <v>6748</v>
      </c>
      <c r="B933">
        <v>1378</v>
      </c>
      <c r="C933" s="1">
        <v>45937.617199074077</v>
      </c>
      <c r="D933" t="s">
        <v>99</v>
      </c>
      <c r="E933" t="s">
        <v>57</v>
      </c>
    </row>
    <row r="934" spans="1:5" x14ac:dyDescent="0.3">
      <c r="A934">
        <v>6756</v>
      </c>
      <c r="B934">
        <v>1398</v>
      </c>
      <c r="C934" s="1">
        <v>45937.617511574077</v>
      </c>
      <c r="D934" t="s">
        <v>88</v>
      </c>
      <c r="E934" t="s">
        <v>57</v>
      </c>
    </row>
    <row r="935" spans="1:5" x14ac:dyDescent="0.3">
      <c r="A935">
        <v>6760</v>
      </c>
      <c r="B935">
        <v>1398</v>
      </c>
      <c r="C935" s="1">
        <v>45937.617719907408</v>
      </c>
      <c r="D935" t="s">
        <v>89</v>
      </c>
      <c r="E935" t="s">
        <v>57</v>
      </c>
    </row>
    <row r="936" spans="1:5" x14ac:dyDescent="0.3">
      <c r="A936">
        <v>6796</v>
      </c>
      <c r="B936">
        <v>1398</v>
      </c>
      <c r="C936" s="1">
        <v>45937.618379629632</v>
      </c>
      <c r="D936" t="s">
        <v>100</v>
      </c>
      <c r="E936" t="s">
        <v>57</v>
      </c>
    </row>
    <row r="937" spans="1:5" x14ac:dyDescent="0.3">
      <c r="A937">
        <v>6800</v>
      </c>
      <c r="B937">
        <v>1398</v>
      </c>
      <c r="C937" s="1">
        <v>45937.618402777778</v>
      </c>
      <c r="D937" t="s">
        <v>101</v>
      </c>
      <c r="E937" t="s">
        <v>57</v>
      </c>
    </row>
    <row r="938" spans="1:5" x14ac:dyDescent="0.3">
      <c r="A938">
        <v>6821</v>
      </c>
      <c r="B938">
        <v>1398</v>
      </c>
      <c r="C938" s="1">
        <v>45937.618773148148</v>
      </c>
      <c r="D938" t="s">
        <v>102</v>
      </c>
      <c r="E938" t="s">
        <v>57</v>
      </c>
    </row>
    <row r="939" spans="1:5" x14ac:dyDescent="0.3">
      <c r="A939">
        <v>6829</v>
      </c>
      <c r="B939">
        <v>1398</v>
      </c>
      <c r="C939" s="1">
        <v>45937.618854166663</v>
      </c>
      <c r="D939" t="s">
        <v>94</v>
      </c>
      <c r="E939" t="s">
        <v>57</v>
      </c>
    </row>
    <row r="940" spans="1:5" x14ac:dyDescent="0.3">
      <c r="A940">
        <v>6848</v>
      </c>
      <c r="B940">
        <v>1398</v>
      </c>
      <c r="C940" s="1">
        <v>45937.619155092594</v>
      </c>
      <c r="D940" t="s">
        <v>95</v>
      </c>
      <c r="E940" t="s">
        <v>57</v>
      </c>
    </row>
    <row r="941" spans="1:5" x14ac:dyDescent="0.3">
      <c r="A941">
        <v>6914</v>
      </c>
      <c r="B941">
        <v>1398</v>
      </c>
      <c r="C941" s="1">
        <v>45937.620162037034</v>
      </c>
      <c r="D941" t="s">
        <v>96</v>
      </c>
      <c r="E941" t="s">
        <v>57</v>
      </c>
    </row>
    <row r="942" spans="1:5" x14ac:dyDescent="0.3">
      <c r="A942">
        <v>6943</v>
      </c>
      <c r="B942">
        <v>1398</v>
      </c>
      <c r="C942" s="1">
        <v>45937.620775462965</v>
      </c>
      <c r="D942" t="s">
        <v>97</v>
      </c>
      <c r="E942" t="s">
        <v>57</v>
      </c>
    </row>
    <row r="943" spans="1:5" x14ac:dyDescent="0.3">
      <c r="A943">
        <v>6950</v>
      </c>
      <c r="B943">
        <v>1398</v>
      </c>
      <c r="C943" s="1">
        <v>45937.621203703704</v>
      </c>
      <c r="D943" t="s">
        <v>98</v>
      </c>
      <c r="E943" t="s">
        <v>57</v>
      </c>
    </row>
    <row r="944" spans="1:5" x14ac:dyDescent="0.3">
      <c r="A944">
        <v>6965</v>
      </c>
      <c r="B944">
        <v>1398</v>
      </c>
      <c r="C944" s="1">
        <v>45937.621574074074</v>
      </c>
      <c r="D944" t="s">
        <v>99</v>
      </c>
      <c r="E944" t="s">
        <v>57</v>
      </c>
    </row>
    <row r="945" spans="1:5" x14ac:dyDescent="0.3">
      <c r="A945">
        <v>6981</v>
      </c>
      <c r="B945">
        <v>1411</v>
      </c>
      <c r="C945" s="1">
        <v>45937.622129629628</v>
      </c>
      <c r="D945" t="s">
        <v>88</v>
      </c>
      <c r="E945" t="s">
        <v>57</v>
      </c>
    </row>
    <row r="946" spans="1:5" x14ac:dyDescent="0.3">
      <c r="A946">
        <v>6990</v>
      </c>
      <c r="B946">
        <v>1411</v>
      </c>
      <c r="C946" s="1">
        <v>45937.622199074074</v>
      </c>
      <c r="D946" t="s">
        <v>89</v>
      </c>
      <c r="E946" t="s">
        <v>57</v>
      </c>
    </row>
    <row r="947" spans="1:5" x14ac:dyDescent="0.3">
      <c r="A947">
        <v>7022</v>
      </c>
      <c r="B947">
        <v>1411</v>
      </c>
      <c r="C947" s="1">
        <v>45937.623298611114</v>
      </c>
      <c r="D947" t="s">
        <v>100</v>
      </c>
      <c r="E947" t="s">
        <v>57</v>
      </c>
    </row>
    <row r="948" spans="1:5" x14ac:dyDescent="0.3">
      <c r="A948">
        <v>7103</v>
      </c>
      <c r="B948">
        <v>1411</v>
      </c>
      <c r="C948" s="1">
        <v>45937.6247337963</v>
      </c>
      <c r="D948" t="s">
        <v>101</v>
      </c>
      <c r="E948" t="s">
        <v>57</v>
      </c>
    </row>
    <row r="949" spans="1:5" x14ac:dyDescent="0.3">
      <c r="A949">
        <v>7117</v>
      </c>
      <c r="B949">
        <v>1411</v>
      </c>
      <c r="C949" s="1">
        <v>45937.625185185185</v>
      </c>
      <c r="D949" t="s">
        <v>102</v>
      </c>
      <c r="E949" t="s">
        <v>57</v>
      </c>
    </row>
    <row r="950" spans="1:5" x14ac:dyDescent="0.3">
      <c r="A950">
        <v>7123</v>
      </c>
      <c r="B950">
        <v>1411</v>
      </c>
      <c r="C950" s="1">
        <v>45937.6252662037</v>
      </c>
      <c r="D950" t="s">
        <v>94</v>
      </c>
      <c r="E950" t="s">
        <v>57</v>
      </c>
    </row>
    <row r="951" spans="1:5" x14ac:dyDescent="0.3">
      <c r="A951">
        <v>7136</v>
      </c>
      <c r="B951">
        <v>1411</v>
      </c>
      <c r="C951" s="1">
        <v>45937.625416666669</v>
      </c>
      <c r="D951" t="s">
        <v>95</v>
      </c>
      <c r="E951" t="s">
        <v>57</v>
      </c>
    </row>
    <row r="952" spans="1:5" x14ac:dyDescent="0.3">
      <c r="A952">
        <v>7154</v>
      </c>
      <c r="B952">
        <v>1411</v>
      </c>
      <c r="C952" s="1">
        <v>45937.626168981478</v>
      </c>
      <c r="D952" t="s">
        <v>96</v>
      </c>
      <c r="E952" t="s">
        <v>57</v>
      </c>
    </row>
    <row r="953" spans="1:5" x14ac:dyDescent="0.3">
      <c r="A953">
        <v>7164</v>
      </c>
      <c r="B953">
        <v>1411</v>
      </c>
      <c r="C953" s="1">
        <v>45937.62636574074</v>
      </c>
      <c r="D953" t="s">
        <v>97</v>
      </c>
      <c r="E953" t="s">
        <v>57</v>
      </c>
    </row>
    <row r="954" spans="1:5" x14ac:dyDescent="0.3">
      <c r="A954">
        <v>7169</v>
      </c>
      <c r="B954">
        <v>1411</v>
      </c>
      <c r="C954" s="1">
        <v>45937.626805555556</v>
      </c>
      <c r="D954" t="s">
        <v>98</v>
      </c>
      <c r="E954" t="s">
        <v>57</v>
      </c>
    </row>
    <row r="955" spans="1:5" x14ac:dyDescent="0.3">
      <c r="A955">
        <v>7182</v>
      </c>
      <c r="B955">
        <v>1411</v>
      </c>
      <c r="C955" s="1">
        <v>45937.627025462964</v>
      </c>
      <c r="D955" t="s">
        <v>99</v>
      </c>
      <c r="E955" t="s">
        <v>57</v>
      </c>
    </row>
    <row r="956" spans="1:5" x14ac:dyDescent="0.3">
      <c r="A956">
        <v>6266</v>
      </c>
      <c r="B956">
        <v>1327</v>
      </c>
      <c r="C956" s="1">
        <v>45937.579386574071</v>
      </c>
      <c r="D956" t="s">
        <v>86</v>
      </c>
      <c r="E956" t="s">
        <v>87</v>
      </c>
    </row>
    <row r="957" spans="1:5" x14ac:dyDescent="0.3">
      <c r="A957">
        <v>6282</v>
      </c>
      <c r="B957">
        <v>1343</v>
      </c>
      <c r="C957" s="1">
        <v>45937.595879629633</v>
      </c>
      <c r="D957" t="s">
        <v>88</v>
      </c>
      <c r="E957" t="s">
        <v>57</v>
      </c>
    </row>
    <row r="958" spans="1:5" x14ac:dyDescent="0.3">
      <c r="A958">
        <v>6293</v>
      </c>
      <c r="B958">
        <v>1343</v>
      </c>
      <c r="C958" s="1">
        <v>45937.596689814818</v>
      </c>
      <c r="D958" t="s">
        <v>89</v>
      </c>
      <c r="E958" t="s">
        <v>57</v>
      </c>
    </row>
    <row r="959" spans="1:5" x14ac:dyDescent="0.3">
      <c r="A959">
        <v>6322</v>
      </c>
      <c r="B959">
        <v>1343</v>
      </c>
      <c r="C959" s="1">
        <v>45937.598379629628</v>
      </c>
      <c r="D959" t="s">
        <v>90</v>
      </c>
      <c r="E959" t="s">
        <v>57</v>
      </c>
    </row>
    <row r="960" spans="1:5" x14ac:dyDescent="0.3">
      <c r="A960">
        <v>6350</v>
      </c>
      <c r="B960">
        <v>1343</v>
      </c>
      <c r="C960" s="1">
        <v>45937.601226851853</v>
      </c>
      <c r="D960" t="s">
        <v>91</v>
      </c>
      <c r="E960" t="s">
        <v>57</v>
      </c>
    </row>
    <row r="961" spans="1:5" x14ac:dyDescent="0.3">
      <c r="A961">
        <v>6364</v>
      </c>
      <c r="B961">
        <v>1343</v>
      </c>
      <c r="C961" s="1">
        <v>45937.6018287037</v>
      </c>
      <c r="D961" t="s">
        <v>92</v>
      </c>
      <c r="E961" t="s">
        <v>118</v>
      </c>
    </row>
    <row r="962" spans="1:5" x14ac:dyDescent="0.3">
      <c r="A962">
        <v>6369</v>
      </c>
      <c r="B962">
        <v>1343</v>
      </c>
      <c r="C962" s="1">
        <v>45937.601921296293</v>
      </c>
      <c r="D962" t="s">
        <v>94</v>
      </c>
      <c r="E962" t="s">
        <v>57</v>
      </c>
    </row>
    <row r="963" spans="1:5" x14ac:dyDescent="0.3">
      <c r="A963">
        <v>6381</v>
      </c>
      <c r="B963">
        <v>1343</v>
      </c>
      <c r="C963" s="1">
        <v>45937.60255787037</v>
      </c>
      <c r="D963" t="s">
        <v>95</v>
      </c>
      <c r="E963" t="s">
        <v>57</v>
      </c>
    </row>
    <row r="964" spans="1:5" x14ac:dyDescent="0.3">
      <c r="A964">
        <v>6403</v>
      </c>
      <c r="B964">
        <v>1343</v>
      </c>
      <c r="C964" s="1">
        <v>45937.603784722225</v>
      </c>
      <c r="D964" t="s">
        <v>96</v>
      </c>
      <c r="E964" t="s">
        <v>57</v>
      </c>
    </row>
    <row r="965" spans="1:5" x14ac:dyDescent="0.3">
      <c r="A965">
        <v>6449</v>
      </c>
      <c r="B965">
        <v>1343</v>
      </c>
      <c r="C965" s="1">
        <v>45937.606631944444</v>
      </c>
      <c r="D965" t="s">
        <v>97</v>
      </c>
      <c r="E965" t="s">
        <v>57</v>
      </c>
    </row>
    <row r="966" spans="1:5" x14ac:dyDescent="0.3">
      <c r="A966">
        <v>6460</v>
      </c>
      <c r="B966">
        <v>1343</v>
      </c>
      <c r="C966" s="1">
        <v>45937.607604166667</v>
      </c>
      <c r="D966" t="s">
        <v>98</v>
      </c>
      <c r="E966" t="s">
        <v>57</v>
      </c>
    </row>
    <row r="967" spans="1:5" x14ac:dyDescent="0.3">
      <c r="A967">
        <v>6492</v>
      </c>
      <c r="B967">
        <v>1343</v>
      </c>
      <c r="C967" s="1">
        <v>45937.608969907407</v>
      </c>
      <c r="D967" t="s">
        <v>99</v>
      </c>
      <c r="E967" t="s">
        <v>57</v>
      </c>
    </row>
    <row r="968" spans="1:5" x14ac:dyDescent="0.3">
      <c r="A968">
        <v>6523</v>
      </c>
      <c r="B968">
        <v>1377</v>
      </c>
      <c r="C968" s="1">
        <v>45937.61136574074</v>
      </c>
      <c r="D968" t="s">
        <v>88</v>
      </c>
      <c r="E968" t="s">
        <v>57</v>
      </c>
    </row>
    <row r="969" spans="1:5" x14ac:dyDescent="0.3">
      <c r="A969">
        <v>6532</v>
      </c>
      <c r="B969">
        <v>1377</v>
      </c>
      <c r="C969" s="1">
        <v>45937.611446759256</v>
      </c>
      <c r="D969" t="s">
        <v>89</v>
      </c>
      <c r="E969" t="s">
        <v>57</v>
      </c>
    </row>
    <row r="970" spans="1:5" x14ac:dyDescent="0.3">
      <c r="A970">
        <v>6556</v>
      </c>
      <c r="B970">
        <v>1377</v>
      </c>
      <c r="C970" s="1">
        <v>45937.612303240741</v>
      </c>
      <c r="D970" t="s">
        <v>100</v>
      </c>
      <c r="E970" t="s">
        <v>57</v>
      </c>
    </row>
    <row r="971" spans="1:5" x14ac:dyDescent="0.3">
      <c r="A971">
        <v>6575</v>
      </c>
      <c r="B971">
        <v>1377</v>
      </c>
      <c r="C971" s="1">
        <v>45937.61273148148</v>
      </c>
      <c r="D971" t="s">
        <v>101</v>
      </c>
      <c r="E971" t="s">
        <v>57</v>
      </c>
    </row>
    <row r="972" spans="1:5" x14ac:dyDescent="0.3">
      <c r="A972">
        <v>6588</v>
      </c>
      <c r="B972">
        <v>1377</v>
      </c>
      <c r="C972" s="1">
        <v>45937.613136574073</v>
      </c>
      <c r="D972" t="s">
        <v>102</v>
      </c>
      <c r="E972" t="s">
        <v>57</v>
      </c>
    </row>
    <row r="973" spans="1:5" x14ac:dyDescent="0.3">
      <c r="A973">
        <v>6597</v>
      </c>
      <c r="B973">
        <v>1377</v>
      </c>
      <c r="C973" s="1">
        <v>45937.613402777781</v>
      </c>
      <c r="D973" t="s">
        <v>94</v>
      </c>
      <c r="E973" t="s">
        <v>57</v>
      </c>
    </row>
    <row r="974" spans="1:5" x14ac:dyDescent="0.3">
      <c r="A974">
        <v>6613</v>
      </c>
      <c r="B974">
        <v>1377</v>
      </c>
      <c r="C974" s="1">
        <v>45937.613657407404</v>
      </c>
      <c r="D974" t="s">
        <v>95</v>
      </c>
      <c r="E974" t="s">
        <v>57</v>
      </c>
    </row>
    <row r="975" spans="1:5" x14ac:dyDescent="0.3">
      <c r="A975">
        <v>6654</v>
      </c>
      <c r="B975">
        <v>1377</v>
      </c>
      <c r="C975" s="1">
        <v>45937.614560185182</v>
      </c>
      <c r="D975" t="s">
        <v>96</v>
      </c>
      <c r="E975" t="s">
        <v>57</v>
      </c>
    </row>
    <row r="976" spans="1:5" x14ac:dyDescent="0.3">
      <c r="A976">
        <v>6702</v>
      </c>
      <c r="B976">
        <v>1377</v>
      </c>
      <c r="C976" s="1">
        <v>45937.615868055553</v>
      </c>
      <c r="D976" t="s">
        <v>97</v>
      </c>
      <c r="E976" t="s">
        <v>57</v>
      </c>
    </row>
    <row r="977" spans="1:5" x14ac:dyDescent="0.3">
      <c r="A977">
        <v>6717</v>
      </c>
      <c r="B977">
        <v>1377</v>
      </c>
      <c r="C977" s="1">
        <v>45937.616307870368</v>
      </c>
      <c r="D977" t="s">
        <v>98</v>
      </c>
      <c r="E977" t="s">
        <v>57</v>
      </c>
    </row>
    <row r="978" spans="1:5" x14ac:dyDescent="0.3">
      <c r="A978">
        <v>6749</v>
      </c>
      <c r="B978">
        <v>1377</v>
      </c>
      <c r="C978" s="1">
        <v>45937.6172337963</v>
      </c>
      <c r="D978" t="s">
        <v>99</v>
      </c>
      <c r="E978" t="s">
        <v>57</v>
      </c>
    </row>
    <row r="979" spans="1:5" x14ac:dyDescent="0.3">
      <c r="A979">
        <v>6754</v>
      </c>
      <c r="B979">
        <v>1396</v>
      </c>
      <c r="C979" s="1">
        <v>45937.617511574077</v>
      </c>
      <c r="D979" t="s">
        <v>88</v>
      </c>
      <c r="E979" t="s">
        <v>57</v>
      </c>
    </row>
    <row r="980" spans="1:5" x14ac:dyDescent="0.3">
      <c r="A980">
        <v>6765</v>
      </c>
      <c r="B980">
        <v>1396</v>
      </c>
      <c r="C980" s="1">
        <v>45937.617800925924</v>
      </c>
      <c r="D980" t="s">
        <v>89</v>
      </c>
      <c r="E980" t="s">
        <v>57</v>
      </c>
    </row>
    <row r="981" spans="1:5" x14ac:dyDescent="0.3">
      <c r="A981">
        <v>6795</v>
      </c>
      <c r="B981">
        <v>1396</v>
      </c>
      <c r="C981" s="1">
        <v>45937.618379629632</v>
      </c>
      <c r="D981" t="s">
        <v>100</v>
      </c>
      <c r="E981" t="s">
        <v>57</v>
      </c>
    </row>
    <row r="982" spans="1:5" x14ac:dyDescent="0.3">
      <c r="A982">
        <v>6802</v>
      </c>
      <c r="B982">
        <v>1396</v>
      </c>
      <c r="C982" s="1">
        <v>45937.618414351855</v>
      </c>
      <c r="D982" t="s">
        <v>101</v>
      </c>
      <c r="E982" t="s">
        <v>57</v>
      </c>
    </row>
    <row r="983" spans="1:5" x14ac:dyDescent="0.3">
      <c r="A983">
        <v>6823</v>
      </c>
      <c r="B983">
        <v>1396</v>
      </c>
      <c r="C983" s="1">
        <v>45937.618784722225</v>
      </c>
      <c r="D983" t="s">
        <v>102</v>
      </c>
      <c r="E983" t="s">
        <v>57</v>
      </c>
    </row>
    <row r="984" spans="1:5" x14ac:dyDescent="0.3">
      <c r="A984">
        <v>6833</v>
      </c>
      <c r="B984">
        <v>1396</v>
      </c>
      <c r="C984" s="1">
        <v>45937.618946759256</v>
      </c>
      <c r="D984" t="s">
        <v>94</v>
      </c>
      <c r="E984" t="s">
        <v>57</v>
      </c>
    </row>
    <row r="985" spans="1:5" x14ac:dyDescent="0.3">
      <c r="A985">
        <v>6863</v>
      </c>
      <c r="B985">
        <v>1396</v>
      </c>
      <c r="C985" s="1">
        <v>45937.619571759256</v>
      </c>
      <c r="D985" t="s">
        <v>95</v>
      </c>
      <c r="E985" t="s">
        <v>57</v>
      </c>
    </row>
    <row r="986" spans="1:5" x14ac:dyDescent="0.3">
      <c r="A986">
        <v>6900</v>
      </c>
      <c r="B986">
        <v>1396</v>
      </c>
      <c r="C986" s="1">
        <v>45937.619976851849</v>
      </c>
      <c r="D986" t="s">
        <v>96</v>
      </c>
      <c r="E986" t="s">
        <v>57</v>
      </c>
    </row>
    <row r="987" spans="1:5" x14ac:dyDescent="0.3">
      <c r="A987">
        <v>6934</v>
      </c>
      <c r="B987">
        <v>1396</v>
      </c>
      <c r="C987" s="1">
        <v>45937.620532407411</v>
      </c>
      <c r="D987" t="s">
        <v>97</v>
      </c>
      <c r="E987" t="s">
        <v>57</v>
      </c>
    </row>
    <row r="988" spans="1:5" x14ac:dyDescent="0.3">
      <c r="A988">
        <v>6953</v>
      </c>
      <c r="B988">
        <v>1396</v>
      </c>
      <c r="C988" s="1">
        <v>45937.621215277781</v>
      </c>
      <c r="D988" t="s">
        <v>98</v>
      </c>
      <c r="E988" t="s">
        <v>57</v>
      </c>
    </row>
    <row r="989" spans="1:5" x14ac:dyDescent="0.3">
      <c r="A989">
        <v>6977</v>
      </c>
      <c r="B989">
        <v>1396</v>
      </c>
      <c r="C989" s="1">
        <v>45937.621944444443</v>
      </c>
      <c r="D989" t="s">
        <v>99</v>
      </c>
      <c r="E989" t="s">
        <v>57</v>
      </c>
    </row>
    <row r="990" spans="1:5" x14ac:dyDescent="0.3">
      <c r="A990">
        <v>6987</v>
      </c>
      <c r="B990">
        <v>1416</v>
      </c>
      <c r="C990" s="1">
        <v>45937.622187499997</v>
      </c>
      <c r="D990" t="s">
        <v>88</v>
      </c>
      <c r="E990" t="s">
        <v>57</v>
      </c>
    </row>
    <row r="991" spans="1:5" x14ac:dyDescent="0.3">
      <c r="A991">
        <v>6992</v>
      </c>
      <c r="B991">
        <v>1416</v>
      </c>
      <c r="C991" s="1">
        <v>45937.622233796297</v>
      </c>
      <c r="D991" t="s">
        <v>89</v>
      </c>
      <c r="E991" t="s">
        <v>57</v>
      </c>
    </row>
    <row r="992" spans="1:5" x14ac:dyDescent="0.3">
      <c r="A992">
        <v>7034</v>
      </c>
      <c r="B992">
        <v>1416</v>
      </c>
      <c r="C992" s="1">
        <v>45937.623449074075</v>
      </c>
      <c r="D992" t="s">
        <v>100</v>
      </c>
      <c r="E992" t="s">
        <v>57</v>
      </c>
    </row>
    <row r="993" spans="1:5" x14ac:dyDescent="0.3">
      <c r="A993">
        <v>7104</v>
      </c>
      <c r="B993">
        <v>1416</v>
      </c>
      <c r="C993" s="1">
        <v>45937.624745370369</v>
      </c>
      <c r="D993" t="s">
        <v>101</v>
      </c>
      <c r="E993" t="s">
        <v>57</v>
      </c>
    </row>
    <row r="994" spans="1:5" x14ac:dyDescent="0.3">
      <c r="A994">
        <v>7122</v>
      </c>
      <c r="B994">
        <v>1416</v>
      </c>
      <c r="C994" s="1">
        <v>45937.625231481485</v>
      </c>
      <c r="D994" t="s">
        <v>102</v>
      </c>
      <c r="E994" t="s">
        <v>57</v>
      </c>
    </row>
    <row r="995" spans="1:5" x14ac:dyDescent="0.3">
      <c r="A995">
        <v>7129</v>
      </c>
      <c r="B995">
        <v>1416</v>
      </c>
      <c r="C995" s="1">
        <v>45937.6253125</v>
      </c>
      <c r="D995" t="s">
        <v>94</v>
      </c>
      <c r="E995" t="s">
        <v>57</v>
      </c>
    </row>
    <row r="996" spans="1:5" x14ac:dyDescent="0.3">
      <c r="A996">
        <v>7133</v>
      </c>
      <c r="B996">
        <v>1416</v>
      </c>
      <c r="C996" s="1">
        <v>45937.625381944446</v>
      </c>
      <c r="D996" t="s">
        <v>95</v>
      </c>
      <c r="E996" t="s">
        <v>57</v>
      </c>
    </row>
    <row r="997" spans="1:5" x14ac:dyDescent="0.3">
      <c r="A997">
        <v>7139</v>
      </c>
      <c r="B997">
        <v>1416</v>
      </c>
      <c r="C997" s="1">
        <v>45937.625648148147</v>
      </c>
      <c r="D997" t="s">
        <v>96</v>
      </c>
      <c r="E997" t="s">
        <v>57</v>
      </c>
    </row>
    <row r="998" spans="1:5" x14ac:dyDescent="0.3">
      <c r="A998">
        <v>7155</v>
      </c>
      <c r="B998">
        <v>1416</v>
      </c>
      <c r="C998" s="1">
        <v>45937.626203703701</v>
      </c>
      <c r="D998" t="s">
        <v>97</v>
      </c>
      <c r="E998" t="s">
        <v>57</v>
      </c>
    </row>
    <row r="999" spans="1:5" x14ac:dyDescent="0.3">
      <c r="A999">
        <v>7168</v>
      </c>
      <c r="B999">
        <v>1416</v>
      </c>
      <c r="C999" s="1">
        <v>45937.626770833333</v>
      </c>
      <c r="D999" t="s">
        <v>98</v>
      </c>
      <c r="E999" t="s">
        <v>57</v>
      </c>
    </row>
    <row r="1000" spans="1:5" x14ac:dyDescent="0.3">
      <c r="A1000">
        <v>7184</v>
      </c>
      <c r="B1000">
        <v>1416</v>
      </c>
      <c r="C1000" s="1">
        <v>45937.62709490741</v>
      </c>
      <c r="D1000" t="s">
        <v>99</v>
      </c>
      <c r="E1000" t="s">
        <v>57</v>
      </c>
    </row>
    <row r="1001" spans="1:5" x14ac:dyDescent="0.3">
      <c r="A1001">
        <v>6267</v>
      </c>
      <c r="B1001">
        <v>1328</v>
      </c>
      <c r="C1001" s="1">
        <v>45937.579444444447</v>
      </c>
      <c r="D1001" t="s">
        <v>86</v>
      </c>
      <c r="E1001" t="s">
        <v>87</v>
      </c>
    </row>
    <row r="1002" spans="1:5" x14ac:dyDescent="0.3">
      <c r="A1002">
        <v>6289</v>
      </c>
      <c r="B1002">
        <v>1349</v>
      </c>
      <c r="C1002" s="1">
        <v>45937.596238425926</v>
      </c>
      <c r="D1002" t="s">
        <v>88</v>
      </c>
      <c r="E1002" t="s">
        <v>57</v>
      </c>
    </row>
    <row r="1003" spans="1:5" x14ac:dyDescent="0.3">
      <c r="A1003">
        <v>6305</v>
      </c>
      <c r="B1003">
        <v>1349</v>
      </c>
      <c r="C1003" s="1">
        <v>45937.597199074073</v>
      </c>
      <c r="D1003" t="s">
        <v>89</v>
      </c>
      <c r="E1003" t="s">
        <v>57</v>
      </c>
    </row>
    <row r="1004" spans="1:5" x14ac:dyDescent="0.3">
      <c r="A1004">
        <v>6320</v>
      </c>
      <c r="B1004">
        <v>1349</v>
      </c>
      <c r="C1004" s="1">
        <v>45937.598344907405</v>
      </c>
      <c r="D1004" t="s">
        <v>90</v>
      </c>
      <c r="E1004" t="s">
        <v>57</v>
      </c>
    </row>
    <row r="1005" spans="1:5" x14ac:dyDescent="0.3">
      <c r="A1005">
        <v>6352</v>
      </c>
      <c r="B1005">
        <v>1349</v>
      </c>
      <c r="C1005" s="1">
        <v>45937.601226851853</v>
      </c>
      <c r="D1005" t="s">
        <v>91</v>
      </c>
      <c r="E1005" t="s">
        <v>57</v>
      </c>
    </row>
    <row r="1006" spans="1:5" x14ac:dyDescent="0.3">
      <c r="A1006">
        <v>6362</v>
      </c>
      <c r="B1006">
        <v>1349</v>
      </c>
      <c r="C1006" s="1">
        <v>45937.6018287037</v>
      </c>
      <c r="D1006" t="s">
        <v>92</v>
      </c>
      <c r="E1006" t="s">
        <v>93</v>
      </c>
    </row>
    <row r="1007" spans="1:5" x14ac:dyDescent="0.3">
      <c r="A1007">
        <v>6378</v>
      </c>
      <c r="B1007">
        <v>1349</v>
      </c>
      <c r="C1007" s="1">
        <v>45937.602534722224</v>
      </c>
      <c r="D1007" t="s">
        <v>94</v>
      </c>
      <c r="E1007" t="s">
        <v>57</v>
      </c>
    </row>
    <row r="1008" spans="1:5" x14ac:dyDescent="0.3">
      <c r="A1008">
        <v>6380</v>
      </c>
      <c r="B1008">
        <v>1349</v>
      </c>
      <c r="C1008" s="1">
        <v>45937.60255787037</v>
      </c>
      <c r="D1008" t="s">
        <v>95</v>
      </c>
      <c r="E1008" t="s">
        <v>57</v>
      </c>
    </row>
    <row r="1009" spans="1:5" x14ac:dyDescent="0.3">
      <c r="A1009">
        <v>6410</v>
      </c>
      <c r="B1009">
        <v>1349</v>
      </c>
      <c r="C1009" s="1">
        <v>45937.604328703703</v>
      </c>
      <c r="D1009" t="s">
        <v>96</v>
      </c>
      <c r="E1009" t="s">
        <v>57</v>
      </c>
    </row>
    <row r="1010" spans="1:5" x14ac:dyDescent="0.3">
      <c r="A1010">
        <v>6448</v>
      </c>
      <c r="B1010">
        <v>1349</v>
      </c>
      <c r="C1010" s="1">
        <v>45937.606574074074</v>
      </c>
      <c r="D1010" t="s">
        <v>97</v>
      </c>
      <c r="E1010" t="s">
        <v>57</v>
      </c>
    </row>
    <row r="1011" spans="1:5" x14ac:dyDescent="0.3">
      <c r="A1011">
        <v>6461</v>
      </c>
      <c r="B1011">
        <v>1349</v>
      </c>
      <c r="C1011" s="1">
        <v>45937.607615740744</v>
      </c>
      <c r="D1011" t="s">
        <v>98</v>
      </c>
      <c r="E1011" t="s">
        <v>57</v>
      </c>
    </row>
    <row r="1012" spans="1:5" x14ac:dyDescent="0.3">
      <c r="A1012">
        <v>6485</v>
      </c>
      <c r="B1012">
        <v>1349</v>
      </c>
      <c r="C1012" s="1">
        <v>45937.608726851853</v>
      </c>
      <c r="D1012" t="s">
        <v>99</v>
      </c>
      <c r="E1012" t="s">
        <v>57</v>
      </c>
    </row>
    <row r="1013" spans="1:5" x14ac:dyDescent="0.3">
      <c r="A1013">
        <v>6525</v>
      </c>
      <c r="B1013">
        <v>1379</v>
      </c>
      <c r="C1013" s="1">
        <v>45937.611377314817</v>
      </c>
      <c r="D1013" t="s">
        <v>88</v>
      </c>
      <c r="E1013" t="s">
        <v>57</v>
      </c>
    </row>
    <row r="1014" spans="1:5" x14ac:dyDescent="0.3">
      <c r="A1014">
        <v>6527</v>
      </c>
      <c r="B1014">
        <v>1379</v>
      </c>
      <c r="C1014" s="1">
        <v>45937.61141203704</v>
      </c>
      <c r="D1014" t="s">
        <v>89</v>
      </c>
      <c r="E1014" t="s">
        <v>57</v>
      </c>
    </row>
    <row r="1015" spans="1:5" x14ac:dyDescent="0.3">
      <c r="A1015">
        <v>6558</v>
      </c>
      <c r="B1015">
        <v>1379</v>
      </c>
      <c r="C1015" s="1">
        <v>45937.612314814818</v>
      </c>
      <c r="D1015" t="s">
        <v>100</v>
      </c>
      <c r="E1015" t="s">
        <v>57</v>
      </c>
    </row>
    <row r="1016" spans="1:5" x14ac:dyDescent="0.3">
      <c r="A1016">
        <v>6578</v>
      </c>
      <c r="B1016">
        <v>1379</v>
      </c>
      <c r="C1016" s="1">
        <v>45937.612824074073</v>
      </c>
      <c r="D1016" t="s">
        <v>101</v>
      </c>
      <c r="E1016" t="s">
        <v>57</v>
      </c>
    </row>
    <row r="1017" spans="1:5" x14ac:dyDescent="0.3">
      <c r="A1017">
        <v>6593</v>
      </c>
      <c r="B1017">
        <v>1379</v>
      </c>
      <c r="C1017" s="1">
        <v>45937.613229166665</v>
      </c>
      <c r="D1017" t="s">
        <v>102</v>
      </c>
      <c r="E1017" t="s">
        <v>57</v>
      </c>
    </row>
    <row r="1018" spans="1:5" x14ac:dyDescent="0.3">
      <c r="A1018">
        <v>6596</v>
      </c>
      <c r="B1018">
        <v>1379</v>
      </c>
      <c r="C1018" s="1">
        <v>45937.613310185188</v>
      </c>
      <c r="D1018" t="s">
        <v>94</v>
      </c>
      <c r="E1018" t="s">
        <v>57</v>
      </c>
    </row>
    <row r="1019" spans="1:5" x14ac:dyDescent="0.3">
      <c r="A1019">
        <v>6610</v>
      </c>
      <c r="B1019">
        <v>1379</v>
      </c>
      <c r="C1019" s="1">
        <v>45937.613634259258</v>
      </c>
      <c r="D1019" t="s">
        <v>95</v>
      </c>
      <c r="E1019" t="s">
        <v>57</v>
      </c>
    </row>
    <row r="1020" spans="1:5" x14ac:dyDescent="0.3">
      <c r="A1020">
        <v>6680</v>
      </c>
      <c r="B1020">
        <v>1379</v>
      </c>
      <c r="C1020" s="1">
        <v>45937.615081018521</v>
      </c>
      <c r="D1020" t="s">
        <v>96</v>
      </c>
      <c r="E1020" t="s">
        <v>57</v>
      </c>
    </row>
    <row r="1021" spans="1:5" x14ac:dyDescent="0.3">
      <c r="A1021">
        <v>6698</v>
      </c>
      <c r="B1021">
        <v>1379</v>
      </c>
      <c r="C1021" s="1">
        <v>45937.615520833337</v>
      </c>
      <c r="D1021" t="s">
        <v>97</v>
      </c>
      <c r="E1021" t="s">
        <v>57</v>
      </c>
    </row>
    <row r="1022" spans="1:5" x14ac:dyDescent="0.3">
      <c r="A1022">
        <v>6716</v>
      </c>
      <c r="B1022">
        <v>1379</v>
      </c>
      <c r="C1022" s="1">
        <v>45937.616307870368</v>
      </c>
      <c r="D1022" t="s">
        <v>98</v>
      </c>
      <c r="E1022" t="s">
        <v>57</v>
      </c>
    </row>
    <row r="1023" spans="1:5" x14ac:dyDescent="0.3">
      <c r="A1023">
        <v>6730</v>
      </c>
      <c r="B1023">
        <v>1379</v>
      </c>
      <c r="C1023" s="1">
        <v>45937.616851851853</v>
      </c>
      <c r="D1023" t="s">
        <v>99</v>
      </c>
      <c r="E1023" t="s">
        <v>57</v>
      </c>
    </row>
    <row r="1024" spans="1:5" x14ac:dyDescent="0.3">
      <c r="A1024">
        <v>6751</v>
      </c>
      <c r="B1024">
        <v>1393</v>
      </c>
      <c r="C1024" s="1">
        <v>45937.617395833331</v>
      </c>
      <c r="D1024" t="s">
        <v>88</v>
      </c>
      <c r="E1024" t="s">
        <v>57</v>
      </c>
    </row>
    <row r="1025" spans="1:5" x14ac:dyDescent="0.3">
      <c r="A1025">
        <v>6761</v>
      </c>
      <c r="B1025">
        <v>1393</v>
      </c>
      <c r="C1025" s="1">
        <v>45937.617731481485</v>
      </c>
      <c r="D1025" t="s">
        <v>89</v>
      </c>
      <c r="E1025" t="s">
        <v>57</v>
      </c>
    </row>
    <row r="1026" spans="1:5" x14ac:dyDescent="0.3">
      <c r="A1026">
        <v>6798</v>
      </c>
      <c r="B1026">
        <v>1393</v>
      </c>
      <c r="C1026" s="1">
        <v>45937.618402777778</v>
      </c>
      <c r="D1026" t="s">
        <v>100</v>
      </c>
      <c r="E1026" t="s">
        <v>57</v>
      </c>
    </row>
    <row r="1027" spans="1:5" x14ac:dyDescent="0.3">
      <c r="A1027">
        <v>6803</v>
      </c>
      <c r="B1027">
        <v>1393</v>
      </c>
      <c r="C1027" s="1">
        <v>45937.618414351855</v>
      </c>
      <c r="D1027" t="s">
        <v>101</v>
      </c>
      <c r="E1027" t="s">
        <v>57</v>
      </c>
    </row>
    <row r="1028" spans="1:5" x14ac:dyDescent="0.3">
      <c r="A1028">
        <v>6817</v>
      </c>
      <c r="B1028">
        <v>1393</v>
      </c>
      <c r="C1028" s="1">
        <v>45937.618738425925</v>
      </c>
      <c r="D1028" t="s">
        <v>102</v>
      </c>
      <c r="E1028" t="s">
        <v>57</v>
      </c>
    </row>
    <row r="1029" spans="1:5" x14ac:dyDescent="0.3">
      <c r="A1029">
        <v>6825</v>
      </c>
      <c r="B1029">
        <v>1393</v>
      </c>
      <c r="C1029" s="1">
        <v>45937.618807870371</v>
      </c>
      <c r="D1029" t="s">
        <v>94</v>
      </c>
      <c r="E1029" t="s">
        <v>57</v>
      </c>
    </row>
    <row r="1030" spans="1:5" x14ac:dyDescent="0.3">
      <c r="A1030">
        <v>6841</v>
      </c>
      <c r="B1030">
        <v>1393</v>
      </c>
      <c r="C1030" s="1">
        <v>45937.618993055556</v>
      </c>
      <c r="D1030" t="s">
        <v>95</v>
      </c>
      <c r="E1030" t="s">
        <v>57</v>
      </c>
    </row>
    <row r="1031" spans="1:5" x14ac:dyDescent="0.3">
      <c r="A1031">
        <v>6908</v>
      </c>
      <c r="B1031">
        <v>1393</v>
      </c>
      <c r="C1031" s="1">
        <v>45937.620138888888</v>
      </c>
      <c r="D1031" t="s">
        <v>96</v>
      </c>
      <c r="E1031" t="s">
        <v>57</v>
      </c>
    </row>
    <row r="1032" spans="1:5" x14ac:dyDescent="0.3">
      <c r="A1032">
        <v>6937</v>
      </c>
      <c r="B1032">
        <v>1393</v>
      </c>
      <c r="C1032" s="1">
        <v>45937.620555555557</v>
      </c>
      <c r="D1032" t="s">
        <v>97</v>
      </c>
      <c r="E1032" t="s">
        <v>57</v>
      </c>
    </row>
    <row r="1033" spans="1:5" x14ac:dyDescent="0.3">
      <c r="A1033">
        <v>6955</v>
      </c>
      <c r="B1033">
        <v>1393</v>
      </c>
      <c r="C1033" s="1">
        <v>45937.621215277781</v>
      </c>
      <c r="D1033" t="s">
        <v>98</v>
      </c>
      <c r="E1033" t="s">
        <v>57</v>
      </c>
    </row>
    <row r="1034" spans="1:5" x14ac:dyDescent="0.3">
      <c r="A1034">
        <v>6969</v>
      </c>
      <c r="B1034">
        <v>1393</v>
      </c>
      <c r="C1034" s="1">
        <v>45937.621701388889</v>
      </c>
      <c r="D1034" t="s">
        <v>99</v>
      </c>
      <c r="E1034" t="s">
        <v>57</v>
      </c>
    </row>
    <row r="1035" spans="1:5" x14ac:dyDescent="0.3">
      <c r="A1035">
        <v>6982</v>
      </c>
      <c r="B1035">
        <v>1412</v>
      </c>
      <c r="C1035" s="1">
        <v>45937.622129629628</v>
      </c>
      <c r="D1035" t="s">
        <v>88</v>
      </c>
      <c r="E1035" t="s">
        <v>57</v>
      </c>
    </row>
    <row r="1036" spans="1:5" x14ac:dyDescent="0.3">
      <c r="A1036">
        <v>6989</v>
      </c>
      <c r="B1036">
        <v>1412</v>
      </c>
      <c r="C1036" s="1">
        <v>45937.622199074074</v>
      </c>
      <c r="D1036" t="s">
        <v>89</v>
      </c>
      <c r="E1036" t="s">
        <v>57</v>
      </c>
    </row>
    <row r="1037" spans="1:5" x14ac:dyDescent="0.3">
      <c r="A1037">
        <v>7021</v>
      </c>
      <c r="B1037">
        <v>1412</v>
      </c>
      <c r="C1037" s="1">
        <v>45937.623287037037</v>
      </c>
      <c r="D1037" t="s">
        <v>100</v>
      </c>
      <c r="E1037" t="s">
        <v>57</v>
      </c>
    </row>
    <row r="1038" spans="1:5" x14ac:dyDescent="0.3">
      <c r="A1038">
        <v>7101</v>
      </c>
      <c r="B1038">
        <v>1412</v>
      </c>
      <c r="C1038" s="1">
        <v>45937.624710648146</v>
      </c>
      <c r="D1038" t="s">
        <v>101</v>
      </c>
      <c r="E1038" t="s">
        <v>57</v>
      </c>
    </row>
    <row r="1039" spans="1:5" x14ac:dyDescent="0.3">
      <c r="A1039">
        <v>7118</v>
      </c>
      <c r="B1039">
        <v>1412</v>
      </c>
      <c r="C1039" s="1">
        <v>45937.625208333331</v>
      </c>
      <c r="D1039" t="s">
        <v>102</v>
      </c>
      <c r="E1039" t="s">
        <v>57</v>
      </c>
    </row>
    <row r="1040" spans="1:5" x14ac:dyDescent="0.3">
      <c r="A1040">
        <v>7127</v>
      </c>
      <c r="B1040">
        <v>1412</v>
      </c>
      <c r="C1040" s="1">
        <v>45937.6253125</v>
      </c>
      <c r="D1040" t="s">
        <v>94</v>
      </c>
      <c r="E1040" t="s">
        <v>57</v>
      </c>
    </row>
    <row r="1041" spans="1:5" x14ac:dyDescent="0.3">
      <c r="A1041">
        <v>7132</v>
      </c>
      <c r="B1041">
        <v>1412</v>
      </c>
      <c r="C1041" s="1">
        <v>45937.625381944446</v>
      </c>
      <c r="D1041" t="s">
        <v>95</v>
      </c>
      <c r="E1041" t="s">
        <v>57</v>
      </c>
    </row>
    <row r="1042" spans="1:5" x14ac:dyDescent="0.3">
      <c r="A1042">
        <v>7141</v>
      </c>
      <c r="B1042">
        <v>1412</v>
      </c>
      <c r="C1042" s="1">
        <v>45937.62568287037</v>
      </c>
      <c r="D1042" t="s">
        <v>96</v>
      </c>
      <c r="E1042" t="s">
        <v>57</v>
      </c>
    </row>
    <row r="1043" spans="1:5" x14ac:dyDescent="0.3">
      <c r="A1043">
        <v>7157</v>
      </c>
      <c r="B1043">
        <v>1412</v>
      </c>
      <c r="C1043" s="1">
        <v>45937.626238425924</v>
      </c>
      <c r="D1043" t="s">
        <v>97</v>
      </c>
      <c r="E1043" t="s">
        <v>57</v>
      </c>
    </row>
    <row r="1044" spans="1:5" x14ac:dyDescent="0.3">
      <c r="A1044">
        <v>7172</v>
      </c>
      <c r="B1044">
        <v>1412</v>
      </c>
      <c r="C1044" s="1">
        <v>45937.626805555556</v>
      </c>
      <c r="D1044" t="s">
        <v>98</v>
      </c>
      <c r="E1044" t="s">
        <v>57</v>
      </c>
    </row>
    <row r="1045" spans="1:5" x14ac:dyDescent="0.3">
      <c r="A1045">
        <v>7178</v>
      </c>
      <c r="B1045">
        <v>1412</v>
      </c>
      <c r="C1045" s="1">
        <v>45937.626956018517</v>
      </c>
      <c r="D1045" t="s">
        <v>99</v>
      </c>
      <c r="E1045" t="s">
        <v>57</v>
      </c>
    </row>
    <row r="1046" spans="1:5" x14ac:dyDescent="0.3">
      <c r="A1046">
        <v>6270</v>
      </c>
      <c r="B1046">
        <v>1331</v>
      </c>
      <c r="C1046" s="1">
        <v>45937.58011574074</v>
      </c>
      <c r="D1046" t="s">
        <v>86</v>
      </c>
      <c r="E1046" t="s">
        <v>87</v>
      </c>
    </row>
    <row r="1047" spans="1:5" x14ac:dyDescent="0.3">
      <c r="A1047">
        <v>6291</v>
      </c>
      <c r="B1047">
        <v>1350</v>
      </c>
      <c r="C1047" s="1">
        <v>45937.596365740741</v>
      </c>
      <c r="D1047" t="s">
        <v>88</v>
      </c>
      <c r="E1047" t="s">
        <v>57</v>
      </c>
    </row>
    <row r="1048" spans="1:5" x14ac:dyDescent="0.3">
      <c r="A1048">
        <v>6295</v>
      </c>
      <c r="B1048">
        <v>1350</v>
      </c>
      <c r="C1048" s="1">
        <v>45937.596701388888</v>
      </c>
      <c r="D1048" t="s">
        <v>89</v>
      </c>
      <c r="E1048" t="s">
        <v>57</v>
      </c>
    </row>
    <row r="1049" spans="1:5" x14ac:dyDescent="0.3">
      <c r="A1049">
        <v>6319</v>
      </c>
      <c r="B1049">
        <v>1350</v>
      </c>
      <c r="C1049" s="1">
        <v>45937.598344907405</v>
      </c>
      <c r="D1049" t="s">
        <v>90</v>
      </c>
      <c r="E1049" t="s">
        <v>57</v>
      </c>
    </row>
    <row r="1050" spans="1:5" x14ac:dyDescent="0.3">
      <c r="A1050">
        <v>6351</v>
      </c>
      <c r="B1050">
        <v>1350</v>
      </c>
      <c r="C1050" s="1">
        <v>45937.601226851853</v>
      </c>
      <c r="D1050" t="s">
        <v>91</v>
      </c>
      <c r="E1050" t="s">
        <v>57</v>
      </c>
    </row>
    <row r="1051" spans="1:5" x14ac:dyDescent="0.3">
      <c r="A1051">
        <v>6365</v>
      </c>
      <c r="B1051">
        <v>1350</v>
      </c>
      <c r="C1051" s="1">
        <v>45937.601840277777</v>
      </c>
      <c r="D1051" t="s">
        <v>92</v>
      </c>
      <c r="E1051" t="s">
        <v>112</v>
      </c>
    </row>
    <row r="1052" spans="1:5" x14ac:dyDescent="0.3">
      <c r="A1052">
        <v>6372</v>
      </c>
      <c r="B1052">
        <v>1350</v>
      </c>
      <c r="C1052" s="1">
        <v>45937.602326388886</v>
      </c>
      <c r="D1052" t="s">
        <v>94</v>
      </c>
      <c r="E1052" t="s">
        <v>57</v>
      </c>
    </row>
    <row r="1053" spans="1:5" x14ac:dyDescent="0.3">
      <c r="A1053">
        <v>6375</v>
      </c>
      <c r="B1053">
        <v>1350</v>
      </c>
      <c r="C1053" s="1">
        <v>45937.602430555555</v>
      </c>
      <c r="D1053" t="s">
        <v>95</v>
      </c>
      <c r="E1053" t="s">
        <v>57</v>
      </c>
    </row>
    <row r="1054" spans="1:5" x14ac:dyDescent="0.3">
      <c r="A1054">
        <v>6447</v>
      </c>
      <c r="B1054">
        <v>1350</v>
      </c>
      <c r="C1054" s="1">
        <v>45937.606435185182</v>
      </c>
      <c r="D1054" t="s">
        <v>96</v>
      </c>
      <c r="E1054" t="s">
        <v>57</v>
      </c>
    </row>
    <row r="1055" spans="1:5" x14ac:dyDescent="0.3">
      <c r="A1055">
        <v>6454</v>
      </c>
      <c r="B1055">
        <v>1350</v>
      </c>
      <c r="C1055" s="1">
        <v>45937.606817129628</v>
      </c>
      <c r="D1055" t="s">
        <v>97</v>
      </c>
      <c r="E1055" t="s">
        <v>57</v>
      </c>
    </row>
    <row r="1056" spans="1:5" x14ac:dyDescent="0.3">
      <c r="A1056">
        <v>6462</v>
      </c>
      <c r="B1056">
        <v>1350</v>
      </c>
      <c r="C1056" s="1">
        <v>45937.60765046296</v>
      </c>
      <c r="D1056" t="s">
        <v>98</v>
      </c>
      <c r="E1056" t="s">
        <v>57</v>
      </c>
    </row>
    <row r="1057" spans="1:5" x14ac:dyDescent="0.3">
      <c r="A1057">
        <v>6489</v>
      </c>
      <c r="B1057">
        <v>1350</v>
      </c>
      <c r="C1057" s="1">
        <v>45937.608749999999</v>
      </c>
      <c r="D1057" t="s">
        <v>99</v>
      </c>
      <c r="E1057" t="s">
        <v>57</v>
      </c>
    </row>
    <row r="1058" spans="1:5" x14ac:dyDescent="0.3">
      <c r="A1058">
        <v>6520</v>
      </c>
      <c r="B1058">
        <v>1374</v>
      </c>
      <c r="C1058" s="1">
        <v>45937.611342592594</v>
      </c>
      <c r="D1058" t="s">
        <v>88</v>
      </c>
      <c r="E1058" t="s">
        <v>57</v>
      </c>
    </row>
    <row r="1059" spans="1:5" x14ac:dyDescent="0.3">
      <c r="A1059">
        <v>6528</v>
      </c>
      <c r="B1059">
        <v>1374</v>
      </c>
      <c r="C1059" s="1">
        <v>45937.61141203704</v>
      </c>
      <c r="D1059" t="s">
        <v>89</v>
      </c>
      <c r="E1059" t="s">
        <v>57</v>
      </c>
    </row>
    <row r="1060" spans="1:5" x14ac:dyDescent="0.3">
      <c r="A1060">
        <v>6560</v>
      </c>
      <c r="B1060">
        <v>1374</v>
      </c>
      <c r="C1060" s="1">
        <v>45937.612337962964</v>
      </c>
      <c r="D1060" t="s">
        <v>100</v>
      </c>
      <c r="E1060" t="s">
        <v>57</v>
      </c>
    </row>
    <row r="1061" spans="1:5" x14ac:dyDescent="0.3">
      <c r="A1061">
        <v>6573</v>
      </c>
      <c r="B1061">
        <v>1374</v>
      </c>
      <c r="C1061" s="1">
        <v>45937.612719907411</v>
      </c>
      <c r="D1061" t="s">
        <v>101</v>
      </c>
      <c r="E1061" t="s">
        <v>57</v>
      </c>
    </row>
    <row r="1062" spans="1:5" x14ac:dyDescent="0.3">
      <c r="A1062">
        <v>6585</v>
      </c>
      <c r="B1062">
        <v>1374</v>
      </c>
      <c r="C1062" s="1">
        <v>45937.613113425927</v>
      </c>
      <c r="D1062" t="s">
        <v>102</v>
      </c>
      <c r="E1062" t="s">
        <v>57</v>
      </c>
    </row>
    <row r="1063" spans="1:5" x14ac:dyDescent="0.3">
      <c r="A1063">
        <v>6590</v>
      </c>
      <c r="B1063">
        <v>1374</v>
      </c>
      <c r="C1063" s="1">
        <v>45937.613194444442</v>
      </c>
      <c r="D1063" t="s">
        <v>94</v>
      </c>
      <c r="E1063" t="s">
        <v>57</v>
      </c>
    </row>
    <row r="1064" spans="1:5" x14ac:dyDescent="0.3">
      <c r="A1064">
        <v>6608</v>
      </c>
      <c r="B1064">
        <v>1374</v>
      </c>
      <c r="C1064" s="1">
        <v>45937.613634259258</v>
      </c>
      <c r="D1064" t="s">
        <v>95</v>
      </c>
      <c r="E1064" t="s">
        <v>57</v>
      </c>
    </row>
    <row r="1065" spans="1:5" x14ac:dyDescent="0.3">
      <c r="A1065">
        <v>6641</v>
      </c>
      <c r="B1065">
        <v>1374</v>
      </c>
      <c r="C1065" s="1">
        <v>45937.614317129628</v>
      </c>
      <c r="D1065" t="s">
        <v>96</v>
      </c>
      <c r="E1065" t="s">
        <v>57</v>
      </c>
    </row>
    <row r="1066" spans="1:5" x14ac:dyDescent="0.3">
      <c r="A1066">
        <v>6690</v>
      </c>
      <c r="B1066">
        <v>1374</v>
      </c>
      <c r="C1066" s="1">
        <v>45937.615231481483</v>
      </c>
      <c r="D1066" t="s">
        <v>97</v>
      </c>
      <c r="E1066" t="s">
        <v>57</v>
      </c>
    </row>
    <row r="1067" spans="1:5" x14ac:dyDescent="0.3">
      <c r="A1067">
        <v>6715</v>
      </c>
      <c r="B1067">
        <v>1374</v>
      </c>
      <c r="C1067" s="1">
        <v>45937.616284722222</v>
      </c>
      <c r="D1067" t="s">
        <v>98</v>
      </c>
      <c r="E1067" t="s">
        <v>57</v>
      </c>
    </row>
    <row r="1068" spans="1:5" x14ac:dyDescent="0.3">
      <c r="A1068">
        <v>6729</v>
      </c>
      <c r="B1068">
        <v>1374</v>
      </c>
      <c r="C1068" s="1">
        <v>45937.616840277777</v>
      </c>
      <c r="D1068" t="s">
        <v>99</v>
      </c>
      <c r="E1068" t="s">
        <v>57</v>
      </c>
    </row>
    <row r="1069" spans="1:5" x14ac:dyDescent="0.3">
      <c r="A1069">
        <v>6753</v>
      </c>
      <c r="B1069">
        <v>1395</v>
      </c>
      <c r="C1069" s="1">
        <v>45937.617442129631</v>
      </c>
      <c r="D1069" t="s">
        <v>88</v>
      </c>
      <c r="E1069" t="s">
        <v>57</v>
      </c>
    </row>
    <row r="1070" spans="1:5" x14ac:dyDescent="0.3">
      <c r="A1070">
        <v>6762</v>
      </c>
      <c r="B1070">
        <v>1395</v>
      </c>
      <c r="C1070" s="1">
        <v>45937.617754629631</v>
      </c>
      <c r="D1070" t="s">
        <v>89</v>
      </c>
      <c r="E1070" t="s">
        <v>57</v>
      </c>
    </row>
    <row r="1071" spans="1:5" x14ac:dyDescent="0.3">
      <c r="A1071">
        <v>6794</v>
      </c>
      <c r="B1071">
        <v>1395</v>
      </c>
      <c r="C1071" s="1">
        <v>45937.618368055555</v>
      </c>
      <c r="D1071" t="s">
        <v>100</v>
      </c>
      <c r="E1071" t="s">
        <v>57</v>
      </c>
    </row>
    <row r="1072" spans="1:5" x14ac:dyDescent="0.3">
      <c r="A1072">
        <v>6804</v>
      </c>
      <c r="B1072">
        <v>1395</v>
      </c>
      <c r="C1072" s="1">
        <v>45937.618425925924</v>
      </c>
      <c r="D1072" t="s">
        <v>101</v>
      </c>
      <c r="E1072" t="s">
        <v>57</v>
      </c>
    </row>
    <row r="1073" spans="1:5" x14ac:dyDescent="0.3">
      <c r="A1073">
        <v>6818</v>
      </c>
      <c r="B1073">
        <v>1395</v>
      </c>
      <c r="C1073" s="1">
        <v>45937.618738425925</v>
      </c>
      <c r="D1073" t="s">
        <v>102</v>
      </c>
      <c r="E1073" t="s">
        <v>57</v>
      </c>
    </row>
    <row r="1074" spans="1:5" x14ac:dyDescent="0.3">
      <c r="A1074">
        <v>6826</v>
      </c>
      <c r="B1074">
        <v>1395</v>
      </c>
      <c r="C1074" s="1">
        <v>45937.618807870371</v>
      </c>
      <c r="D1074" t="s">
        <v>94</v>
      </c>
      <c r="E1074" t="s">
        <v>57</v>
      </c>
    </row>
    <row r="1075" spans="1:5" x14ac:dyDescent="0.3">
      <c r="A1075">
        <v>6837</v>
      </c>
      <c r="B1075">
        <v>1395</v>
      </c>
      <c r="C1075" s="1">
        <v>45937.618969907409</v>
      </c>
      <c r="D1075" t="s">
        <v>95</v>
      </c>
      <c r="E1075" t="s">
        <v>57</v>
      </c>
    </row>
    <row r="1076" spans="1:5" x14ac:dyDescent="0.3">
      <c r="A1076">
        <v>6872</v>
      </c>
      <c r="B1076">
        <v>1395</v>
      </c>
      <c r="C1076" s="1">
        <v>45937.619618055556</v>
      </c>
      <c r="D1076" t="s">
        <v>96</v>
      </c>
      <c r="E1076" t="s">
        <v>57</v>
      </c>
    </row>
    <row r="1077" spans="1:5" x14ac:dyDescent="0.3">
      <c r="A1077">
        <v>6935</v>
      </c>
      <c r="B1077">
        <v>1395</v>
      </c>
      <c r="C1077" s="1">
        <v>45937.62054398148</v>
      </c>
      <c r="D1077" t="s">
        <v>97</v>
      </c>
      <c r="E1077" t="s">
        <v>57</v>
      </c>
    </row>
    <row r="1078" spans="1:5" x14ac:dyDescent="0.3">
      <c r="A1078">
        <v>6954</v>
      </c>
      <c r="B1078">
        <v>1395</v>
      </c>
      <c r="C1078" s="1">
        <v>45937.621215277781</v>
      </c>
      <c r="D1078" t="s">
        <v>98</v>
      </c>
      <c r="E1078" t="s">
        <v>57</v>
      </c>
    </row>
    <row r="1079" spans="1:5" x14ac:dyDescent="0.3">
      <c r="A1079">
        <v>6962</v>
      </c>
      <c r="B1079">
        <v>1395</v>
      </c>
      <c r="C1079" s="1">
        <v>45937.621539351851</v>
      </c>
      <c r="D1079" t="s">
        <v>99</v>
      </c>
      <c r="E1079" t="s">
        <v>57</v>
      </c>
    </row>
    <row r="1080" spans="1:5" x14ac:dyDescent="0.3">
      <c r="A1080">
        <v>6985</v>
      </c>
      <c r="B1080">
        <v>1414</v>
      </c>
      <c r="C1080" s="1">
        <v>45937.622152777774</v>
      </c>
      <c r="D1080" t="s">
        <v>88</v>
      </c>
      <c r="E1080" t="s">
        <v>57</v>
      </c>
    </row>
    <row r="1081" spans="1:5" x14ac:dyDescent="0.3">
      <c r="A1081">
        <v>6991</v>
      </c>
      <c r="B1081">
        <v>1414</v>
      </c>
      <c r="C1081" s="1">
        <v>45937.622210648151</v>
      </c>
      <c r="D1081" t="s">
        <v>89</v>
      </c>
      <c r="E1081" t="s">
        <v>57</v>
      </c>
    </row>
    <row r="1082" spans="1:5" x14ac:dyDescent="0.3">
      <c r="A1082">
        <v>7023</v>
      </c>
      <c r="B1082">
        <v>1414</v>
      </c>
      <c r="C1082" s="1">
        <v>45937.623298611114</v>
      </c>
      <c r="D1082" t="s">
        <v>100</v>
      </c>
      <c r="E1082" t="s">
        <v>57</v>
      </c>
    </row>
    <row r="1083" spans="1:5" x14ac:dyDescent="0.3">
      <c r="A1083">
        <v>7099</v>
      </c>
      <c r="B1083">
        <v>1414</v>
      </c>
      <c r="C1083" s="1">
        <v>45937.624699074076</v>
      </c>
      <c r="D1083" t="s">
        <v>101</v>
      </c>
      <c r="E1083" t="s">
        <v>57</v>
      </c>
    </row>
    <row r="1084" spans="1:5" x14ac:dyDescent="0.3">
      <c r="A1084">
        <v>7120</v>
      </c>
      <c r="B1084">
        <v>1414</v>
      </c>
      <c r="C1084" s="1">
        <v>45937.625219907408</v>
      </c>
      <c r="D1084" t="s">
        <v>102</v>
      </c>
      <c r="E1084" t="s">
        <v>57</v>
      </c>
    </row>
    <row r="1085" spans="1:5" x14ac:dyDescent="0.3">
      <c r="A1085">
        <v>7125</v>
      </c>
      <c r="B1085">
        <v>1414</v>
      </c>
      <c r="C1085" s="1">
        <v>45937.6252662037</v>
      </c>
      <c r="D1085" t="s">
        <v>94</v>
      </c>
      <c r="E1085" t="s">
        <v>57</v>
      </c>
    </row>
    <row r="1086" spans="1:5" x14ac:dyDescent="0.3">
      <c r="A1086">
        <v>7134</v>
      </c>
      <c r="B1086">
        <v>1414</v>
      </c>
      <c r="C1086" s="1">
        <v>45937.625405092593</v>
      </c>
      <c r="D1086" t="s">
        <v>95</v>
      </c>
      <c r="E1086" t="s">
        <v>57</v>
      </c>
    </row>
    <row r="1087" spans="1:5" x14ac:dyDescent="0.3">
      <c r="A1087">
        <v>7153</v>
      </c>
      <c r="B1087">
        <v>1414</v>
      </c>
      <c r="C1087" s="1">
        <v>45937.626099537039</v>
      </c>
      <c r="D1087" t="s">
        <v>96</v>
      </c>
      <c r="E1087" t="s">
        <v>57</v>
      </c>
    </row>
    <row r="1088" spans="1:5" x14ac:dyDescent="0.3">
      <c r="A1088">
        <v>7161</v>
      </c>
      <c r="B1088">
        <v>1414</v>
      </c>
      <c r="C1088" s="1">
        <v>45937.626296296294</v>
      </c>
      <c r="D1088" t="s">
        <v>97</v>
      </c>
      <c r="E1088" t="s">
        <v>57</v>
      </c>
    </row>
    <row r="1089" spans="1:5" x14ac:dyDescent="0.3">
      <c r="A1089">
        <v>7171</v>
      </c>
      <c r="B1089">
        <v>1414</v>
      </c>
      <c r="C1089" s="1">
        <v>45937.626805555556</v>
      </c>
      <c r="D1089" t="s">
        <v>98</v>
      </c>
      <c r="E1089" t="s">
        <v>57</v>
      </c>
    </row>
    <row r="1090" spans="1:5" x14ac:dyDescent="0.3">
      <c r="A1090">
        <v>7180</v>
      </c>
      <c r="B1090">
        <v>1414</v>
      </c>
      <c r="C1090" s="1">
        <v>45937.626979166664</v>
      </c>
      <c r="D1090" t="s">
        <v>99</v>
      </c>
      <c r="E1090" t="s">
        <v>57</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0B03C-FBCD-40DF-9A33-053F90BBFED8}">
  <dimension ref="A1:D11"/>
  <sheetViews>
    <sheetView zoomScale="143" workbookViewId="0"/>
  </sheetViews>
  <sheetFormatPr defaultRowHeight="14.4" x14ac:dyDescent="0.3"/>
  <cols>
    <col min="1" max="1" width="4.88671875" bestFit="1" customWidth="1"/>
    <col min="2" max="2" width="7.33203125" bestFit="1" customWidth="1"/>
    <col min="3" max="3" width="28.77734375" bestFit="1" customWidth="1"/>
    <col min="4" max="4" width="12.88671875" bestFit="1" customWidth="1"/>
  </cols>
  <sheetData>
    <row r="1" spans="1:4" x14ac:dyDescent="0.3">
      <c r="A1" t="s">
        <v>0</v>
      </c>
      <c r="B1" t="s">
        <v>72</v>
      </c>
      <c r="C1" t="s">
        <v>1</v>
      </c>
      <c r="D1" t="s">
        <v>61</v>
      </c>
    </row>
    <row r="2" spans="1:4" x14ac:dyDescent="0.3">
      <c r="A2">
        <v>101</v>
      </c>
      <c r="B2">
        <v>1</v>
      </c>
      <c r="C2" t="s">
        <v>73</v>
      </c>
      <c r="D2">
        <v>39</v>
      </c>
    </row>
    <row r="3" spans="1:4" x14ac:dyDescent="0.3">
      <c r="A3">
        <v>102</v>
      </c>
      <c r="B3">
        <v>2</v>
      </c>
      <c r="C3" t="s">
        <v>74</v>
      </c>
      <c r="D3">
        <v>39</v>
      </c>
    </row>
    <row r="4" spans="1:4" x14ac:dyDescent="0.3">
      <c r="A4">
        <v>103</v>
      </c>
      <c r="B4">
        <v>3</v>
      </c>
      <c r="C4" t="s">
        <v>75</v>
      </c>
      <c r="D4">
        <v>39</v>
      </c>
    </row>
    <row r="5" spans="1:4" x14ac:dyDescent="0.3">
      <c r="A5">
        <v>104</v>
      </c>
      <c r="B5">
        <v>4</v>
      </c>
      <c r="C5" t="s">
        <v>76</v>
      </c>
      <c r="D5">
        <v>39</v>
      </c>
    </row>
    <row r="6" spans="1:4" x14ac:dyDescent="0.3">
      <c r="A6">
        <v>105</v>
      </c>
      <c r="B6">
        <v>5</v>
      </c>
      <c r="C6" t="s">
        <v>77</v>
      </c>
      <c r="D6">
        <v>39</v>
      </c>
    </row>
    <row r="7" spans="1:4" x14ac:dyDescent="0.3">
      <c r="A7">
        <v>106</v>
      </c>
      <c r="B7">
        <v>1</v>
      </c>
      <c r="C7" t="s">
        <v>78</v>
      </c>
      <c r="D7">
        <v>40</v>
      </c>
    </row>
    <row r="8" spans="1:4" x14ac:dyDescent="0.3">
      <c r="A8">
        <v>107</v>
      </c>
      <c r="B8">
        <v>2</v>
      </c>
      <c r="C8" t="s">
        <v>79</v>
      </c>
      <c r="D8">
        <v>40</v>
      </c>
    </row>
    <row r="9" spans="1:4" x14ac:dyDescent="0.3">
      <c r="A9">
        <v>108</v>
      </c>
      <c r="B9">
        <v>3</v>
      </c>
      <c r="C9" t="s">
        <v>80</v>
      </c>
      <c r="D9">
        <v>40</v>
      </c>
    </row>
    <row r="10" spans="1:4" x14ac:dyDescent="0.3">
      <c r="A10">
        <v>109</v>
      </c>
      <c r="B10">
        <v>4</v>
      </c>
      <c r="C10" t="s">
        <v>81</v>
      </c>
      <c r="D10">
        <v>40</v>
      </c>
    </row>
    <row r="11" spans="1:4" x14ac:dyDescent="0.3">
      <c r="A11">
        <v>110</v>
      </c>
      <c r="B11">
        <v>5</v>
      </c>
      <c r="C11" t="s">
        <v>82</v>
      </c>
      <c r="D11">
        <v>40</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24018-E93C-4B14-A5F9-A6CFB3CC020F}">
  <dimension ref="A1:I3"/>
  <sheetViews>
    <sheetView zoomScale="135" workbookViewId="0"/>
  </sheetViews>
  <sheetFormatPr defaultRowHeight="14.4" x14ac:dyDescent="0.3"/>
  <cols>
    <col min="1" max="1" width="4.88671875" bestFit="1" customWidth="1"/>
    <col min="2" max="2" width="7" bestFit="1" customWidth="1"/>
    <col min="3" max="3" width="17.77734375" bestFit="1" customWidth="1"/>
    <col min="4" max="4" width="10.109375" bestFit="1" customWidth="1"/>
    <col min="5" max="5" width="80.88671875" bestFit="1" customWidth="1"/>
    <col min="6" max="6" width="11.6640625" bestFit="1" customWidth="1"/>
    <col min="7" max="7" width="12" bestFit="1" customWidth="1"/>
    <col min="8" max="8" width="12.6640625" bestFit="1" customWidth="1"/>
    <col min="9" max="9" width="12.77734375" bestFit="1" customWidth="1"/>
  </cols>
  <sheetData>
    <row r="1" spans="1:9" x14ac:dyDescent="0.3">
      <c r="A1" t="s">
        <v>0</v>
      </c>
      <c r="B1" t="s">
        <v>62</v>
      </c>
      <c r="C1" t="s">
        <v>63</v>
      </c>
      <c r="D1" t="s">
        <v>1</v>
      </c>
      <c r="E1" t="s">
        <v>55</v>
      </c>
      <c r="F1" t="s">
        <v>64</v>
      </c>
      <c r="G1" t="s">
        <v>65</v>
      </c>
      <c r="H1" t="s">
        <v>66</v>
      </c>
      <c r="I1" t="s">
        <v>9</v>
      </c>
    </row>
    <row r="2" spans="1:9" x14ac:dyDescent="0.3">
      <c r="A2">
        <v>39</v>
      </c>
      <c r="B2" t="s">
        <v>67</v>
      </c>
      <c r="C2">
        <v>1</v>
      </c>
      <c r="D2" t="s">
        <v>68</v>
      </c>
      <c r="E2" t="s">
        <v>69</v>
      </c>
      <c r="F2">
        <v>1</v>
      </c>
      <c r="G2">
        <v>5</v>
      </c>
      <c r="H2">
        <v>1</v>
      </c>
      <c r="I2">
        <v>22</v>
      </c>
    </row>
    <row r="3" spans="1:9" x14ac:dyDescent="0.3">
      <c r="A3">
        <v>40</v>
      </c>
      <c r="B3" t="s">
        <v>67</v>
      </c>
      <c r="C3">
        <v>2</v>
      </c>
      <c r="D3" t="s">
        <v>70</v>
      </c>
      <c r="E3" t="s">
        <v>71</v>
      </c>
      <c r="F3">
        <v>1</v>
      </c>
      <c r="G3">
        <v>5</v>
      </c>
      <c r="H3">
        <v>1</v>
      </c>
      <c r="I3">
        <v>22</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27899-D038-4BF2-8B82-3CB1A09F06C3}">
  <dimension ref="A1:E193"/>
  <sheetViews>
    <sheetView workbookViewId="0"/>
  </sheetViews>
  <sheetFormatPr defaultRowHeight="14.4" x14ac:dyDescent="0.3"/>
  <cols>
    <col min="1" max="1" width="5" bestFit="1" customWidth="1"/>
    <col min="2" max="2" width="9.109375" bestFit="1" customWidth="1"/>
    <col min="3" max="3" width="13.109375" bestFit="1" customWidth="1"/>
    <col min="4" max="4" width="15.77734375" bestFit="1" customWidth="1"/>
    <col min="5" max="5" width="12.88671875" bestFit="1" customWidth="1"/>
  </cols>
  <sheetData>
    <row r="1" spans="1:5" x14ac:dyDescent="0.3">
      <c r="A1" t="s">
        <v>0</v>
      </c>
      <c r="B1" t="s">
        <v>58</v>
      </c>
      <c r="C1" t="s">
        <v>59</v>
      </c>
      <c r="D1" t="s">
        <v>60</v>
      </c>
      <c r="E1" t="s">
        <v>61</v>
      </c>
    </row>
    <row r="2" spans="1:5" x14ac:dyDescent="0.3">
      <c r="A2">
        <v>1669</v>
      </c>
      <c r="B2">
        <v>1</v>
      </c>
      <c r="C2">
        <v>0</v>
      </c>
      <c r="D2">
        <v>1365</v>
      </c>
      <c r="E2">
        <v>39</v>
      </c>
    </row>
    <row r="3" spans="1:5" x14ac:dyDescent="0.3">
      <c r="A3">
        <v>1670</v>
      </c>
      <c r="B3">
        <v>4</v>
      </c>
      <c r="C3">
        <v>0</v>
      </c>
      <c r="D3">
        <v>1365</v>
      </c>
      <c r="E3">
        <v>40</v>
      </c>
    </row>
    <row r="4" spans="1:5" x14ac:dyDescent="0.3">
      <c r="A4">
        <v>1717</v>
      </c>
      <c r="B4">
        <v>1</v>
      </c>
      <c r="C4">
        <v>0</v>
      </c>
      <c r="D4">
        <v>1382</v>
      </c>
      <c r="E4">
        <v>39</v>
      </c>
    </row>
    <row r="5" spans="1:5" x14ac:dyDescent="0.3">
      <c r="A5">
        <v>1718</v>
      </c>
      <c r="B5">
        <v>4</v>
      </c>
      <c r="C5">
        <v>0</v>
      </c>
      <c r="D5">
        <v>1382</v>
      </c>
      <c r="E5">
        <v>40</v>
      </c>
    </row>
    <row r="6" spans="1:5" x14ac:dyDescent="0.3">
      <c r="A6">
        <v>1765</v>
      </c>
      <c r="B6">
        <v>1</v>
      </c>
      <c r="C6">
        <v>0</v>
      </c>
      <c r="D6">
        <v>1407</v>
      </c>
      <c r="E6">
        <v>39</v>
      </c>
    </row>
    <row r="7" spans="1:5" x14ac:dyDescent="0.3">
      <c r="A7">
        <v>1766</v>
      </c>
      <c r="B7">
        <v>4</v>
      </c>
      <c r="C7">
        <v>0</v>
      </c>
      <c r="D7">
        <v>1407</v>
      </c>
      <c r="E7">
        <v>40</v>
      </c>
    </row>
    <row r="8" spans="1:5" x14ac:dyDescent="0.3">
      <c r="A8">
        <v>1799</v>
      </c>
      <c r="B8">
        <v>1</v>
      </c>
      <c r="C8">
        <v>0</v>
      </c>
      <c r="D8">
        <v>1428</v>
      </c>
      <c r="E8">
        <v>39</v>
      </c>
    </row>
    <row r="9" spans="1:5" x14ac:dyDescent="0.3">
      <c r="A9">
        <v>1800</v>
      </c>
      <c r="B9">
        <v>4</v>
      </c>
      <c r="C9">
        <v>0</v>
      </c>
      <c r="D9">
        <v>1428</v>
      </c>
      <c r="E9">
        <v>40</v>
      </c>
    </row>
    <row r="10" spans="1:5" x14ac:dyDescent="0.3">
      <c r="A10">
        <v>1667</v>
      </c>
      <c r="B10">
        <v>1</v>
      </c>
      <c r="C10">
        <v>0</v>
      </c>
      <c r="D10">
        <v>1366</v>
      </c>
      <c r="E10">
        <v>39</v>
      </c>
    </row>
    <row r="11" spans="1:5" x14ac:dyDescent="0.3">
      <c r="A11">
        <v>1668</v>
      </c>
      <c r="B11">
        <v>5</v>
      </c>
      <c r="C11">
        <v>0</v>
      </c>
      <c r="D11">
        <v>1366</v>
      </c>
      <c r="E11">
        <v>40</v>
      </c>
    </row>
    <row r="12" spans="1:5" x14ac:dyDescent="0.3">
      <c r="A12">
        <v>1719</v>
      </c>
      <c r="B12">
        <v>1</v>
      </c>
      <c r="C12">
        <v>0</v>
      </c>
      <c r="D12">
        <v>1381</v>
      </c>
      <c r="E12">
        <v>39</v>
      </c>
    </row>
    <row r="13" spans="1:5" x14ac:dyDescent="0.3">
      <c r="A13">
        <v>1720</v>
      </c>
      <c r="B13">
        <v>5</v>
      </c>
      <c r="C13">
        <v>0</v>
      </c>
      <c r="D13">
        <v>1381</v>
      </c>
      <c r="E13">
        <v>40</v>
      </c>
    </row>
    <row r="14" spans="1:5" x14ac:dyDescent="0.3">
      <c r="A14">
        <v>1767</v>
      </c>
      <c r="B14">
        <v>1</v>
      </c>
      <c r="C14">
        <v>0</v>
      </c>
      <c r="D14">
        <v>1406</v>
      </c>
      <c r="E14">
        <v>39</v>
      </c>
    </row>
    <row r="15" spans="1:5" x14ac:dyDescent="0.3">
      <c r="A15">
        <v>1768</v>
      </c>
      <c r="B15">
        <v>5</v>
      </c>
      <c r="C15">
        <v>0</v>
      </c>
      <c r="D15">
        <v>1406</v>
      </c>
      <c r="E15">
        <v>40</v>
      </c>
    </row>
    <row r="16" spans="1:5" x14ac:dyDescent="0.3">
      <c r="A16">
        <v>1795</v>
      </c>
      <c r="B16">
        <v>1</v>
      </c>
      <c r="C16">
        <v>0</v>
      </c>
      <c r="D16">
        <v>1429</v>
      </c>
      <c r="E16">
        <v>39</v>
      </c>
    </row>
    <row r="17" spans="1:5" x14ac:dyDescent="0.3">
      <c r="A17">
        <v>1796</v>
      </c>
      <c r="B17">
        <v>5</v>
      </c>
      <c r="C17">
        <v>0</v>
      </c>
      <c r="D17">
        <v>1429</v>
      </c>
      <c r="E17">
        <v>40</v>
      </c>
    </row>
    <row r="18" spans="1:5" x14ac:dyDescent="0.3">
      <c r="A18">
        <v>1663</v>
      </c>
      <c r="B18">
        <v>3</v>
      </c>
      <c r="C18">
        <v>0</v>
      </c>
      <c r="D18">
        <v>1368</v>
      </c>
      <c r="E18">
        <v>39</v>
      </c>
    </row>
    <row r="19" spans="1:5" x14ac:dyDescent="0.3">
      <c r="A19">
        <v>1664</v>
      </c>
      <c r="B19">
        <v>4</v>
      </c>
      <c r="C19">
        <v>0</v>
      </c>
      <c r="D19">
        <v>1368</v>
      </c>
      <c r="E19">
        <v>40</v>
      </c>
    </row>
    <row r="20" spans="1:5" x14ac:dyDescent="0.3">
      <c r="A20">
        <v>1713</v>
      </c>
      <c r="B20">
        <v>4</v>
      </c>
      <c r="C20">
        <v>0</v>
      </c>
      <c r="D20">
        <v>1383</v>
      </c>
      <c r="E20">
        <v>39</v>
      </c>
    </row>
    <row r="21" spans="1:5" x14ac:dyDescent="0.3">
      <c r="A21">
        <v>1714</v>
      </c>
      <c r="B21">
        <v>1</v>
      </c>
      <c r="C21">
        <v>0</v>
      </c>
      <c r="D21">
        <v>1383</v>
      </c>
      <c r="E21">
        <v>40</v>
      </c>
    </row>
    <row r="22" spans="1:5" x14ac:dyDescent="0.3">
      <c r="A22">
        <v>1763</v>
      </c>
      <c r="B22">
        <v>4</v>
      </c>
      <c r="C22">
        <v>0</v>
      </c>
      <c r="D22">
        <v>1405</v>
      </c>
      <c r="E22">
        <v>39</v>
      </c>
    </row>
    <row r="23" spans="1:5" x14ac:dyDescent="0.3">
      <c r="A23">
        <v>1764</v>
      </c>
      <c r="B23">
        <v>2</v>
      </c>
      <c r="C23">
        <v>0</v>
      </c>
      <c r="D23">
        <v>1405</v>
      </c>
      <c r="E23">
        <v>40</v>
      </c>
    </row>
    <row r="24" spans="1:5" x14ac:dyDescent="0.3">
      <c r="A24">
        <v>1805</v>
      </c>
      <c r="B24">
        <v>2</v>
      </c>
      <c r="C24">
        <v>0</v>
      </c>
      <c r="D24">
        <v>1432</v>
      </c>
      <c r="E24">
        <v>39</v>
      </c>
    </row>
    <row r="25" spans="1:5" x14ac:dyDescent="0.3">
      <c r="A25">
        <v>1806</v>
      </c>
      <c r="B25">
        <v>4</v>
      </c>
      <c r="C25">
        <v>0</v>
      </c>
      <c r="D25">
        <v>1432</v>
      </c>
      <c r="E25">
        <v>40</v>
      </c>
    </row>
    <row r="26" spans="1:5" x14ac:dyDescent="0.3">
      <c r="A26">
        <v>1671</v>
      </c>
      <c r="B26">
        <v>2</v>
      </c>
      <c r="C26">
        <v>0</v>
      </c>
      <c r="D26">
        <v>1363</v>
      </c>
      <c r="E26">
        <v>39</v>
      </c>
    </row>
    <row r="27" spans="1:5" x14ac:dyDescent="0.3">
      <c r="A27">
        <v>1672</v>
      </c>
      <c r="B27">
        <v>3</v>
      </c>
      <c r="C27">
        <v>0</v>
      </c>
      <c r="D27">
        <v>1363</v>
      </c>
      <c r="E27">
        <v>40</v>
      </c>
    </row>
    <row r="28" spans="1:5" x14ac:dyDescent="0.3">
      <c r="A28">
        <v>1715</v>
      </c>
      <c r="B28">
        <v>2</v>
      </c>
      <c r="C28">
        <v>0</v>
      </c>
      <c r="D28">
        <v>1385</v>
      </c>
      <c r="E28">
        <v>39</v>
      </c>
    </row>
    <row r="29" spans="1:5" x14ac:dyDescent="0.3">
      <c r="A29">
        <v>1716</v>
      </c>
      <c r="B29">
        <v>4</v>
      </c>
      <c r="C29">
        <v>0</v>
      </c>
      <c r="D29">
        <v>1385</v>
      </c>
      <c r="E29">
        <v>40</v>
      </c>
    </row>
    <row r="30" spans="1:5" x14ac:dyDescent="0.3">
      <c r="A30">
        <v>1769</v>
      </c>
      <c r="B30">
        <v>1</v>
      </c>
      <c r="C30">
        <v>0</v>
      </c>
      <c r="D30">
        <v>1409</v>
      </c>
      <c r="E30">
        <v>39</v>
      </c>
    </row>
    <row r="31" spans="1:5" x14ac:dyDescent="0.3">
      <c r="A31">
        <v>1770</v>
      </c>
      <c r="B31">
        <v>5</v>
      </c>
      <c r="C31">
        <v>0</v>
      </c>
      <c r="D31">
        <v>1409</v>
      </c>
      <c r="E31">
        <v>40</v>
      </c>
    </row>
    <row r="32" spans="1:5" x14ac:dyDescent="0.3">
      <c r="A32">
        <v>1801</v>
      </c>
      <c r="B32">
        <v>1</v>
      </c>
      <c r="C32">
        <v>0</v>
      </c>
      <c r="D32">
        <v>1430</v>
      </c>
      <c r="E32">
        <v>39</v>
      </c>
    </row>
    <row r="33" spans="1:5" x14ac:dyDescent="0.3">
      <c r="A33">
        <v>1802</v>
      </c>
      <c r="B33">
        <v>5</v>
      </c>
      <c r="C33">
        <v>0</v>
      </c>
      <c r="D33">
        <v>1430</v>
      </c>
      <c r="E33">
        <v>40</v>
      </c>
    </row>
    <row r="34" spans="1:5" x14ac:dyDescent="0.3">
      <c r="A34">
        <v>1665</v>
      </c>
      <c r="B34">
        <v>3</v>
      </c>
      <c r="C34">
        <v>0</v>
      </c>
      <c r="D34">
        <v>1364</v>
      </c>
      <c r="E34">
        <v>39</v>
      </c>
    </row>
    <row r="35" spans="1:5" x14ac:dyDescent="0.3">
      <c r="A35">
        <v>1666</v>
      </c>
      <c r="B35">
        <v>2</v>
      </c>
      <c r="C35">
        <v>0</v>
      </c>
      <c r="D35">
        <v>1364</v>
      </c>
      <c r="E35">
        <v>40</v>
      </c>
    </row>
    <row r="36" spans="1:5" x14ac:dyDescent="0.3">
      <c r="A36">
        <v>1711</v>
      </c>
      <c r="B36">
        <v>2</v>
      </c>
      <c r="C36">
        <v>0</v>
      </c>
      <c r="D36">
        <v>1384</v>
      </c>
      <c r="E36">
        <v>39</v>
      </c>
    </row>
    <row r="37" spans="1:5" x14ac:dyDescent="0.3">
      <c r="A37">
        <v>1712</v>
      </c>
      <c r="B37">
        <v>2</v>
      </c>
      <c r="C37">
        <v>0</v>
      </c>
      <c r="D37">
        <v>1384</v>
      </c>
      <c r="E37">
        <v>40</v>
      </c>
    </row>
    <row r="38" spans="1:5" x14ac:dyDescent="0.3">
      <c r="A38">
        <v>1751</v>
      </c>
      <c r="B38">
        <v>2</v>
      </c>
      <c r="C38">
        <v>0</v>
      </c>
      <c r="D38">
        <v>1408</v>
      </c>
      <c r="E38">
        <v>39</v>
      </c>
    </row>
    <row r="39" spans="1:5" x14ac:dyDescent="0.3">
      <c r="A39">
        <v>1752</v>
      </c>
      <c r="B39">
        <v>2</v>
      </c>
      <c r="C39">
        <v>0</v>
      </c>
      <c r="D39">
        <v>1408</v>
      </c>
      <c r="E39">
        <v>40</v>
      </c>
    </row>
    <row r="40" spans="1:5" x14ac:dyDescent="0.3">
      <c r="A40">
        <v>1797</v>
      </c>
      <c r="B40">
        <v>2</v>
      </c>
      <c r="C40">
        <v>0</v>
      </c>
      <c r="D40">
        <v>1431</v>
      </c>
      <c r="E40">
        <v>39</v>
      </c>
    </row>
    <row r="41" spans="1:5" x14ac:dyDescent="0.3">
      <c r="A41">
        <v>1798</v>
      </c>
      <c r="B41">
        <v>2</v>
      </c>
      <c r="C41">
        <v>0</v>
      </c>
      <c r="D41">
        <v>1431</v>
      </c>
      <c r="E41">
        <v>40</v>
      </c>
    </row>
    <row r="42" spans="1:5" x14ac:dyDescent="0.3">
      <c r="A42">
        <v>1673</v>
      </c>
      <c r="B42">
        <v>3</v>
      </c>
      <c r="C42">
        <v>1</v>
      </c>
      <c r="D42">
        <v>1367</v>
      </c>
      <c r="E42">
        <v>39</v>
      </c>
    </row>
    <row r="43" spans="1:5" x14ac:dyDescent="0.3">
      <c r="A43">
        <v>1674</v>
      </c>
      <c r="B43">
        <v>4</v>
      </c>
      <c r="C43">
        <v>1</v>
      </c>
      <c r="D43">
        <v>1367</v>
      </c>
      <c r="E43">
        <v>40</v>
      </c>
    </row>
    <row r="44" spans="1:5" x14ac:dyDescent="0.3">
      <c r="A44">
        <v>1721</v>
      </c>
      <c r="B44">
        <v>2</v>
      </c>
      <c r="C44">
        <v>1</v>
      </c>
      <c r="D44">
        <v>1386</v>
      </c>
      <c r="E44">
        <v>39</v>
      </c>
    </row>
    <row r="45" spans="1:5" x14ac:dyDescent="0.3">
      <c r="A45">
        <v>1722</v>
      </c>
      <c r="B45">
        <v>4</v>
      </c>
      <c r="C45">
        <v>1</v>
      </c>
      <c r="D45">
        <v>1386</v>
      </c>
      <c r="E45">
        <v>40</v>
      </c>
    </row>
    <row r="46" spans="1:5" x14ac:dyDescent="0.3">
      <c r="A46">
        <v>1755</v>
      </c>
      <c r="B46">
        <v>1</v>
      </c>
      <c r="C46">
        <v>0</v>
      </c>
      <c r="D46">
        <v>1410</v>
      </c>
      <c r="E46">
        <v>39</v>
      </c>
    </row>
    <row r="47" spans="1:5" x14ac:dyDescent="0.3">
      <c r="A47">
        <v>1756</v>
      </c>
      <c r="B47">
        <v>4</v>
      </c>
      <c r="C47">
        <v>0</v>
      </c>
      <c r="D47">
        <v>1410</v>
      </c>
      <c r="E47">
        <v>40</v>
      </c>
    </row>
    <row r="48" spans="1:5" x14ac:dyDescent="0.3">
      <c r="A48">
        <v>1813</v>
      </c>
      <c r="B48">
        <v>1</v>
      </c>
      <c r="C48">
        <v>1</v>
      </c>
      <c r="D48">
        <v>1433</v>
      </c>
      <c r="E48">
        <v>39</v>
      </c>
    </row>
    <row r="49" spans="1:5" x14ac:dyDescent="0.3">
      <c r="A49">
        <v>1814</v>
      </c>
      <c r="B49">
        <v>5</v>
      </c>
      <c r="C49">
        <v>1</v>
      </c>
      <c r="D49">
        <v>1433</v>
      </c>
      <c r="E49">
        <v>40</v>
      </c>
    </row>
    <row r="50" spans="1:5" x14ac:dyDescent="0.3">
      <c r="A50">
        <v>1677</v>
      </c>
      <c r="B50">
        <v>3</v>
      </c>
      <c r="C50">
        <v>0</v>
      </c>
      <c r="D50">
        <v>1352</v>
      </c>
      <c r="E50">
        <v>39</v>
      </c>
    </row>
    <row r="51" spans="1:5" x14ac:dyDescent="0.3">
      <c r="A51">
        <v>1678</v>
      </c>
      <c r="B51">
        <v>3</v>
      </c>
      <c r="C51">
        <v>0</v>
      </c>
      <c r="D51">
        <v>1352</v>
      </c>
      <c r="E51">
        <v>40</v>
      </c>
    </row>
    <row r="52" spans="1:5" x14ac:dyDescent="0.3">
      <c r="A52">
        <v>1731</v>
      </c>
      <c r="B52">
        <v>3</v>
      </c>
      <c r="C52">
        <v>0</v>
      </c>
      <c r="D52">
        <v>1392</v>
      </c>
      <c r="E52">
        <v>39</v>
      </c>
    </row>
    <row r="53" spans="1:5" x14ac:dyDescent="0.3">
      <c r="A53">
        <v>1732</v>
      </c>
      <c r="B53">
        <v>4</v>
      </c>
      <c r="C53">
        <v>0</v>
      </c>
      <c r="D53">
        <v>1392</v>
      </c>
      <c r="E53">
        <v>40</v>
      </c>
    </row>
    <row r="54" spans="1:5" x14ac:dyDescent="0.3">
      <c r="A54">
        <v>1791</v>
      </c>
      <c r="B54">
        <v>3</v>
      </c>
      <c r="C54">
        <v>0</v>
      </c>
      <c r="D54">
        <v>1420</v>
      </c>
      <c r="E54">
        <v>39</v>
      </c>
    </row>
    <row r="55" spans="1:5" x14ac:dyDescent="0.3">
      <c r="A55">
        <v>1792</v>
      </c>
      <c r="B55">
        <v>3</v>
      </c>
      <c r="C55">
        <v>0</v>
      </c>
      <c r="D55">
        <v>1420</v>
      </c>
      <c r="E55">
        <v>40</v>
      </c>
    </row>
    <row r="56" spans="1:5" x14ac:dyDescent="0.3">
      <c r="A56">
        <v>1827</v>
      </c>
      <c r="B56">
        <v>3</v>
      </c>
      <c r="C56">
        <v>0</v>
      </c>
      <c r="D56">
        <v>1440</v>
      </c>
      <c r="E56">
        <v>39</v>
      </c>
    </row>
    <row r="57" spans="1:5" x14ac:dyDescent="0.3">
      <c r="A57">
        <v>1828</v>
      </c>
      <c r="B57">
        <v>3</v>
      </c>
      <c r="C57">
        <v>0</v>
      </c>
      <c r="D57">
        <v>1440</v>
      </c>
      <c r="E57">
        <v>40</v>
      </c>
    </row>
    <row r="58" spans="1:5" x14ac:dyDescent="0.3">
      <c r="A58">
        <v>1685</v>
      </c>
      <c r="B58">
        <v>4</v>
      </c>
      <c r="C58">
        <v>0</v>
      </c>
      <c r="D58">
        <v>1355</v>
      </c>
      <c r="E58">
        <v>39</v>
      </c>
    </row>
    <row r="59" spans="1:5" x14ac:dyDescent="0.3">
      <c r="A59">
        <v>1686</v>
      </c>
      <c r="B59">
        <v>2</v>
      </c>
      <c r="C59">
        <v>0</v>
      </c>
      <c r="D59">
        <v>1355</v>
      </c>
      <c r="E59">
        <v>40</v>
      </c>
    </row>
    <row r="60" spans="1:5" x14ac:dyDescent="0.3">
      <c r="A60">
        <v>1729</v>
      </c>
      <c r="B60">
        <v>2</v>
      </c>
      <c r="C60">
        <v>0</v>
      </c>
      <c r="D60">
        <v>1389</v>
      </c>
      <c r="E60">
        <v>39</v>
      </c>
    </row>
    <row r="61" spans="1:5" x14ac:dyDescent="0.3">
      <c r="A61">
        <v>1730</v>
      </c>
      <c r="B61">
        <v>2</v>
      </c>
      <c r="C61">
        <v>0</v>
      </c>
      <c r="D61">
        <v>1389</v>
      </c>
      <c r="E61">
        <v>40</v>
      </c>
    </row>
    <row r="62" spans="1:5" x14ac:dyDescent="0.3">
      <c r="A62">
        <v>1771</v>
      </c>
      <c r="B62">
        <v>2</v>
      </c>
      <c r="C62">
        <v>0</v>
      </c>
      <c r="D62">
        <v>1422</v>
      </c>
      <c r="E62">
        <v>39</v>
      </c>
    </row>
    <row r="63" spans="1:5" x14ac:dyDescent="0.3">
      <c r="A63">
        <v>1772</v>
      </c>
      <c r="B63">
        <v>1</v>
      </c>
      <c r="C63">
        <v>0</v>
      </c>
      <c r="D63">
        <v>1422</v>
      </c>
      <c r="E63">
        <v>40</v>
      </c>
    </row>
    <row r="64" spans="1:5" x14ac:dyDescent="0.3">
      <c r="A64">
        <v>1825</v>
      </c>
      <c r="B64">
        <v>2</v>
      </c>
      <c r="C64">
        <v>0</v>
      </c>
      <c r="D64">
        <v>1437</v>
      </c>
      <c r="E64">
        <v>39</v>
      </c>
    </row>
    <row r="65" spans="1:5" x14ac:dyDescent="0.3">
      <c r="A65">
        <v>1826</v>
      </c>
      <c r="B65">
        <v>1</v>
      </c>
      <c r="C65">
        <v>0</v>
      </c>
      <c r="D65">
        <v>1437</v>
      </c>
      <c r="E65">
        <v>40</v>
      </c>
    </row>
    <row r="66" spans="1:5" x14ac:dyDescent="0.3">
      <c r="A66">
        <v>1675</v>
      </c>
      <c r="B66">
        <v>5</v>
      </c>
      <c r="C66">
        <v>0</v>
      </c>
      <c r="D66">
        <v>1356</v>
      </c>
      <c r="E66">
        <v>39</v>
      </c>
    </row>
    <row r="67" spans="1:5" x14ac:dyDescent="0.3">
      <c r="A67">
        <v>1676</v>
      </c>
      <c r="B67">
        <v>1</v>
      </c>
      <c r="C67">
        <v>0</v>
      </c>
      <c r="D67">
        <v>1356</v>
      </c>
      <c r="E67">
        <v>40</v>
      </c>
    </row>
    <row r="68" spans="1:5" x14ac:dyDescent="0.3">
      <c r="A68">
        <v>1733</v>
      </c>
      <c r="B68">
        <v>5</v>
      </c>
      <c r="C68">
        <v>0</v>
      </c>
      <c r="D68">
        <v>1391</v>
      </c>
      <c r="E68">
        <v>39</v>
      </c>
    </row>
    <row r="69" spans="1:5" x14ac:dyDescent="0.3">
      <c r="A69">
        <v>1734</v>
      </c>
      <c r="B69">
        <v>1</v>
      </c>
      <c r="C69">
        <v>0</v>
      </c>
      <c r="D69">
        <v>1391</v>
      </c>
      <c r="E69">
        <v>40</v>
      </c>
    </row>
    <row r="70" spans="1:5" x14ac:dyDescent="0.3">
      <c r="A70">
        <v>1775</v>
      </c>
      <c r="B70">
        <v>5</v>
      </c>
      <c r="C70">
        <v>0</v>
      </c>
      <c r="D70">
        <v>1419</v>
      </c>
      <c r="E70">
        <v>39</v>
      </c>
    </row>
    <row r="71" spans="1:5" x14ac:dyDescent="0.3">
      <c r="A71">
        <v>1776</v>
      </c>
      <c r="B71">
        <v>1</v>
      </c>
      <c r="C71">
        <v>0</v>
      </c>
      <c r="D71">
        <v>1419</v>
      </c>
      <c r="E71">
        <v>40</v>
      </c>
    </row>
    <row r="72" spans="1:5" x14ac:dyDescent="0.3">
      <c r="A72">
        <v>1821</v>
      </c>
      <c r="B72">
        <v>5</v>
      </c>
      <c r="C72">
        <v>0</v>
      </c>
      <c r="D72">
        <v>1436</v>
      </c>
      <c r="E72">
        <v>39</v>
      </c>
    </row>
    <row r="73" spans="1:5" x14ac:dyDescent="0.3">
      <c r="A73">
        <v>1822</v>
      </c>
      <c r="B73">
        <v>1</v>
      </c>
      <c r="C73">
        <v>0</v>
      </c>
      <c r="D73">
        <v>1436</v>
      </c>
      <c r="E73">
        <v>40</v>
      </c>
    </row>
    <row r="74" spans="1:5" x14ac:dyDescent="0.3">
      <c r="A74">
        <v>1683</v>
      </c>
      <c r="B74">
        <v>4</v>
      </c>
      <c r="C74">
        <v>0</v>
      </c>
      <c r="D74">
        <v>1351</v>
      </c>
      <c r="E74">
        <v>39</v>
      </c>
    </row>
    <row r="75" spans="1:5" x14ac:dyDescent="0.3">
      <c r="A75">
        <v>1684</v>
      </c>
      <c r="B75">
        <v>4</v>
      </c>
      <c r="C75">
        <v>0</v>
      </c>
      <c r="D75">
        <v>1351</v>
      </c>
      <c r="E75">
        <v>40</v>
      </c>
    </row>
    <row r="76" spans="1:5" x14ac:dyDescent="0.3">
      <c r="A76">
        <v>1725</v>
      </c>
      <c r="B76">
        <v>3</v>
      </c>
      <c r="C76">
        <v>0</v>
      </c>
      <c r="D76">
        <v>1390</v>
      </c>
      <c r="E76">
        <v>39</v>
      </c>
    </row>
    <row r="77" spans="1:5" x14ac:dyDescent="0.3">
      <c r="A77">
        <v>1726</v>
      </c>
      <c r="B77">
        <v>4</v>
      </c>
      <c r="C77">
        <v>0</v>
      </c>
      <c r="D77">
        <v>1390</v>
      </c>
      <c r="E77">
        <v>40</v>
      </c>
    </row>
    <row r="78" spans="1:5" x14ac:dyDescent="0.3">
      <c r="A78">
        <v>1777</v>
      </c>
      <c r="B78">
        <v>3</v>
      </c>
      <c r="C78">
        <v>0</v>
      </c>
      <c r="D78">
        <v>1421</v>
      </c>
      <c r="E78">
        <v>39</v>
      </c>
    </row>
    <row r="79" spans="1:5" x14ac:dyDescent="0.3">
      <c r="A79">
        <v>1778</v>
      </c>
      <c r="B79">
        <v>3</v>
      </c>
      <c r="C79">
        <v>0</v>
      </c>
      <c r="D79">
        <v>1421</v>
      </c>
      <c r="E79">
        <v>40</v>
      </c>
    </row>
    <row r="80" spans="1:5" x14ac:dyDescent="0.3">
      <c r="A80">
        <v>1829</v>
      </c>
      <c r="B80">
        <v>3</v>
      </c>
      <c r="C80">
        <v>0</v>
      </c>
      <c r="D80">
        <v>1439</v>
      </c>
      <c r="E80">
        <v>39</v>
      </c>
    </row>
    <row r="81" spans="1:5" x14ac:dyDescent="0.3">
      <c r="A81">
        <v>1830</v>
      </c>
      <c r="B81">
        <v>4</v>
      </c>
      <c r="C81">
        <v>0</v>
      </c>
      <c r="D81">
        <v>1439</v>
      </c>
      <c r="E81">
        <v>40</v>
      </c>
    </row>
    <row r="82" spans="1:5" x14ac:dyDescent="0.3">
      <c r="A82">
        <v>1679</v>
      </c>
      <c r="B82">
        <v>3</v>
      </c>
      <c r="C82">
        <v>0</v>
      </c>
      <c r="D82">
        <v>1353</v>
      </c>
      <c r="E82">
        <v>39</v>
      </c>
    </row>
    <row r="83" spans="1:5" x14ac:dyDescent="0.3">
      <c r="A83">
        <v>1680</v>
      </c>
      <c r="B83">
        <v>4</v>
      </c>
      <c r="C83">
        <v>0</v>
      </c>
      <c r="D83">
        <v>1353</v>
      </c>
      <c r="E83">
        <v>40</v>
      </c>
    </row>
    <row r="84" spans="1:5" x14ac:dyDescent="0.3">
      <c r="A84">
        <v>1727</v>
      </c>
      <c r="B84">
        <v>2</v>
      </c>
      <c r="C84">
        <v>0</v>
      </c>
      <c r="D84">
        <v>1388</v>
      </c>
      <c r="E84">
        <v>39</v>
      </c>
    </row>
    <row r="85" spans="1:5" x14ac:dyDescent="0.3">
      <c r="A85">
        <v>1728</v>
      </c>
      <c r="B85">
        <v>4</v>
      </c>
      <c r="C85">
        <v>0</v>
      </c>
      <c r="D85">
        <v>1388</v>
      </c>
      <c r="E85">
        <v>40</v>
      </c>
    </row>
    <row r="86" spans="1:5" x14ac:dyDescent="0.3">
      <c r="A86">
        <v>1781</v>
      </c>
      <c r="B86">
        <v>1</v>
      </c>
      <c r="C86">
        <v>0</v>
      </c>
      <c r="D86">
        <v>1417</v>
      </c>
      <c r="E86">
        <v>39</v>
      </c>
    </row>
    <row r="87" spans="1:5" x14ac:dyDescent="0.3">
      <c r="A87">
        <v>1782</v>
      </c>
      <c r="B87">
        <v>5</v>
      </c>
      <c r="C87">
        <v>0</v>
      </c>
      <c r="D87">
        <v>1417</v>
      </c>
      <c r="E87">
        <v>40</v>
      </c>
    </row>
    <row r="88" spans="1:5" x14ac:dyDescent="0.3">
      <c r="A88">
        <v>1823</v>
      </c>
      <c r="B88">
        <v>1</v>
      </c>
      <c r="C88">
        <v>0</v>
      </c>
      <c r="D88">
        <v>1438</v>
      </c>
      <c r="E88">
        <v>39</v>
      </c>
    </row>
    <row r="89" spans="1:5" x14ac:dyDescent="0.3">
      <c r="A89">
        <v>1824</v>
      </c>
      <c r="B89">
        <v>5</v>
      </c>
      <c r="C89">
        <v>0</v>
      </c>
      <c r="D89">
        <v>1438</v>
      </c>
      <c r="E89">
        <v>40</v>
      </c>
    </row>
    <row r="90" spans="1:5" x14ac:dyDescent="0.3">
      <c r="A90">
        <v>1681</v>
      </c>
      <c r="B90">
        <v>3</v>
      </c>
      <c r="C90">
        <v>0</v>
      </c>
      <c r="D90">
        <v>1354</v>
      </c>
      <c r="E90">
        <v>39</v>
      </c>
    </row>
    <row r="91" spans="1:5" x14ac:dyDescent="0.3">
      <c r="A91">
        <v>1682</v>
      </c>
      <c r="B91">
        <v>4</v>
      </c>
      <c r="C91">
        <v>0</v>
      </c>
      <c r="D91">
        <v>1354</v>
      </c>
      <c r="E91">
        <v>40</v>
      </c>
    </row>
    <row r="92" spans="1:5" x14ac:dyDescent="0.3">
      <c r="A92">
        <v>1723</v>
      </c>
      <c r="B92">
        <v>3</v>
      </c>
      <c r="C92">
        <v>0</v>
      </c>
      <c r="D92">
        <v>1387</v>
      </c>
      <c r="E92">
        <v>39</v>
      </c>
    </row>
    <row r="93" spans="1:5" x14ac:dyDescent="0.3">
      <c r="A93">
        <v>1724</v>
      </c>
      <c r="B93">
        <v>3</v>
      </c>
      <c r="C93">
        <v>0</v>
      </c>
      <c r="D93">
        <v>1387</v>
      </c>
      <c r="E93">
        <v>40</v>
      </c>
    </row>
    <row r="94" spans="1:5" x14ac:dyDescent="0.3">
      <c r="A94">
        <v>1773</v>
      </c>
      <c r="B94">
        <v>3</v>
      </c>
      <c r="C94">
        <v>0</v>
      </c>
      <c r="D94">
        <v>1418</v>
      </c>
      <c r="E94">
        <v>39</v>
      </c>
    </row>
    <row r="95" spans="1:5" x14ac:dyDescent="0.3">
      <c r="A95">
        <v>1774</v>
      </c>
      <c r="B95">
        <v>2</v>
      </c>
      <c r="C95">
        <v>0</v>
      </c>
      <c r="D95">
        <v>1418</v>
      </c>
      <c r="E95">
        <v>40</v>
      </c>
    </row>
    <row r="96" spans="1:5" x14ac:dyDescent="0.3">
      <c r="A96">
        <v>1819</v>
      </c>
      <c r="B96">
        <v>3</v>
      </c>
      <c r="C96">
        <v>0</v>
      </c>
      <c r="D96">
        <v>1435</v>
      </c>
      <c r="E96">
        <v>39</v>
      </c>
    </row>
    <row r="97" spans="1:5" x14ac:dyDescent="0.3">
      <c r="A97">
        <v>1820</v>
      </c>
      <c r="B97">
        <v>2</v>
      </c>
      <c r="C97">
        <v>0</v>
      </c>
      <c r="D97">
        <v>1435</v>
      </c>
      <c r="E97">
        <v>40</v>
      </c>
    </row>
    <row r="98" spans="1:5" x14ac:dyDescent="0.3">
      <c r="A98">
        <v>1657</v>
      </c>
      <c r="B98">
        <v>3</v>
      </c>
      <c r="C98">
        <v>0</v>
      </c>
      <c r="D98">
        <v>1339</v>
      </c>
      <c r="E98">
        <v>39</v>
      </c>
    </row>
    <row r="99" spans="1:5" x14ac:dyDescent="0.3">
      <c r="A99">
        <v>1658</v>
      </c>
      <c r="B99">
        <v>4</v>
      </c>
      <c r="C99">
        <v>0</v>
      </c>
      <c r="D99">
        <v>1339</v>
      </c>
      <c r="E99">
        <v>40</v>
      </c>
    </row>
    <row r="100" spans="1:5" x14ac:dyDescent="0.3">
      <c r="A100">
        <v>1699</v>
      </c>
      <c r="B100">
        <v>3</v>
      </c>
      <c r="C100">
        <v>0</v>
      </c>
      <c r="D100">
        <v>1376</v>
      </c>
      <c r="E100">
        <v>39</v>
      </c>
    </row>
    <row r="101" spans="1:5" x14ac:dyDescent="0.3">
      <c r="A101">
        <v>1700</v>
      </c>
      <c r="B101">
        <v>4</v>
      </c>
      <c r="C101">
        <v>0</v>
      </c>
      <c r="D101">
        <v>1376</v>
      </c>
      <c r="E101">
        <v>40</v>
      </c>
    </row>
    <row r="102" spans="1:5" x14ac:dyDescent="0.3">
      <c r="A102">
        <v>1759</v>
      </c>
      <c r="B102">
        <v>2</v>
      </c>
      <c r="C102">
        <v>0</v>
      </c>
      <c r="D102">
        <v>1402</v>
      </c>
      <c r="E102">
        <v>39</v>
      </c>
    </row>
    <row r="103" spans="1:5" x14ac:dyDescent="0.3">
      <c r="A103">
        <v>1760</v>
      </c>
      <c r="B103">
        <v>4</v>
      </c>
      <c r="C103">
        <v>0</v>
      </c>
      <c r="D103">
        <v>1402</v>
      </c>
      <c r="E103">
        <v>40</v>
      </c>
    </row>
    <row r="104" spans="1:5" x14ac:dyDescent="0.3">
      <c r="A104">
        <v>1807</v>
      </c>
      <c r="B104">
        <v>3</v>
      </c>
      <c r="C104">
        <v>0</v>
      </c>
      <c r="D104">
        <v>1425</v>
      </c>
      <c r="E104">
        <v>39</v>
      </c>
    </row>
    <row r="105" spans="1:5" x14ac:dyDescent="0.3">
      <c r="A105">
        <v>1808</v>
      </c>
      <c r="B105">
        <v>4</v>
      </c>
      <c r="C105">
        <v>0</v>
      </c>
      <c r="D105">
        <v>1425</v>
      </c>
      <c r="E105">
        <v>40</v>
      </c>
    </row>
    <row r="106" spans="1:5" x14ac:dyDescent="0.3">
      <c r="A106">
        <v>1653</v>
      </c>
      <c r="B106">
        <v>3</v>
      </c>
      <c r="C106">
        <v>0</v>
      </c>
      <c r="D106">
        <v>1342</v>
      </c>
      <c r="E106">
        <v>39</v>
      </c>
    </row>
    <row r="107" spans="1:5" x14ac:dyDescent="0.3">
      <c r="A107">
        <v>1654</v>
      </c>
      <c r="B107">
        <v>2</v>
      </c>
      <c r="C107">
        <v>0</v>
      </c>
      <c r="D107">
        <v>1342</v>
      </c>
      <c r="E107">
        <v>40</v>
      </c>
    </row>
    <row r="108" spans="1:5" x14ac:dyDescent="0.3">
      <c r="A108">
        <v>1705</v>
      </c>
      <c r="B108">
        <v>1</v>
      </c>
      <c r="C108">
        <v>0</v>
      </c>
      <c r="D108">
        <v>1370</v>
      </c>
      <c r="E108">
        <v>39</v>
      </c>
    </row>
    <row r="109" spans="1:5" x14ac:dyDescent="0.3">
      <c r="A109">
        <v>1706</v>
      </c>
      <c r="B109">
        <v>2</v>
      </c>
      <c r="C109">
        <v>0</v>
      </c>
      <c r="D109">
        <v>1370</v>
      </c>
      <c r="E109">
        <v>40</v>
      </c>
    </row>
    <row r="110" spans="1:5" x14ac:dyDescent="0.3">
      <c r="A110">
        <v>1757</v>
      </c>
      <c r="B110">
        <v>1</v>
      </c>
      <c r="C110">
        <v>0</v>
      </c>
      <c r="D110">
        <v>1404</v>
      </c>
      <c r="E110">
        <v>39</v>
      </c>
    </row>
    <row r="111" spans="1:5" x14ac:dyDescent="0.3">
      <c r="A111">
        <v>1758</v>
      </c>
      <c r="B111">
        <v>1</v>
      </c>
      <c r="C111">
        <v>0</v>
      </c>
      <c r="D111">
        <v>1404</v>
      </c>
      <c r="E111">
        <v>40</v>
      </c>
    </row>
    <row r="112" spans="1:5" x14ac:dyDescent="0.3">
      <c r="A112">
        <v>1817</v>
      </c>
      <c r="B112">
        <v>1</v>
      </c>
      <c r="C112">
        <v>0</v>
      </c>
      <c r="D112">
        <v>1424</v>
      </c>
      <c r="E112">
        <v>39</v>
      </c>
    </row>
    <row r="113" spans="1:5" x14ac:dyDescent="0.3">
      <c r="A113">
        <v>1818</v>
      </c>
      <c r="B113">
        <v>2</v>
      </c>
      <c r="C113">
        <v>0</v>
      </c>
      <c r="D113">
        <v>1424</v>
      </c>
      <c r="E113">
        <v>40</v>
      </c>
    </row>
    <row r="114" spans="1:5" x14ac:dyDescent="0.3">
      <c r="A114">
        <v>1651</v>
      </c>
      <c r="B114">
        <v>3</v>
      </c>
      <c r="C114">
        <v>0</v>
      </c>
      <c r="D114">
        <v>1341</v>
      </c>
      <c r="E114">
        <v>39</v>
      </c>
    </row>
    <row r="115" spans="1:5" x14ac:dyDescent="0.3">
      <c r="A115">
        <v>1652</v>
      </c>
      <c r="B115">
        <v>2</v>
      </c>
      <c r="C115">
        <v>0</v>
      </c>
      <c r="D115">
        <v>1341</v>
      </c>
      <c r="E115">
        <v>40</v>
      </c>
    </row>
    <row r="116" spans="1:5" x14ac:dyDescent="0.3">
      <c r="A116">
        <v>1693</v>
      </c>
      <c r="B116">
        <v>3</v>
      </c>
      <c r="C116">
        <v>0</v>
      </c>
      <c r="D116">
        <v>1372</v>
      </c>
      <c r="E116">
        <v>39</v>
      </c>
    </row>
    <row r="117" spans="1:5" x14ac:dyDescent="0.3">
      <c r="A117">
        <v>1694</v>
      </c>
      <c r="B117">
        <v>3</v>
      </c>
      <c r="C117">
        <v>0</v>
      </c>
      <c r="D117">
        <v>1372</v>
      </c>
      <c r="E117">
        <v>40</v>
      </c>
    </row>
    <row r="118" spans="1:5" x14ac:dyDescent="0.3">
      <c r="A118">
        <v>1761</v>
      </c>
      <c r="B118">
        <v>3</v>
      </c>
      <c r="C118">
        <v>0</v>
      </c>
      <c r="D118">
        <v>1400</v>
      </c>
      <c r="E118">
        <v>39</v>
      </c>
    </row>
    <row r="119" spans="1:5" x14ac:dyDescent="0.3">
      <c r="A119">
        <v>1762</v>
      </c>
      <c r="B119">
        <v>3</v>
      </c>
      <c r="C119">
        <v>0</v>
      </c>
      <c r="D119">
        <v>1400</v>
      </c>
      <c r="E119">
        <v>40</v>
      </c>
    </row>
    <row r="120" spans="1:5" x14ac:dyDescent="0.3">
      <c r="A120">
        <v>1815</v>
      </c>
      <c r="B120">
        <v>2</v>
      </c>
      <c r="C120">
        <v>0</v>
      </c>
      <c r="D120">
        <v>1427</v>
      </c>
      <c r="E120">
        <v>39</v>
      </c>
    </row>
    <row r="121" spans="1:5" x14ac:dyDescent="0.3">
      <c r="A121">
        <v>1816</v>
      </c>
      <c r="B121">
        <v>4</v>
      </c>
      <c r="C121">
        <v>0</v>
      </c>
      <c r="D121">
        <v>1427</v>
      </c>
      <c r="E121">
        <v>40</v>
      </c>
    </row>
    <row r="122" spans="1:5" x14ac:dyDescent="0.3">
      <c r="A122">
        <v>1655</v>
      </c>
      <c r="B122">
        <v>1</v>
      </c>
      <c r="C122">
        <v>0</v>
      </c>
      <c r="D122">
        <v>1357</v>
      </c>
      <c r="E122">
        <v>39</v>
      </c>
    </row>
    <row r="123" spans="1:5" x14ac:dyDescent="0.3">
      <c r="A123">
        <v>1656</v>
      </c>
      <c r="B123">
        <v>5</v>
      </c>
      <c r="C123">
        <v>0</v>
      </c>
      <c r="D123">
        <v>1357</v>
      </c>
      <c r="E123">
        <v>40</v>
      </c>
    </row>
    <row r="124" spans="1:5" x14ac:dyDescent="0.3">
      <c r="A124">
        <v>1687</v>
      </c>
      <c r="B124">
        <v>1</v>
      </c>
      <c r="C124">
        <v>0</v>
      </c>
      <c r="D124">
        <v>1369</v>
      </c>
      <c r="E124">
        <v>39</v>
      </c>
    </row>
    <row r="125" spans="1:5" x14ac:dyDescent="0.3">
      <c r="A125">
        <v>1688</v>
      </c>
      <c r="B125">
        <v>5</v>
      </c>
      <c r="C125">
        <v>0</v>
      </c>
      <c r="D125">
        <v>1369</v>
      </c>
      <c r="E125">
        <v>40</v>
      </c>
    </row>
    <row r="126" spans="1:5" x14ac:dyDescent="0.3">
      <c r="A126">
        <v>1747</v>
      </c>
      <c r="B126">
        <v>1</v>
      </c>
      <c r="C126">
        <v>0</v>
      </c>
      <c r="D126">
        <v>1401</v>
      </c>
      <c r="E126">
        <v>39</v>
      </c>
    </row>
    <row r="127" spans="1:5" x14ac:dyDescent="0.3">
      <c r="A127">
        <v>1748</v>
      </c>
      <c r="B127">
        <v>5</v>
      </c>
      <c r="C127">
        <v>0</v>
      </c>
      <c r="D127">
        <v>1401</v>
      </c>
      <c r="E127">
        <v>40</v>
      </c>
    </row>
    <row r="128" spans="1:5" x14ac:dyDescent="0.3">
      <c r="A128">
        <v>1809</v>
      </c>
      <c r="B128">
        <v>1</v>
      </c>
      <c r="C128">
        <v>0</v>
      </c>
      <c r="D128">
        <v>1434</v>
      </c>
      <c r="E128">
        <v>39</v>
      </c>
    </row>
    <row r="129" spans="1:5" x14ac:dyDescent="0.3">
      <c r="A129">
        <v>1810</v>
      </c>
      <c r="B129">
        <v>5</v>
      </c>
      <c r="C129">
        <v>0</v>
      </c>
      <c r="D129">
        <v>1434</v>
      </c>
      <c r="E129">
        <v>40</v>
      </c>
    </row>
    <row r="130" spans="1:5" x14ac:dyDescent="0.3">
      <c r="A130">
        <v>1659</v>
      </c>
      <c r="B130">
        <v>3</v>
      </c>
      <c r="C130">
        <v>0</v>
      </c>
      <c r="D130">
        <v>1344</v>
      </c>
      <c r="E130">
        <v>39</v>
      </c>
    </row>
    <row r="131" spans="1:5" x14ac:dyDescent="0.3">
      <c r="A131">
        <v>1660</v>
      </c>
      <c r="B131">
        <v>4</v>
      </c>
      <c r="C131">
        <v>0</v>
      </c>
      <c r="D131">
        <v>1344</v>
      </c>
      <c r="E131">
        <v>40</v>
      </c>
    </row>
    <row r="132" spans="1:5" x14ac:dyDescent="0.3">
      <c r="A132">
        <v>1707</v>
      </c>
      <c r="B132">
        <v>3</v>
      </c>
      <c r="C132">
        <v>0</v>
      </c>
      <c r="D132">
        <v>1371</v>
      </c>
      <c r="E132">
        <v>39</v>
      </c>
    </row>
    <row r="133" spans="1:5" x14ac:dyDescent="0.3">
      <c r="A133">
        <v>1708</v>
      </c>
      <c r="B133">
        <v>4</v>
      </c>
      <c r="C133">
        <v>0</v>
      </c>
      <c r="D133">
        <v>1371</v>
      </c>
      <c r="E133">
        <v>40</v>
      </c>
    </row>
    <row r="134" spans="1:5" x14ac:dyDescent="0.3">
      <c r="A134">
        <v>1753</v>
      </c>
      <c r="B134">
        <v>1</v>
      </c>
      <c r="C134">
        <v>0</v>
      </c>
      <c r="D134">
        <v>1399</v>
      </c>
      <c r="E134">
        <v>39</v>
      </c>
    </row>
    <row r="135" spans="1:5" x14ac:dyDescent="0.3">
      <c r="A135">
        <v>1754</v>
      </c>
      <c r="B135">
        <v>5</v>
      </c>
      <c r="C135">
        <v>0</v>
      </c>
      <c r="D135">
        <v>1399</v>
      </c>
      <c r="E135">
        <v>40</v>
      </c>
    </row>
    <row r="136" spans="1:5" x14ac:dyDescent="0.3">
      <c r="A136">
        <v>1811</v>
      </c>
      <c r="B136">
        <v>1</v>
      </c>
      <c r="C136">
        <v>0</v>
      </c>
      <c r="D136">
        <v>1426</v>
      </c>
      <c r="E136">
        <v>39</v>
      </c>
    </row>
    <row r="137" spans="1:5" x14ac:dyDescent="0.3">
      <c r="A137">
        <v>1812</v>
      </c>
      <c r="B137">
        <v>4</v>
      </c>
      <c r="C137">
        <v>0</v>
      </c>
      <c r="D137">
        <v>1426</v>
      </c>
      <c r="E137">
        <v>40</v>
      </c>
    </row>
    <row r="138" spans="1:5" x14ac:dyDescent="0.3">
      <c r="A138">
        <v>1661</v>
      </c>
      <c r="B138">
        <v>3</v>
      </c>
      <c r="C138">
        <v>0</v>
      </c>
      <c r="D138">
        <v>1340</v>
      </c>
      <c r="E138">
        <v>39</v>
      </c>
    </row>
    <row r="139" spans="1:5" x14ac:dyDescent="0.3">
      <c r="A139">
        <v>1662</v>
      </c>
      <c r="B139">
        <v>4</v>
      </c>
      <c r="C139">
        <v>0</v>
      </c>
      <c r="D139">
        <v>1340</v>
      </c>
      <c r="E139">
        <v>40</v>
      </c>
    </row>
    <row r="140" spans="1:5" x14ac:dyDescent="0.3">
      <c r="A140">
        <v>1709</v>
      </c>
      <c r="B140">
        <v>3</v>
      </c>
      <c r="C140">
        <v>0</v>
      </c>
      <c r="D140">
        <v>1375</v>
      </c>
      <c r="E140">
        <v>39</v>
      </c>
    </row>
    <row r="141" spans="1:5" x14ac:dyDescent="0.3">
      <c r="A141">
        <v>1710</v>
      </c>
      <c r="B141">
        <v>4</v>
      </c>
      <c r="C141">
        <v>0</v>
      </c>
      <c r="D141">
        <v>1375</v>
      </c>
      <c r="E141">
        <v>40</v>
      </c>
    </row>
    <row r="142" spans="1:5" x14ac:dyDescent="0.3">
      <c r="A142">
        <v>1749</v>
      </c>
      <c r="B142">
        <v>3</v>
      </c>
      <c r="C142">
        <v>0</v>
      </c>
      <c r="D142">
        <v>1403</v>
      </c>
      <c r="E142">
        <v>39</v>
      </c>
    </row>
    <row r="143" spans="1:5" x14ac:dyDescent="0.3">
      <c r="A143">
        <v>1750</v>
      </c>
      <c r="B143">
        <v>4</v>
      </c>
      <c r="C143">
        <v>0</v>
      </c>
      <c r="D143">
        <v>1403</v>
      </c>
      <c r="E143">
        <v>40</v>
      </c>
    </row>
    <row r="144" spans="1:5" x14ac:dyDescent="0.3">
      <c r="A144">
        <v>1803</v>
      </c>
      <c r="B144">
        <v>3</v>
      </c>
      <c r="C144">
        <v>0</v>
      </c>
      <c r="D144">
        <v>1423</v>
      </c>
      <c r="E144">
        <v>39</v>
      </c>
    </row>
    <row r="145" spans="1:5" x14ac:dyDescent="0.3">
      <c r="A145">
        <v>1804</v>
      </c>
      <c r="B145">
        <v>4</v>
      </c>
      <c r="C145">
        <v>0</v>
      </c>
      <c r="D145">
        <v>1423</v>
      </c>
      <c r="E145">
        <v>40</v>
      </c>
    </row>
    <row r="146" spans="1:5" x14ac:dyDescent="0.3">
      <c r="A146">
        <v>1643</v>
      </c>
      <c r="B146">
        <v>4</v>
      </c>
      <c r="C146">
        <v>0</v>
      </c>
      <c r="D146">
        <v>1348</v>
      </c>
      <c r="E146">
        <v>39</v>
      </c>
    </row>
    <row r="147" spans="1:5" x14ac:dyDescent="0.3">
      <c r="A147">
        <v>1644</v>
      </c>
      <c r="B147">
        <v>5</v>
      </c>
      <c r="C147">
        <v>0</v>
      </c>
      <c r="D147">
        <v>1348</v>
      </c>
      <c r="E147">
        <v>40</v>
      </c>
    </row>
    <row r="148" spans="1:5" x14ac:dyDescent="0.3">
      <c r="A148">
        <v>1697</v>
      </c>
      <c r="B148">
        <v>2</v>
      </c>
      <c r="C148">
        <v>0</v>
      </c>
      <c r="D148">
        <v>1373</v>
      </c>
      <c r="E148">
        <v>39</v>
      </c>
    </row>
    <row r="149" spans="1:5" x14ac:dyDescent="0.3">
      <c r="A149">
        <v>1698</v>
      </c>
      <c r="B149">
        <v>5</v>
      </c>
      <c r="C149">
        <v>0</v>
      </c>
      <c r="D149">
        <v>1373</v>
      </c>
      <c r="E149">
        <v>40</v>
      </c>
    </row>
    <row r="150" spans="1:5" x14ac:dyDescent="0.3">
      <c r="A150">
        <v>1739</v>
      </c>
      <c r="B150">
        <v>2</v>
      </c>
      <c r="C150">
        <v>0</v>
      </c>
      <c r="D150">
        <v>1394</v>
      </c>
      <c r="E150">
        <v>39</v>
      </c>
    </row>
    <row r="151" spans="1:5" x14ac:dyDescent="0.3">
      <c r="A151">
        <v>1740</v>
      </c>
      <c r="B151">
        <v>5</v>
      </c>
      <c r="C151">
        <v>0</v>
      </c>
      <c r="D151">
        <v>1394</v>
      </c>
      <c r="E151">
        <v>40</v>
      </c>
    </row>
    <row r="152" spans="1:5" x14ac:dyDescent="0.3">
      <c r="A152">
        <v>1785</v>
      </c>
      <c r="B152">
        <v>2</v>
      </c>
      <c r="C152">
        <v>0</v>
      </c>
      <c r="D152">
        <v>1413</v>
      </c>
      <c r="E152">
        <v>39</v>
      </c>
    </row>
    <row r="153" spans="1:5" x14ac:dyDescent="0.3">
      <c r="A153">
        <v>1786</v>
      </c>
      <c r="B153">
        <v>5</v>
      </c>
      <c r="C153">
        <v>0</v>
      </c>
      <c r="D153">
        <v>1413</v>
      </c>
      <c r="E153">
        <v>40</v>
      </c>
    </row>
    <row r="154" spans="1:5" x14ac:dyDescent="0.3">
      <c r="A154">
        <v>1645</v>
      </c>
      <c r="B154">
        <v>1</v>
      </c>
      <c r="C154">
        <v>0</v>
      </c>
      <c r="D154">
        <v>1347</v>
      </c>
      <c r="E154">
        <v>39</v>
      </c>
    </row>
    <row r="155" spans="1:5" x14ac:dyDescent="0.3">
      <c r="A155">
        <v>1646</v>
      </c>
      <c r="B155">
        <v>5</v>
      </c>
      <c r="C155">
        <v>0</v>
      </c>
      <c r="D155">
        <v>1347</v>
      </c>
      <c r="E155">
        <v>40</v>
      </c>
    </row>
    <row r="156" spans="1:5" x14ac:dyDescent="0.3">
      <c r="A156">
        <v>1689</v>
      </c>
      <c r="B156">
        <v>1</v>
      </c>
      <c r="C156">
        <v>0</v>
      </c>
      <c r="D156">
        <v>1380</v>
      </c>
      <c r="E156">
        <v>39</v>
      </c>
    </row>
    <row r="157" spans="1:5" x14ac:dyDescent="0.3">
      <c r="A157">
        <v>1690</v>
      </c>
      <c r="B157">
        <v>5</v>
      </c>
      <c r="C157">
        <v>0</v>
      </c>
      <c r="D157">
        <v>1380</v>
      </c>
      <c r="E157">
        <v>40</v>
      </c>
    </row>
    <row r="158" spans="1:5" x14ac:dyDescent="0.3">
      <c r="A158">
        <v>1743</v>
      </c>
      <c r="B158">
        <v>1</v>
      </c>
      <c r="C158">
        <v>0</v>
      </c>
      <c r="D158">
        <v>1397</v>
      </c>
      <c r="E158">
        <v>39</v>
      </c>
    </row>
    <row r="159" spans="1:5" x14ac:dyDescent="0.3">
      <c r="A159">
        <v>1744</v>
      </c>
      <c r="B159">
        <v>2</v>
      </c>
      <c r="C159">
        <v>0</v>
      </c>
      <c r="D159">
        <v>1397</v>
      </c>
      <c r="E159">
        <v>40</v>
      </c>
    </row>
    <row r="160" spans="1:5" x14ac:dyDescent="0.3">
      <c r="A160">
        <v>1787</v>
      </c>
      <c r="B160">
        <v>3</v>
      </c>
      <c r="C160">
        <v>0</v>
      </c>
      <c r="D160">
        <v>1415</v>
      </c>
      <c r="E160">
        <v>39</v>
      </c>
    </row>
    <row r="161" spans="1:5" x14ac:dyDescent="0.3">
      <c r="A161">
        <v>1788</v>
      </c>
      <c r="B161">
        <v>2</v>
      </c>
      <c r="C161">
        <v>0</v>
      </c>
      <c r="D161">
        <v>1415</v>
      </c>
      <c r="E161">
        <v>40</v>
      </c>
    </row>
    <row r="162" spans="1:5" x14ac:dyDescent="0.3">
      <c r="A162">
        <v>1647</v>
      </c>
      <c r="B162">
        <v>5</v>
      </c>
      <c r="C162">
        <v>0</v>
      </c>
      <c r="D162">
        <v>1345</v>
      </c>
      <c r="E162">
        <v>39</v>
      </c>
    </row>
    <row r="163" spans="1:5" x14ac:dyDescent="0.3">
      <c r="A163">
        <v>1648</v>
      </c>
      <c r="B163">
        <v>2</v>
      </c>
      <c r="C163">
        <v>0</v>
      </c>
      <c r="D163">
        <v>1345</v>
      </c>
      <c r="E163">
        <v>40</v>
      </c>
    </row>
    <row r="164" spans="1:5" x14ac:dyDescent="0.3">
      <c r="A164">
        <v>1695</v>
      </c>
      <c r="B164">
        <v>2</v>
      </c>
      <c r="C164">
        <v>0</v>
      </c>
      <c r="D164">
        <v>1378</v>
      </c>
      <c r="E164">
        <v>39</v>
      </c>
    </row>
    <row r="165" spans="1:5" x14ac:dyDescent="0.3">
      <c r="A165">
        <v>1696</v>
      </c>
      <c r="B165">
        <v>2</v>
      </c>
      <c r="C165">
        <v>0</v>
      </c>
      <c r="D165">
        <v>1378</v>
      </c>
      <c r="E165">
        <v>40</v>
      </c>
    </row>
    <row r="166" spans="1:5" x14ac:dyDescent="0.3">
      <c r="A166">
        <v>1745</v>
      </c>
      <c r="B166">
        <v>5</v>
      </c>
      <c r="C166">
        <v>0</v>
      </c>
      <c r="D166">
        <v>1398</v>
      </c>
      <c r="E166">
        <v>39</v>
      </c>
    </row>
    <row r="167" spans="1:5" x14ac:dyDescent="0.3">
      <c r="A167">
        <v>1746</v>
      </c>
      <c r="B167">
        <v>2</v>
      </c>
      <c r="C167">
        <v>0</v>
      </c>
      <c r="D167">
        <v>1398</v>
      </c>
      <c r="E167">
        <v>40</v>
      </c>
    </row>
    <row r="168" spans="1:5" x14ac:dyDescent="0.3">
      <c r="A168">
        <v>1793</v>
      </c>
      <c r="B168">
        <v>4</v>
      </c>
      <c r="C168">
        <v>0</v>
      </c>
      <c r="D168">
        <v>1411</v>
      </c>
      <c r="E168">
        <v>39</v>
      </c>
    </row>
    <row r="169" spans="1:5" x14ac:dyDescent="0.3">
      <c r="A169">
        <v>1794</v>
      </c>
      <c r="B169">
        <v>1</v>
      </c>
      <c r="C169">
        <v>0</v>
      </c>
      <c r="D169">
        <v>1411</v>
      </c>
      <c r="E169">
        <v>40</v>
      </c>
    </row>
    <row r="170" spans="1:5" x14ac:dyDescent="0.3">
      <c r="A170">
        <v>1641</v>
      </c>
      <c r="B170">
        <v>2</v>
      </c>
      <c r="C170">
        <v>0</v>
      </c>
      <c r="D170">
        <v>1343</v>
      </c>
      <c r="E170">
        <v>39</v>
      </c>
    </row>
    <row r="171" spans="1:5" x14ac:dyDescent="0.3">
      <c r="A171">
        <v>1642</v>
      </c>
      <c r="B171">
        <v>1</v>
      </c>
      <c r="C171">
        <v>0</v>
      </c>
      <c r="D171">
        <v>1343</v>
      </c>
      <c r="E171">
        <v>40</v>
      </c>
    </row>
    <row r="172" spans="1:5" x14ac:dyDescent="0.3">
      <c r="A172">
        <v>1703</v>
      </c>
      <c r="B172">
        <v>3</v>
      </c>
      <c r="C172">
        <v>0</v>
      </c>
      <c r="D172">
        <v>1377</v>
      </c>
      <c r="E172">
        <v>39</v>
      </c>
    </row>
    <row r="173" spans="1:5" x14ac:dyDescent="0.3">
      <c r="A173">
        <v>1704</v>
      </c>
      <c r="B173">
        <v>2</v>
      </c>
      <c r="C173">
        <v>0</v>
      </c>
      <c r="D173">
        <v>1377</v>
      </c>
      <c r="E173">
        <v>40</v>
      </c>
    </row>
    <row r="174" spans="1:5" x14ac:dyDescent="0.3">
      <c r="A174">
        <v>1735</v>
      </c>
      <c r="B174">
        <v>3</v>
      </c>
      <c r="C174">
        <v>0</v>
      </c>
      <c r="D174">
        <v>1396</v>
      </c>
      <c r="E174">
        <v>39</v>
      </c>
    </row>
    <row r="175" spans="1:5" x14ac:dyDescent="0.3">
      <c r="A175">
        <v>1736</v>
      </c>
      <c r="B175">
        <v>2</v>
      </c>
      <c r="C175">
        <v>0</v>
      </c>
      <c r="D175">
        <v>1396</v>
      </c>
      <c r="E175">
        <v>40</v>
      </c>
    </row>
    <row r="176" spans="1:5" x14ac:dyDescent="0.3">
      <c r="A176">
        <v>1779</v>
      </c>
      <c r="B176">
        <v>3</v>
      </c>
      <c r="C176">
        <v>0</v>
      </c>
      <c r="D176">
        <v>1416</v>
      </c>
      <c r="E176">
        <v>39</v>
      </c>
    </row>
    <row r="177" spans="1:5" x14ac:dyDescent="0.3">
      <c r="A177">
        <v>1780</v>
      </c>
      <c r="B177">
        <v>2</v>
      </c>
      <c r="C177">
        <v>0</v>
      </c>
      <c r="D177">
        <v>1416</v>
      </c>
      <c r="E177">
        <v>40</v>
      </c>
    </row>
    <row r="178" spans="1:5" x14ac:dyDescent="0.3">
      <c r="A178">
        <v>1639</v>
      </c>
      <c r="B178">
        <v>5</v>
      </c>
      <c r="C178">
        <v>0</v>
      </c>
      <c r="D178">
        <v>1349</v>
      </c>
      <c r="E178">
        <v>39</v>
      </c>
    </row>
    <row r="179" spans="1:5" x14ac:dyDescent="0.3">
      <c r="A179">
        <v>1640</v>
      </c>
      <c r="B179">
        <v>4</v>
      </c>
      <c r="C179">
        <v>0</v>
      </c>
      <c r="D179">
        <v>1349</v>
      </c>
      <c r="E179">
        <v>40</v>
      </c>
    </row>
    <row r="180" spans="1:5" x14ac:dyDescent="0.3">
      <c r="A180">
        <v>1701</v>
      </c>
      <c r="B180">
        <v>3</v>
      </c>
      <c r="C180">
        <v>0</v>
      </c>
      <c r="D180">
        <v>1379</v>
      </c>
      <c r="E180">
        <v>39</v>
      </c>
    </row>
    <row r="181" spans="1:5" x14ac:dyDescent="0.3">
      <c r="A181">
        <v>1702</v>
      </c>
      <c r="B181">
        <v>4</v>
      </c>
      <c r="C181">
        <v>0</v>
      </c>
      <c r="D181">
        <v>1379</v>
      </c>
      <c r="E181">
        <v>40</v>
      </c>
    </row>
    <row r="182" spans="1:5" x14ac:dyDescent="0.3">
      <c r="A182">
        <v>1741</v>
      </c>
      <c r="B182">
        <v>2</v>
      </c>
      <c r="C182">
        <v>0</v>
      </c>
      <c r="D182">
        <v>1393</v>
      </c>
      <c r="E182">
        <v>39</v>
      </c>
    </row>
    <row r="183" spans="1:5" x14ac:dyDescent="0.3">
      <c r="A183">
        <v>1742</v>
      </c>
      <c r="B183">
        <v>4</v>
      </c>
      <c r="C183">
        <v>0</v>
      </c>
      <c r="D183">
        <v>1393</v>
      </c>
      <c r="E183">
        <v>40</v>
      </c>
    </row>
    <row r="184" spans="1:5" x14ac:dyDescent="0.3">
      <c r="A184">
        <v>1783</v>
      </c>
      <c r="B184">
        <v>2</v>
      </c>
      <c r="C184">
        <v>0</v>
      </c>
      <c r="D184">
        <v>1412</v>
      </c>
      <c r="E184">
        <v>39</v>
      </c>
    </row>
    <row r="185" spans="1:5" x14ac:dyDescent="0.3">
      <c r="A185">
        <v>1784</v>
      </c>
      <c r="B185">
        <v>4</v>
      </c>
      <c r="C185">
        <v>0</v>
      </c>
      <c r="D185">
        <v>1412</v>
      </c>
      <c r="E185">
        <v>40</v>
      </c>
    </row>
    <row r="186" spans="1:5" x14ac:dyDescent="0.3">
      <c r="A186">
        <v>1649</v>
      </c>
      <c r="B186">
        <v>4</v>
      </c>
      <c r="C186">
        <v>0</v>
      </c>
      <c r="D186">
        <v>1350</v>
      </c>
      <c r="E186">
        <v>39</v>
      </c>
    </row>
    <row r="187" spans="1:5" x14ac:dyDescent="0.3">
      <c r="A187">
        <v>1650</v>
      </c>
      <c r="B187">
        <v>4</v>
      </c>
      <c r="C187">
        <v>0</v>
      </c>
      <c r="D187">
        <v>1350</v>
      </c>
      <c r="E187">
        <v>40</v>
      </c>
    </row>
    <row r="188" spans="1:5" x14ac:dyDescent="0.3">
      <c r="A188">
        <v>1691</v>
      </c>
      <c r="B188">
        <v>3</v>
      </c>
      <c r="C188">
        <v>0</v>
      </c>
      <c r="D188">
        <v>1374</v>
      </c>
      <c r="E188">
        <v>39</v>
      </c>
    </row>
    <row r="189" spans="1:5" x14ac:dyDescent="0.3">
      <c r="A189">
        <v>1692</v>
      </c>
      <c r="B189">
        <v>4</v>
      </c>
      <c r="C189">
        <v>0</v>
      </c>
      <c r="D189">
        <v>1374</v>
      </c>
      <c r="E189">
        <v>40</v>
      </c>
    </row>
    <row r="190" spans="1:5" x14ac:dyDescent="0.3">
      <c r="A190">
        <v>1737</v>
      </c>
      <c r="B190">
        <v>4</v>
      </c>
      <c r="C190">
        <v>0</v>
      </c>
      <c r="D190">
        <v>1395</v>
      </c>
      <c r="E190">
        <v>39</v>
      </c>
    </row>
    <row r="191" spans="1:5" x14ac:dyDescent="0.3">
      <c r="A191">
        <v>1738</v>
      </c>
      <c r="B191">
        <v>4</v>
      </c>
      <c r="C191">
        <v>0</v>
      </c>
      <c r="D191">
        <v>1395</v>
      </c>
      <c r="E191">
        <v>40</v>
      </c>
    </row>
    <row r="192" spans="1:5" x14ac:dyDescent="0.3">
      <c r="A192">
        <v>1789</v>
      </c>
      <c r="B192">
        <v>4</v>
      </c>
      <c r="C192">
        <v>0</v>
      </c>
      <c r="D192">
        <v>1414</v>
      </c>
      <c r="E192">
        <v>39</v>
      </c>
    </row>
    <row r="193" spans="1:5" x14ac:dyDescent="0.3">
      <c r="A193">
        <v>1790</v>
      </c>
      <c r="B193">
        <v>4</v>
      </c>
      <c r="C193">
        <v>0</v>
      </c>
      <c r="D193">
        <v>1414</v>
      </c>
      <c r="E193">
        <v>40</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6F12D-FAA6-4D2A-8472-ECF436917D92}">
  <dimension ref="A1:I2"/>
  <sheetViews>
    <sheetView workbookViewId="0"/>
  </sheetViews>
  <sheetFormatPr defaultRowHeight="14.4" x14ac:dyDescent="0.3"/>
  <cols>
    <col min="1" max="1" width="4.88671875" bestFit="1" customWidth="1"/>
    <col min="2" max="2" width="8" bestFit="1" customWidth="1"/>
    <col min="3" max="3" width="20.21875" bestFit="1" customWidth="1"/>
    <col min="4" max="4" width="18.33203125" bestFit="1" customWidth="1"/>
    <col min="5" max="5" width="18.6640625" bestFit="1" customWidth="1"/>
    <col min="6" max="6" width="22.21875" bestFit="1" customWidth="1"/>
    <col min="7" max="7" width="22.6640625" bestFit="1" customWidth="1"/>
    <col min="8" max="8" width="16.33203125" bestFit="1" customWidth="1"/>
    <col min="9" max="9" width="12.77734375" bestFit="1" customWidth="1"/>
  </cols>
  <sheetData>
    <row r="1" spans="1:9" x14ac:dyDescent="0.3">
      <c r="A1" t="s">
        <v>0</v>
      </c>
      <c r="B1" t="s">
        <v>1</v>
      </c>
      <c r="C1" t="s">
        <v>49</v>
      </c>
      <c r="D1" t="s">
        <v>50</v>
      </c>
      <c r="E1" t="s">
        <v>51</v>
      </c>
      <c r="F1" t="s">
        <v>52</v>
      </c>
      <c r="G1" t="s">
        <v>53</v>
      </c>
      <c r="H1" t="s">
        <v>54</v>
      </c>
      <c r="I1" t="s">
        <v>55</v>
      </c>
    </row>
    <row r="2" spans="1:9" x14ac:dyDescent="0.3">
      <c r="A2">
        <v>22</v>
      </c>
      <c r="B2" t="s">
        <v>56</v>
      </c>
      <c r="C2">
        <v>1</v>
      </c>
      <c r="D2">
        <v>6</v>
      </c>
      <c r="E2">
        <v>8</v>
      </c>
      <c r="F2">
        <v>4</v>
      </c>
      <c r="G2">
        <v>1</v>
      </c>
      <c r="H2">
        <v>13</v>
      </c>
      <c r="I2" t="s">
        <v>57</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F56CF-E3DB-45C5-AB12-E48C837F2771}">
  <dimension ref="A1:Y2"/>
  <sheetViews>
    <sheetView topLeftCell="S1" workbookViewId="0"/>
  </sheetViews>
  <sheetFormatPr defaultRowHeight="14.4" x14ac:dyDescent="0.3"/>
  <cols>
    <col min="1" max="1" width="4.88671875" bestFit="1" customWidth="1"/>
    <col min="2" max="2" width="17.5546875" bestFit="1" customWidth="1"/>
    <col min="3" max="3" width="36.6640625" bestFit="1" customWidth="1"/>
    <col min="4" max="4" width="36.109375" bestFit="1" customWidth="1"/>
    <col min="5" max="5" width="40.6640625" bestFit="1" customWidth="1"/>
    <col min="6" max="6" width="25.109375" bestFit="1" customWidth="1"/>
    <col min="7" max="7" width="24.5546875" bestFit="1" customWidth="1"/>
    <col min="8" max="8" width="40.109375" bestFit="1" customWidth="1"/>
    <col min="9" max="9" width="45" bestFit="1" customWidth="1"/>
    <col min="10" max="10" width="44.44140625" bestFit="1" customWidth="1"/>
    <col min="11" max="11" width="43.33203125" bestFit="1" customWidth="1"/>
    <col min="12" max="12" width="42.77734375" bestFit="1" customWidth="1"/>
    <col min="13" max="13" width="25" bestFit="1" customWidth="1"/>
    <col min="14" max="14" width="36.88671875" bestFit="1" customWidth="1"/>
    <col min="15" max="15" width="40.77734375" bestFit="1" customWidth="1"/>
    <col min="16" max="16" width="33.88671875" bestFit="1" customWidth="1"/>
    <col min="17" max="17" width="25.6640625" bestFit="1" customWidth="1"/>
    <col min="18" max="18" width="21.33203125" bestFit="1" customWidth="1"/>
    <col min="19" max="19" width="30.33203125" bestFit="1" customWidth="1"/>
    <col min="20" max="20" width="28" bestFit="1" customWidth="1"/>
    <col min="21" max="21" width="26.88671875" bestFit="1" customWidth="1"/>
    <col min="22" max="22" width="21.21875" bestFit="1" customWidth="1"/>
    <col min="23" max="23" width="20.6640625" bestFit="1" customWidth="1"/>
    <col min="24" max="24" width="23.33203125" bestFit="1" customWidth="1"/>
    <col min="25" max="25" width="19.88671875" bestFit="1" customWidth="1"/>
  </cols>
  <sheetData>
    <row r="1" spans="1:25" x14ac:dyDescent="0.3">
      <c r="A1" t="s">
        <v>0</v>
      </c>
      <c r="B1" t="s">
        <v>1</v>
      </c>
      <c r="C1" t="s">
        <v>25</v>
      </c>
      <c r="D1" t="s">
        <v>26</v>
      </c>
      <c r="E1" t="s">
        <v>27</v>
      </c>
      <c r="F1" t="s">
        <v>28</v>
      </c>
      <c r="G1" t="s">
        <v>29</v>
      </c>
      <c r="H1" t="s">
        <v>30</v>
      </c>
      <c r="I1" t="s">
        <v>31</v>
      </c>
      <c r="J1" t="s">
        <v>32</v>
      </c>
      <c r="K1" t="s">
        <v>33</v>
      </c>
      <c r="L1" t="s">
        <v>34</v>
      </c>
      <c r="M1" t="s">
        <v>35</v>
      </c>
      <c r="N1" t="s">
        <v>36</v>
      </c>
      <c r="O1" t="s">
        <v>37</v>
      </c>
      <c r="P1" t="s">
        <v>38</v>
      </c>
      <c r="Q1" t="s">
        <v>39</v>
      </c>
      <c r="R1" t="s">
        <v>40</v>
      </c>
      <c r="S1" t="s">
        <v>41</v>
      </c>
      <c r="T1" t="s">
        <v>42</v>
      </c>
      <c r="U1" t="s">
        <v>43</v>
      </c>
      <c r="V1" t="s">
        <v>44</v>
      </c>
      <c r="W1" t="s">
        <v>45</v>
      </c>
      <c r="X1" t="s">
        <v>46</v>
      </c>
      <c r="Y1" t="s">
        <v>47</v>
      </c>
    </row>
    <row r="2" spans="1:25" x14ac:dyDescent="0.3">
      <c r="A2">
        <v>1</v>
      </c>
      <c r="B2" t="s">
        <v>48</v>
      </c>
      <c r="C2">
        <v>0</v>
      </c>
      <c r="D2">
        <v>4000</v>
      </c>
      <c r="E2">
        <v>0</v>
      </c>
      <c r="F2">
        <v>4000</v>
      </c>
      <c r="G2">
        <v>0</v>
      </c>
      <c r="H2">
        <v>1</v>
      </c>
      <c r="I2">
        <v>1</v>
      </c>
      <c r="J2">
        <v>0</v>
      </c>
      <c r="K2">
        <v>0</v>
      </c>
      <c r="L2">
        <v>1</v>
      </c>
      <c r="M2">
        <v>1</v>
      </c>
      <c r="N2">
        <v>0</v>
      </c>
      <c r="O2">
        <v>1</v>
      </c>
      <c r="P2">
        <v>0</v>
      </c>
      <c r="Q2">
        <v>1</v>
      </c>
      <c r="R2">
        <v>100</v>
      </c>
      <c r="S2">
        <v>1</v>
      </c>
      <c r="T2">
        <v>1</v>
      </c>
      <c r="U2">
        <v>1</v>
      </c>
      <c r="V2">
        <v>10</v>
      </c>
      <c r="W2">
        <v>12</v>
      </c>
      <c r="X2">
        <v>1</v>
      </c>
      <c r="Y2">
        <v>1</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F9C84-3444-46B5-B401-4A26169EE33A}">
  <dimension ref="A1:F10"/>
  <sheetViews>
    <sheetView zoomScale="125" workbookViewId="0"/>
  </sheetViews>
  <sheetFormatPr defaultRowHeight="14.4" x14ac:dyDescent="0.3"/>
  <cols>
    <col min="1" max="1" width="4.88671875" bestFit="1" customWidth="1"/>
    <col min="2" max="2" width="7.88671875" bestFit="1" customWidth="1"/>
    <col min="3" max="3" width="21.77734375" bestFit="1" customWidth="1"/>
    <col min="4" max="4" width="22.109375" bestFit="1" customWidth="1"/>
    <col min="5" max="5" width="10.109375" bestFit="1" customWidth="1"/>
    <col min="6" max="6" width="15.109375" bestFit="1" customWidth="1"/>
  </cols>
  <sheetData>
    <row r="1" spans="1:6" x14ac:dyDescent="0.3">
      <c r="A1" t="s">
        <v>0</v>
      </c>
      <c r="B1" t="s">
        <v>1</v>
      </c>
      <c r="C1" t="s">
        <v>16</v>
      </c>
      <c r="D1" t="s">
        <v>17</v>
      </c>
      <c r="E1" t="s">
        <v>18</v>
      </c>
      <c r="F1" t="s">
        <v>19</v>
      </c>
    </row>
    <row r="2" spans="1:6" x14ac:dyDescent="0.3">
      <c r="A2">
        <v>84</v>
      </c>
      <c r="B2" t="s">
        <v>20</v>
      </c>
      <c r="C2">
        <v>1</v>
      </c>
      <c r="D2">
        <v>2</v>
      </c>
      <c r="E2">
        <v>200000</v>
      </c>
      <c r="F2">
        <v>32</v>
      </c>
    </row>
    <row r="3" spans="1:6" x14ac:dyDescent="0.3">
      <c r="A3">
        <v>85</v>
      </c>
      <c r="B3" t="s">
        <v>21</v>
      </c>
      <c r="C3">
        <v>3</v>
      </c>
      <c r="D3">
        <v>4</v>
      </c>
      <c r="E3">
        <v>150000</v>
      </c>
      <c r="F3">
        <v>32</v>
      </c>
    </row>
    <row r="4" spans="1:6" x14ac:dyDescent="0.3">
      <c r="A4">
        <v>86</v>
      </c>
      <c r="B4" t="s">
        <v>22</v>
      </c>
      <c r="C4">
        <v>5</v>
      </c>
      <c r="D4">
        <v>7</v>
      </c>
      <c r="E4">
        <v>250000</v>
      </c>
      <c r="F4">
        <v>32</v>
      </c>
    </row>
    <row r="5" spans="1:6" x14ac:dyDescent="0.3">
      <c r="A5">
        <v>87</v>
      </c>
      <c r="B5" t="s">
        <v>20</v>
      </c>
      <c r="C5">
        <v>1</v>
      </c>
      <c r="D5">
        <v>2</v>
      </c>
      <c r="E5">
        <v>200000</v>
      </c>
      <c r="F5">
        <v>33</v>
      </c>
    </row>
    <row r="6" spans="1:6" x14ac:dyDescent="0.3">
      <c r="A6">
        <v>88</v>
      </c>
      <c r="B6" t="s">
        <v>23</v>
      </c>
      <c r="C6">
        <v>3</v>
      </c>
      <c r="D6">
        <v>4</v>
      </c>
      <c r="E6">
        <v>150000</v>
      </c>
      <c r="F6">
        <v>33</v>
      </c>
    </row>
    <row r="7" spans="1:6" x14ac:dyDescent="0.3">
      <c r="A7">
        <v>89</v>
      </c>
      <c r="B7" t="s">
        <v>24</v>
      </c>
      <c r="C7">
        <v>5</v>
      </c>
      <c r="D7">
        <v>10</v>
      </c>
      <c r="E7">
        <v>250000</v>
      </c>
      <c r="F7">
        <v>33</v>
      </c>
    </row>
    <row r="8" spans="1:6" x14ac:dyDescent="0.3">
      <c r="A8">
        <v>90</v>
      </c>
      <c r="B8" t="s">
        <v>20</v>
      </c>
      <c r="C8">
        <v>1</v>
      </c>
      <c r="D8">
        <v>2</v>
      </c>
      <c r="E8">
        <v>200000</v>
      </c>
      <c r="F8">
        <v>34</v>
      </c>
    </row>
    <row r="9" spans="1:6" x14ac:dyDescent="0.3">
      <c r="A9">
        <v>91</v>
      </c>
      <c r="B9" t="s">
        <v>23</v>
      </c>
      <c r="C9">
        <v>3</v>
      </c>
      <c r="D9">
        <v>4</v>
      </c>
      <c r="E9">
        <v>150000</v>
      </c>
      <c r="F9">
        <v>34</v>
      </c>
    </row>
    <row r="10" spans="1:6" x14ac:dyDescent="0.3">
      <c r="A10">
        <v>92</v>
      </c>
      <c r="B10" t="s">
        <v>24</v>
      </c>
      <c r="C10">
        <v>5</v>
      </c>
      <c r="D10">
        <v>10</v>
      </c>
      <c r="E10">
        <v>250000</v>
      </c>
      <c r="F10">
        <v>34</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52633-096F-49B8-8487-CEB530B85D2A}">
  <dimension ref="A1:J7"/>
  <sheetViews>
    <sheetView zoomScale="145" workbookViewId="0"/>
  </sheetViews>
  <sheetFormatPr defaultRowHeight="14.4" x14ac:dyDescent="0.3"/>
  <cols>
    <col min="1" max="1" width="4.88671875" bestFit="1" customWidth="1"/>
    <col min="2" max="2" width="43.5546875" bestFit="1" customWidth="1"/>
    <col min="3" max="3" width="18.77734375" bestFit="1" customWidth="1"/>
    <col min="4" max="4" width="14.44140625" bestFit="1" customWidth="1"/>
    <col min="5" max="5" width="20.44140625" bestFit="1" customWidth="1"/>
    <col min="6" max="6" width="12.88671875" bestFit="1" customWidth="1"/>
    <col min="7" max="7" width="15" bestFit="1" customWidth="1"/>
    <col min="8" max="8" width="26.33203125" bestFit="1" customWidth="1"/>
    <col min="9" max="9" width="22.44140625" bestFit="1" customWidth="1"/>
    <col min="10" max="10" width="12.77734375" bestFit="1" customWidth="1"/>
  </cols>
  <sheetData>
    <row r="1" spans="1:10" x14ac:dyDescent="0.3">
      <c r="A1" t="s">
        <v>0</v>
      </c>
      <c r="B1" t="s">
        <v>1</v>
      </c>
      <c r="C1" t="s">
        <v>2</v>
      </c>
      <c r="D1" t="s">
        <v>3</v>
      </c>
      <c r="E1" t="s">
        <v>4</v>
      </c>
      <c r="F1" t="s">
        <v>5</v>
      </c>
      <c r="G1" t="s">
        <v>6</v>
      </c>
      <c r="H1" t="s">
        <v>7</v>
      </c>
      <c r="I1" t="s">
        <v>8</v>
      </c>
      <c r="J1" t="s">
        <v>9</v>
      </c>
    </row>
    <row r="2" spans="1:10" x14ac:dyDescent="0.3">
      <c r="A2">
        <v>123</v>
      </c>
      <c r="B2" t="s">
        <v>10</v>
      </c>
      <c r="C2">
        <v>5</v>
      </c>
      <c r="D2">
        <v>0</v>
      </c>
      <c r="E2">
        <v>80000</v>
      </c>
      <c r="F2">
        <v>30000</v>
      </c>
      <c r="G2">
        <v>60000</v>
      </c>
      <c r="H2">
        <v>4000</v>
      </c>
      <c r="I2">
        <v>3</v>
      </c>
      <c r="J2">
        <v>22</v>
      </c>
    </row>
    <row r="3" spans="1:10" x14ac:dyDescent="0.3">
      <c r="A3">
        <v>124</v>
      </c>
      <c r="B3" t="s">
        <v>11</v>
      </c>
      <c r="C3">
        <v>5</v>
      </c>
      <c r="D3">
        <v>5000</v>
      </c>
      <c r="E3">
        <v>110000</v>
      </c>
      <c r="F3">
        <v>40000</v>
      </c>
      <c r="G3">
        <v>75000</v>
      </c>
      <c r="H3">
        <v>6000</v>
      </c>
      <c r="I3">
        <v>4</v>
      </c>
      <c r="J3">
        <v>22</v>
      </c>
    </row>
    <row r="4" spans="1:10" x14ac:dyDescent="0.3">
      <c r="A4">
        <v>125</v>
      </c>
      <c r="B4" t="s">
        <v>12</v>
      </c>
      <c r="C4">
        <v>5</v>
      </c>
      <c r="D4">
        <v>15000</v>
      </c>
      <c r="E4">
        <v>130000</v>
      </c>
      <c r="F4">
        <v>50000</v>
      </c>
      <c r="G4">
        <v>90000</v>
      </c>
      <c r="H4">
        <v>8000</v>
      </c>
      <c r="I4">
        <v>5</v>
      </c>
      <c r="J4">
        <v>22</v>
      </c>
    </row>
    <row r="5" spans="1:10" x14ac:dyDescent="0.3">
      <c r="A5">
        <v>126</v>
      </c>
      <c r="B5" t="s">
        <v>13</v>
      </c>
      <c r="C5">
        <v>5</v>
      </c>
      <c r="D5">
        <v>30000</v>
      </c>
      <c r="E5">
        <v>170000</v>
      </c>
      <c r="F5">
        <v>60000</v>
      </c>
      <c r="G5">
        <v>110000</v>
      </c>
      <c r="H5">
        <v>10000</v>
      </c>
      <c r="I5">
        <v>6</v>
      </c>
      <c r="J5">
        <v>22</v>
      </c>
    </row>
    <row r="6" spans="1:10" x14ac:dyDescent="0.3">
      <c r="A6">
        <v>127</v>
      </c>
      <c r="B6" t="s">
        <v>14</v>
      </c>
      <c r="C6">
        <v>5</v>
      </c>
      <c r="D6">
        <v>50000</v>
      </c>
      <c r="E6">
        <v>200000</v>
      </c>
      <c r="F6">
        <v>75000</v>
      </c>
      <c r="G6">
        <v>130000</v>
      </c>
      <c r="H6">
        <v>13000</v>
      </c>
      <c r="I6">
        <v>7</v>
      </c>
      <c r="J6">
        <v>22</v>
      </c>
    </row>
    <row r="7" spans="1:10" x14ac:dyDescent="0.3">
      <c r="A7">
        <v>128</v>
      </c>
      <c r="B7" t="s">
        <v>15</v>
      </c>
      <c r="C7">
        <v>5</v>
      </c>
      <c r="D7">
        <v>80000</v>
      </c>
      <c r="E7">
        <v>300000</v>
      </c>
      <c r="F7">
        <v>115000</v>
      </c>
      <c r="G7">
        <v>190000</v>
      </c>
      <c r="H7">
        <v>21000</v>
      </c>
      <c r="I7">
        <v>8</v>
      </c>
      <c r="J7">
        <v>22</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74642-6C30-4234-A471-5E2F53DDE635}">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285109-A5DA-48E9-A4B7-070012C90A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29</vt:i4>
      </vt:variant>
    </vt:vector>
  </HeadingPairs>
  <TitlesOfParts>
    <vt:vector size="29" baseType="lpstr">
      <vt:lpstr>community</vt:lpstr>
      <vt:lpstr>gameversion</vt:lpstr>
      <vt:lpstr>gamesession</vt:lpstr>
      <vt:lpstr>group</vt:lpstr>
      <vt:lpstr>groupround</vt:lpstr>
      <vt:lpstr>groupstate</vt:lpstr>
      <vt:lpstr>house</vt:lpstr>
      <vt:lpstr>housegroup</vt:lpstr>
      <vt:lpstr>housetransaction</vt:lpstr>
      <vt:lpstr>initialhousemeasure</vt:lpstr>
      <vt:lpstr>measurecategory</vt:lpstr>
      <vt:lpstr>measuretype</vt:lpstr>
      <vt:lpstr>movingreason</vt:lpstr>
      <vt:lpstr>newseffects</vt:lpstr>
      <vt:lpstr>newsitem</vt:lpstr>
      <vt:lpstr>personalmeasure</vt:lpstr>
      <vt:lpstr>housemeasure</vt:lpstr>
      <vt:lpstr>player</vt:lpstr>
      <vt:lpstr>Blad2</vt:lpstr>
      <vt:lpstr>playerround</vt:lpstr>
      <vt:lpstr>playerstate</vt:lpstr>
      <vt:lpstr>questionitem</vt:lpstr>
      <vt:lpstr>question</vt:lpstr>
      <vt:lpstr>questionscore</vt:lpstr>
      <vt:lpstr>scenario</vt:lpstr>
      <vt:lpstr>scenarioparameters</vt:lpstr>
      <vt:lpstr>tax</vt:lpstr>
      <vt:lpstr>welfaretype</vt: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 Sophia Huitema</dc:creator>
  <cp:lastModifiedBy>Anne Sophia Huitema</cp:lastModifiedBy>
  <cp:lastPrinted>2025-11-13T10:14:41Z</cp:lastPrinted>
  <dcterms:created xsi:type="dcterms:W3CDTF">2025-11-10T09:14:00Z</dcterms:created>
  <dcterms:modified xsi:type="dcterms:W3CDTF">2025-11-25T13:36:06Z</dcterms:modified>
</cp:coreProperties>
</file>