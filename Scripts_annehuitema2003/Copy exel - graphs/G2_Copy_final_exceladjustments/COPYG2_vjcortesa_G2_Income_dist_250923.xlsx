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1a040831fc7e8278/Bureaublad/BEP data analysis/Scripts_annehuitema2003/Copy exel - graphs/G2_Copy_final_exceladjustments/"/>
    </mc:Choice>
  </mc:AlternateContent>
  <xr:revisionPtr revIDLastSave="36" documentId="11_7BAC0BE2904452CC0E905534A9F301C368E778AD" xr6:coauthVersionLast="47" xr6:coauthVersionMax="47" xr10:uidLastSave="{ADE5D4BC-F8AA-4FA7-B092-2EA62FEAA72C}"/>
  <bookViews>
    <workbookView xWindow="-108" yWindow="-108" windowWidth="23256" windowHeight="13896" firstSheet="4" activeTab="9" xr2:uid="{00000000-000D-0000-FFFF-FFFF00000000}"/>
  </bookViews>
  <sheets>
    <sheet name="Blad1" sheetId="11" r:id="rId1"/>
    <sheet name="df_income_dist" sheetId="1" r:id="rId2"/>
    <sheet name="playerround" sheetId="2" r:id="rId3"/>
    <sheet name="measuretype" sheetId="3" r:id="rId4"/>
    <sheet name="personalmeasure" sheetId="4" r:id="rId5"/>
    <sheet name="housemeasure" sheetId="5" r:id="rId6"/>
    <sheet name="housegroup" sheetId="6" r:id="rId7"/>
    <sheet name="group" sheetId="7" r:id="rId8"/>
    <sheet name="groupround" sheetId="8" r:id="rId9"/>
    <sheet name="player" sheetId="9" r:id="rId10"/>
    <sheet name="gamesession" sheetId="10" r:id="rId11"/>
  </sheets>
  <definedNames>
    <definedName name="_xlnm._FilterDatabase" localSheetId="9" hidden="1">player!$A$1:$E$65</definedName>
  </definedNames>
  <calcPr calcId="191029"/>
  <pivotCaches>
    <pivotCache cacheId="12"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 i="1" l="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 i="1"/>
</calcChain>
</file>

<file path=xl/sharedStrings.xml><?xml version="1.0" encoding="utf-8"?>
<sst xmlns="http://schemas.openxmlformats.org/spreadsheetml/2006/main" count="5603" uniqueCount="295">
  <si>
    <t>gamesession_name</t>
  </si>
  <si>
    <t>group_name</t>
  </si>
  <si>
    <t>playerround_id</t>
  </si>
  <si>
    <t>player_id</t>
  </si>
  <si>
    <t>player_code</t>
  </si>
  <si>
    <t>house_code</t>
  </si>
  <si>
    <t>groupround_id</t>
  </si>
  <si>
    <t>groupround_round_number</t>
  </si>
  <si>
    <t>round_income</t>
  </si>
  <si>
    <t>living_costs</t>
  </si>
  <si>
    <t>paid_debt</t>
  </si>
  <si>
    <t>profit_sold_house</t>
  </si>
  <si>
    <t>spent_savings_for_buying_house</t>
  </si>
  <si>
    <t>cost_taxes</t>
  </si>
  <si>
    <t>mortgage_payment</t>
  </si>
  <si>
    <t>cost_house_measures_bought</t>
  </si>
  <si>
    <t>cost_personal_measures_bought</t>
  </si>
  <si>
    <t>cost_fluvial_damage</t>
  </si>
  <si>
    <t>cost_pluvial_damage</t>
  </si>
  <si>
    <t>spendable_income</t>
  </si>
  <si>
    <t>calculated_costs_personal_measures</t>
  </si>
  <si>
    <t>calculated_costs_house_measures</t>
  </si>
  <si>
    <t>calculated_costs_difference</t>
  </si>
  <si>
    <t>satisfaction_total</t>
  </si>
  <si>
    <t>welfaretype_id</t>
  </si>
  <si>
    <t>welfare_level</t>
  </si>
  <si>
    <t>total_damage_costs</t>
  </si>
  <si>
    <t>housing_area</t>
  </si>
  <si>
    <t>fluvial_house_delta</t>
  </si>
  <si>
    <t>pluvial_house_delta</t>
  </si>
  <si>
    <t>calculated_costs</t>
  </si>
  <si>
    <t>calculated_spendable</t>
  </si>
  <si>
    <t>calculated_difference_spendable</t>
  </si>
  <si>
    <t>250923_EPA_IntroDays_Overasselt</t>
  </si>
  <si>
    <t>table1</t>
  </si>
  <si>
    <t>t1p1</t>
  </si>
  <si>
    <t>Low</t>
  </si>
  <si>
    <t>U05</t>
  </si>
  <si>
    <t>Unbesvillage</t>
  </si>
  <si>
    <t>t1p2</t>
  </si>
  <si>
    <t>High-average</t>
  </si>
  <si>
    <t>N04</t>
  </si>
  <si>
    <t>Natu-city</t>
  </si>
  <si>
    <t>t1p3</t>
  </si>
  <si>
    <t>Very Low</t>
  </si>
  <si>
    <t>U09</t>
  </si>
  <si>
    <t>t1p4</t>
  </si>
  <si>
    <t>Low-average</t>
  </si>
  <si>
    <t>N07</t>
  </si>
  <si>
    <t>t1p5</t>
  </si>
  <si>
    <t>High</t>
  </si>
  <si>
    <t>D01</t>
  </si>
  <si>
    <t>Dike-town</t>
  </si>
  <si>
    <t>t1p6</t>
  </si>
  <si>
    <t>Very High</t>
  </si>
  <si>
    <t>D02</t>
  </si>
  <si>
    <t>N03</t>
  </si>
  <si>
    <t>t1p7</t>
  </si>
  <si>
    <t>N05</t>
  </si>
  <si>
    <t>table2</t>
  </si>
  <si>
    <t>t2p1</t>
  </si>
  <si>
    <t>t2p2</t>
  </si>
  <si>
    <t>D03</t>
  </si>
  <si>
    <t>t2p3</t>
  </si>
  <si>
    <t>D09</t>
  </si>
  <si>
    <t>t2p4</t>
  </si>
  <si>
    <t>D04</t>
  </si>
  <si>
    <t>t2p5</t>
  </si>
  <si>
    <t>t2p6</t>
  </si>
  <si>
    <t>table3</t>
  </si>
  <si>
    <t>t3p1</t>
  </si>
  <si>
    <t>U10</t>
  </si>
  <si>
    <t>t3p2</t>
  </si>
  <si>
    <t>t3p3</t>
  </si>
  <si>
    <t>t3p4</t>
  </si>
  <si>
    <t>U04</t>
  </si>
  <si>
    <t>t3p5</t>
  </si>
  <si>
    <t>N02</t>
  </si>
  <si>
    <t>t3p6</t>
  </si>
  <si>
    <t>table4</t>
  </si>
  <si>
    <t>t4p1</t>
  </si>
  <si>
    <t>t4p2</t>
  </si>
  <si>
    <t>t4p3</t>
  </si>
  <si>
    <t>D10</t>
  </si>
  <si>
    <t>t4p4</t>
  </si>
  <si>
    <t>t4p5</t>
  </si>
  <si>
    <t>t4p6</t>
  </si>
  <si>
    <t>t4p7</t>
  </si>
  <si>
    <t>table5</t>
  </si>
  <si>
    <t>t5p1</t>
  </si>
  <si>
    <t>t5p2</t>
  </si>
  <si>
    <t>t5p3</t>
  </si>
  <si>
    <t>t5p4</t>
  </si>
  <si>
    <t>t5p5</t>
  </si>
  <si>
    <t>D05</t>
  </si>
  <si>
    <t>t5p6</t>
  </si>
  <si>
    <t>t5p7</t>
  </si>
  <si>
    <t>table6</t>
  </si>
  <si>
    <t>t6p1</t>
  </si>
  <si>
    <t>t6p2</t>
  </si>
  <si>
    <t>t6p3</t>
  </si>
  <si>
    <t>t6p4</t>
  </si>
  <si>
    <t>N06</t>
  </si>
  <si>
    <t>t6p5</t>
  </si>
  <si>
    <t>t6p6</t>
  </si>
  <si>
    <t>table7</t>
  </si>
  <si>
    <t>t7p1</t>
  </si>
  <si>
    <t>t7p2</t>
  </si>
  <si>
    <t>t7p3</t>
  </si>
  <si>
    <t>t7p4</t>
  </si>
  <si>
    <t>t7p5</t>
  </si>
  <si>
    <t>t7p6</t>
  </si>
  <si>
    <t>table8</t>
  </si>
  <si>
    <t>t8p1</t>
  </si>
  <si>
    <t>t8p2</t>
  </si>
  <si>
    <t>t8p4</t>
  </si>
  <si>
    <t>t8p5</t>
  </si>
  <si>
    <t>U01</t>
  </si>
  <si>
    <t>t8p6</t>
  </si>
  <si>
    <t>t8p7</t>
  </si>
  <si>
    <t>create_time</t>
  </si>
  <si>
    <t>satisfaction_move_penalty</t>
  </si>
  <si>
    <t>satisfaction_house_rating_delta</t>
  </si>
  <si>
    <t>satisfaction_house_measures</t>
  </si>
  <si>
    <t>satisfaction_personal_measures</t>
  </si>
  <si>
    <t>satisfaction_fluvial_penalty</t>
  </si>
  <si>
    <t>satisfaction_pluvial_penalty</t>
  </si>
  <si>
    <t>satisfaction_debt_penalty</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</si>
  <si>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</si>
  <si>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</si>
  <si>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</si>
  <si>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</si>
  <si>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</si>
  <si>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</si>
  <si>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</si>
  <si>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</si>
  <si>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</si>
  <si>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</si>
  <si>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pluvial_base_protection</t>
  </si>
  <si>
    <t>fluvial_base_protection</t>
  </si>
  <si>
    <t>pluvial_community_delta</t>
  </si>
  <si>
    <t>fluvial_community_delta</t>
  </si>
  <si>
    <t>player_state</t>
  </si>
  <si>
    <t>start_housegroup_id</t>
  </si>
  <si>
    <t>final_housegroup_id</t>
  </si>
  <si>
    <t>active_transaction_id</t>
  </si>
  <si>
    <t>group_id</t>
  </si>
  <si>
    <t>gamesession_id</t>
  </si>
  <si>
    <t>group_scenario_id</t>
  </si>
  <si>
    <t>LOGIN</t>
  </si>
  <si>
    <t>VIEW_SUMMARY</t>
  </si>
  <si>
    <t>ANSWER_SURVEY</t>
  </si>
  <si>
    <t>Other</t>
  </si>
  <si>
    <t>VIEW_BUY_HOUSE</t>
  </si>
  <si>
    <t>VIEW_DAMAGE</t>
  </si>
  <si>
    <t>SURVEY_COMPLETED</t>
  </si>
  <si>
    <t>id</t>
  </si>
  <si>
    <t>short_alias</t>
  </si>
  <si>
    <t>name</t>
  </si>
  <si>
    <t>description</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</si>
  <si>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</si>
  <si>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</si>
  <si>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</si>
  <si>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</si>
  <si>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</si>
  <si>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</si>
  <si>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</si>
  <si>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</si>
  <si>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</si>
  <si>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</si>
  <si>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</si>
  <si>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</si>
  <si>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</si>
  <si>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</si>
  <si>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</si>
  <si>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</si>
  <si>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</si>
  <si>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</si>
  <si>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</si>
  <si>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</si>
  <si>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</si>
  <si>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</si>
  <si>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</si>
  <si>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</si>
  <si>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</si>
  <si>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</si>
  <si>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</si>
  <si>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</si>
  <si>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</si>
  <si>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</si>
  <si>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</si>
  <si>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house,_x000D_
like adding a room or balcony</t>
  </si>
  <si>
    <t>Personal improvements</t>
  </si>
  <si>
    <t>Trip, studying, etc.</t>
  </si>
  <si>
    <t>Flood insurance</t>
  </si>
  <si>
    <t>Insurance for river and rain flooding.</t>
  </si>
  <si>
    <t>measuretype_id</t>
  </si>
  <si>
    <t>personal_house_code</t>
  </si>
  <si>
    <t>last_sold_price</t>
  </si>
  <si>
    <t>owner_id</t>
  </si>
  <si>
    <t>bought_in_round</t>
  </si>
  <si>
    <t>housegroup_id</t>
  </si>
  <si>
    <t>used_in_round</t>
  </si>
  <si>
    <t>housemeasure_house_code</t>
  </si>
  <si>
    <t>U06</t>
  </si>
  <si>
    <t>U07</t>
  </si>
  <si>
    <t>D06</t>
  </si>
  <si>
    <t>D07</t>
  </si>
  <si>
    <t>D08</t>
  </si>
  <si>
    <t>U02</t>
  </si>
  <si>
    <t>U03</t>
  </si>
  <si>
    <t>U08</t>
  </si>
  <si>
    <t>code</t>
  </si>
  <si>
    <t>address</t>
  </si>
  <si>
    <t>rating</t>
  </si>
  <si>
    <t>original_price</t>
  </si>
  <si>
    <t>damage_reduction</t>
  </si>
  <si>
    <t>market_value</t>
  </si>
  <si>
    <t>house_satisfaction</t>
  </si>
  <si>
    <t>status</t>
  </si>
  <si>
    <t>fluvial_house_protection</t>
  </si>
  <si>
    <t>pluvial_house_protection</t>
  </si>
  <si>
    <t>last_round_comm_fluvial</t>
  </si>
  <si>
    <t>last_round_comm_pluvial</t>
  </si>
  <si>
    <t>last_round_house_fluvial</t>
  </si>
  <si>
    <t>last_round_house_pluvial</t>
  </si>
  <si>
    <t>house_id</t>
  </si>
  <si>
    <t>N01</t>
  </si>
  <si>
    <t>Stickroad 17</t>
  </si>
  <si>
    <t>NOT_AVAILABLE</t>
  </si>
  <si>
    <t xml:space="preserve">Twiglane 8_x000D_
</t>
  </si>
  <si>
    <t>OCCUPIED</t>
  </si>
  <si>
    <t>Twiglane 5</t>
  </si>
  <si>
    <t xml:space="preserve">Leafstreet 26_x000D_
</t>
  </si>
  <si>
    <t xml:space="preserve">Stonelane 13_x000D_
</t>
  </si>
  <si>
    <t>Stonelane 11</t>
  </si>
  <si>
    <t>AVAILABLE</t>
  </si>
  <si>
    <t xml:space="preserve">Steelstreet 22_x000D_
</t>
  </si>
  <si>
    <t xml:space="preserve">Steelstreet 20_x000D_
</t>
  </si>
  <si>
    <t>Brickroad 4</t>
  </si>
  <si>
    <t xml:space="preserve">Brickroad 6_x000D_
</t>
  </si>
  <si>
    <t xml:space="preserve">Woolstreet 33_x000D_
</t>
  </si>
  <si>
    <t xml:space="preserve">Grassroad 54_x000D_
</t>
  </si>
  <si>
    <t>Grassroad 52</t>
  </si>
  <si>
    <t>Twiglane 44</t>
  </si>
  <si>
    <t xml:space="preserve">Twiglane 48_x000D_
</t>
  </si>
  <si>
    <t xml:space="preserve">Grassroad 51_x000D_
_x000D_
</t>
  </si>
  <si>
    <t>Grassroad 53</t>
  </si>
  <si>
    <t>Twiglane 7</t>
  </si>
  <si>
    <t xml:space="preserve">Stickroad 21_x000D_
_x000D_
</t>
  </si>
  <si>
    <t>Leafstreet 28</t>
  </si>
  <si>
    <t>Stonelane 15</t>
  </si>
  <si>
    <t>Steelstreet 25</t>
  </si>
  <si>
    <t xml:space="preserve">Steelstreet 23_x000D_
_x000D_
</t>
  </si>
  <si>
    <t xml:space="preserve">Brickroad 8_x000D_
_x000D_
</t>
  </si>
  <si>
    <t>Woolstreet 37</t>
  </si>
  <si>
    <t xml:space="preserve">Woolstreet 35_x000D_
_x000D_
</t>
  </si>
  <si>
    <t xml:space="preserve">Twiglane 46_x000D_
_x000D_
</t>
  </si>
  <si>
    <t>password</t>
  </si>
  <si>
    <t>scenario_id</t>
  </si>
  <si>
    <t>facilitator_id</t>
  </si>
  <si>
    <t>IA</t>
  </si>
  <si>
    <t>timestamp</t>
  </si>
  <si>
    <t>pluvial_flood_intensity</t>
  </si>
  <si>
    <t>fluvial_flood_intensity</t>
  </si>
  <si>
    <t>group_state</t>
  </si>
  <si>
    <t>round_number</t>
  </si>
  <si>
    <t>SHOW_SUMMARY</t>
  </si>
  <si>
    <t>ROLLED_DICE</t>
  </si>
  <si>
    <t>user_id</t>
  </si>
  <si>
    <t>t1p8</t>
  </si>
  <si>
    <t>t2p7</t>
  </si>
  <si>
    <t>t2p8</t>
  </si>
  <si>
    <t>t3p7</t>
  </si>
  <si>
    <t>t3p8</t>
  </si>
  <si>
    <t>t4p8</t>
  </si>
  <si>
    <t>t5p8</t>
  </si>
  <si>
    <t>t6p7</t>
  </si>
  <si>
    <t>t6p8</t>
  </si>
  <si>
    <t>t7p7</t>
  </si>
  <si>
    <t>t7p8</t>
  </si>
  <si>
    <t>t8p3</t>
  </si>
  <si>
    <t>t8p8</t>
  </si>
  <si>
    <t>location</t>
  </si>
  <si>
    <t>date</t>
  </si>
  <si>
    <t>start_time</t>
  </si>
  <si>
    <t>end_time</t>
  </si>
  <si>
    <t>gameversion_id</t>
  </si>
  <si>
    <t>Delft</t>
  </si>
  <si>
    <t>Added_total_house_protection</t>
  </si>
  <si>
    <t>Rijlabels</t>
  </si>
  <si>
    <t>Eindtotaal</t>
  </si>
  <si>
    <t>Som van Added_total_house_protection</t>
  </si>
  <si>
    <t>Kolomlabels</t>
  </si>
  <si>
    <t>(Meerdere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</si>
</sst>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16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pivotSource>
    <c:name>[COPYG2_vjcortesa_G2_Income_dist_250923.xlsx]Blad1!Draaitabel1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Blad1!$B$3:$B$4</c:f>
              <c:strCache>
                <c:ptCount val="1"/>
                <c:pt idx="0">
                  <c:v>123</c:v>
                </c:pt>
              </c:strCache>
            </c:strRef>
          </c:tx>
          <c:spPr>
            <a:solidFill>
              <a:schemeClr val="accent1"/>
            </a:solidFill>
            <a:ln>
              <a:noFill/>
            </a:ln>
            <a:effectLst/>
          </c:spPr>
          <c:invertIfNegative val="0"/>
          <c:cat>
            <c:strRef>
              <c:f>Blad1!$A$5:$A$8</c:f>
              <c:strCache>
                <c:ptCount val="3"/>
                <c:pt idx="0">
                  <c:v>Dike-town</c:v>
                </c:pt>
                <c:pt idx="1">
                  <c:v>Natu-city</c:v>
                </c:pt>
                <c:pt idx="2">
                  <c:v>Unbesvillage</c:v>
                </c:pt>
              </c:strCache>
            </c:strRef>
          </c:cat>
          <c:val>
            <c:numRef>
              <c:f>Blad1!$B$5:$B$8</c:f>
              <c:numCache>
                <c:formatCode>General</c:formatCode>
                <c:ptCount val="3"/>
                <c:pt idx="0">
                  <c:v>8</c:v>
                </c:pt>
                <c:pt idx="1">
                  <c:v>0</c:v>
                </c:pt>
                <c:pt idx="2">
                  <c:v>2</c:v>
                </c:pt>
              </c:numCache>
            </c:numRef>
          </c:val>
          <c:extLst>
            <c:ext xmlns:c16="http://schemas.microsoft.com/office/drawing/2014/chart" uri="{C3380CC4-5D6E-409C-BE32-E72D297353CC}">
              <c16:uniqueId val="{00000002-2C90-4563-9E66-BB4EA8E1CFBD}"/>
            </c:ext>
          </c:extLst>
        </c:ser>
        <c:ser>
          <c:idx val="1"/>
          <c:order val="1"/>
          <c:tx>
            <c:strRef>
              <c:f>Blad1!$C$3:$C$4</c:f>
              <c:strCache>
                <c:ptCount val="1"/>
                <c:pt idx="0">
                  <c:v>124</c:v>
                </c:pt>
              </c:strCache>
            </c:strRef>
          </c:tx>
          <c:spPr>
            <a:solidFill>
              <a:schemeClr val="accent2"/>
            </a:solidFill>
            <a:ln>
              <a:noFill/>
            </a:ln>
            <a:effectLst/>
          </c:spPr>
          <c:invertIfNegative val="0"/>
          <c:cat>
            <c:strRef>
              <c:f>Blad1!$A$5:$A$8</c:f>
              <c:strCache>
                <c:ptCount val="3"/>
                <c:pt idx="0">
                  <c:v>Dike-town</c:v>
                </c:pt>
                <c:pt idx="1">
                  <c:v>Natu-city</c:v>
                </c:pt>
                <c:pt idx="2">
                  <c:v>Unbesvillage</c:v>
                </c:pt>
              </c:strCache>
            </c:strRef>
          </c:cat>
          <c:val>
            <c:numRef>
              <c:f>Blad1!$C$5:$C$8</c:f>
              <c:numCache>
                <c:formatCode>General</c:formatCode>
                <c:ptCount val="3"/>
                <c:pt idx="0">
                  <c:v>2</c:v>
                </c:pt>
                <c:pt idx="1">
                  <c:v>6</c:v>
                </c:pt>
                <c:pt idx="2">
                  <c:v>5</c:v>
                </c:pt>
              </c:numCache>
            </c:numRef>
          </c:val>
          <c:extLst>
            <c:ext xmlns:c16="http://schemas.microsoft.com/office/drawing/2014/chart" uri="{C3380CC4-5D6E-409C-BE32-E72D297353CC}">
              <c16:uniqueId val="{00000004-2C90-4563-9E66-BB4EA8E1CFBD}"/>
            </c:ext>
          </c:extLst>
        </c:ser>
        <c:ser>
          <c:idx val="2"/>
          <c:order val="2"/>
          <c:tx>
            <c:strRef>
              <c:f>Blad1!$D$3:$D$4</c:f>
              <c:strCache>
                <c:ptCount val="1"/>
                <c:pt idx="0">
                  <c:v>125</c:v>
                </c:pt>
              </c:strCache>
            </c:strRef>
          </c:tx>
          <c:spPr>
            <a:solidFill>
              <a:schemeClr val="accent3"/>
            </a:solidFill>
            <a:ln>
              <a:noFill/>
            </a:ln>
            <a:effectLst/>
          </c:spPr>
          <c:invertIfNegative val="0"/>
          <c:cat>
            <c:strRef>
              <c:f>Blad1!$A$5:$A$8</c:f>
              <c:strCache>
                <c:ptCount val="3"/>
                <c:pt idx="0">
                  <c:v>Dike-town</c:v>
                </c:pt>
                <c:pt idx="1">
                  <c:v>Natu-city</c:v>
                </c:pt>
                <c:pt idx="2">
                  <c:v>Unbesvillage</c:v>
                </c:pt>
              </c:strCache>
            </c:strRef>
          </c:cat>
          <c:val>
            <c:numRef>
              <c:f>Blad1!$D$5:$D$8</c:f>
              <c:numCache>
                <c:formatCode>General</c:formatCode>
                <c:ptCount val="3"/>
                <c:pt idx="1">
                  <c:v>23</c:v>
                </c:pt>
                <c:pt idx="2">
                  <c:v>17</c:v>
                </c:pt>
              </c:numCache>
            </c:numRef>
          </c:val>
          <c:extLst>
            <c:ext xmlns:c16="http://schemas.microsoft.com/office/drawing/2014/chart" uri="{C3380CC4-5D6E-409C-BE32-E72D297353CC}">
              <c16:uniqueId val="{00000005-2C90-4563-9E66-BB4EA8E1CFBD}"/>
            </c:ext>
          </c:extLst>
        </c:ser>
        <c:ser>
          <c:idx val="3"/>
          <c:order val="3"/>
          <c:tx>
            <c:strRef>
              <c:f>Blad1!$E$3:$E$4</c:f>
              <c:strCache>
                <c:ptCount val="1"/>
                <c:pt idx="0">
                  <c:v>126</c:v>
                </c:pt>
              </c:strCache>
            </c:strRef>
          </c:tx>
          <c:spPr>
            <a:solidFill>
              <a:schemeClr val="accent4"/>
            </a:solidFill>
            <a:ln>
              <a:noFill/>
            </a:ln>
            <a:effectLst/>
          </c:spPr>
          <c:invertIfNegative val="0"/>
          <c:cat>
            <c:strRef>
              <c:f>Blad1!$A$5:$A$8</c:f>
              <c:strCache>
                <c:ptCount val="3"/>
                <c:pt idx="0">
                  <c:v>Dike-town</c:v>
                </c:pt>
                <c:pt idx="1">
                  <c:v>Natu-city</c:v>
                </c:pt>
                <c:pt idx="2">
                  <c:v>Unbesvillage</c:v>
                </c:pt>
              </c:strCache>
            </c:strRef>
          </c:cat>
          <c:val>
            <c:numRef>
              <c:f>Blad1!$E$5:$E$8</c:f>
              <c:numCache>
                <c:formatCode>General</c:formatCode>
                <c:ptCount val="3"/>
                <c:pt idx="0">
                  <c:v>14</c:v>
                </c:pt>
                <c:pt idx="1">
                  <c:v>44</c:v>
                </c:pt>
                <c:pt idx="2">
                  <c:v>6</c:v>
                </c:pt>
              </c:numCache>
            </c:numRef>
          </c:val>
          <c:extLst>
            <c:ext xmlns:c16="http://schemas.microsoft.com/office/drawing/2014/chart" uri="{C3380CC4-5D6E-409C-BE32-E72D297353CC}">
              <c16:uniqueId val="{00000006-2C90-4563-9E66-BB4EA8E1CFBD}"/>
            </c:ext>
          </c:extLst>
        </c:ser>
        <c:ser>
          <c:idx val="4"/>
          <c:order val="4"/>
          <c:tx>
            <c:strRef>
              <c:f>Blad1!$F$3:$F$4</c:f>
              <c:strCache>
                <c:ptCount val="1"/>
                <c:pt idx="0">
                  <c:v>127</c:v>
                </c:pt>
              </c:strCache>
            </c:strRef>
          </c:tx>
          <c:spPr>
            <a:solidFill>
              <a:schemeClr val="accent5"/>
            </a:solidFill>
            <a:ln>
              <a:noFill/>
            </a:ln>
            <a:effectLst/>
          </c:spPr>
          <c:invertIfNegative val="0"/>
          <c:cat>
            <c:strRef>
              <c:f>Blad1!$A$5:$A$8</c:f>
              <c:strCache>
                <c:ptCount val="3"/>
                <c:pt idx="0">
                  <c:v>Dike-town</c:v>
                </c:pt>
                <c:pt idx="1">
                  <c:v>Natu-city</c:v>
                </c:pt>
                <c:pt idx="2">
                  <c:v>Unbesvillage</c:v>
                </c:pt>
              </c:strCache>
            </c:strRef>
          </c:cat>
          <c:val>
            <c:numRef>
              <c:f>Blad1!$F$5:$F$8</c:f>
              <c:numCache>
                <c:formatCode>General</c:formatCode>
                <c:ptCount val="3"/>
                <c:pt idx="0">
                  <c:v>15</c:v>
                </c:pt>
                <c:pt idx="1">
                  <c:v>35</c:v>
                </c:pt>
                <c:pt idx="2">
                  <c:v>6</c:v>
                </c:pt>
              </c:numCache>
            </c:numRef>
          </c:val>
          <c:extLst>
            <c:ext xmlns:c16="http://schemas.microsoft.com/office/drawing/2014/chart" uri="{C3380CC4-5D6E-409C-BE32-E72D297353CC}">
              <c16:uniqueId val="{00000007-2C90-4563-9E66-BB4EA8E1CFBD}"/>
            </c:ext>
          </c:extLst>
        </c:ser>
        <c:ser>
          <c:idx val="5"/>
          <c:order val="5"/>
          <c:tx>
            <c:strRef>
              <c:f>Blad1!$G$3:$G$4</c:f>
              <c:strCache>
                <c:ptCount val="1"/>
                <c:pt idx="0">
                  <c:v>128</c:v>
                </c:pt>
              </c:strCache>
            </c:strRef>
          </c:tx>
          <c:spPr>
            <a:solidFill>
              <a:schemeClr val="accent6"/>
            </a:solidFill>
            <a:ln>
              <a:noFill/>
            </a:ln>
            <a:effectLst/>
          </c:spPr>
          <c:invertIfNegative val="0"/>
          <c:cat>
            <c:strRef>
              <c:f>Blad1!$A$5:$A$8</c:f>
              <c:strCache>
                <c:ptCount val="3"/>
                <c:pt idx="0">
                  <c:v>Dike-town</c:v>
                </c:pt>
                <c:pt idx="1">
                  <c:v>Natu-city</c:v>
                </c:pt>
                <c:pt idx="2">
                  <c:v>Unbesvillage</c:v>
                </c:pt>
              </c:strCache>
            </c:strRef>
          </c:cat>
          <c:val>
            <c:numRef>
              <c:f>Blad1!$G$5:$G$8</c:f>
              <c:numCache>
                <c:formatCode>General</c:formatCode>
                <c:ptCount val="3"/>
                <c:pt idx="0">
                  <c:v>41</c:v>
                </c:pt>
                <c:pt idx="1">
                  <c:v>57</c:v>
                </c:pt>
              </c:numCache>
            </c:numRef>
          </c:val>
          <c:extLst>
            <c:ext xmlns:c16="http://schemas.microsoft.com/office/drawing/2014/chart" uri="{C3380CC4-5D6E-409C-BE32-E72D297353CC}">
              <c16:uniqueId val="{00000008-2C90-4563-9E66-BB4EA8E1CFBD}"/>
            </c:ext>
          </c:extLst>
        </c:ser>
        <c:dLbls>
          <c:showLegendKey val="0"/>
          <c:showVal val="0"/>
          <c:showCatName val="0"/>
          <c:showSerName val="0"/>
          <c:showPercent val="0"/>
          <c:showBubbleSize val="0"/>
        </c:dLbls>
        <c:gapWidth val="219"/>
        <c:axId val="96492959"/>
        <c:axId val="96486719"/>
      </c:barChart>
      <c:catAx>
        <c:axId val="9649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6486719"/>
        <c:crosses val="autoZero"/>
        <c:auto val="1"/>
        <c:lblAlgn val="ctr"/>
        <c:lblOffset val="100"/>
        <c:noMultiLvlLbl val="0"/>
      </c:catAx>
      <c:valAx>
        <c:axId val="9648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649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4849</xdr:colOff>
      <xdr:row>0</xdr:row>
      <xdr:rowOff>114300</xdr:rowOff>
    </xdr:from>
    <xdr:to>
      <xdr:col>20</xdr:col>
      <xdr:colOff>46182</xdr:colOff>
      <xdr:row>35</xdr:row>
      <xdr:rowOff>167640</xdr:rowOff>
    </xdr:to>
    <xdr:graphicFrame macro="">
      <xdr:nvGraphicFramePr>
        <xdr:cNvPr id="2" name="Grafiek 1">
          <a:extLst>
            <a:ext uri="{FF2B5EF4-FFF2-40B4-BE49-F238E27FC236}">
              <a16:creationId xmlns:a16="http://schemas.microsoft.com/office/drawing/2014/main" id="{AF4B0ADD-990C-51C0-71DF-A55664541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Sophia Huitema" refreshedDate="46000.534173958331" createdVersion="8" refreshedVersion="8" minRefreshableVersion="3" recordCount="253" xr:uid="{107D9904-A7DD-4FC5-8F1D-01B08C941287}">
  <cacheSource type="worksheet">
    <worksheetSource ref="A1:AH1048576" sheet="df_income_dist"/>
  </cacheSource>
  <cacheFields count="34">
    <cacheField name="gamesession_name" numFmtId="0">
      <sharedItems containsBlank="1"/>
    </cacheField>
    <cacheField name="group_name" numFmtId="0">
      <sharedItems containsBlank="1"/>
    </cacheField>
    <cacheField name="playerround_id" numFmtId="0">
      <sharedItems containsString="0" containsBlank="1" containsNumber="1" containsInteger="1" minValue="1025" maxValue="1276"/>
    </cacheField>
    <cacheField name="player_id" numFmtId="0">
      <sharedItems containsString="0" containsBlank="1" containsNumber="1" containsInteger="1" minValue="634" maxValue="696"/>
    </cacheField>
    <cacheField name="player_code" numFmtId="0">
      <sharedItems containsBlank="1"/>
    </cacheField>
    <cacheField name="house_code" numFmtId="0">
      <sharedItems containsBlank="1"/>
    </cacheField>
    <cacheField name="groupround_id" numFmtId="0">
      <sharedItems containsString="0" containsBlank="1" containsNumber="1" containsInteger="1" minValue="266" maxValue="305"/>
    </cacheField>
    <cacheField name="groupround_round_number" numFmtId="0">
      <sharedItems containsString="0" containsBlank="1" containsNumber="1" containsInteger="1" minValue="0" maxValue="4" count="6">
        <n v="0"/>
        <n v="1"/>
        <n v="2"/>
        <n v="3"/>
        <n v="4"/>
        <m/>
      </sharedItems>
    </cacheField>
    <cacheField name="round_income" numFmtId="0">
      <sharedItems containsString="0" containsBlank="1" containsNumber="1" containsInteger="1" minValue="60000" maxValue="190000"/>
    </cacheField>
    <cacheField name="living_costs" numFmtId="0">
      <sharedItems containsString="0" containsBlank="1" containsNumber="1" containsInteger="1" minValue="30000" maxValue="115000"/>
    </cacheField>
    <cacheField name="paid_debt" numFmtId="0">
      <sharedItems containsString="0" containsBlank="1" containsNumber="1" containsInteger="1" minValue="0" maxValue="50000"/>
    </cacheField>
    <cacheField name="profit_sold_house" numFmtId="0">
      <sharedItems containsString="0" containsBlank="1" containsNumber="1" containsInteger="1" minValue="0" maxValue="300000"/>
    </cacheField>
    <cacheField name="spent_savings_for_buying_house" numFmtId="0">
      <sharedItems containsString="0" containsBlank="1" containsNumber="1" containsInteger="1" minValue="0" maxValue="130000"/>
    </cacheField>
    <cacheField name="cost_taxes" numFmtId="0">
      <sharedItems containsString="0" containsBlank="1" containsNumber="1" containsInteger="1" minValue="0" maxValue="30000"/>
    </cacheField>
    <cacheField name="mortgage_payment" numFmtId="0">
      <sharedItems containsString="0" containsBlank="1" containsNumber="1" containsInteger="1" minValue="0" maxValue="30000"/>
    </cacheField>
    <cacheField name="cost_house_measures_bought" numFmtId="0">
      <sharedItems containsString="0" containsBlank="1" containsNumber="1" containsInteger="1" minValue="0" maxValue="33000"/>
    </cacheField>
    <cacheField name="cost_personal_measures_bought" numFmtId="0">
      <sharedItems containsString="0" containsBlank="1" containsNumber="1" containsInteger="1" minValue="0" maxValue="38000"/>
    </cacheField>
    <cacheField name="cost_fluvial_damage" numFmtId="0">
      <sharedItems containsString="0" containsBlank="1" containsNumber="1" containsInteger="1" minValue="0" maxValue="28000"/>
    </cacheField>
    <cacheField name="cost_pluvial_damage" numFmtId="0">
      <sharedItems containsString="0" containsBlank="1" containsNumber="1" containsInteger="1" minValue="0" maxValue="4000"/>
    </cacheField>
    <cacheField name="spendable_income" numFmtId="0">
      <sharedItems containsString="0" containsBlank="1" containsNumber="1" containsInteger="1" minValue="-64000" maxValue="351000"/>
    </cacheField>
    <cacheField name="calculated_costs_personal_measures" numFmtId="0">
      <sharedItems containsString="0" containsBlank="1" containsNumber="1" containsInteger="1" minValue="0" maxValue="38000"/>
    </cacheField>
    <cacheField name="calculated_costs_house_measures" numFmtId="0">
      <sharedItems containsString="0" containsBlank="1" containsNumber="1" containsInteger="1" minValue="1000" maxValue="33000"/>
    </cacheField>
    <cacheField name="calculated_costs_difference" numFmtId="0">
      <sharedItems containsString="0" containsBlank="1" containsNumber="1" containsInteger="1" minValue="-14875" maxValue="4000"/>
    </cacheField>
    <cacheField name="satisfaction_total" numFmtId="0">
      <sharedItems containsString="0" containsBlank="1" containsNumber="1" containsInteger="1" minValue="-22" maxValue="14"/>
    </cacheField>
    <cacheField name="welfaretype_id" numFmtId="0">
      <sharedItems containsString="0" containsBlank="1" containsNumber="1" containsInteger="1" minValue="123" maxValue="128" count="7">
        <n v="124"/>
        <n v="126"/>
        <n v="123"/>
        <n v="125"/>
        <n v="127"/>
        <n v="128"/>
        <m/>
      </sharedItems>
    </cacheField>
    <cacheField name="welfare_level" numFmtId="0">
      <sharedItems containsBlank="1" count="7">
        <s v="Low"/>
        <s v="High-average"/>
        <s v="Very Low"/>
        <s v="Low-average"/>
        <s v="High"/>
        <s v="Very High"/>
        <m/>
      </sharedItems>
    </cacheField>
    <cacheField name="total_damage_costs" numFmtId="0">
      <sharedItems containsString="0" containsBlank="1" containsNumber="1" containsInteger="1" minValue="0" maxValue="28000"/>
    </cacheField>
    <cacheField name="housing_area" numFmtId="0">
      <sharedItems containsBlank="1" count="4">
        <m/>
        <s v="Unbesvillage"/>
        <s v="Natu-city"/>
        <s v="Dike-town"/>
      </sharedItems>
    </cacheField>
    <cacheField name="fluvial_house_delta" numFmtId="0">
      <sharedItems containsString="0" containsBlank="1" containsNumber="1" containsInteger="1" minValue="0" maxValue="3"/>
    </cacheField>
    <cacheField name="pluvial_house_delta" numFmtId="0">
      <sharedItems containsString="0" containsBlank="1" containsNumber="1" containsInteger="1" minValue="0" maxValue="4"/>
    </cacheField>
    <cacheField name="calculated_costs" numFmtId="0">
      <sharedItems containsString="0" containsBlank="1" containsNumber="1" containsInteger="1" minValue="30000" maxValue="335125"/>
    </cacheField>
    <cacheField name="calculated_spendable" numFmtId="0">
      <sharedItems containsString="0" containsBlank="1" containsNumber="1" containsInteger="1" minValue="-64000" maxValue="351000"/>
    </cacheField>
    <cacheField name="calculated_difference_spendable" numFmtId="0">
      <sharedItems containsString="0" containsBlank="1" containsNumber="1" containsInteger="1" minValue="0" maxValue="0"/>
    </cacheField>
    <cacheField name="Added_total_house_protection" numFmtId="0">
      <sharedItems containsString="0" containsBlank="1" containsNumber="1" containsInteger="1" minValue="0"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
  <r>
    <s v="250923_EPA_IntroDays_Overasselt"/>
    <s v="table1"/>
    <n v="1036"/>
    <n v="634"/>
    <s v="t1p1"/>
    <m/>
    <n v="269"/>
    <x v="0"/>
    <n v="75000"/>
    <n v="40000"/>
    <n v="0"/>
    <n v="0"/>
    <n v="0"/>
    <n v="0"/>
    <n v="0"/>
    <n v="0"/>
    <n v="0"/>
    <n v="0"/>
    <n v="0"/>
    <n v="5000"/>
    <m/>
    <m/>
    <m/>
    <n v="5"/>
    <x v="0"/>
    <x v="0"/>
    <n v="0"/>
    <x v="0"/>
    <n v="0"/>
    <n v="0"/>
    <n v="40000"/>
    <n v="5000"/>
    <n v="0"/>
    <n v="0"/>
  </r>
  <r>
    <s v="250923_EPA_IntroDays_Overasselt"/>
    <s v="table1"/>
    <n v="1054"/>
    <n v="634"/>
    <s v="t1p1"/>
    <s v="U05"/>
    <n v="271"/>
    <x v="1"/>
    <n v="75000"/>
    <n v="40000"/>
    <n v="0"/>
    <n v="0"/>
    <n v="15000"/>
    <n v="20000"/>
    <n v="11000"/>
    <n v="0"/>
    <n v="0"/>
    <n v="0"/>
    <n v="0"/>
    <n v="-6000"/>
    <m/>
    <m/>
    <m/>
    <n v="5"/>
    <x v="0"/>
    <x v="0"/>
    <n v="0"/>
    <x v="1"/>
    <n v="0"/>
    <n v="0"/>
    <n v="86000"/>
    <n v="-6000"/>
    <n v="0"/>
    <n v="0"/>
  </r>
  <r>
    <s v="250923_EPA_IntroDays_Overasselt"/>
    <s v="table1"/>
    <n v="1092"/>
    <n v="634"/>
    <s v="t1p1"/>
    <s v="U05"/>
    <n v="276"/>
    <x v="2"/>
    <n v="75000"/>
    <n v="40000"/>
    <n v="6000"/>
    <n v="0"/>
    <n v="0"/>
    <n v="20000"/>
    <n v="11000"/>
    <n v="0"/>
    <n v="0"/>
    <n v="0"/>
    <n v="0"/>
    <n v="-2000"/>
    <m/>
    <m/>
    <m/>
    <n v="4"/>
    <x v="0"/>
    <x v="0"/>
    <n v="0"/>
    <x v="1"/>
    <n v="0"/>
    <n v="0"/>
    <n v="71000"/>
    <n v="-2000"/>
    <n v="0"/>
    <n v="0"/>
  </r>
  <r>
    <s v="250923_EPA_IntroDays_Overasselt"/>
    <s v="table1"/>
    <n v="1105"/>
    <n v="634"/>
    <s v="t1p1"/>
    <s v="U05"/>
    <n v="278"/>
    <x v="3"/>
    <n v="75000"/>
    <n v="40000"/>
    <n v="2000"/>
    <n v="0"/>
    <n v="0"/>
    <n v="20000"/>
    <n v="11000"/>
    <n v="0"/>
    <n v="0"/>
    <n v="12000"/>
    <n v="0"/>
    <n v="-10000"/>
    <m/>
    <m/>
    <m/>
    <n v="-1"/>
    <x v="0"/>
    <x v="0"/>
    <n v="12000"/>
    <x v="1"/>
    <n v="0"/>
    <n v="0"/>
    <n v="83000"/>
    <n v="-10000"/>
    <n v="0"/>
    <n v="0"/>
  </r>
  <r>
    <s v="250923_EPA_IntroDays_Overasselt"/>
    <s v="table1"/>
    <n v="1131"/>
    <n v="634"/>
    <s v="t1p1"/>
    <s v="U05"/>
    <n v="282"/>
    <x v="4"/>
    <n v="75000"/>
    <n v="40000"/>
    <n v="10000"/>
    <n v="0"/>
    <n v="0"/>
    <n v="20000"/>
    <n v="11000"/>
    <n v="0"/>
    <n v="0"/>
    <n v="12000"/>
    <n v="0"/>
    <n v="-18000"/>
    <m/>
    <m/>
    <m/>
    <n v="-6"/>
    <x v="0"/>
    <x v="0"/>
    <n v="12000"/>
    <x v="1"/>
    <n v="0"/>
    <n v="0"/>
    <n v="83000"/>
    <n v="-18000"/>
    <n v="0"/>
    <n v="0"/>
  </r>
  <r>
    <s v="250923_EPA_IntroDays_Overasselt"/>
    <s v="table1"/>
    <n v="1030"/>
    <n v="635"/>
    <s v="t1p2"/>
    <m/>
    <n v="269"/>
    <x v="0"/>
    <n v="110000"/>
    <n v="60000"/>
    <n v="0"/>
    <n v="0"/>
    <n v="0"/>
    <n v="0"/>
    <n v="0"/>
    <n v="0"/>
    <n v="0"/>
    <n v="0"/>
    <n v="0"/>
    <n v="30000"/>
    <m/>
    <m/>
    <m/>
    <n v="5"/>
    <x v="1"/>
    <x v="1"/>
    <n v="0"/>
    <x v="0"/>
    <n v="0"/>
    <n v="0"/>
    <n v="60000"/>
    <n v="30000"/>
    <n v="0"/>
    <n v="0"/>
  </r>
  <r>
    <s v="250923_EPA_IntroDays_Overasselt"/>
    <s v="table1"/>
    <n v="1049"/>
    <n v="635"/>
    <s v="t1p2"/>
    <s v="N04"/>
    <n v="271"/>
    <x v="1"/>
    <n v="110000"/>
    <n v="60000"/>
    <n v="0"/>
    <n v="0"/>
    <n v="30000"/>
    <n v="15000"/>
    <n v="17000"/>
    <n v="8000"/>
    <n v="0"/>
    <n v="0"/>
    <n v="0"/>
    <n v="10000"/>
    <m/>
    <n v="8000"/>
    <m/>
    <n v="6"/>
    <x v="1"/>
    <x v="1"/>
    <n v="0"/>
    <x v="2"/>
    <n v="1"/>
    <n v="1"/>
    <n v="130000"/>
    <n v="10000"/>
    <n v="0"/>
    <n v="2"/>
  </r>
  <r>
    <s v="250923_EPA_IntroDays_Overasselt"/>
    <s v="table1"/>
    <n v="1090"/>
    <n v="635"/>
    <s v="t1p2"/>
    <s v="N04"/>
    <n v="276"/>
    <x v="2"/>
    <n v="110000"/>
    <n v="60000"/>
    <n v="0"/>
    <n v="0"/>
    <n v="0"/>
    <n v="15000"/>
    <n v="17000"/>
    <n v="0"/>
    <n v="9000"/>
    <n v="0"/>
    <n v="0"/>
    <n v="19000"/>
    <n v="7650"/>
    <m/>
    <m/>
    <n v="7"/>
    <x v="1"/>
    <x v="1"/>
    <n v="0"/>
    <x v="2"/>
    <n v="0"/>
    <n v="0"/>
    <n v="101000"/>
    <n v="19000"/>
    <n v="0"/>
    <n v="0"/>
  </r>
  <r>
    <s v="250923_EPA_IntroDays_Overasselt"/>
    <s v="table1"/>
    <n v="1102"/>
    <n v="635"/>
    <s v="t1p2"/>
    <s v="N04"/>
    <n v="278"/>
    <x v="3"/>
    <n v="110000"/>
    <n v="60000"/>
    <n v="0"/>
    <n v="0"/>
    <n v="0"/>
    <n v="15000"/>
    <n v="17000"/>
    <n v="6000"/>
    <n v="15500"/>
    <n v="0"/>
    <n v="0"/>
    <n v="15500"/>
    <n v="14000"/>
    <n v="6000"/>
    <n v="1500"/>
    <n v="11"/>
    <x v="1"/>
    <x v="1"/>
    <n v="0"/>
    <x v="2"/>
    <n v="0"/>
    <n v="1"/>
    <n v="113500"/>
    <n v="15500"/>
    <n v="0"/>
    <n v="1"/>
  </r>
  <r>
    <s v="250923_EPA_IntroDays_Overasselt"/>
    <s v="table1"/>
    <n v="1127"/>
    <n v="635"/>
    <s v="t1p2"/>
    <s v="N04"/>
    <n v="282"/>
    <x v="4"/>
    <n v="110000"/>
    <n v="60000"/>
    <n v="0"/>
    <n v="0"/>
    <n v="0"/>
    <n v="30000"/>
    <n v="17000"/>
    <n v="1000"/>
    <n v="0"/>
    <n v="0"/>
    <n v="0"/>
    <n v="17500"/>
    <m/>
    <n v="1000"/>
    <m/>
    <n v="11"/>
    <x v="1"/>
    <x v="1"/>
    <n v="0"/>
    <x v="2"/>
    <n v="1"/>
    <n v="0"/>
    <n v="108000"/>
    <n v="17500"/>
    <n v="0"/>
    <n v="1"/>
  </r>
  <r>
    <s v="250923_EPA_IntroDays_Overasselt"/>
    <s v="table1"/>
    <n v="1025"/>
    <n v="636"/>
    <s v="t1p3"/>
    <m/>
    <n v="269"/>
    <x v="0"/>
    <n v="60000"/>
    <n v="30000"/>
    <n v="0"/>
    <n v="0"/>
    <n v="0"/>
    <n v="0"/>
    <n v="0"/>
    <n v="0"/>
    <n v="0"/>
    <n v="0"/>
    <n v="0"/>
    <n v="0"/>
    <m/>
    <m/>
    <m/>
    <n v="5"/>
    <x v="2"/>
    <x v="2"/>
    <n v="0"/>
    <x v="0"/>
    <n v="0"/>
    <n v="0"/>
    <n v="30000"/>
    <n v="0"/>
    <n v="0"/>
    <n v="0"/>
  </r>
  <r>
    <s v="250923_EPA_IntroDays_Overasselt"/>
    <s v="table1"/>
    <n v="1050"/>
    <n v="636"/>
    <s v="t1p3"/>
    <s v="U09"/>
    <n v="271"/>
    <x v="1"/>
    <n v="60000"/>
    <n v="30000"/>
    <n v="0"/>
    <n v="0"/>
    <n v="0"/>
    <n v="20000"/>
    <n v="7000"/>
    <n v="0"/>
    <n v="1750"/>
    <n v="0"/>
    <n v="0"/>
    <n v="1250"/>
    <n v="1750"/>
    <m/>
    <m/>
    <n v="5"/>
    <x v="2"/>
    <x v="2"/>
    <n v="0"/>
    <x v="1"/>
    <n v="0"/>
    <n v="0"/>
    <n v="58750"/>
    <n v="1250"/>
    <n v="0"/>
    <n v="0"/>
  </r>
  <r>
    <s v="250923_EPA_IntroDays_Overasselt"/>
    <s v="table1"/>
    <n v="1091"/>
    <n v="636"/>
    <s v="t1p3"/>
    <s v="U09"/>
    <n v="276"/>
    <x v="2"/>
    <n v="60000"/>
    <n v="30000"/>
    <n v="0"/>
    <n v="0"/>
    <n v="0"/>
    <n v="20000"/>
    <n v="7000"/>
    <n v="1000"/>
    <n v="1400"/>
    <n v="0"/>
    <n v="0"/>
    <n v="1850"/>
    <n v="1400"/>
    <n v="1000"/>
    <n v="0"/>
    <n v="5"/>
    <x v="2"/>
    <x v="2"/>
    <n v="0"/>
    <x v="1"/>
    <n v="1"/>
    <n v="0"/>
    <n v="59400"/>
    <n v="1850"/>
    <n v="0"/>
    <n v="1"/>
  </r>
  <r>
    <s v="250923_EPA_IntroDays_Overasselt"/>
    <s v="table1"/>
    <n v="1111"/>
    <n v="636"/>
    <s v="t1p3"/>
    <s v="U09"/>
    <n v="278"/>
    <x v="3"/>
    <n v="60000"/>
    <n v="30000"/>
    <n v="0"/>
    <n v="0"/>
    <n v="0"/>
    <n v="20000"/>
    <n v="7000"/>
    <n v="0"/>
    <n v="0"/>
    <n v="12000"/>
    <n v="0"/>
    <n v="-7150"/>
    <m/>
    <m/>
    <m/>
    <n v="1"/>
    <x v="2"/>
    <x v="2"/>
    <n v="12000"/>
    <x v="1"/>
    <n v="0"/>
    <n v="0"/>
    <n v="69000"/>
    <n v="-7150"/>
    <n v="0"/>
    <n v="0"/>
  </r>
  <r>
    <s v="250923_EPA_IntroDays_Overasselt"/>
    <s v="table1"/>
    <n v="1128"/>
    <n v="636"/>
    <s v="t1p3"/>
    <s v="U09"/>
    <n v="282"/>
    <x v="4"/>
    <n v="60000"/>
    <n v="30000"/>
    <n v="7150"/>
    <n v="0"/>
    <n v="0"/>
    <n v="20000"/>
    <n v="7000"/>
    <n v="0"/>
    <n v="0"/>
    <n v="12000"/>
    <n v="0"/>
    <n v="-16150"/>
    <m/>
    <m/>
    <m/>
    <n v="-4"/>
    <x v="2"/>
    <x v="2"/>
    <n v="12000"/>
    <x v="1"/>
    <n v="0"/>
    <n v="0"/>
    <n v="69000"/>
    <n v="-16150"/>
    <n v="0"/>
    <n v="0"/>
  </r>
  <r>
    <s v="250923_EPA_IntroDays_Overasselt"/>
    <s v="table1"/>
    <n v="1034"/>
    <n v="637"/>
    <s v="t1p4"/>
    <m/>
    <n v="269"/>
    <x v="0"/>
    <n v="90000"/>
    <n v="50000"/>
    <n v="0"/>
    <n v="0"/>
    <n v="0"/>
    <n v="0"/>
    <n v="0"/>
    <n v="0"/>
    <n v="0"/>
    <n v="0"/>
    <n v="0"/>
    <n v="15000"/>
    <m/>
    <m/>
    <m/>
    <n v="5"/>
    <x v="3"/>
    <x v="3"/>
    <n v="0"/>
    <x v="0"/>
    <n v="0"/>
    <n v="0"/>
    <n v="50000"/>
    <n v="15000"/>
    <n v="0"/>
    <n v="0"/>
  </r>
  <r>
    <s v="250923_EPA_IntroDays_Overasselt"/>
    <s v="table1"/>
    <n v="1052"/>
    <n v="637"/>
    <s v="t1p4"/>
    <s v="N07"/>
    <n v="271"/>
    <x v="1"/>
    <n v="90000"/>
    <n v="50000"/>
    <n v="0"/>
    <n v="0"/>
    <n v="0"/>
    <n v="15000"/>
    <n v="10000"/>
    <n v="6000"/>
    <n v="5000"/>
    <n v="0"/>
    <n v="0"/>
    <n v="19000"/>
    <n v="5000"/>
    <n v="6000"/>
    <n v="0"/>
    <n v="6"/>
    <x v="3"/>
    <x v="3"/>
    <n v="0"/>
    <x v="2"/>
    <n v="0"/>
    <n v="1"/>
    <n v="86000"/>
    <n v="19000"/>
    <n v="0"/>
    <n v="1"/>
  </r>
  <r>
    <s v="250923_EPA_IntroDays_Overasselt"/>
    <s v="table1"/>
    <n v="1094"/>
    <n v="637"/>
    <s v="t1p4"/>
    <s v="N07"/>
    <n v="276"/>
    <x v="2"/>
    <n v="90000"/>
    <n v="50000"/>
    <n v="0"/>
    <n v="0"/>
    <n v="0"/>
    <n v="15000"/>
    <n v="10000"/>
    <n v="10000"/>
    <n v="2500"/>
    <n v="0"/>
    <n v="0"/>
    <n v="21500"/>
    <n v="2500"/>
    <n v="10000"/>
    <n v="0"/>
    <n v="7"/>
    <x v="3"/>
    <x v="3"/>
    <n v="0"/>
    <x v="2"/>
    <n v="1"/>
    <n v="1"/>
    <n v="87500"/>
    <n v="21500"/>
    <n v="0"/>
    <n v="2"/>
  </r>
  <r>
    <s v="250923_EPA_IntroDays_Overasselt"/>
    <s v="table1"/>
    <n v="1108"/>
    <n v="637"/>
    <s v="t1p4"/>
    <s v="N07"/>
    <n v="278"/>
    <x v="3"/>
    <n v="90000"/>
    <n v="50000"/>
    <n v="0"/>
    <n v="0"/>
    <n v="0"/>
    <n v="15000"/>
    <n v="10000"/>
    <n v="8000"/>
    <n v="0"/>
    <n v="0"/>
    <n v="0"/>
    <n v="28500"/>
    <m/>
    <n v="8000"/>
    <m/>
    <n v="8"/>
    <x v="3"/>
    <x v="3"/>
    <n v="0"/>
    <x v="2"/>
    <n v="0"/>
    <n v="1"/>
    <n v="83000"/>
    <n v="28500"/>
    <n v="0"/>
    <n v="1"/>
  </r>
  <r>
    <s v="250923_EPA_IntroDays_Overasselt"/>
    <s v="table1"/>
    <n v="1133"/>
    <n v="637"/>
    <s v="t1p4"/>
    <s v="N07"/>
    <n v="282"/>
    <x v="4"/>
    <n v="90000"/>
    <n v="50000"/>
    <n v="0"/>
    <n v="0"/>
    <n v="0"/>
    <n v="30000"/>
    <n v="10000"/>
    <n v="9000"/>
    <n v="0"/>
    <n v="0"/>
    <n v="0"/>
    <n v="19500"/>
    <n v="6500"/>
    <n v="9000"/>
    <n v="-6500"/>
    <n v="9"/>
    <x v="3"/>
    <x v="3"/>
    <n v="0"/>
    <x v="2"/>
    <n v="2"/>
    <n v="1"/>
    <n v="99000"/>
    <n v="19500"/>
    <n v="0"/>
    <n v="3"/>
  </r>
  <r>
    <s v="250923_EPA_IntroDays_Overasselt"/>
    <s v="table1"/>
    <n v="1033"/>
    <n v="638"/>
    <s v="t1p5"/>
    <m/>
    <n v="269"/>
    <x v="0"/>
    <n v="130000"/>
    <n v="75000"/>
    <n v="0"/>
    <n v="0"/>
    <n v="0"/>
    <n v="0"/>
    <n v="0"/>
    <n v="0"/>
    <n v="0"/>
    <n v="0"/>
    <n v="0"/>
    <n v="50000"/>
    <m/>
    <m/>
    <m/>
    <n v="5"/>
    <x v="4"/>
    <x v="4"/>
    <n v="0"/>
    <x v="0"/>
    <n v="0"/>
    <n v="0"/>
    <n v="75000"/>
    <n v="50000"/>
    <n v="0"/>
    <n v="0"/>
  </r>
  <r>
    <s v="250923_EPA_IntroDays_Overasselt"/>
    <s v="table1"/>
    <n v="1051"/>
    <n v="638"/>
    <s v="t1p5"/>
    <s v="D01"/>
    <n v="271"/>
    <x v="1"/>
    <n v="130000"/>
    <n v="75000"/>
    <n v="0"/>
    <n v="0"/>
    <n v="100000"/>
    <n v="20000"/>
    <n v="20000"/>
    <n v="0"/>
    <n v="0"/>
    <n v="0"/>
    <n v="4000"/>
    <n v="-39000"/>
    <m/>
    <m/>
    <m/>
    <n v="5"/>
    <x v="4"/>
    <x v="4"/>
    <n v="4000"/>
    <x v="3"/>
    <n v="0"/>
    <n v="0"/>
    <n v="219000"/>
    <n v="-39000"/>
    <n v="0"/>
    <n v="0"/>
  </r>
  <r>
    <s v="250923_EPA_IntroDays_Overasselt"/>
    <s v="table1"/>
    <n v="1093"/>
    <n v="638"/>
    <s v="t1p5"/>
    <s v="D01"/>
    <n v="276"/>
    <x v="2"/>
    <n v="130000"/>
    <n v="75000"/>
    <n v="39000"/>
    <n v="0"/>
    <n v="0"/>
    <n v="20000"/>
    <n v="20000"/>
    <n v="0"/>
    <n v="0"/>
    <n v="0"/>
    <n v="0"/>
    <n v="-24000"/>
    <m/>
    <m/>
    <m/>
    <n v="4"/>
    <x v="4"/>
    <x v="4"/>
    <n v="0"/>
    <x v="3"/>
    <n v="0"/>
    <n v="0"/>
    <n v="115000"/>
    <n v="-24000"/>
    <n v="0"/>
    <n v="0"/>
  </r>
  <r>
    <s v="250923_EPA_IntroDays_Overasselt"/>
    <s v="table1"/>
    <n v="1107"/>
    <n v="638"/>
    <s v="t1p5"/>
    <s v="D01"/>
    <n v="278"/>
    <x v="3"/>
    <n v="130000"/>
    <n v="75000"/>
    <n v="24000"/>
    <n v="0"/>
    <n v="0"/>
    <n v="20000"/>
    <n v="20000"/>
    <n v="0"/>
    <n v="0"/>
    <n v="0"/>
    <n v="0"/>
    <n v="-9000"/>
    <m/>
    <m/>
    <m/>
    <n v="3"/>
    <x v="4"/>
    <x v="4"/>
    <n v="0"/>
    <x v="3"/>
    <n v="0"/>
    <n v="0"/>
    <n v="115000"/>
    <n v="-9000"/>
    <n v="0"/>
    <n v="0"/>
  </r>
  <r>
    <s v="250923_EPA_IntroDays_Overasselt"/>
    <s v="table1"/>
    <n v="1129"/>
    <n v="638"/>
    <s v="t1p5"/>
    <s v="D01"/>
    <n v="282"/>
    <x v="4"/>
    <n v="130000"/>
    <n v="75000"/>
    <n v="9000"/>
    <n v="0"/>
    <n v="0"/>
    <n v="20000"/>
    <n v="20000"/>
    <n v="6000"/>
    <n v="0"/>
    <n v="0"/>
    <n v="0"/>
    <n v="0"/>
    <m/>
    <n v="6000"/>
    <m/>
    <n v="3"/>
    <x v="4"/>
    <x v="4"/>
    <n v="0"/>
    <x v="3"/>
    <n v="0"/>
    <n v="1"/>
    <n v="121000"/>
    <n v="0"/>
    <n v="0"/>
    <n v="1"/>
  </r>
  <r>
    <s v="250923_EPA_IntroDays_Overasselt"/>
    <s v="table1"/>
    <n v="1043"/>
    <n v="639"/>
    <s v="t1p6"/>
    <m/>
    <n v="269"/>
    <x v="0"/>
    <n v="190000"/>
    <n v="115000"/>
    <n v="0"/>
    <n v="0"/>
    <n v="0"/>
    <n v="0"/>
    <n v="0"/>
    <n v="0"/>
    <n v="0"/>
    <n v="0"/>
    <n v="0"/>
    <n v="80000"/>
    <m/>
    <m/>
    <m/>
    <n v="5"/>
    <x v="5"/>
    <x v="5"/>
    <n v="0"/>
    <x v="0"/>
    <n v="0"/>
    <n v="0"/>
    <n v="115000"/>
    <n v="80000"/>
    <n v="0"/>
    <n v="0"/>
  </r>
  <r>
    <s v="250923_EPA_IntroDays_Overasselt"/>
    <s v="table1"/>
    <n v="1053"/>
    <n v="639"/>
    <s v="t1p6"/>
    <s v="D02"/>
    <n v="271"/>
    <x v="1"/>
    <n v="190000"/>
    <n v="115000"/>
    <n v="0"/>
    <n v="0"/>
    <n v="0"/>
    <n v="20000"/>
    <n v="0"/>
    <n v="8000"/>
    <n v="21000"/>
    <n v="0"/>
    <n v="0"/>
    <n v="106000"/>
    <n v="0"/>
    <m/>
    <m/>
    <n v="8"/>
    <x v="5"/>
    <x v="5"/>
    <n v="0"/>
    <x v="3"/>
    <n v="1"/>
    <n v="1"/>
    <n v="164000"/>
    <n v="106000"/>
    <n v="0"/>
    <n v="2"/>
  </r>
  <r>
    <s v="250923_EPA_IntroDays_Overasselt"/>
    <s v="table1"/>
    <n v="1095"/>
    <n v="639"/>
    <s v="t1p6"/>
    <s v="D02"/>
    <n v="276"/>
    <x v="2"/>
    <n v="190000"/>
    <n v="115000"/>
    <n v="0"/>
    <n v="0"/>
    <n v="0"/>
    <n v="20000"/>
    <n v="0"/>
    <n v="16000"/>
    <n v="0"/>
    <n v="0"/>
    <n v="0"/>
    <n v="145000"/>
    <m/>
    <m/>
    <m/>
    <n v="9"/>
    <x v="5"/>
    <x v="5"/>
    <n v="0"/>
    <x v="3"/>
    <n v="1"/>
    <n v="2"/>
    <n v="151000"/>
    <n v="145000"/>
    <n v="0"/>
    <n v="3"/>
  </r>
  <r>
    <s v="250923_EPA_IntroDays_Overasselt"/>
    <s v="table1"/>
    <n v="1114"/>
    <n v="639"/>
    <s v="t1p6"/>
    <s v="D02"/>
    <n v="278"/>
    <x v="3"/>
    <n v="190000"/>
    <n v="115000"/>
    <n v="0"/>
    <n v="0"/>
    <n v="0"/>
    <n v="20000"/>
    <n v="0"/>
    <n v="8000"/>
    <n v="17000"/>
    <n v="0"/>
    <n v="0"/>
    <n v="175000"/>
    <n v="9500"/>
    <m/>
    <m/>
    <n v="12"/>
    <x v="5"/>
    <x v="5"/>
    <n v="0"/>
    <x v="3"/>
    <n v="0"/>
    <n v="1"/>
    <n v="160000"/>
    <n v="175000"/>
    <n v="0"/>
    <n v="1"/>
  </r>
  <r>
    <s v="250923_EPA_IntroDays_Overasselt"/>
    <s v="table1"/>
    <n v="1132"/>
    <n v="639"/>
    <s v="t1p6"/>
    <s v="N03"/>
    <n v="282"/>
    <x v="4"/>
    <n v="190000"/>
    <n v="115000"/>
    <n v="0"/>
    <n v="300000"/>
    <n v="125000"/>
    <n v="30000"/>
    <n v="30000"/>
    <n v="14000"/>
    <n v="0"/>
    <n v="0"/>
    <n v="0"/>
    <n v="351000"/>
    <m/>
    <n v="32000"/>
    <m/>
    <n v="14"/>
    <x v="5"/>
    <x v="5"/>
    <n v="0"/>
    <x v="2"/>
    <n v="2"/>
    <n v="4"/>
    <n v="314000"/>
    <n v="351000"/>
    <n v="0"/>
    <n v="6"/>
  </r>
  <r>
    <s v="250923_EPA_IntroDays_Overasselt"/>
    <s v="table1"/>
    <n v="1032"/>
    <n v="640"/>
    <s v="t1p7"/>
    <m/>
    <n v="269"/>
    <x v="0"/>
    <n v="110000"/>
    <n v="60000"/>
    <n v="0"/>
    <n v="0"/>
    <n v="0"/>
    <n v="0"/>
    <n v="0"/>
    <n v="0"/>
    <n v="0"/>
    <n v="0"/>
    <n v="0"/>
    <n v="30000"/>
    <m/>
    <m/>
    <m/>
    <n v="5"/>
    <x v="1"/>
    <x v="1"/>
    <n v="0"/>
    <x v="0"/>
    <n v="0"/>
    <n v="0"/>
    <n v="60000"/>
    <n v="30000"/>
    <n v="0"/>
    <n v="0"/>
  </r>
  <r>
    <s v="250923_EPA_IntroDays_Overasselt"/>
    <s v="table1"/>
    <n v="1061"/>
    <n v="640"/>
    <s v="t1p7"/>
    <s v="N05"/>
    <n v="271"/>
    <x v="1"/>
    <n v="110000"/>
    <n v="60000"/>
    <n v="0"/>
    <n v="0"/>
    <n v="75000"/>
    <n v="15000"/>
    <n v="17000"/>
    <n v="0"/>
    <n v="0"/>
    <n v="0"/>
    <n v="0"/>
    <n v="-27000"/>
    <m/>
    <m/>
    <m/>
    <n v="5"/>
    <x v="1"/>
    <x v="1"/>
    <n v="0"/>
    <x v="2"/>
    <n v="0"/>
    <n v="0"/>
    <n v="167000"/>
    <n v="-27000"/>
    <n v="0"/>
    <n v="0"/>
  </r>
  <r>
    <s v="250923_EPA_IntroDays_Overasselt"/>
    <s v="table1"/>
    <n v="1089"/>
    <n v="640"/>
    <s v="t1p7"/>
    <s v="N05"/>
    <n v="276"/>
    <x v="2"/>
    <n v="110000"/>
    <n v="60000"/>
    <n v="27000"/>
    <n v="0"/>
    <n v="0"/>
    <n v="15000"/>
    <n v="17000"/>
    <n v="0"/>
    <n v="0"/>
    <n v="0"/>
    <n v="0"/>
    <n v="-9000"/>
    <m/>
    <m/>
    <m/>
    <n v="4"/>
    <x v="1"/>
    <x v="1"/>
    <n v="0"/>
    <x v="2"/>
    <n v="0"/>
    <n v="0"/>
    <n v="92000"/>
    <n v="-9000"/>
    <n v="0"/>
    <n v="0"/>
  </r>
  <r>
    <s v="250923_EPA_IntroDays_Overasselt"/>
    <s v="table1"/>
    <n v="1112"/>
    <n v="640"/>
    <s v="t1p7"/>
    <s v="N05"/>
    <n v="278"/>
    <x v="3"/>
    <n v="110000"/>
    <n v="60000"/>
    <n v="9000"/>
    <n v="0"/>
    <n v="0"/>
    <n v="15000"/>
    <n v="17000"/>
    <n v="7000"/>
    <n v="0"/>
    <n v="0"/>
    <n v="0"/>
    <n v="2000"/>
    <m/>
    <n v="7000"/>
    <m/>
    <n v="4"/>
    <x v="1"/>
    <x v="1"/>
    <n v="0"/>
    <x v="2"/>
    <n v="1"/>
    <n v="1"/>
    <n v="99000"/>
    <n v="2000"/>
    <n v="0"/>
    <n v="2"/>
  </r>
  <r>
    <s v="250923_EPA_IntroDays_Overasselt"/>
    <s v="table1"/>
    <n v="1130"/>
    <n v="640"/>
    <s v="t1p7"/>
    <s v="N05"/>
    <n v="282"/>
    <x v="4"/>
    <n v="110000"/>
    <n v="60000"/>
    <n v="0"/>
    <n v="0"/>
    <n v="0"/>
    <n v="30000"/>
    <n v="17000"/>
    <n v="0"/>
    <n v="0"/>
    <n v="0"/>
    <n v="0"/>
    <n v="5000"/>
    <m/>
    <m/>
    <m/>
    <n v="4"/>
    <x v="1"/>
    <x v="1"/>
    <n v="0"/>
    <x v="2"/>
    <n v="0"/>
    <n v="0"/>
    <n v="107000"/>
    <n v="5000"/>
    <n v="0"/>
    <n v="0"/>
  </r>
  <r>
    <s v="250923_EPA_IntroDays_Overasselt"/>
    <s v="table2"/>
    <n v="1026"/>
    <n v="642"/>
    <s v="t2p1"/>
    <m/>
    <n v="267"/>
    <x v="0"/>
    <n v="60000"/>
    <n v="30000"/>
    <n v="0"/>
    <n v="0"/>
    <n v="0"/>
    <n v="0"/>
    <n v="0"/>
    <n v="0"/>
    <n v="0"/>
    <n v="0"/>
    <n v="0"/>
    <n v="0"/>
    <m/>
    <m/>
    <m/>
    <n v="5"/>
    <x v="2"/>
    <x v="2"/>
    <n v="0"/>
    <x v="0"/>
    <n v="0"/>
    <n v="0"/>
    <n v="30000"/>
    <n v="0"/>
    <n v="0"/>
    <n v="0"/>
  </r>
  <r>
    <s v="250923_EPA_IntroDays_Overasselt"/>
    <s v="table2"/>
    <n v="1038"/>
    <n v="642"/>
    <s v="t2p1"/>
    <s v="N07"/>
    <n v="270"/>
    <x v="1"/>
    <n v="60000"/>
    <n v="30000"/>
    <n v="0"/>
    <n v="0"/>
    <n v="20000"/>
    <n v="15000"/>
    <n v="8000"/>
    <n v="0"/>
    <n v="0"/>
    <n v="0"/>
    <n v="0"/>
    <n v="-13000"/>
    <m/>
    <m/>
    <m/>
    <n v="5"/>
    <x v="2"/>
    <x v="2"/>
    <n v="0"/>
    <x v="2"/>
    <n v="0"/>
    <n v="0"/>
    <n v="73000"/>
    <n v="-13000"/>
    <n v="0"/>
    <n v="0"/>
  </r>
  <r>
    <s v="250923_EPA_IntroDays_Overasselt"/>
    <s v="table2"/>
    <n v="1078"/>
    <n v="642"/>
    <s v="t2p1"/>
    <s v="N07"/>
    <n v="274"/>
    <x v="2"/>
    <n v="60000"/>
    <n v="30000"/>
    <n v="13000"/>
    <n v="0"/>
    <n v="0"/>
    <n v="15000"/>
    <n v="8000"/>
    <n v="0"/>
    <n v="0"/>
    <n v="0"/>
    <n v="4000"/>
    <n v="-10000"/>
    <m/>
    <m/>
    <m/>
    <n v="3"/>
    <x v="2"/>
    <x v="2"/>
    <n v="4000"/>
    <x v="2"/>
    <n v="0"/>
    <n v="0"/>
    <n v="57000"/>
    <n v="-10000"/>
    <n v="0"/>
    <n v="0"/>
  </r>
  <r>
    <s v="250923_EPA_IntroDays_Overasselt"/>
    <s v="table2"/>
    <n v="1096"/>
    <n v="642"/>
    <s v="t2p1"/>
    <s v="N07"/>
    <n v="277"/>
    <x v="3"/>
    <n v="60000"/>
    <n v="30000"/>
    <n v="10000"/>
    <n v="0"/>
    <n v="0"/>
    <n v="15000"/>
    <n v="8000"/>
    <n v="0"/>
    <n v="0"/>
    <n v="16000"/>
    <n v="0"/>
    <n v="-19000"/>
    <m/>
    <m/>
    <m/>
    <n v="-3"/>
    <x v="2"/>
    <x v="2"/>
    <n v="16000"/>
    <x v="2"/>
    <n v="0"/>
    <n v="0"/>
    <n v="69000"/>
    <n v="-19000"/>
    <n v="0"/>
    <n v="0"/>
  </r>
  <r>
    <s v="250923_EPA_IntroDays_Overasselt"/>
    <s v="table2"/>
    <n v="1123"/>
    <n v="642"/>
    <s v="t2p1"/>
    <s v="N07"/>
    <n v="281"/>
    <x v="4"/>
    <n v="60000"/>
    <n v="30000"/>
    <n v="19000"/>
    <n v="0"/>
    <n v="0"/>
    <n v="20000"/>
    <n v="8000"/>
    <n v="0"/>
    <n v="0"/>
    <n v="0"/>
    <n v="4000"/>
    <n v="-21000"/>
    <m/>
    <m/>
    <m/>
    <n v="-5"/>
    <x v="2"/>
    <x v="2"/>
    <n v="4000"/>
    <x v="2"/>
    <n v="0"/>
    <n v="0"/>
    <n v="62000"/>
    <n v="-21000"/>
    <n v="0"/>
    <n v="0"/>
  </r>
  <r>
    <s v="250923_EPA_IntroDays_Overasselt"/>
    <s v="table2"/>
    <n v="1027"/>
    <n v="643"/>
    <s v="t2p2"/>
    <m/>
    <n v="267"/>
    <x v="0"/>
    <n v="110000"/>
    <n v="60000"/>
    <n v="0"/>
    <n v="0"/>
    <n v="0"/>
    <n v="0"/>
    <n v="0"/>
    <n v="0"/>
    <n v="0"/>
    <n v="0"/>
    <n v="0"/>
    <n v="30000"/>
    <m/>
    <m/>
    <m/>
    <n v="5"/>
    <x v="1"/>
    <x v="1"/>
    <n v="0"/>
    <x v="0"/>
    <n v="0"/>
    <n v="0"/>
    <n v="60000"/>
    <n v="30000"/>
    <n v="0"/>
    <n v="0"/>
  </r>
  <r>
    <s v="250923_EPA_IntroDays_Overasselt"/>
    <s v="table2"/>
    <n v="1039"/>
    <n v="643"/>
    <s v="t2p2"/>
    <s v="N04"/>
    <n v="270"/>
    <x v="1"/>
    <n v="110000"/>
    <n v="60000"/>
    <n v="0"/>
    <n v="0"/>
    <n v="30000"/>
    <n v="15000"/>
    <n v="17000"/>
    <n v="0"/>
    <n v="15000"/>
    <n v="0"/>
    <n v="0"/>
    <n v="3000"/>
    <n v="12750"/>
    <m/>
    <m/>
    <n v="8"/>
    <x v="1"/>
    <x v="1"/>
    <n v="0"/>
    <x v="2"/>
    <n v="0"/>
    <n v="0"/>
    <n v="137000"/>
    <n v="3000"/>
    <n v="0"/>
    <n v="0"/>
  </r>
  <r>
    <s v="250923_EPA_IntroDays_Overasselt"/>
    <s v="table2"/>
    <n v="1077"/>
    <n v="643"/>
    <s v="t2p2"/>
    <s v="N04"/>
    <n v="274"/>
    <x v="2"/>
    <n v="110000"/>
    <n v="60000"/>
    <n v="0"/>
    <n v="0"/>
    <n v="0"/>
    <n v="15000"/>
    <n v="17000"/>
    <n v="8000"/>
    <n v="0"/>
    <n v="0"/>
    <n v="4000"/>
    <n v="9000"/>
    <m/>
    <m/>
    <m/>
    <n v="8"/>
    <x v="1"/>
    <x v="1"/>
    <n v="4000"/>
    <x v="2"/>
    <n v="1"/>
    <n v="1"/>
    <n v="104000"/>
    <n v="9000"/>
    <n v="0"/>
    <n v="2"/>
  </r>
  <r>
    <s v="250923_EPA_IntroDays_Overasselt"/>
    <s v="table2"/>
    <n v="1097"/>
    <n v="643"/>
    <s v="t2p2"/>
    <s v="N04"/>
    <n v="277"/>
    <x v="3"/>
    <n v="110000"/>
    <n v="60000"/>
    <n v="0"/>
    <n v="0"/>
    <n v="0"/>
    <n v="15000"/>
    <n v="17000"/>
    <n v="0"/>
    <n v="0"/>
    <n v="16000"/>
    <n v="0"/>
    <n v="11000"/>
    <m/>
    <m/>
    <m/>
    <n v="3"/>
    <x v="1"/>
    <x v="1"/>
    <n v="16000"/>
    <x v="2"/>
    <n v="0"/>
    <n v="0"/>
    <n v="108000"/>
    <n v="11000"/>
    <n v="0"/>
    <n v="0"/>
  </r>
  <r>
    <s v="250923_EPA_IntroDays_Overasselt"/>
    <s v="table2"/>
    <n v="1125"/>
    <n v="643"/>
    <s v="t2p2"/>
    <s v="D03"/>
    <n v="281"/>
    <x v="4"/>
    <n v="110000"/>
    <n v="60000"/>
    <n v="0"/>
    <n v="101000"/>
    <n v="130000"/>
    <n v="15000"/>
    <n v="17000"/>
    <n v="0"/>
    <n v="0"/>
    <n v="0"/>
    <n v="4000"/>
    <n v="-4000"/>
    <m/>
    <m/>
    <m/>
    <n v="1"/>
    <x v="1"/>
    <x v="1"/>
    <n v="4000"/>
    <x v="3"/>
    <n v="0"/>
    <n v="0"/>
    <n v="226000"/>
    <n v="-4000"/>
    <n v="0"/>
    <n v="0"/>
  </r>
  <r>
    <s v="250923_EPA_IntroDays_Overasselt"/>
    <s v="table2"/>
    <n v="1028"/>
    <n v="644"/>
    <s v="t2p3"/>
    <m/>
    <n v="267"/>
    <x v="0"/>
    <n v="60000"/>
    <n v="30000"/>
    <n v="0"/>
    <n v="0"/>
    <n v="0"/>
    <n v="0"/>
    <n v="0"/>
    <n v="0"/>
    <n v="0"/>
    <n v="0"/>
    <n v="0"/>
    <n v="0"/>
    <m/>
    <m/>
    <m/>
    <n v="5"/>
    <x v="2"/>
    <x v="2"/>
    <n v="0"/>
    <x v="0"/>
    <n v="0"/>
    <n v="0"/>
    <n v="30000"/>
    <n v="0"/>
    <n v="0"/>
    <n v="0"/>
  </r>
  <r>
    <s v="250923_EPA_IntroDays_Overasselt"/>
    <s v="table2"/>
    <n v="1042"/>
    <n v="644"/>
    <s v="t2p3"/>
    <s v="D09"/>
    <n v="270"/>
    <x v="1"/>
    <n v="60000"/>
    <n v="30000"/>
    <n v="0"/>
    <n v="0"/>
    <n v="0"/>
    <n v="15000"/>
    <n v="8000"/>
    <n v="0"/>
    <n v="3600"/>
    <n v="0"/>
    <n v="0"/>
    <n v="3400"/>
    <n v="3600"/>
    <m/>
    <m/>
    <n v="5"/>
    <x v="2"/>
    <x v="2"/>
    <n v="0"/>
    <x v="3"/>
    <n v="0"/>
    <n v="0"/>
    <n v="56600"/>
    <n v="3400"/>
    <n v="0"/>
    <n v="0"/>
  </r>
  <r>
    <s v="250923_EPA_IntroDays_Overasselt"/>
    <s v="table2"/>
    <n v="1079"/>
    <n v="644"/>
    <s v="t2p3"/>
    <s v="D09"/>
    <n v="274"/>
    <x v="2"/>
    <n v="60000"/>
    <n v="30000"/>
    <n v="0"/>
    <n v="0"/>
    <n v="0"/>
    <n v="15000"/>
    <n v="8000"/>
    <n v="8000"/>
    <n v="0"/>
    <n v="0"/>
    <n v="4000"/>
    <n v="-1600"/>
    <m/>
    <n v="8000"/>
    <m/>
    <n v="5"/>
    <x v="2"/>
    <x v="2"/>
    <n v="4000"/>
    <x v="3"/>
    <n v="1"/>
    <n v="1"/>
    <n v="65000"/>
    <n v="-1600"/>
    <n v="0"/>
    <n v="2"/>
  </r>
  <r>
    <s v="250923_EPA_IntroDays_Overasselt"/>
    <s v="table2"/>
    <n v="1099"/>
    <n v="644"/>
    <s v="t2p3"/>
    <s v="D09"/>
    <n v="277"/>
    <x v="3"/>
    <n v="60000"/>
    <n v="30000"/>
    <n v="1600"/>
    <n v="0"/>
    <n v="0"/>
    <n v="15000"/>
    <n v="8000"/>
    <n v="0"/>
    <n v="0"/>
    <n v="16000"/>
    <n v="4000"/>
    <n v="-14600"/>
    <m/>
    <m/>
    <m/>
    <n v="-2"/>
    <x v="2"/>
    <x v="2"/>
    <n v="20000"/>
    <x v="3"/>
    <n v="0"/>
    <n v="0"/>
    <n v="73000"/>
    <n v="-14600"/>
    <n v="0"/>
    <n v="0"/>
  </r>
  <r>
    <s v="250923_EPA_IntroDays_Overasselt"/>
    <s v="table2"/>
    <n v="1122"/>
    <n v="644"/>
    <s v="t2p3"/>
    <s v="D09"/>
    <n v="281"/>
    <x v="4"/>
    <n v="60000"/>
    <n v="30000"/>
    <n v="14600"/>
    <n v="0"/>
    <n v="0"/>
    <n v="15000"/>
    <n v="8000"/>
    <n v="0"/>
    <n v="0"/>
    <n v="0"/>
    <n v="4000"/>
    <n v="-11600"/>
    <m/>
    <m/>
    <m/>
    <n v="-4"/>
    <x v="2"/>
    <x v="2"/>
    <n v="4000"/>
    <x v="3"/>
    <n v="0"/>
    <n v="0"/>
    <n v="57000"/>
    <n v="-11600"/>
    <n v="0"/>
    <n v="0"/>
  </r>
  <r>
    <s v="250923_EPA_IntroDays_Overasselt"/>
    <s v="table2"/>
    <n v="1029"/>
    <n v="645"/>
    <s v="t2p4"/>
    <m/>
    <n v="267"/>
    <x v="0"/>
    <n v="90000"/>
    <n v="50000"/>
    <n v="0"/>
    <n v="0"/>
    <n v="0"/>
    <n v="0"/>
    <n v="0"/>
    <n v="0"/>
    <n v="0"/>
    <n v="0"/>
    <n v="0"/>
    <n v="15000"/>
    <m/>
    <m/>
    <m/>
    <n v="5"/>
    <x v="0"/>
    <x v="0"/>
    <n v="0"/>
    <x v="0"/>
    <n v="0"/>
    <n v="0"/>
    <n v="50000"/>
    <n v="15000"/>
    <n v="0"/>
    <n v="0"/>
  </r>
  <r>
    <s v="250923_EPA_IntroDays_Overasselt"/>
    <s v="table2"/>
    <n v="1045"/>
    <n v="645"/>
    <s v="t2p4"/>
    <s v="D04"/>
    <n v="270"/>
    <x v="1"/>
    <n v="90000"/>
    <n v="50000"/>
    <n v="0"/>
    <n v="0"/>
    <n v="30000"/>
    <n v="15000"/>
    <n v="13000"/>
    <n v="0"/>
    <n v="0"/>
    <n v="0"/>
    <n v="0"/>
    <n v="-3000"/>
    <m/>
    <m/>
    <m/>
    <n v="5"/>
    <x v="0"/>
    <x v="0"/>
    <n v="0"/>
    <x v="3"/>
    <n v="0"/>
    <n v="0"/>
    <n v="108000"/>
    <n v="-3000"/>
    <n v="0"/>
    <n v="0"/>
  </r>
  <r>
    <s v="250923_EPA_IntroDays_Overasselt"/>
    <s v="table2"/>
    <n v="1081"/>
    <n v="645"/>
    <s v="t2p4"/>
    <s v="D04"/>
    <n v="274"/>
    <x v="2"/>
    <n v="90000"/>
    <n v="50000"/>
    <n v="3000"/>
    <n v="0"/>
    <n v="0"/>
    <n v="15000"/>
    <n v="13000"/>
    <n v="6000"/>
    <n v="0"/>
    <n v="0"/>
    <n v="4000"/>
    <n v="-1000"/>
    <m/>
    <n v="6000"/>
    <m/>
    <n v="4"/>
    <x v="0"/>
    <x v="0"/>
    <n v="4000"/>
    <x v="3"/>
    <n v="0"/>
    <n v="1"/>
    <n v="88000"/>
    <n v="-1000"/>
    <n v="0"/>
    <n v="1"/>
  </r>
  <r>
    <s v="250923_EPA_IntroDays_Overasselt"/>
    <s v="table2"/>
    <n v="1098"/>
    <n v="645"/>
    <s v="t2p4"/>
    <s v="D04"/>
    <n v="277"/>
    <x v="3"/>
    <n v="90000"/>
    <n v="50000"/>
    <n v="1000"/>
    <n v="0"/>
    <n v="0"/>
    <n v="15000"/>
    <n v="13000"/>
    <n v="8000"/>
    <n v="0"/>
    <n v="16000"/>
    <n v="0"/>
    <n v="-13000"/>
    <m/>
    <n v="8000"/>
    <m/>
    <n v="-1"/>
    <x v="0"/>
    <x v="0"/>
    <n v="16000"/>
    <x v="3"/>
    <n v="0"/>
    <n v="1"/>
    <n v="102000"/>
    <n v="-13000"/>
    <n v="0"/>
    <n v="1"/>
  </r>
  <r>
    <s v="250923_EPA_IntroDays_Overasselt"/>
    <s v="table2"/>
    <n v="1126"/>
    <n v="645"/>
    <s v="t2p4"/>
    <s v="D04"/>
    <n v="281"/>
    <x v="4"/>
    <n v="90000"/>
    <n v="50000"/>
    <n v="13000"/>
    <n v="0"/>
    <n v="0"/>
    <n v="15000"/>
    <n v="13000"/>
    <n v="0"/>
    <n v="0"/>
    <n v="0"/>
    <n v="4000"/>
    <n v="-5000"/>
    <m/>
    <m/>
    <m/>
    <n v="-3"/>
    <x v="0"/>
    <x v="0"/>
    <n v="4000"/>
    <x v="3"/>
    <n v="0"/>
    <n v="0"/>
    <n v="82000"/>
    <n v="-5000"/>
    <n v="0"/>
    <n v="0"/>
  </r>
  <r>
    <s v="250923_EPA_IntroDays_Overasselt"/>
    <s v="table2"/>
    <n v="1037"/>
    <n v="646"/>
    <s v="t2p5"/>
    <m/>
    <n v="267"/>
    <x v="0"/>
    <n v="130000"/>
    <n v="75000"/>
    <n v="0"/>
    <n v="0"/>
    <n v="0"/>
    <n v="0"/>
    <n v="0"/>
    <n v="0"/>
    <n v="0"/>
    <n v="0"/>
    <n v="0"/>
    <n v="50000"/>
    <m/>
    <m/>
    <m/>
    <n v="5"/>
    <x v="4"/>
    <x v="4"/>
    <n v="0"/>
    <x v="0"/>
    <n v="0"/>
    <n v="0"/>
    <n v="75000"/>
    <n v="50000"/>
    <n v="0"/>
    <n v="0"/>
  </r>
  <r>
    <s v="250923_EPA_IntroDays_Overasselt"/>
    <s v="table2"/>
    <n v="1046"/>
    <n v="646"/>
    <s v="t2p5"/>
    <s v="N05"/>
    <n v="270"/>
    <x v="1"/>
    <n v="130000"/>
    <n v="75000"/>
    <n v="0"/>
    <n v="0"/>
    <n v="0"/>
    <n v="15000"/>
    <n v="20000"/>
    <n v="33000"/>
    <n v="25500"/>
    <n v="0"/>
    <n v="0"/>
    <n v="11500"/>
    <n v="25500"/>
    <n v="33000"/>
    <n v="0"/>
    <n v="11"/>
    <x v="4"/>
    <x v="4"/>
    <n v="0"/>
    <x v="2"/>
    <n v="3"/>
    <n v="4"/>
    <n v="168500"/>
    <n v="11500"/>
    <n v="0"/>
    <n v="7"/>
  </r>
  <r>
    <s v="250923_EPA_IntroDays_Overasselt"/>
    <s v="table2"/>
    <n v="1080"/>
    <n v="646"/>
    <s v="t2p5"/>
    <s v="N05"/>
    <n v="274"/>
    <x v="2"/>
    <n v="130000"/>
    <n v="75000"/>
    <n v="0"/>
    <n v="0"/>
    <n v="0"/>
    <n v="15000"/>
    <n v="20000"/>
    <n v="0"/>
    <n v="0"/>
    <n v="0"/>
    <n v="4000"/>
    <n v="27500"/>
    <m/>
    <m/>
    <m/>
    <n v="10"/>
    <x v="4"/>
    <x v="4"/>
    <n v="4000"/>
    <x v="2"/>
    <n v="0"/>
    <n v="0"/>
    <n v="114000"/>
    <n v="27500"/>
    <n v="0"/>
    <n v="0"/>
  </r>
  <r>
    <s v="250923_EPA_IntroDays_Overasselt"/>
    <s v="table2"/>
    <n v="1101"/>
    <n v="646"/>
    <s v="t2p5"/>
    <s v="N05"/>
    <n v="277"/>
    <x v="3"/>
    <n v="130000"/>
    <n v="75000"/>
    <n v="0"/>
    <n v="0"/>
    <n v="0"/>
    <n v="15000"/>
    <n v="20000"/>
    <n v="0"/>
    <n v="0"/>
    <n v="16000"/>
    <n v="0"/>
    <n v="31500"/>
    <m/>
    <m/>
    <m/>
    <n v="5"/>
    <x v="4"/>
    <x v="4"/>
    <n v="16000"/>
    <x v="2"/>
    <n v="0"/>
    <n v="0"/>
    <n v="126000"/>
    <n v="31500"/>
    <n v="0"/>
    <n v="0"/>
  </r>
  <r>
    <s v="250923_EPA_IntroDays_Overasselt"/>
    <s v="table2"/>
    <n v="1121"/>
    <n v="646"/>
    <s v="t2p5"/>
    <s v="N05"/>
    <n v="281"/>
    <x v="4"/>
    <n v="130000"/>
    <n v="75000"/>
    <n v="0"/>
    <n v="0"/>
    <n v="0"/>
    <n v="20000"/>
    <n v="20000"/>
    <n v="0"/>
    <n v="0"/>
    <n v="0"/>
    <n v="4000"/>
    <n v="42500"/>
    <m/>
    <m/>
    <m/>
    <n v="4"/>
    <x v="4"/>
    <x v="4"/>
    <n v="4000"/>
    <x v="2"/>
    <n v="0"/>
    <n v="0"/>
    <n v="119000"/>
    <n v="42500"/>
    <n v="0"/>
    <n v="0"/>
  </r>
  <r>
    <s v="250923_EPA_IntroDays_Overasselt"/>
    <s v="table2"/>
    <n v="1031"/>
    <n v="647"/>
    <s v="t2p6"/>
    <m/>
    <n v="267"/>
    <x v="0"/>
    <n v="190000"/>
    <n v="115000"/>
    <n v="0"/>
    <n v="0"/>
    <n v="0"/>
    <n v="0"/>
    <n v="0"/>
    <n v="0"/>
    <n v="0"/>
    <n v="0"/>
    <n v="0"/>
    <n v="80000"/>
    <m/>
    <m/>
    <m/>
    <n v="5"/>
    <x v="5"/>
    <x v="5"/>
    <n v="0"/>
    <x v="0"/>
    <n v="0"/>
    <n v="0"/>
    <n v="115000"/>
    <n v="80000"/>
    <n v="0"/>
    <n v="0"/>
  </r>
  <r>
    <s v="250923_EPA_IntroDays_Overasselt"/>
    <s v="table2"/>
    <n v="1047"/>
    <n v="647"/>
    <s v="t2p6"/>
    <s v="D01"/>
    <n v="270"/>
    <x v="1"/>
    <n v="190000"/>
    <n v="115000"/>
    <n v="0"/>
    <n v="0"/>
    <n v="0"/>
    <n v="15000"/>
    <n v="30000"/>
    <n v="14000"/>
    <n v="21000"/>
    <n v="0"/>
    <n v="0"/>
    <n v="75000"/>
    <n v="21000"/>
    <m/>
    <m/>
    <n v="9"/>
    <x v="5"/>
    <x v="5"/>
    <n v="0"/>
    <x v="3"/>
    <n v="0"/>
    <n v="2"/>
    <n v="195000"/>
    <n v="75000"/>
    <n v="0"/>
    <n v="2"/>
  </r>
  <r>
    <s v="250923_EPA_IntroDays_Overasselt"/>
    <s v="table2"/>
    <n v="1082"/>
    <n v="647"/>
    <s v="t2p6"/>
    <s v="D01"/>
    <n v="274"/>
    <x v="2"/>
    <n v="190000"/>
    <n v="115000"/>
    <n v="0"/>
    <n v="0"/>
    <n v="0"/>
    <n v="15000"/>
    <n v="30000"/>
    <n v="19000"/>
    <n v="17000"/>
    <n v="0"/>
    <n v="4000"/>
    <n v="65000"/>
    <n v="17000"/>
    <m/>
    <m/>
    <n v="11"/>
    <x v="5"/>
    <x v="5"/>
    <n v="4000"/>
    <x v="3"/>
    <n v="3"/>
    <n v="2"/>
    <n v="200000"/>
    <n v="65000"/>
    <n v="0"/>
    <n v="5"/>
  </r>
  <r>
    <s v="250923_EPA_IntroDays_Overasselt"/>
    <s v="table2"/>
    <n v="1100"/>
    <n v="647"/>
    <s v="t2p6"/>
    <s v="D01"/>
    <n v="277"/>
    <x v="3"/>
    <n v="190000"/>
    <n v="115000"/>
    <n v="0"/>
    <n v="0"/>
    <n v="0"/>
    <n v="15000"/>
    <n v="30000"/>
    <n v="0"/>
    <n v="0"/>
    <n v="16000"/>
    <n v="4000"/>
    <n v="75000"/>
    <m/>
    <m/>
    <m/>
    <n v="5"/>
    <x v="5"/>
    <x v="5"/>
    <n v="20000"/>
    <x v="3"/>
    <n v="0"/>
    <n v="0"/>
    <n v="180000"/>
    <n v="75000"/>
    <n v="0"/>
    <n v="0"/>
  </r>
  <r>
    <s v="250923_EPA_IntroDays_Overasselt"/>
    <s v="table2"/>
    <n v="1124"/>
    <n v="647"/>
    <s v="t2p6"/>
    <s v="N03"/>
    <n v="281"/>
    <x v="4"/>
    <n v="190000"/>
    <n v="115000"/>
    <n v="0"/>
    <n v="190000"/>
    <n v="125000"/>
    <n v="20000"/>
    <n v="30000"/>
    <n v="15000"/>
    <n v="0"/>
    <n v="0"/>
    <n v="0"/>
    <n v="150000"/>
    <m/>
    <n v="33000"/>
    <m/>
    <n v="7"/>
    <x v="5"/>
    <x v="5"/>
    <n v="0"/>
    <x v="2"/>
    <n v="3"/>
    <n v="4"/>
    <n v="305000"/>
    <n v="150000"/>
    <n v="0"/>
    <n v="7"/>
  </r>
  <r>
    <s v="250923_EPA_IntroDays_Overasselt"/>
    <s v="table3"/>
    <n v="1055"/>
    <n v="650"/>
    <s v="t3p1"/>
    <m/>
    <n v="268"/>
    <x v="0"/>
    <n v="75000"/>
    <n v="40000"/>
    <n v="0"/>
    <n v="0"/>
    <n v="0"/>
    <n v="0"/>
    <n v="0"/>
    <n v="0"/>
    <n v="0"/>
    <n v="0"/>
    <n v="0"/>
    <n v="5000"/>
    <m/>
    <m/>
    <m/>
    <n v="5"/>
    <x v="0"/>
    <x v="0"/>
    <n v="0"/>
    <x v="0"/>
    <n v="0"/>
    <n v="0"/>
    <n v="40000"/>
    <n v="5000"/>
    <n v="0"/>
    <n v="0"/>
  </r>
  <r>
    <s v="250923_EPA_IntroDays_Overasselt"/>
    <s v="table3"/>
    <n v="1064"/>
    <n v="650"/>
    <s v="t3p1"/>
    <s v="U10"/>
    <n v="272"/>
    <x v="1"/>
    <n v="75000"/>
    <n v="40000"/>
    <n v="0"/>
    <n v="0"/>
    <n v="0"/>
    <n v="20000"/>
    <n v="7000"/>
    <n v="1000"/>
    <n v="3150"/>
    <n v="0"/>
    <n v="4000"/>
    <n v="4850"/>
    <n v="3150"/>
    <n v="1000"/>
    <n v="0"/>
    <n v="2"/>
    <x v="0"/>
    <x v="0"/>
    <n v="4000"/>
    <x v="1"/>
    <n v="1"/>
    <n v="0"/>
    <n v="75150"/>
    <n v="4850"/>
    <n v="0"/>
    <n v="1"/>
  </r>
  <r>
    <s v="250923_EPA_IntroDays_Overasselt"/>
    <s v="table3"/>
    <n v="1087"/>
    <n v="650"/>
    <s v="t3p1"/>
    <s v="U10"/>
    <n v="275"/>
    <x v="2"/>
    <n v="75000"/>
    <n v="40000"/>
    <n v="0"/>
    <n v="0"/>
    <n v="0"/>
    <n v="20000"/>
    <n v="7000"/>
    <n v="0"/>
    <n v="3500"/>
    <n v="0"/>
    <n v="4000"/>
    <n v="5350"/>
    <n v="3500"/>
    <m/>
    <m/>
    <n v="3"/>
    <x v="0"/>
    <x v="0"/>
    <n v="4000"/>
    <x v="1"/>
    <n v="0"/>
    <n v="0"/>
    <n v="74500"/>
    <n v="5350"/>
    <n v="0"/>
    <n v="0"/>
  </r>
  <r>
    <s v="250923_EPA_IntroDays_Overasselt"/>
    <s v="table3"/>
    <n v="1113"/>
    <n v="650"/>
    <s v="t3p1"/>
    <s v="U10"/>
    <n v="279"/>
    <x v="3"/>
    <n v="75000"/>
    <n v="40000"/>
    <n v="0"/>
    <n v="0"/>
    <n v="0"/>
    <n v="20000"/>
    <n v="7000"/>
    <n v="8000"/>
    <n v="0"/>
    <n v="24000"/>
    <n v="0"/>
    <n v="-18650"/>
    <m/>
    <n v="8000"/>
    <m/>
    <n v="-3"/>
    <x v="0"/>
    <x v="0"/>
    <n v="24000"/>
    <x v="1"/>
    <n v="1"/>
    <n v="1"/>
    <n v="99000"/>
    <n v="-18650"/>
    <n v="0"/>
    <n v="2"/>
  </r>
  <r>
    <s v="250923_EPA_IntroDays_Overasselt"/>
    <s v="table3"/>
    <n v="1137"/>
    <n v="650"/>
    <s v="t3p1"/>
    <s v="U10"/>
    <n v="283"/>
    <x v="4"/>
    <n v="75000"/>
    <n v="40000"/>
    <n v="18650"/>
    <n v="0"/>
    <n v="0"/>
    <n v="20000"/>
    <n v="7000"/>
    <n v="0"/>
    <n v="0"/>
    <n v="16000"/>
    <n v="0"/>
    <n v="-26650"/>
    <m/>
    <m/>
    <m/>
    <n v="-9"/>
    <x v="0"/>
    <x v="0"/>
    <n v="16000"/>
    <x v="1"/>
    <n v="0"/>
    <n v="0"/>
    <n v="83000"/>
    <n v="-26650"/>
    <n v="0"/>
    <n v="0"/>
  </r>
  <r>
    <s v="250923_EPA_IntroDays_Overasselt"/>
    <s v="table3"/>
    <n v="1048"/>
    <n v="651"/>
    <s v="t3p2"/>
    <m/>
    <n v="268"/>
    <x v="0"/>
    <n v="110000"/>
    <n v="60000"/>
    <n v="0"/>
    <n v="0"/>
    <n v="0"/>
    <n v="0"/>
    <n v="0"/>
    <n v="0"/>
    <n v="0"/>
    <n v="0"/>
    <n v="0"/>
    <n v="30000"/>
    <m/>
    <m/>
    <m/>
    <n v="5"/>
    <x v="1"/>
    <x v="1"/>
    <n v="0"/>
    <x v="0"/>
    <n v="0"/>
    <n v="0"/>
    <n v="60000"/>
    <n v="30000"/>
    <n v="0"/>
    <n v="0"/>
  </r>
  <r>
    <s v="250923_EPA_IntroDays_Overasselt"/>
    <s v="table3"/>
    <n v="1066"/>
    <n v="651"/>
    <s v="t3p2"/>
    <s v="N04"/>
    <n v="272"/>
    <x v="1"/>
    <n v="110000"/>
    <n v="60000"/>
    <n v="0"/>
    <n v="0"/>
    <n v="30000"/>
    <n v="20000"/>
    <n v="17000"/>
    <n v="9000"/>
    <n v="4000"/>
    <n v="0"/>
    <n v="4000"/>
    <n v="-4000"/>
    <n v="3400"/>
    <n v="9000"/>
    <n v="600"/>
    <n v="5"/>
    <x v="1"/>
    <x v="1"/>
    <n v="4000"/>
    <x v="2"/>
    <n v="2"/>
    <n v="1"/>
    <n v="144000"/>
    <n v="-4000"/>
    <n v="0"/>
    <n v="3"/>
  </r>
  <r>
    <s v="250923_EPA_IntroDays_Overasselt"/>
    <s v="table3"/>
    <n v="1088"/>
    <n v="651"/>
    <s v="t3p2"/>
    <s v="N04"/>
    <n v="275"/>
    <x v="2"/>
    <n v="110000"/>
    <n v="60000"/>
    <n v="4000"/>
    <n v="0"/>
    <n v="0"/>
    <n v="20000"/>
    <n v="17000"/>
    <n v="0"/>
    <n v="0"/>
    <n v="0"/>
    <n v="4000"/>
    <n v="5000"/>
    <m/>
    <m/>
    <m/>
    <n v="3"/>
    <x v="1"/>
    <x v="1"/>
    <n v="4000"/>
    <x v="2"/>
    <n v="0"/>
    <n v="0"/>
    <n v="101000"/>
    <n v="5000"/>
    <n v="0"/>
    <n v="0"/>
  </r>
  <r>
    <s v="250923_EPA_IntroDays_Overasselt"/>
    <s v="table3"/>
    <n v="1104"/>
    <n v="651"/>
    <s v="t3p2"/>
    <s v="N04"/>
    <n v="279"/>
    <x v="3"/>
    <n v="110000"/>
    <n v="60000"/>
    <n v="0"/>
    <n v="0"/>
    <n v="0"/>
    <n v="20000"/>
    <n v="17000"/>
    <n v="6000"/>
    <n v="0"/>
    <n v="16000"/>
    <n v="0"/>
    <n v="-4000"/>
    <m/>
    <n v="6000"/>
    <m/>
    <n v="-1"/>
    <x v="1"/>
    <x v="1"/>
    <n v="16000"/>
    <x v="2"/>
    <n v="0"/>
    <n v="1"/>
    <n v="119000"/>
    <n v="-4000"/>
    <n v="0"/>
    <n v="1"/>
  </r>
  <r>
    <s v="250923_EPA_IntroDays_Overasselt"/>
    <s v="table3"/>
    <n v="1138"/>
    <n v="651"/>
    <s v="t3p2"/>
    <s v="N04"/>
    <n v="283"/>
    <x v="4"/>
    <n v="110000"/>
    <n v="60000"/>
    <n v="4000"/>
    <n v="0"/>
    <n v="0"/>
    <n v="30000"/>
    <n v="17000"/>
    <n v="0"/>
    <n v="0"/>
    <n v="4000"/>
    <n v="0"/>
    <n v="-5000"/>
    <m/>
    <m/>
    <m/>
    <n v="-4"/>
    <x v="1"/>
    <x v="1"/>
    <n v="4000"/>
    <x v="2"/>
    <n v="0"/>
    <n v="0"/>
    <n v="111000"/>
    <n v="-5000"/>
    <n v="0"/>
    <n v="0"/>
  </r>
  <r>
    <s v="250923_EPA_IntroDays_Overasselt"/>
    <s v="table3"/>
    <n v="1041"/>
    <n v="652"/>
    <s v="t3p3"/>
    <m/>
    <n v="268"/>
    <x v="0"/>
    <n v="60000"/>
    <n v="30000"/>
    <n v="0"/>
    <n v="0"/>
    <n v="0"/>
    <n v="0"/>
    <n v="0"/>
    <n v="0"/>
    <n v="0"/>
    <n v="0"/>
    <n v="0"/>
    <n v="0"/>
    <m/>
    <m/>
    <m/>
    <n v="5"/>
    <x v="2"/>
    <x v="2"/>
    <n v="0"/>
    <x v="0"/>
    <n v="0"/>
    <n v="0"/>
    <n v="30000"/>
    <n v="0"/>
    <n v="0"/>
    <n v="0"/>
  </r>
  <r>
    <s v="250923_EPA_IntroDays_Overasselt"/>
    <s v="table3"/>
    <n v="1065"/>
    <n v="652"/>
    <s v="t3p3"/>
    <s v="N07"/>
    <n v="272"/>
    <x v="1"/>
    <n v="60000"/>
    <n v="30000"/>
    <n v="0"/>
    <n v="0"/>
    <n v="20000"/>
    <n v="20000"/>
    <n v="8000"/>
    <n v="0"/>
    <n v="0"/>
    <n v="0"/>
    <n v="4000"/>
    <n v="-22000"/>
    <m/>
    <m/>
    <m/>
    <n v="4"/>
    <x v="2"/>
    <x v="2"/>
    <n v="4000"/>
    <x v="2"/>
    <n v="0"/>
    <n v="0"/>
    <n v="82000"/>
    <n v="-22000"/>
    <n v="0"/>
    <n v="0"/>
  </r>
  <r>
    <s v="250923_EPA_IntroDays_Overasselt"/>
    <s v="table3"/>
    <n v="1083"/>
    <n v="652"/>
    <s v="t3p3"/>
    <s v="N07"/>
    <n v="275"/>
    <x v="2"/>
    <n v="60000"/>
    <n v="30000"/>
    <n v="22000"/>
    <n v="0"/>
    <n v="0"/>
    <n v="20000"/>
    <n v="8000"/>
    <n v="0"/>
    <n v="0"/>
    <n v="0"/>
    <n v="4000"/>
    <n v="-24000"/>
    <m/>
    <m/>
    <m/>
    <n v="2"/>
    <x v="2"/>
    <x v="2"/>
    <n v="4000"/>
    <x v="2"/>
    <n v="0"/>
    <n v="0"/>
    <n v="62000"/>
    <n v="-24000"/>
    <n v="0"/>
    <n v="0"/>
  </r>
  <r>
    <s v="250923_EPA_IntroDays_Overasselt"/>
    <s v="table3"/>
    <n v="1109"/>
    <n v="652"/>
    <s v="t3p3"/>
    <s v="N07"/>
    <n v="279"/>
    <x v="3"/>
    <n v="60000"/>
    <n v="30000"/>
    <n v="24000"/>
    <n v="0"/>
    <n v="0"/>
    <n v="20000"/>
    <n v="8000"/>
    <n v="0"/>
    <n v="0"/>
    <n v="16000"/>
    <n v="0"/>
    <n v="-38000"/>
    <m/>
    <m/>
    <m/>
    <n v="-4"/>
    <x v="2"/>
    <x v="2"/>
    <n v="16000"/>
    <x v="2"/>
    <n v="0"/>
    <n v="0"/>
    <n v="74000"/>
    <n v="-38000"/>
    <n v="0"/>
    <n v="0"/>
  </r>
  <r>
    <s v="250923_EPA_IntroDays_Overasselt"/>
    <s v="table3"/>
    <n v="1135"/>
    <n v="652"/>
    <s v="t3p3"/>
    <s v="N07"/>
    <n v="283"/>
    <x v="4"/>
    <n v="60000"/>
    <n v="30000"/>
    <n v="30000"/>
    <n v="0"/>
    <n v="0"/>
    <n v="30000"/>
    <n v="8000"/>
    <n v="0"/>
    <n v="0"/>
    <n v="4000"/>
    <n v="0"/>
    <n v="-50000"/>
    <m/>
    <m/>
    <m/>
    <n v="-7"/>
    <x v="2"/>
    <x v="2"/>
    <n v="4000"/>
    <x v="2"/>
    <n v="0"/>
    <n v="0"/>
    <n v="72000"/>
    <n v="-50000"/>
    <n v="0"/>
    <n v="0"/>
  </r>
  <r>
    <s v="250923_EPA_IntroDays_Overasselt"/>
    <s v="table3"/>
    <n v="1044"/>
    <n v="653"/>
    <s v="t3p4"/>
    <m/>
    <n v="268"/>
    <x v="0"/>
    <n v="90000"/>
    <n v="50000"/>
    <n v="0"/>
    <n v="0"/>
    <n v="0"/>
    <n v="0"/>
    <n v="0"/>
    <n v="0"/>
    <n v="0"/>
    <n v="0"/>
    <n v="0"/>
    <n v="15000"/>
    <m/>
    <m/>
    <m/>
    <n v="5"/>
    <x v="3"/>
    <x v="3"/>
    <n v="0"/>
    <x v="0"/>
    <n v="0"/>
    <n v="0"/>
    <n v="50000"/>
    <n v="15000"/>
    <n v="0"/>
    <n v="0"/>
  </r>
  <r>
    <s v="250923_EPA_IntroDays_Overasselt"/>
    <s v="table3"/>
    <n v="1062"/>
    <n v="653"/>
    <s v="t3p4"/>
    <s v="U04"/>
    <n v="272"/>
    <x v="1"/>
    <n v="90000"/>
    <n v="50000"/>
    <n v="0"/>
    <n v="0"/>
    <n v="0"/>
    <n v="20000"/>
    <n v="12500"/>
    <n v="8000"/>
    <n v="3125"/>
    <n v="4000"/>
    <n v="4000"/>
    <n v="3375"/>
    <n v="3125"/>
    <n v="8000"/>
    <n v="0"/>
    <n v="3"/>
    <x v="3"/>
    <x v="3"/>
    <n v="8000"/>
    <x v="1"/>
    <n v="0"/>
    <n v="1"/>
    <n v="101625"/>
    <n v="3375"/>
    <n v="0"/>
    <n v="1"/>
  </r>
  <r>
    <s v="250923_EPA_IntroDays_Overasselt"/>
    <s v="table3"/>
    <n v="1086"/>
    <n v="653"/>
    <s v="t3p4"/>
    <s v="U04"/>
    <n v="275"/>
    <x v="2"/>
    <n v="90000"/>
    <n v="50000"/>
    <n v="0"/>
    <n v="0"/>
    <n v="0"/>
    <n v="20000"/>
    <n v="12500"/>
    <n v="8000"/>
    <n v="0"/>
    <n v="0"/>
    <n v="4000"/>
    <n v="-1125"/>
    <m/>
    <n v="8000"/>
    <m/>
    <n v="3"/>
    <x v="3"/>
    <x v="3"/>
    <n v="4000"/>
    <x v="1"/>
    <n v="1"/>
    <n v="1"/>
    <n v="94500"/>
    <n v="-1125"/>
    <n v="0"/>
    <n v="2"/>
  </r>
  <r>
    <s v="250923_EPA_IntroDays_Overasselt"/>
    <s v="table3"/>
    <n v="1103"/>
    <n v="653"/>
    <s v="t3p4"/>
    <s v="U04"/>
    <n v="279"/>
    <x v="3"/>
    <n v="90000"/>
    <n v="50000"/>
    <n v="1125"/>
    <n v="0"/>
    <n v="0"/>
    <n v="20000"/>
    <n v="12500"/>
    <n v="0"/>
    <n v="0"/>
    <n v="28000"/>
    <n v="0"/>
    <n v="-21625"/>
    <m/>
    <m/>
    <m/>
    <n v="-6"/>
    <x v="3"/>
    <x v="3"/>
    <n v="28000"/>
    <x v="1"/>
    <n v="0"/>
    <n v="0"/>
    <n v="110500"/>
    <n v="-21625"/>
    <n v="0"/>
    <n v="0"/>
  </r>
  <r>
    <s v="250923_EPA_IntroDays_Overasselt"/>
    <s v="table3"/>
    <n v="1134"/>
    <n v="653"/>
    <s v="t3p4"/>
    <s v="U04"/>
    <n v="283"/>
    <x v="4"/>
    <n v="90000"/>
    <n v="50000"/>
    <n v="21625"/>
    <n v="0"/>
    <n v="0"/>
    <n v="20000"/>
    <n v="12500"/>
    <n v="0"/>
    <n v="0"/>
    <n v="16000"/>
    <n v="0"/>
    <n v="-30125"/>
    <m/>
    <m/>
    <m/>
    <n v="-12"/>
    <x v="3"/>
    <x v="3"/>
    <n v="16000"/>
    <x v="1"/>
    <n v="0"/>
    <n v="0"/>
    <n v="98500"/>
    <n v="-30125"/>
    <n v="0"/>
    <n v="0"/>
  </r>
  <r>
    <s v="250923_EPA_IntroDays_Overasselt"/>
    <s v="table3"/>
    <n v="1040"/>
    <n v="654"/>
    <s v="t3p5"/>
    <m/>
    <n v="268"/>
    <x v="0"/>
    <n v="130000"/>
    <n v="75000"/>
    <n v="0"/>
    <n v="0"/>
    <n v="0"/>
    <n v="0"/>
    <n v="0"/>
    <n v="0"/>
    <n v="0"/>
    <n v="0"/>
    <n v="0"/>
    <n v="50000"/>
    <m/>
    <m/>
    <m/>
    <n v="5"/>
    <x v="4"/>
    <x v="4"/>
    <n v="0"/>
    <x v="0"/>
    <n v="0"/>
    <n v="0"/>
    <n v="75000"/>
    <n v="50000"/>
    <n v="0"/>
    <n v="0"/>
  </r>
  <r>
    <s v="250923_EPA_IntroDays_Overasselt"/>
    <s v="table3"/>
    <n v="1067"/>
    <n v="654"/>
    <s v="t3p5"/>
    <s v="D02"/>
    <n v="272"/>
    <x v="1"/>
    <n v="130000"/>
    <n v="75000"/>
    <n v="0"/>
    <n v="0"/>
    <n v="100000"/>
    <n v="20000"/>
    <n v="20000"/>
    <n v="0"/>
    <n v="0"/>
    <n v="0"/>
    <n v="4000"/>
    <n v="-39000"/>
    <m/>
    <m/>
    <m/>
    <n v="5"/>
    <x v="4"/>
    <x v="4"/>
    <n v="4000"/>
    <x v="3"/>
    <n v="0"/>
    <n v="0"/>
    <n v="219000"/>
    <n v="-39000"/>
    <n v="0"/>
    <n v="0"/>
  </r>
  <r>
    <s v="250923_EPA_IntroDays_Overasselt"/>
    <s v="table3"/>
    <n v="1084"/>
    <n v="654"/>
    <s v="t3p5"/>
    <s v="D02"/>
    <n v="275"/>
    <x v="2"/>
    <n v="130000"/>
    <n v="75000"/>
    <n v="39000"/>
    <n v="0"/>
    <n v="0"/>
    <n v="20000"/>
    <n v="20000"/>
    <n v="0"/>
    <n v="0"/>
    <n v="0"/>
    <n v="4000"/>
    <n v="-28000"/>
    <m/>
    <m/>
    <m/>
    <n v="3"/>
    <x v="4"/>
    <x v="4"/>
    <n v="4000"/>
    <x v="3"/>
    <n v="0"/>
    <n v="0"/>
    <n v="119000"/>
    <n v="-28000"/>
    <n v="0"/>
    <n v="0"/>
  </r>
  <r>
    <s v="250923_EPA_IntroDays_Overasselt"/>
    <s v="table3"/>
    <n v="1110"/>
    <n v="654"/>
    <s v="t3p5"/>
    <s v="D02"/>
    <n v="279"/>
    <x v="3"/>
    <n v="130000"/>
    <n v="75000"/>
    <n v="28000"/>
    <n v="0"/>
    <n v="0"/>
    <n v="20000"/>
    <n v="20000"/>
    <n v="0"/>
    <n v="0"/>
    <n v="16000"/>
    <n v="0"/>
    <n v="-29000"/>
    <m/>
    <m/>
    <m/>
    <n v="-3"/>
    <x v="4"/>
    <x v="4"/>
    <n v="16000"/>
    <x v="3"/>
    <n v="0"/>
    <n v="0"/>
    <n v="131000"/>
    <n v="-29000"/>
    <n v="0"/>
    <n v="0"/>
  </r>
  <r>
    <s v="250923_EPA_IntroDays_Overasselt"/>
    <s v="table3"/>
    <n v="1139"/>
    <n v="654"/>
    <s v="t3p5"/>
    <s v="N02"/>
    <n v="283"/>
    <x v="4"/>
    <n v="130000"/>
    <n v="75000"/>
    <n v="29000"/>
    <n v="160000"/>
    <n v="0"/>
    <n v="30000"/>
    <n v="20000"/>
    <n v="23000"/>
    <n v="25500"/>
    <n v="0"/>
    <n v="0"/>
    <n v="87500"/>
    <n v="25500"/>
    <n v="33000"/>
    <n v="-10000"/>
    <n v="0"/>
    <x v="4"/>
    <x v="4"/>
    <n v="0"/>
    <x v="2"/>
    <n v="3"/>
    <n v="4"/>
    <n v="173500"/>
    <n v="87500"/>
    <n v="0"/>
    <n v="7"/>
  </r>
  <r>
    <s v="250923_EPA_IntroDays_Overasselt"/>
    <s v="table3"/>
    <n v="1035"/>
    <n v="655"/>
    <s v="t3p6"/>
    <m/>
    <n v="268"/>
    <x v="0"/>
    <n v="190000"/>
    <n v="115000"/>
    <n v="0"/>
    <n v="0"/>
    <n v="0"/>
    <n v="0"/>
    <n v="0"/>
    <n v="0"/>
    <n v="0"/>
    <n v="0"/>
    <n v="0"/>
    <n v="80000"/>
    <m/>
    <m/>
    <m/>
    <n v="5"/>
    <x v="5"/>
    <x v="5"/>
    <n v="0"/>
    <x v="0"/>
    <n v="0"/>
    <n v="0"/>
    <n v="115000"/>
    <n v="80000"/>
    <n v="0"/>
    <n v="0"/>
  </r>
  <r>
    <s v="250923_EPA_IntroDays_Overasselt"/>
    <s v="table3"/>
    <n v="1063"/>
    <n v="655"/>
    <s v="t3p6"/>
    <s v="D01"/>
    <n v="272"/>
    <x v="1"/>
    <n v="190000"/>
    <n v="115000"/>
    <n v="0"/>
    <n v="0"/>
    <n v="0"/>
    <n v="20000"/>
    <n v="30000"/>
    <n v="10000"/>
    <n v="21000"/>
    <n v="0"/>
    <n v="4000"/>
    <n v="70000"/>
    <n v="21000"/>
    <m/>
    <m/>
    <n v="6"/>
    <x v="5"/>
    <x v="5"/>
    <n v="4000"/>
    <x v="3"/>
    <n v="1"/>
    <n v="1"/>
    <n v="200000"/>
    <n v="70000"/>
    <n v="0"/>
    <n v="2"/>
  </r>
  <r>
    <s v="250923_EPA_IntroDays_Overasselt"/>
    <s v="table3"/>
    <n v="1085"/>
    <n v="655"/>
    <s v="t3p6"/>
    <s v="D01"/>
    <n v="275"/>
    <x v="2"/>
    <n v="190000"/>
    <n v="115000"/>
    <n v="0"/>
    <n v="0"/>
    <n v="0"/>
    <n v="20000"/>
    <n v="30000"/>
    <n v="9000"/>
    <n v="0"/>
    <n v="0"/>
    <n v="4000"/>
    <n v="82000"/>
    <m/>
    <m/>
    <m/>
    <n v="6"/>
    <x v="5"/>
    <x v="5"/>
    <n v="4000"/>
    <x v="3"/>
    <n v="1"/>
    <n v="1"/>
    <n v="178000"/>
    <n v="82000"/>
    <n v="0"/>
    <n v="2"/>
  </r>
  <r>
    <s v="250923_EPA_IntroDays_Overasselt"/>
    <s v="table3"/>
    <n v="1106"/>
    <n v="655"/>
    <s v="t3p6"/>
    <s v="D01"/>
    <n v="279"/>
    <x v="3"/>
    <n v="190000"/>
    <n v="115000"/>
    <n v="0"/>
    <n v="0"/>
    <n v="0"/>
    <n v="20000"/>
    <n v="30000"/>
    <n v="14000"/>
    <n v="0"/>
    <n v="12000"/>
    <n v="0"/>
    <n v="81000"/>
    <m/>
    <m/>
    <m/>
    <n v="4"/>
    <x v="5"/>
    <x v="5"/>
    <n v="12000"/>
    <x v="3"/>
    <n v="1"/>
    <n v="2"/>
    <n v="191000"/>
    <n v="81000"/>
    <n v="0"/>
    <n v="3"/>
  </r>
  <r>
    <s v="250923_EPA_IntroDays_Overasselt"/>
    <s v="table3"/>
    <n v="1136"/>
    <n v="655"/>
    <s v="t3p6"/>
    <s v="N03"/>
    <n v="283"/>
    <x v="4"/>
    <n v="190000"/>
    <n v="115000"/>
    <n v="0"/>
    <n v="90000"/>
    <n v="125000"/>
    <n v="30000"/>
    <n v="30000"/>
    <n v="15000"/>
    <n v="20125"/>
    <n v="0"/>
    <n v="0"/>
    <n v="25875"/>
    <n v="17000"/>
    <n v="33000"/>
    <n v="-14875"/>
    <n v="7"/>
    <x v="5"/>
    <x v="5"/>
    <n v="0"/>
    <x v="2"/>
    <n v="3"/>
    <n v="4"/>
    <n v="335125"/>
    <n v="25875"/>
    <n v="0"/>
    <n v="7"/>
  </r>
  <r>
    <s v="250923_EPA_IntroDays_Overasselt"/>
    <s v="table4"/>
    <n v="1069"/>
    <n v="658"/>
    <s v="t4p1"/>
    <m/>
    <n v="266"/>
    <x v="0"/>
    <n v="75000"/>
    <n v="40000"/>
    <n v="0"/>
    <n v="0"/>
    <n v="0"/>
    <n v="0"/>
    <n v="0"/>
    <n v="0"/>
    <n v="0"/>
    <n v="0"/>
    <n v="0"/>
    <n v="5000"/>
    <m/>
    <m/>
    <m/>
    <n v="5"/>
    <x v="0"/>
    <x v="0"/>
    <n v="0"/>
    <x v="0"/>
    <n v="0"/>
    <n v="0"/>
    <n v="40000"/>
    <n v="5000"/>
    <n v="0"/>
    <n v="0"/>
  </r>
  <r>
    <s v="250923_EPA_IntroDays_Overasselt"/>
    <s v="table4"/>
    <n v="1073"/>
    <n v="658"/>
    <s v="t4p1"/>
    <m/>
    <n v="273"/>
    <x v="1"/>
    <n v="75000"/>
    <n v="40000"/>
    <n v="0"/>
    <n v="0"/>
    <n v="0"/>
    <n v="0"/>
    <n v="0"/>
    <n v="0"/>
    <n v="0"/>
    <n v="0"/>
    <n v="0"/>
    <n v="40000"/>
    <m/>
    <m/>
    <m/>
    <n v="5"/>
    <x v="0"/>
    <x v="0"/>
    <n v="0"/>
    <x v="0"/>
    <n v="0"/>
    <n v="0"/>
    <n v="40000"/>
    <n v="40000"/>
    <n v="0"/>
    <n v="0"/>
  </r>
  <r>
    <s v="250923_EPA_IntroDays_Overasselt"/>
    <s v="table4"/>
    <n v="1057"/>
    <n v="659"/>
    <s v="t4p2"/>
    <m/>
    <n v="266"/>
    <x v="0"/>
    <n v="110000"/>
    <n v="60000"/>
    <n v="0"/>
    <n v="0"/>
    <n v="0"/>
    <n v="0"/>
    <n v="0"/>
    <n v="0"/>
    <n v="0"/>
    <n v="0"/>
    <n v="0"/>
    <n v="30000"/>
    <m/>
    <m/>
    <m/>
    <n v="5"/>
    <x v="1"/>
    <x v="1"/>
    <n v="0"/>
    <x v="0"/>
    <n v="0"/>
    <n v="0"/>
    <n v="60000"/>
    <n v="30000"/>
    <n v="0"/>
    <n v="0"/>
  </r>
  <r>
    <s v="250923_EPA_IntroDays_Overasselt"/>
    <s v="table4"/>
    <n v="1074"/>
    <n v="659"/>
    <s v="t4p2"/>
    <s v="D04"/>
    <n v="273"/>
    <x v="1"/>
    <n v="110000"/>
    <n v="60000"/>
    <n v="0"/>
    <n v="0"/>
    <n v="0"/>
    <n v="15000"/>
    <n v="16000"/>
    <n v="18000"/>
    <n v="8000"/>
    <n v="0"/>
    <n v="0"/>
    <n v="23000"/>
    <n v="8000"/>
    <m/>
    <m/>
    <n v="7"/>
    <x v="1"/>
    <x v="1"/>
    <n v="0"/>
    <x v="3"/>
    <n v="2"/>
    <n v="2"/>
    <n v="117000"/>
    <n v="23000"/>
    <n v="0"/>
    <n v="4"/>
  </r>
  <r>
    <s v="250923_EPA_IntroDays_Overasselt"/>
    <s v="table4"/>
    <n v="1117"/>
    <n v="659"/>
    <s v="t4p2"/>
    <s v="D04"/>
    <n v="280"/>
    <x v="2"/>
    <n v="110000"/>
    <n v="60000"/>
    <n v="0"/>
    <n v="0"/>
    <n v="0"/>
    <n v="15000"/>
    <n v="16000"/>
    <n v="15000"/>
    <n v="9500"/>
    <n v="0"/>
    <n v="0"/>
    <n v="17500"/>
    <n v="9500"/>
    <m/>
    <m/>
    <n v="11"/>
    <x v="1"/>
    <x v="1"/>
    <n v="0"/>
    <x v="3"/>
    <n v="1"/>
    <n v="2"/>
    <n v="115500"/>
    <n v="17500"/>
    <n v="0"/>
    <n v="3"/>
  </r>
  <r>
    <s v="250923_EPA_IntroDays_Overasselt"/>
    <s v="table4"/>
    <n v="1142"/>
    <n v="659"/>
    <s v="t4p2"/>
    <s v="D04"/>
    <n v="284"/>
    <x v="3"/>
    <n v="110000"/>
    <n v="60000"/>
    <n v="0"/>
    <n v="0"/>
    <n v="0"/>
    <n v="15000"/>
    <n v="16000"/>
    <n v="0"/>
    <n v="3200"/>
    <n v="0"/>
    <n v="4000"/>
    <n v="29300"/>
    <n v="3200"/>
    <m/>
    <m/>
    <n v="10"/>
    <x v="1"/>
    <x v="1"/>
    <n v="4000"/>
    <x v="3"/>
    <n v="0"/>
    <n v="0"/>
    <n v="98200"/>
    <n v="29300"/>
    <n v="0"/>
    <n v="0"/>
  </r>
  <r>
    <s v="250923_EPA_IntroDays_Overasselt"/>
    <s v="table4"/>
    <n v="1150"/>
    <n v="659"/>
    <s v="t4p2"/>
    <s v="N02"/>
    <n v="285"/>
    <x v="4"/>
    <n v="110000"/>
    <n v="60000"/>
    <n v="0"/>
    <n v="88000"/>
    <n v="30000"/>
    <n v="30000"/>
    <n v="17000"/>
    <n v="0"/>
    <n v="0"/>
    <n v="0"/>
    <n v="0"/>
    <n v="90300"/>
    <m/>
    <n v="33000"/>
    <m/>
    <n v="9"/>
    <x v="1"/>
    <x v="1"/>
    <n v="0"/>
    <x v="2"/>
    <n v="3"/>
    <n v="4"/>
    <n v="137000"/>
    <n v="90300"/>
    <n v="0"/>
    <n v="7"/>
  </r>
  <r>
    <s v="250923_EPA_IntroDays_Overasselt"/>
    <s v="table4"/>
    <n v="1058"/>
    <n v="660"/>
    <s v="t4p3"/>
    <m/>
    <n v="266"/>
    <x v="0"/>
    <n v="60000"/>
    <n v="30000"/>
    <n v="0"/>
    <n v="0"/>
    <n v="0"/>
    <n v="0"/>
    <n v="0"/>
    <n v="0"/>
    <n v="0"/>
    <n v="0"/>
    <n v="0"/>
    <n v="0"/>
    <m/>
    <m/>
    <m/>
    <n v="5"/>
    <x v="2"/>
    <x v="2"/>
    <n v="0"/>
    <x v="0"/>
    <n v="0"/>
    <n v="0"/>
    <n v="30000"/>
    <n v="0"/>
    <n v="0"/>
    <n v="0"/>
  </r>
  <r>
    <s v="250923_EPA_IntroDays_Overasselt"/>
    <s v="table4"/>
    <n v="1072"/>
    <n v="660"/>
    <s v="t4p3"/>
    <s v="D10"/>
    <n v="273"/>
    <x v="1"/>
    <n v="60000"/>
    <n v="30000"/>
    <n v="0"/>
    <n v="0"/>
    <n v="0"/>
    <n v="15000"/>
    <n v="8000"/>
    <n v="0"/>
    <n v="1600"/>
    <n v="0"/>
    <n v="0"/>
    <n v="5400"/>
    <n v="1600"/>
    <m/>
    <m/>
    <n v="4"/>
    <x v="2"/>
    <x v="2"/>
    <n v="0"/>
    <x v="3"/>
    <n v="0"/>
    <n v="0"/>
    <n v="54600"/>
    <n v="5400"/>
    <n v="0"/>
    <n v="0"/>
  </r>
  <r>
    <s v="250923_EPA_IntroDays_Overasselt"/>
    <s v="table4"/>
    <n v="1120"/>
    <n v="660"/>
    <s v="t4p3"/>
    <s v="D10"/>
    <n v="280"/>
    <x v="2"/>
    <n v="60000"/>
    <n v="30000"/>
    <n v="0"/>
    <n v="0"/>
    <n v="0"/>
    <n v="15000"/>
    <n v="8000"/>
    <n v="8000"/>
    <n v="0"/>
    <n v="0"/>
    <n v="0"/>
    <n v="4400"/>
    <m/>
    <n v="8000"/>
    <m/>
    <n v="5"/>
    <x v="2"/>
    <x v="2"/>
    <n v="0"/>
    <x v="3"/>
    <n v="1"/>
    <n v="1"/>
    <n v="61000"/>
    <n v="4400"/>
    <n v="0"/>
    <n v="2"/>
  </r>
  <r>
    <s v="250923_EPA_IntroDays_Overasselt"/>
    <s v="table4"/>
    <n v="1144"/>
    <n v="660"/>
    <s v="t4p3"/>
    <s v="D10"/>
    <n v="284"/>
    <x v="3"/>
    <n v="60000"/>
    <n v="30000"/>
    <n v="0"/>
    <n v="0"/>
    <n v="0"/>
    <n v="15000"/>
    <n v="8000"/>
    <n v="6000"/>
    <n v="0"/>
    <n v="0"/>
    <n v="4000"/>
    <n v="1400"/>
    <m/>
    <n v="6000"/>
    <m/>
    <n v="5"/>
    <x v="2"/>
    <x v="2"/>
    <n v="4000"/>
    <x v="3"/>
    <n v="0"/>
    <n v="1"/>
    <n v="63000"/>
    <n v="1400"/>
    <n v="0"/>
    <n v="1"/>
  </r>
  <r>
    <s v="250923_EPA_IntroDays_Overasselt"/>
    <s v="table4"/>
    <n v="1151"/>
    <n v="660"/>
    <s v="t4p3"/>
    <s v="D10"/>
    <n v="285"/>
    <x v="4"/>
    <n v="60000"/>
    <n v="30000"/>
    <n v="0"/>
    <n v="0"/>
    <n v="0"/>
    <n v="20000"/>
    <n v="8000"/>
    <n v="0"/>
    <n v="2000"/>
    <n v="0"/>
    <n v="4000"/>
    <n v="-2600"/>
    <n v="2000"/>
    <m/>
    <m/>
    <n v="5"/>
    <x v="2"/>
    <x v="2"/>
    <n v="4000"/>
    <x v="3"/>
    <n v="0"/>
    <n v="0"/>
    <n v="64000"/>
    <n v="-2600"/>
    <n v="0"/>
    <n v="0"/>
  </r>
  <r>
    <s v="250923_EPA_IntroDays_Overasselt"/>
    <s v="table4"/>
    <n v="1059"/>
    <n v="661"/>
    <s v="t4p4"/>
    <m/>
    <n v="266"/>
    <x v="0"/>
    <n v="90000"/>
    <n v="50000"/>
    <n v="0"/>
    <n v="0"/>
    <n v="0"/>
    <n v="0"/>
    <n v="0"/>
    <n v="0"/>
    <n v="0"/>
    <n v="0"/>
    <n v="0"/>
    <n v="15000"/>
    <m/>
    <m/>
    <m/>
    <n v="5"/>
    <x v="3"/>
    <x v="3"/>
    <n v="0"/>
    <x v="0"/>
    <n v="0"/>
    <n v="0"/>
    <n v="50000"/>
    <n v="15000"/>
    <n v="0"/>
    <n v="0"/>
  </r>
  <r>
    <s v="250923_EPA_IntroDays_Overasselt"/>
    <s v="table4"/>
    <n v="1076"/>
    <n v="661"/>
    <s v="t4p4"/>
    <s v="N07"/>
    <n v="273"/>
    <x v="1"/>
    <n v="90000"/>
    <n v="50000"/>
    <n v="0"/>
    <n v="0"/>
    <n v="0"/>
    <n v="15000"/>
    <n v="10000"/>
    <n v="6000"/>
    <n v="7000"/>
    <n v="0"/>
    <n v="0"/>
    <n v="17000"/>
    <n v="7000"/>
    <n v="6000"/>
    <n v="0"/>
    <n v="6"/>
    <x v="3"/>
    <x v="3"/>
    <n v="0"/>
    <x v="2"/>
    <n v="0"/>
    <n v="1"/>
    <n v="88000"/>
    <n v="17000"/>
    <n v="0"/>
    <n v="1"/>
  </r>
  <r>
    <s v="250923_EPA_IntroDays_Overasselt"/>
    <s v="table4"/>
    <n v="1118"/>
    <n v="661"/>
    <s v="t4p4"/>
    <s v="N07"/>
    <n v="280"/>
    <x v="2"/>
    <n v="90000"/>
    <n v="50000"/>
    <n v="0"/>
    <n v="0"/>
    <n v="0"/>
    <n v="15000"/>
    <n v="10000"/>
    <n v="8000"/>
    <n v="7000"/>
    <n v="0"/>
    <n v="0"/>
    <n v="17000"/>
    <n v="7000"/>
    <n v="8000"/>
    <n v="0"/>
    <n v="9"/>
    <x v="3"/>
    <x v="3"/>
    <n v="0"/>
    <x v="2"/>
    <n v="1"/>
    <n v="1"/>
    <n v="90000"/>
    <n v="17000"/>
    <n v="0"/>
    <n v="2"/>
  </r>
  <r>
    <s v="250923_EPA_IntroDays_Overasselt"/>
    <s v="table4"/>
    <n v="1141"/>
    <n v="661"/>
    <s v="t4p4"/>
    <s v="N07"/>
    <n v="284"/>
    <x v="3"/>
    <n v="90000"/>
    <n v="50000"/>
    <n v="0"/>
    <n v="0"/>
    <n v="0"/>
    <n v="15000"/>
    <n v="10000"/>
    <n v="0"/>
    <n v="0"/>
    <n v="0"/>
    <n v="4000"/>
    <n v="28000"/>
    <m/>
    <m/>
    <m/>
    <n v="8"/>
    <x v="3"/>
    <x v="3"/>
    <n v="4000"/>
    <x v="2"/>
    <n v="0"/>
    <n v="0"/>
    <n v="79000"/>
    <n v="28000"/>
    <n v="0"/>
    <n v="0"/>
  </r>
  <r>
    <s v="250923_EPA_IntroDays_Overasselt"/>
    <s v="table4"/>
    <n v="1148"/>
    <n v="661"/>
    <s v="t4p4"/>
    <s v="N07"/>
    <n v="285"/>
    <x v="4"/>
    <n v="90000"/>
    <n v="50000"/>
    <n v="0"/>
    <n v="0"/>
    <n v="0"/>
    <n v="30000"/>
    <n v="10000"/>
    <n v="8000"/>
    <n v="0"/>
    <n v="0"/>
    <n v="0"/>
    <n v="20000"/>
    <m/>
    <n v="8000"/>
    <m/>
    <n v="9"/>
    <x v="3"/>
    <x v="3"/>
    <n v="0"/>
    <x v="2"/>
    <n v="0"/>
    <n v="1"/>
    <n v="98000"/>
    <n v="20000"/>
    <n v="0"/>
    <n v="1"/>
  </r>
  <r>
    <s v="250923_EPA_IntroDays_Overasselt"/>
    <s v="table4"/>
    <n v="1068"/>
    <n v="662"/>
    <s v="t4p5"/>
    <m/>
    <n v="266"/>
    <x v="0"/>
    <n v="130000"/>
    <n v="75000"/>
    <n v="0"/>
    <n v="0"/>
    <n v="0"/>
    <n v="0"/>
    <n v="0"/>
    <n v="0"/>
    <n v="0"/>
    <n v="0"/>
    <n v="0"/>
    <n v="50000"/>
    <m/>
    <m/>
    <m/>
    <n v="5"/>
    <x v="4"/>
    <x v="4"/>
    <n v="0"/>
    <x v="0"/>
    <n v="0"/>
    <n v="0"/>
    <n v="75000"/>
    <n v="50000"/>
    <n v="0"/>
    <n v="0"/>
  </r>
  <r>
    <s v="250923_EPA_IntroDays_Overasselt"/>
    <s v="table4"/>
    <n v="1075"/>
    <n v="662"/>
    <s v="t4p5"/>
    <s v="N04"/>
    <n v="273"/>
    <x v="1"/>
    <n v="130000"/>
    <n v="75000"/>
    <n v="0"/>
    <n v="0"/>
    <n v="0"/>
    <n v="15000"/>
    <n v="20000"/>
    <n v="24000"/>
    <n v="0"/>
    <n v="0"/>
    <n v="0"/>
    <n v="46000"/>
    <m/>
    <n v="24000"/>
    <m/>
    <n v="6"/>
    <x v="4"/>
    <x v="4"/>
    <n v="0"/>
    <x v="2"/>
    <n v="2"/>
    <n v="3"/>
    <n v="134000"/>
    <n v="46000"/>
    <n v="0"/>
    <n v="5"/>
  </r>
  <r>
    <s v="250923_EPA_IntroDays_Overasselt"/>
    <s v="table4"/>
    <n v="1116"/>
    <n v="662"/>
    <s v="t4p5"/>
    <s v="N04"/>
    <n v="280"/>
    <x v="2"/>
    <n v="130000"/>
    <n v="75000"/>
    <n v="0"/>
    <n v="0"/>
    <n v="0"/>
    <n v="15000"/>
    <n v="20000"/>
    <n v="8000"/>
    <n v="10000"/>
    <n v="0"/>
    <n v="0"/>
    <n v="48000"/>
    <n v="10000"/>
    <n v="8000"/>
    <n v="0"/>
    <n v="9"/>
    <x v="4"/>
    <x v="4"/>
    <n v="0"/>
    <x v="2"/>
    <n v="0"/>
    <n v="1"/>
    <n v="128000"/>
    <n v="48000"/>
    <n v="0"/>
    <n v="1"/>
  </r>
  <r>
    <s v="250923_EPA_IntroDays_Overasselt"/>
    <s v="table4"/>
    <n v="1145"/>
    <n v="662"/>
    <s v="t4p5"/>
    <s v="N04"/>
    <n v="284"/>
    <x v="3"/>
    <n v="130000"/>
    <n v="75000"/>
    <n v="0"/>
    <n v="0"/>
    <n v="0"/>
    <n v="15000"/>
    <n v="20000"/>
    <n v="1000"/>
    <n v="0"/>
    <n v="0"/>
    <n v="4000"/>
    <n v="63000"/>
    <m/>
    <n v="1000"/>
    <m/>
    <n v="8"/>
    <x v="4"/>
    <x v="4"/>
    <n v="4000"/>
    <x v="2"/>
    <n v="1"/>
    <n v="0"/>
    <n v="115000"/>
    <n v="63000"/>
    <n v="0"/>
    <n v="1"/>
  </r>
  <r>
    <s v="250923_EPA_IntroDays_Overasselt"/>
    <s v="table4"/>
    <n v="1149"/>
    <n v="662"/>
    <s v="t4p5"/>
    <s v="N04"/>
    <n v="285"/>
    <x v="4"/>
    <n v="130000"/>
    <n v="75000"/>
    <n v="0"/>
    <n v="0"/>
    <n v="0"/>
    <n v="30000"/>
    <n v="20000"/>
    <n v="0"/>
    <n v="15500"/>
    <n v="0"/>
    <n v="0"/>
    <n v="52500"/>
    <n v="15500"/>
    <m/>
    <m/>
    <n v="10"/>
    <x v="4"/>
    <x v="4"/>
    <n v="0"/>
    <x v="2"/>
    <n v="0"/>
    <n v="0"/>
    <n v="140500"/>
    <n v="52500"/>
    <n v="0"/>
    <n v="0"/>
  </r>
  <r>
    <s v="250923_EPA_IntroDays_Overasselt"/>
    <s v="table4"/>
    <n v="1060"/>
    <n v="663"/>
    <s v="t4p6"/>
    <m/>
    <n v="266"/>
    <x v="0"/>
    <n v="190000"/>
    <n v="115000"/>
    <n v="0"/>
    <n v="0"/>
    <n v="0"/>
    <n v="0"/>
    <n v="0"/>
    <n v="0"/>
    <n v="0"/>
    <n v="0"/>
    <n v="0"/>
    <n v="80000"/>
    <m/>
    <m/>
    <m/>
    <n v="5"/>
    <x v="5"/>
    <x v="5"/>
    <n v="0"/>
    <x v="0"/>
    <n v="0"/>
    <n v="0"/>
    <n v="115000"/>
    <n v="80000"/>
    <n v="0"/>
    <n v="0"/>
  </r>
  <r>
    <s v="250923_EPA_IntroDays_Overasselt"/>
    <s v="table4"/>
    <n v="1071"/>
    <n v="663"/>
    <s v="t4p6"/>
    <s v="D01"/>
    <n v="273"/>
    <x v="1"/>
    <n v="190000"/>
    <n v="115000"/>
    <n v="0"/>
    <n v="0"/>
    <n v="0"/>
    <n v="15000"/>
    <n v="30000"/>
    <n v="24000"/>
    <n v="21000"/>
    <n v="0"/>
    <n v="0"/>
    <n v="65000"/>
    <n v="21000"/>
    <m/>
    <m/>
    <n v="9"/>
    <x v="5"/>
    <x v="5"/>
    <n v="0"/>
    <x v="3"/>
    <n v="2"/>
    <n v="4"/>
    <n v="205000"/>
    <n v="65000"/>
    <n v="0"/>
    <n v="6"/>
  </r>
  <r>
    <s v="250923_EPA_IntroDays_Overasselt"/>
    <s v="table4"/>
    <n v="1119"/>
    <n v="663"/>
    <s v="t4p6"/>
    <s v="D01"/>
    <n v="280"/>
    <x v="2"/>
    <n v="190000"/>
    <n v="115000"/>
    <n v="0"/>
    <n v="0"/>
    <n v="0"/>
    <n v="15000"/>
    <n v="30000"/>
    <n v="1000"/>
    <n v="17000"/>
    <n v="0"/>
    <n v="4000"/>
    <n v="73000"/>
    <n v="17000"/>
    <m/>
    <m/>
    <n v="10"/>
    <x v="5"/>
    <x v="5"/>
    <n v="4000"/>
    <x v="3"/>
    <n v="1"/>
    <n v="0"/>
    <n v="182000"/>
    <n v="73000"/>
    <n v="0"/>
    <n v="1"/>
  </r>
  <r>
    <s v="250923_EPA_IntroDays_Overasselt"/>
    <s v="table4"/>
    <n v="1143"/>
    <n v="663"/>
    <s v="t4p6"/>
    <s v="D01"/>
    <n v="284"/>
    <x v="3"/>
    <n v="190000"/>
    <n v="115000"/>
    <n v="0"/>
    <n v="0"/>
    <n v="0"/>
    <n v="15000"/>
    <n v="30000"/>
    <n v="0"/>
    <n v="0"/>
    <n v="0"/>
    <n v="4000"/>
    <n v="99000"/>
    <m/>
    <m/>
    <m/>
    <n v="9"/>
    <x v="5"/>
    <x v="5"/>
    <n v="4000"/>
    <x v="3"/>
    <n v="0"/>
    <n v="0"/>
    <n v="164000"/>
    <n v="99000"/>
    <n v="0"/>
    <n v="0"/>
  </r>
  <r>
    <s v="250923_EPA_IntroDays_Overasselt"/>
    <s v="table4"/>
    <n v="1147"/>
    <n v="663"/>
    <s v="t4p6"/>
    <s v="N03"/>
    <n v="285"/>
    <x v="4"/>
    <n v="190000"/>
    <n v="115000"/>
    <n v="0"/>
    <n v="90000"/>
    <n v="125000"/>
    <n v="30000"/>
    <n v="30000"/>
    <n v="0"/>
    <n v="0"/>
    <n v="0"/>
    <n v="0"/>
    <n v="79000"/>
    <m/>
    <n v="32000"/>
    <m/>
    <n v="9"/>
    <x v="5"/>
    <x v="5"/>
    <n v="0"/>
    <x v="2"/>
    <n v="2"/>
    <n v="4"/>
    <n v="300000"/>
    <n v="79000"/>
    <n v="0"/>
    <n v="6"/>
  </r>
  <r>
    <s v="250923_EPA_IntroDays_Overasselt"/>
    <s v="table4"/>
    <n v="1056"/>
    <n v="664"/>
    <s v="t4p7"/>
    <m/>
    <n v="266"/>
    <x v="0"/>
    <n v="110000"/>
    <n v="60000"/>
    <n v="0"/>
    <n v="0"/>
    <n v="0"/>
    <n v="0"/>
    <n v="0"/>
    <n v="0"/>
    <n v="0"/>
    <n v="0"/>
    <n v="0"/>
    <n v="30000"/>
    <m/>
    <m/>
    <m/>
    <n v="5"/>
    <x v="1"/>
    <x v="1"/>
    <n v="0"/>
    <x v="0"/>
    <n v="0"/>
    <n v="0"/>
    <n v="60000"/>
    <n v="30000"/>
    <n v="0"/>
    <n v="0"/>
  </r>
  <r>
    <s v="250923_EPA_IntroDays_Overasselt"/>
    <s v="table4"/>
    <n v="1070"/>
    <n v="664"/>
    <s v="t4p7"/>
    <s v="N05"/>
    <n v="273"/>
    <x v="1"/>
    <n v="110000"/>
    <n v="60000"/>
    <n v="0"/>
    <n v="0"/>
    <n v="30000"/>
    <n v="15000"/>
    <n v="17000"/>
    <n v="0"/>
    <n v="0"/>
    <n v="0"/>
    <n v="0"/>
    <n v="18000"/>
    <m/>
    <n v="32000"/>
    <m/>
    <n v="5"/>
    <x v="1"/>
    <x v="1"/>
    <n v="0"/>
    <x v="2"/>
    <n v="1"/>
    <n v="1"/>
    <n v="122000"/>
    <n v="18000"/>
    <n v="0"/>
    <n v="2"/>
  </r>
  <r>
    <s v="250923_EPA_IntroDays_Overasselt"/>
    <s v="table4"/>
    <n v="1115"/>
    <n v="664"/>
    <s v="t4p7"/>
    <s v="N05"/>
    <n v="280"/>
    <x v="2"/>
    <n v="110000"/>
    <n v="60000"/>
    <n v="0"/>
    <n v="0"/>
    <n v="0"/>
    <n v="15000"/>
    <n v="17000"/>
    <n v="24000"/>
    <n v="0"/>
    <n v="0"/>
    <n v="0"/>
    <n v="12000"/>
    <m/>
    <n v="1000"/>
    <m/>
    <n v="7"/>
    <x v="1"/>
    <x v="1"/>
    <n v="0"/>
    <x v="2"/>
    <n v="1"/>
    <n v="3"/>
    <n v="116000"/>
    <n v="12000"/>
    <n v="0"/>
    <n v="4"/>
  </r>
  <r>
    <s v="250923_EPA_IntroDays_Overasselt"/>
    <s v="table4"/>
    <n v="1140"/>
    <n v="664"/>
    <s v="t4p7"/>
    <s v="N05"/>
    <n v="284"/>
    <x v="3"/>
    <n v="110000"/>
    <n v="60000"/>
    <n v="0"/>
    <n v="0"/>
    <n v="0"/>
    <n v="15000"/>
    <n v="17000"/>
    <n v="1000"/>
    <n v="5000"/>
    <n v="0"/>
    <n v="4000"/>
    <n v="20000"/>
    <n v="4250"/>
    <m/>
    <m/>
    <n v="7"/>
    <x v="1"/>
    <x v="1"/>
    <n v="4000"/>
    <x v="2"/>
    <n v="1"/>
    <n v="0"/>
    <n v="102000"/>
    <n v="20000"/>
    <n v="0"/>
    <n v="1"/>
  </r>
  <r>
    <s v="250923_EPA_IntroDays_Overasselt"/>
    <s v="table4"/>
    <n v="1146"/>
    <n v="664"/>
    <s v="t4p7"/>
    <s v="D01"/>
    <n v="285"/>
    <x v="4"/>
    <n v="110000"/>
    <n v="60000"/>
    <n v="0"/>
    <n v="121000"/>
    <n v="130000"/>
    <n v="20000"/>
    <n v="17000"/>
    <n v="0"/>
    <n v="5500"/>
    <n v="0"/>
    <n v="4000"/>
    <n v="14500"/>
    <n v="5500"/>
    <m/>
    <m/>
    <n v="6"/>
    <x v="1"/>
    <x v="1"/>
    <n v="4000"/>
    <x v="3"/>
    <n v="0"/>
    <n v="0"/>
    <n v="236500"/>
    <n v="14500"/>
    <n v="0"/>
    <n v="0"/>
  </r>
  <r>
    <s v="250923_EPA_IntroDays_Overasselt"/>
    <s v="table5"/>
    <n v="1153"/>
    <n v="666"/>
    <s v="t5p1"/>
    <m/>
    <n v="289"/>
    <x v="0"/>
    <n v="75000"/>
    <n v="40000"/>
    <n v="0"/>
    <n v="0"/>
    <n v="0"/>
    <n v="0"/>
    <n v="0"/>
    <n v="0"/>
    <n v="0"/>
    <n v="0"/>
    <n v="0"/>
    <n v="5000"/>
    <m/>
    <m/>
    <m/>
    <n v="5"/>
    <x v="0"/>
    <x v="0"/>
    <n v="0"/>
    <x v="0"/>
    <n v="0"/>
    <n v="0"/>
    <n v="40000"/>
    <n v="5000"/>
    <n v="0"/>
    <n v="0"/>
  </r>
  <r>
    <s v="250923_EPA_IntroDays_Overasselt"/>
    <s v="table5"/>
    <n v="1182"/>
    <n v="666"/>
    <s v="t5p1"/>
    <s v="U10"/>
    <n v="291"/>
    <x v="1"/>
    <n v="75000"/>
    <n v="40000"/>
    <n v="0"/>
    <n v="0"/>
    <n v="0"/>
    <n v="20000"/>
    <n v="7000"/>
    <n v="1000"/>
    <n v="3500"/>
    <n v="12000"/>
    <n v="4000"/>
    <n v="-7500"/>
    <n v="3500"/>
    <n v="1000"/>
    <n v="0"/>
    <n v="0"/>
    <x v="0"/>
    <x v="0"/>
    <n v="16000"/>
    <x v="1"/>
    <n v="1"/>
    <n v="0"/>
    <n v="87500"/>
    <n v="-7500"/>
    <n v="0"/>
    <n v="1"/>
  </r>
  <r>
    <s v="250923_EPA_IntroDays_Overasselt"/>
    <s v="table5"/>
    <n v="1225"/>
    <n v="666"/>
    <s v="t5p1"/>
    <s v="U10"/>
    <n v="297"/>
    <x v="2"/>
    <n v="75000"/>
    <n v="40000"/>
    <n v="7500"/>
    <n v="0"/>
    <n v="0"/>
    <n v="20000"/>
    <n v="7000"/>
    <n v="0"/>
    <n v="0"/>
    <n v="24000"/>
    <n v="4000"/>
    <n v="-27500"/>
    <m/>
    <m/>
    <m/>
    <n v="-9"/>
    <x v="0"/>
    <x v="0"/>
    <n v="28000"/>
    <x v="1"/>
    <n v="0"/>
    <n v="0"/>
    <n v="95000"/>
    <n v="-27500"/>
    <n v="0"/>
    <n v="0"/>
  </r>
  <r>
    <s v="250923_EPA_IntroDays_Overasselt"/>
    <s v="table5"/>
    <n v="1246"/>
    <n v="666"/>
    <s v="t5p1"/>
    <s v="U10"/>
    <n v="301"/>
    <x v="3"/>
    <n v="75000"/>
    <n v="40000"/>
    <n v="27500"/>
    <n v="0"/>
    <n v="0"/>
    <n v="20000"/>
    <n v="7000"/>
    <n v="0"/>
    <n v="0"/>
    <n v="12000"/>
    <n v="4000"/>
    <n v="-35500"/>
    <m/>
    <m/>
    <m/>
    <n v="-15"/>
    <x v="0"/>
    <x v="0"/>
    <n v="16000"/>
    <x v="1"/>
    <n v="0"/>
    <n v="0"/>
    <n v="83000"/>
    <n v="-35500"/>
    <n v="0"/>
    <n v="0"/>
  </r>
  <r>
    <s v="250923_EPA_IntroDays_Overasselt"/>
    <s v="table5"/>
    <n v="1268"/>
    <n v="666"/>
    <s v="t5p1"/>
    <s v="U10"/>
    <n v="304"/>
    <x v="4"/>
    <n v="75000"/>
    <n v="40000"/>
    <n v="35000"/>
    <n v="0"/>
    <n v="0"/>
    <n v="20000"/>
    <n v="7000"/>
    <n v="0"/>
    <n v="0"/>
    <n v="8000"/>
    <n v="4000"/>
    <n v="-39500"/>
    <m/>
    <m/>
    <m/>
    <n v="-20"/>
    <x v="0"/>
    <x v="0"/>
    <n v="12000"/>
    <x v="1"/>
    <n v="0"/>
    <n v="0"/>
    <n v="79000"/>
    <n v="-39500"/>
    <n v="0"/>
    <n v="0"/>
  </r>
  <r>
    <s v="250923_EPA_IntroDays_Overasselt"/>
    <s v="table5"/>
    <n v="1152"/>
    <n v="667"/>
    <s v="t5p2"/>
    <m/>
    <n v="289"/>
    <x v="0"/>
    <n v="110000"/>
    <n v="60000"/>
    <n v="0"/>
    <n v="0"/>
    <n v="0"/>
    <n v="0"/>
    <n v="0"/>
    <n v="0"/>
    <n v="0"/>
    <n v="0"/>
    <n v="0"/>
    <n v="30000"/>
    <m/>
    <m/>
    <m/>
    <n v="5"/>
    <x v="1"/>
    <x v="1"/>
    <n v="0"/>
    <x v="0"/>
    <n v="0"/>
    <n v="0"/>
    <n v="60000"/>
    <n v="30000"/>
    <n v="0"/>
    <n v="0"/>
  </r>
  <r>
    <s v="250923_EPA_IntroDays_Overasselt"/>
    <s v="table5"/>
    <n v="1201"/>
    <n v="667"/>
    <s v="t5p2"/>
    <s v="N04"/>
    <n v="291"/>
    <x v="1"/>
    <n v="110000"/>
    <n v="60000"/>
    <n v="0"/>
    <n v="0"/>
    <n v="30000"/>
    <n v="15000"/>
    <n v="17000"/>
    <n v="0"/>
    <n v="10000"/>
    <n v="4000"/>
    <n v="4000"/>
    <n v="0"/>
    <n v="8500"/>
    <m/>
    <m/>
    <n v="4"/>
    <x v="1"/>
    <x v="1"/>
    <n v="8000"/>
    <x v="2"/>
    <n v="0"/>
    <n v="0"/>
    <n v="140000"/>
    <n v="0"/>
    <n v="0"/>
    <n v="0"/>
  </r>
  <r>
    <s v="250923_EPA_IntroDays_Overasselt"/>
    <s v="table5"/>
    <n v="1226"/>
    <n v="667"/>
    <s v="t5p2"/>
    <s v="N04"/>
    <n v="297"/>
    <x v="2"/>
    <n v="110000"/>
    <n v="60000"/>
    <n v="0"/>
    <n v="0"/>
    <n v="0"/>
    <n v="15000"/>
    <n v="17000"/>
    <n v="8000"/>
    <n v="0"/>
    <n v="8000"/>
    <n v="4000"/>
    <n v="-2000"/>
    <m/>
    <n v="8000"/>
    <m/>
    <n v="1"/>
    <x v="1"/>
    <x v="1"/>
    <n v="12000"/>
    <x v="2"/>
    <n v="1"/>
    <n v="1"/>
    <n v="112000"/>
    <n v="-2000"/>
    <n v="0"/>
    <n v="2"/>
  </r>
  <r>
    <s v="250923_EPA_IntroDays_Overasselt"/>
    <s v="table5"/>
    <n v="1251"/>
    <n v="667"/>
    <s v="t5p2"/>
    <s v="N04"/>
    <n v="301"/>
    <x v="3"/>
    <n v="110000"/>
    <n v="60000"/>
    <n v="2000"/>
    <n v="0"/>
    <n v="0"/>
    <n v="15000"/>
    <n v="17000"/>
    <n v="7000"/>
    <n v="0"/>
    <n v="0"/>
    <n v="4000"/>
    <n v="5000"/>
    <m/>
    <n v="7000"/>
    <m/>
    <n v="0"/>
    <x v="1"/>
    <x v="1"/>
    <n v="4000"/>
    <x v="2"/>
    <n v="1"/>
    <n v="1"/>
    <n v="103000"/>
    <n v="5000"/>
    <n v="0"/>
    <n v="2"/>
  </r>
  <r>
    <s v="250923_EPA_IntroDays_Overasselt"/>
    <s v="table5"/>
    <n v="1272"/>
    <n v="667"/>
    <s v="t5p2"/>
    <s v="N04"/>
    <n v="304"/>
    <x v="4"/>
    <n v="110000"/>
    <n v="60000"/>
    <n v="0"/>
    <n v="0"/>
    <n v="0"/>
    <n v="30000"/>
    <n v="17000"/>
    <n v="0"/>
    <n v="0"/>
    <n v="0"/>
    <n v="4000"/>
    <n v="4000"/>
    <m/>
    <m/>
    <m/>
    <n v="-1"/>
    <x v="1"/>
    <x v="1"/>
    <n v="4000"/>
    <x v="2"/>
    <n v="0"/>
    <n v="0"/>
    <n v="111000"/>
    <n v="4000"/>
    <n v="0"/>
    <n v="0"/>
  </r>
  <r>
    <s v="250923_EPA_IntroDays_Overasselt"/>
    <s v="table5"/>
    <n v="1186"/>
    <n v="668"/>
    <s v="t5p3"/>
    <m/>
    <n v="289"/>
    <x v="0"/>
    <n v="60000"/>
    <n v="30000"/>
    <n v="0"/>
    <n v="0"/>
    <n v="0"/>
    <n v="0"/>
    <n v="0"/>
    <n v="0"/>
    <n v="0"/>
    <n v="0"/>
    <n v="0"/>
    <n v="0"/>
    <m/>
    <m/>
    <m/>
    <n v="5"/>
    <x v="2"/>
    <x v="2"/>
    <n v="0"/>
    <x v="0"/>
    <n v="0"/>
    <n v="0"/>
    <n v="30000"/>
    <n v="0"/>
    <n v="0"/>
    <n v="0"/>
  </r>
  <r>
    <s v="250923_EPA_IntroDays_Overasselt"/>
    <s v="table5"/>
    <n v="1187"/>
    <n v="668"/>
    <s v="t5p3"/>
    <s v="U09"/>
    <n v="291"/>
    <x v="1"/>
    <n v="60000"/>
    <n v="30000"/>
    <n v="0"/>
    <n v="0"/>
    <n v="0"/>
    <n v="20000"/>
    <n v="7000"/>
    <n v="0"/>
    <n v="0"/>
    <n v="16000"/>
    <n v="4000"/>
    <n v="-17000"/>
    <m/>
    <m/>
    <m/>
    <n v="-2"/>
    <x v="2"/>
    <x v="2"/>
    <n v="20000"/>
    <x v="1"/>
    <n v="0"/>
    <n v="0"/>
    <n v="77000"/>
    <n v="-17000"/>
    <n v="0"/>
    <n v="0"/>
  </r>
  <r>
    <s v="250923_EPA_IntroDays_Overasselt"/>
    <s v="table5"/>
    <n v="1220"/>
    <n v="668"/>
    <s v="t5p3"/>
    <s v="U09"/>
    <n v="297"/>
    <x v="2"/>
    <n v="60000"/>
    <n v="30000"/>
    <n v="17000"/>
    <n v="0"/>
    <n v="0"/>
    <n v="20000"/>
    <n v="7000"/>
    <n v="0"/>
    <n v="0"/>
    <n v="24000"/>
    <n v="4000"/>
    <n v="-42000"/>
    <m/>
    <m/>
    <m/>
    <n v="-11"/>
    <x v="2"/>
    <x v="2"/>
    <n v="28000"/>
    <x v="1"/>
    <n v="0"/>
    <n v="0"/>
    <n v="85000"/>
    <n v="-42000"/>
    <n v="0"/>
    <n v="0"/>
  </r>
  <r>
    <s v="250923_EPA_IntroDays_Overasselt"/>
    <s v="table5"/>
    <n v="1250"/>
    <n v="668"/>
    <s v="t5p3"/>
    <s v="U09"/>
    <n v="301"/>
    <x v="3"/>
    <n v="60000"/>
    <n v="30000"/>
    <n v="30000"/>
    <n v="0"/>
    <n v="0"/>
    <n v="20000"/>
    <n v="7000"/>
    <n v="0"/>
    <n v="0"/>
    <n v="12000"/>
    <n v="4000"/>
    <n v="-55000"/>
    <m/>
    <m/>
    <m/>
    <n v="-17"/>
    <x v="2"/>
    <x v="2"/>
    <n v="16000"/>
    <x v="1"/>
    <n v="0"/>
    <n v="0"/>
    <n v="73000"/>
    <n v="-55000"/>
    <n v="0"/>
    <n v="0"/>
  </r>
  <r>
    <s v="250923_EPA_IntroDays_Overasselt"/>
    <s v="table5"/>
    <n v="1276"/>
    <n v="668"/>
    <s v="t5p3"/>
    <s v="U09"/>
    <n v="304"/>
    <x v="4"/>
    <n v="60000"/>
    <n v="30000"/>
    <n v="30000"/>
    <n v="0"/>
    <n v="0"/>
    <n v="20000"/>
    <n v="7000"/>
    <n v="0"/>
    <n v="0"/>
    <n v="8000"/>
    <n v="4000"/>
    <n v="-64000"/>
    <m/>
    <m/>
    <m/>
    <n v="-22"/>
    <x v="2"/>
    <x v="2"/>
    <n v="12000"/>
    <x v="1"/>
    <n v="0"/>
    <n v="0"/>
    <n v="69000"/>
    <n v="-64000"/>
    <n v="0"/>
    <n v="0"/>
  </r>
  <r>
    <s v="250923_EPA_IntroDays_Overasselt"/>
    <s v="table5"/>
    <n v="1159"/>
    <n v="669"/>
    <s v="t5p4"/>
    <m/>
    <n v="289"/>
    <x v="0"/>
    <n v="90000"/>
    <n v="50000"/>
    <n v="0"/>
    <n v="0"/>
    <n v="0"/>
    <n v="0"/>
    <n v="0"/>
    <n v="0"/>
    <n v="0"/>
    <n v="0"/>
    <n v="0"/>
    <n v="15000"/>
    <m/>
    <m/>
    <m/>
    <n v="5"/>
    <x v="3"/>
    <x v="3"/>
    <n v="0"/>
    <x v="0"/>
    <n v="0"/>
    <n v="0"/>
    <n v="50000"/>
    <n v="15000"/>
    <n v="0"/>
    <n v="0"/>
  </r>
  <r>
    <s v="250923_EPA_IntroDays_Overasselt"/>
    <s v="table5"/>
    <n v="1188"/>
    <n v="669"/>
    <s v="t5p4"/>
    <s v="N07"/>
    <n v="291"/>
    <x v="1"/>
    <n v="90000"/>
    <n v="50000"/>
    <n v="0"/>
    <n v="0"/>
    <n v="0"/>
    <n v="15000"/>
    <n v="10000"/>
    <n v="6000"/>
    <n v="4500"/>
    <n v="4000"/>
    <n v="4000"/>
    <n v="11500"/>
    <n v="4500"/>
    <n v="6000"/>
    <n v="0"/>
    <n v="2"/>
    <x v="3"/>
    <x v="3"/>
    <n v="8000"/>
    <x v="2"/>
    <n v="0"/>
    <n v="1"/>
    <n v="93500"/>
    <n v="11500"/>
    <n v="0"/>
    <n v="1"/>
  </r>
  <r>
    <s v="250923_EPA_IntroDays_Overasselt"/>
    <s v="table5"/>
    <n v="1224"/>
    <n v="669"/>
    <s v="t5p4"/>
    <s v="N07"/>
    <n v="297"/>
    <x v="2"/>
    <n v="90000"/>
    <n v="50000"/>
    <n v="0"/>
    <n v="0"/>
    <n v="0"/>
    <n v="15000"/>
    <n v="10000"/>
    <n v="8000"/>
    <n v="0"/>
    <n v="12000"/>
    <n v="4000"/>
    <n v="2500"/>
    <m/>
    <n v="8000"/>
    <m/>
    <n v="-2"/>
    <x v="3"/>
    <x v="3"/>
    <n v="16000"/>
    <x v="2"/>
    <n v="0"/>
    <n v="1"/>
    <n v="99000"/>
    <n v="2500"/>
    <n v="0"/>
    <n v="1"/>
  </r>
  <r>
    <s v="250923_EPA_IntroDays_Overasselt"/>
    <s v="table5"/>
    <n v="1247"/>
    <n v="669"/>
    <s v="t5p4"/>
    <s v="N07"/>
    <n v="301"/>
    <x v="3"/>
    <n v="90000"/>
    <n v="50000"/>
    <n v="0"/>
    <n v="0"/>
    <n v="0"/>
    <n v="15000"/>
    <n v="10000"/>
    <n v="8000"/>
    <n v="0"/>
    <n v="0"/>
    <n v="4000"/>
    <n v="5500"/>
    <m/>
    <n v="8000"/>
    <m/>
    <n v="-2"/>
    <x v="3"/>
    <x v="3"/>
    <n v="4000"/>
    <x v="2"/>
    <n v="1"/>
    <n v="1"/>
    <n v="87000"/>
    <n v="5500"/>
    <n v="0"/>
    <n v="2"/>
  </r>
  <r>
    <s v="250923_EPA_IntroDays_Overasselt"/>
    <s v="table5"/>
    <n v="1265"/>
    <n v="669"/>
    <s v="t5p4"/>
    <s v="N07"/>
    <n v="304"/>
    <x v="4"/>
    <n v="90000"/>
    <n v="50000"/>
    <n v="0"/>
    <n v="0"/>
    <n v="0"/>
    <n v="30000"/>
    <n v="10000"/>
    <n v="0"/>
    <n v="0"/>
    <n v="0"/>
    <n v="4000"/>
    <n v="1500"/>
    <m/>
    <m/>
    <m/>
    <n v="-3"/>
    <x v="3"/>
    <x v="3"/>
    <n v="4000"/>
    <x v="2"/>
    <n v="0"/>
    <n v="0"/>
    <n v="94000"/>
    <n v="1500"/>
    <n v="0"/>
    <n v="0"/>
  </r>
  <r>
    <s v="250923_EPA_IntroDays_Overasselt"/>
    <s v="table5"/>
    <n v="1155"/>
    <n v="670"/>
    <s v="t5p5"/>
    <m/>
    <n v="289"/>
    <x v="0"/>
    <n v="130000"/>
    <n v="75000"/>
    <n v="0"/>
    <n v="0"/>
    <n v="0"/>
    <n v="0"/>
    <n v="0"/>
    <n v="0"/>
    <n v="0"/>
    <n v="0"/>
    <n v="0"/>
    <n v="50000"/>
    <m/>
    <m/>
    <m/>
    <n v="5"/>
    <x v="4"/>
    <x v="4"/>
    <n v="0"/>
    <x v="0"/>
    <n v="0"/>
    <n v="0"/>
    <n v="75000"/>
    <n v="50000"/>
    <n v="0"/>
    <n v="0"/>
  </r>
  <r>
    <s v="250923_EPA_IntroDays_Overasselt"/>
    <s v="table5"/>
    <n v="1185"/>
    <n v="670"/>
    <s v="t5p5"/>
    <s v="D05"/>
    <n v="291"/>
    <x v="1"/>
    <n v="130000"/>
    <n v="75000"/>
    <n v="0"/>
    <n v="0"/>
    <n v="0"/>
    <n v="20000"/>
    <n v="16000"/>
    <n v="8000"/>
    <n v="8000"/>
    <n v="0"/>
    <n v="4000"/>
    <n v="49000"/>
    <n v="8000"/>
    <n v="8000"/>
    <n v="0"/>
    <n v="4"/>
    <x v="4"/>
    <x v="4"/>
    <n v="4000"/>
    <x v="3"/>
    <n v="1"/>
    <n v="1"/>
    <n v="131000"/>
    <n v="49000"/>
    <n v="0"/>
    <n v="2"/>
  </r>
  <r>
    <s v="250923_EPA_IntroDays_Overasselt"/>
    <s v="table5"/>
    <n v="1221"/>
    <n v="670"/>
    <s v="t5p5"/>
    <s v="D05"/>
    <n v="297"/>
    <x v="2"/>
    <n v="130000"/>
    <n v="75000"/>
    <n v="0"/>
    <n v="0"/>
    <n v="0"/>
    <n v="20000"/>
    <n v="16000"/>
    <n v="14000"/>
    <n v="7200"/>
    <n v="12000"/>
    <n v="4000"/>
    <n v="30800"/>
    <n v="7200"/>
    <n v="14000"/>
    <n v="0"/>
    <n v="2"/>
    <x v="4"/>
    <x v="4"/>
    <n v="16000"/>
    <x v="3"/>
    <n v="0"/>
    <n v="2"/>
    <n v="148200"/>
    <n v="30800"/>
    <n v="0"/>
    <n v="2"/>
  </r>
  <r>
    <s v="250923_EPA_IntroDays_Overasselt"/>
    <s v="table5"/>
    <n v="1248"/>
    <n v="670"/>
    <s v="t5p5"/>
    <s v="D05"/>
    <n v="301"/>
    <x v="3"/>
    <n v="130000"/>
    <n v="75000"/>
    <n v="0"/>
    <n v="0"/>
    <n v="0"/>
    <n v="20000"/>
    <n v="16000"/>
    <n v="11000"/>
    <n v="6500"/>
    <n v="0"/>
    <n v="4000"/>
    <n v="28300"/>
    <n v="6500"/>
    <n v="11000"/>
    <n v="0"/>
    <n v="2"/>
    <x v="4"/>
    <x v="4"/>
    <n v="4000"/>
    <x v="3"/>
    <n v="2"/>
    <n v="1"/>
    <n v="132500"/>
    <n v="28300"/>
    <n v="0"/>
    <n v="3"/>
  </r>
  <r>
    <s v="250923_EPA_IntroDays_Overasselt"/>
    <s v="table5"/>
    <n v="1267"/>
    <n v="670"/>
    <s v="t5p5"/>
    <s v="D05"/>
    <n v="304"/>
    <x v="4"/>
    <n v="130000"/>
    <n v="75000"/>
    <n v="0"/>
    <n v="0"/>
    <n v="0"/>
    <n v="20000"/>
    <n v="16000"/>
    <n v="0"/>
    <n v="0"/>
    <n v="0"/>
    <n v="4000"/>
    <n v="43300"/>
    <m/>
    <m/>
    <m/>
    <n v="1"/>
    <x v="4"/>
    <x v="4"/>
    <n v="4000"/>
    <x v="3"/>
    <n v="0"/>
    <n v="0"/>
    <n v="115000"/>
    <n v="43300"/>
    <n v="0"/>
    <n v="0"/>
  </r>
  <r>
    <s v="250923_EPA_IntroDays_Overasselt"/>
    <s v="table5"/>
    <n v="1171"/>
    <n v="671"/>
    <s v="t5p6"/>
    <m/>
    <n v="289"/>
    <x v="0"/>
    <n v="190000"/>
    <n v="115000"/>
    <n v="0"/>
    <n v="0"/>
    <n v="0"/>
    <n v="0"/>
    <n v="0"/>
    <n v="0"/>
    <n v="0"/>
    <n v="0"/>
    <n v="0"/>
    <n v="80000"/>
    <m/>
    <m/>
    <m/>
    <n v="5"/>
    <x v="5"/>
    <x v="5"/>
    <n v="0"/>
    <x v="0"/>
    <n v="0"/>
    <n v="0"/>
    <n v="115000"/>
    <n v="80000"/>
    <n v="0"/>
    <n v="0"/>
  </r>
  <r>
    <s v="250923_EPA_IntroDays_Overasselt"/>
    <s v="table5"/>
    <n v="1181"/>
    <n v="671"/>
    <s v="t5p6"/>
    <s v="D01"/>
    <n v="291"/>
    <x v="1"/>
    <n v="190000"/>
    <n v="115000"/>
    <n v="0"/>
    <n v="0"/>
    <n v="0"/>
    <n v="20000"/>
    <n v="30000"/>
    <n v="32000"/>
    <n v="15500"/>
    <n v="0"/>
    <n v="4000"/>
    <n v="53500"/>
    <n v="15500"/>
    <m/>
    <m/>
    <n v="7"/>
    <x v="5"/>
    <x v="5"/>
    <n v="4000"/>
    <x v="3"/>
    <n v="2"/>
    <n v="4"/>
    <n v="216500"/>
    <n v="53500"/>
    <n v="0"/>
    <n v="6"/>
  </r>
  <r>
    <s v="250923_EPA_IntroDays_Overasselt"/>
    <s v="table5"/>
    <n v="1223"/>
    <n v="671"/>
    <s v="t5p6"/>
    <s v="D01"/>
    <n v="297"/>
    <x v="2"/>
    <n v="190000"/>
    <n v="115000"/>
    <n v="0"/>
    <n v="0"/>
    <n v="0"/>
    <n v="20000"/>
    <n v="30000"/>
    <n v="0"/>
    <n v="15000"/>
    <n v="12000"/>
    <n v="4000"/>
    <n v="47500"/>
    <n v="15000"/>
    <m/>
    <m/>
    <n v="4"/>
    <x v="5"/>
    <x v="5"/>
    <n v="16000"/>
    <x v="3"/>
    <n v="0"/>
    <n v="0"/>
    <n v="196000"/>
    <n v="47500"/>
    <n v="0"/>
    <n v="0"/>
  </r>
  <r>
    <s v="250923_EPA_IntroDays_Overasselt"/>
    <s v="table5"/>
    <n v="1245"/>
    <n v="671"/>
    <s v="t5p6"/>
    <s v="D01"/>
    <n v="301"/>
    <x v="3"/>
    <n v="190000"/>
    <n v="115000"/>
    <n v="0"/>
    <n v="0"/>
    <n v="0"/>
    <n v="20000"/>
    <n v="30000"/>
    <n v="1000"/>
    <n v="7500"/>
    <n v="0"/>
    <n v="4000"/>
    <n v="60000"/>
    <n v="7500"/>
    <m/>
    <m/>
    <n v="4"/>
    <x v="5"/>
    <x v="5"/>
    <n v="4000"/>
    <x v="3"/>
    <n v="1"/>
    <n v="0"/>
    <n v="177500"/>
    <n v="60000"/>
    <n v="0"/>
    <n v="1"/>
  </r>
  <r>
    <s v="250923_EPA_IntroDays_Overasselt"/>
    <s v="table5"/>
    <n v="1266"/>
    <n v="671"/>
    <s v="t5p6"/>
    <s v="N03"/>
    <n v="304"/>
    <x v="4"/>
    <n v="190000"/>
    <n v="115000"/>
    <n v="0"/>
    <n v="90000"/>
    <n v="125000"/>
    <n v="30000"/>
    <n v="30000"/>
    <n v="14000"/>
    <n v="0"/>
    <n v="0"/>
    <n v="0"/>
    <n v="26000"/>
    <m/>
    <n v="32000"/>
    <m/>
    <n v="6"/>
    <x v="5"/>
    <x v="5"/>
    <n v="0"/>
    <x v="2"/>
    <n v="2"/>
    <n v="4"/>
    <n v="314000"/>
    <n v="26000"/>
    <n v="0"/>
    <n v="6"/>
  </r>
  <r>
    <s v="250923_EPA_IntroDays_Overasselt"/>
    <s v="table5"/>
    <n v="1156"/>
    <n v="672"/>
    <s v="t5p7"/>
    <m/>
    <n v="289"/>
    <x v="0"/>
    <n v="110000"/>
    <n v="60000"/>
    <n v="0"/>
    <n v="0"/>
    <n v="0"/>
    <n v="0"/>
    <n v="0"/>
    <n v="0"/>
    <n v="0"/>
    <n v="0"/>
    <n v="0"/>
    <n v="30000"/>
    <m/>
    <m/>
    <m/>
    <n v="5"/>
    <x v="1"/>
    <x v="1"/>
    <n v="0"/>
    <x v="0"/>
    <n v="0"/>
    <n v="0"/>
    <n v="60000"/>
    <n v="30000"/>
    <n v="0"/>
    <n v="0"/>
  </r>
  <r>
    <s v="250923_EPA_IntroDays_Overasselt"/>
    <s v="table5"/>
    <n v="1183"/>
    <n v="672"/>
    <s v="t5p7"/>
    <s v="N05"/>
    <n v="291"/>
    <x v="1"/>
    <n v="110000"/>
    <n v="60000"/>
    <n v="0"/>
    <n v="0"/>
    <n v="100000"/>
    <n v="15000"/>
    <n v="17000"/>
    <n v="0"/>
    <n v="0"/>
    <n v="4000"/>
    <n v="4000"/>
    <n v="-60000"/>
    <m/>
    <m/>
    <m/>
    <n v="2"/>
    <x v="1"/>
    <x v="1"/>
    <n v="8000"/>
    <x v="2"/>
    <n v="0"/>
    <n v="0"/>
    <n v="200000"/>
    <n v="-60000"/>
    <n v="0"/>
    <n v="0"/>
  </r>
  <r>
    <s v="250923_EPA_IntroDays_Overasselt"/>
    <s v="table5"/>
    <n v="1222"/>
    <n v="672"/>
    <s v="t5p7"/>
    <s v="N05"/>
    <n v="297"/>
    <x v="2"/>
    <n v="110000"/>
    <n v="60000"/>
    <n v="50000"/>
    <n v="0"/>
    <n v="0"/>
    <n v="15000"/>
    <n v="17000"/>
    <n v="0"/>
    <n v="0"/>
    <n v="12000"/>
    <n v="4000"/>
    <n v="-58000"/>
    <m/>
    <m/>
    <m/>
    <n v="-4"/>
    <x v="1"/>
    <x v="1"/>
    <n v="16000"/>
    <x v="2"/>
    <n v="0"/>
    <n v="0"/>
    <n v="108000"/>
    <n v="-58000"/>
    <n v="0"/>
    <n v="0"/>
  </r>
  <r>
    <s v="250923_EPA_IntroDays_Overasselt"/>
    <s v="table5"/>
    <n v="1249"/>
    <n v="672"/>
    <s v="t5p7"/>
    <s v="N05"/>
    <n v="301"/>
    <x v="3"/>
    <n v="110000"/>
    <n v="60000"/>
    <n v="50000"/>
    <n v="0"/>
    <n v="0"/>
    <n v="15000"/>
    <n v="17000"/>
    <n v="0"/>
    <n v="0"/>
    <n v="0"/>
    <n v="4000"/>
    <n v="-44000"/>
    <m/>
    <m/>
    <m/>
    <n v="-6"/>
    <x v="1"/>
    <x v="1"/>
    <n v="4000"/>
    <x v="2"/>
    <n v="0"/>
    <n v="0"/>
    <n v="96000"/>
    <n v="-44000"/>
    <n v="0"/>
    <n v="0"/>
  </r>
  <r>
    <s v="250923_EPA_IntroDays_Overasselt"/>
    <s v="table5"/>
    <n v="1264"/>
    <n v="672"/>
    <s v="t5p7"/>
    <s v="N05"/>
    <n v="304"/>
    <x v="4"/>
    <n v="110000"/>
    <n v="60000"/>
    <n v="44000"/>
    <n v="0"/>
    <n v="0"/>
    <n v="30000"/>
    <n v="17000"/>
    <n v="0"/>
    <n v="0"/>
    <n v="0"/>
    <n v="4000"/>
    <n v="-45000"/>
    <m/>
    <m/>
    <m/>
    <n v="-8"/>
    <x v="1"/>
    <x v="1"/>
    <n v="4000"/>
    <x v="2"/>
    <n v="0"/>
    <n v="0"/>
    <n v="111000"/>
    <n v="-45000"/>
    <n v="0"/>
    <n v="0"/>
  </r>
  <r>
    <s v="250923_EPA_IntroDays_Overasselt"/>
    <s v="table6"/>
    <n v="1162"/>
    <n v="674"/>
    <s v="t6p1"/>
    <m/>
    <n v="288"/>
    <x v="0"/>
    <n v="75000"/>
    <n v="40000"/>
    <n v="0"/>
    <n v="0"/>
    <n v="0"/>
    <n v="0"/>
    <n v="0"/>
    <n v="0"/>
    <n v="0"/>
    <n v="0"/>
    <n v="0"/>
    <n v="5000"/>
    <m/>
    <m/>
    <m/>
    <n v="5"/>
    <x v="0"/>
    <x v="0"/>
    <n v="0"/>
    <x v="0"/>
    <n v="0"/>
    <n v="0"/>
    <n v="40000"/>
    <n v="5000"/>
    <n v="0"/>
    <n v="0"/>
  </r>
  <r>
    <s v="250923_EPA_IntroDays_Overasselt"/>
    <s v="table6"/>
    <n v="1190"/>
    <n v="674"/>
    <s v="t6p1"/>
    <s v="N07"/>
    <n v="292"/>
    <x v="1"/>
    <n v="75000"/>
    <n v="40000"/>
    <n v="0"/>
    <n v="0"/>
    <n v="0"/>
    <n v="15000"/>
    <n v="10000"/>
    <n v="0"/>
    <n v="7000"/>
    <n v="0"/>
    <n v="4000"/>
    <n v="4000"/>
    <n v="7000"/>
    <m/>
    <m/>
    <n v="5"/>
    <x v="0"/>
    <x v="0"/>
    <n v="4000"/>
    <x v="2"/>
    <n v="0"/>
    <n v="0"/>
    <n v="76000"/>
    <n v="4000"/>
    <n v="0"/>
    <n v="0"/>
  </r>
  <r>
    <s v="250923_EPA_IntroDays_Overasselt"/>
    <s v="table6"/>
    <n v="1206"/>
    <n v="674"/>
    <s v="t6p1"/>
    <s v="N07"/>
    <n v="294"/>
    <x v="2"/>
    <n v="75000"/>
    <n v="40000"/>
    <n v="0"/>
    <n v="0"/>
    <n v="0"/>
    <n v="15000"/>
    <n v="10000"/>
    <n v="1000"/>
    <n v="0"/>
    <n v="0"/>
    <n v="0"/>
    <n v="13000"/>
    <m/>
    <n v="1000"/>
    <m/>
    <n v="5"/>
    <x v="0"/>
    <x v="0"/>
    <n v="0"/>
    <x v="2"/>
    <n v="1"/>
    <n v="0"/>
    <n v="66000"/>
    <n v="13000"/>
    <n v="0"/>
    <n v="1"/>
  </r>
  <r>
    <s v="250923_EPA_IntroDays_Overasselt"/>
    <s v="table6"/>
    <n v="1229"/>
    <n v="674"/>
    <s v="t6p1"/>
    <s v="N07"/>
    <n v="298"/>
    <x v="3"/>
    <n v="75000"/>
    <n v="40000"/>
    <n v="0"/>
    <n v="0"/>
    <n v="0"/>
    <n v="15000"/>
    <n v="10000"/>
    <n v="14000"/>
    <n v="0"/>
    <n v="8000"/>
    <n v="0"/>
    <n v="1000"/>
    <m/>
    <n v="14000"/>
    <m/>
    <n v="4"/>
    <x v="0"/>
    <x v="0"/>
    <n v="8000"/>
    <x v="2"/>
    <n v="0"/>
    <n v="2"/>
    <n v="87000"/>
    <n v="1000"/>
    <n v="0"/>
    <n v="2"/>
  </r>
  <r>
    <s v="250923_EPA_IntroDays_Overasselt"/>
    <s v="table6"/>
    <n v="1270"/>
    <n v="674"/>
    <s v="t6p1"/>
    <s v="N07"/>
    <n v="305"/>
    <x v="4"/>
    <n v="75000"/>
    <n v="40000"/>
    <n v="0"/>
    <n v="0"/>
    <n v="0"/>
    <n v="30000"/>
    <n v="10000"/>
    <n v="0"/>
    <n v="0"/>
    <n v="0"/>
    <n v="0"/>
    <n v="-4000"/>
    <m/>
    <m/>
    <m/>
    <n v="4"/>
    <x v="0"/>
    <x v="0"/>
    <n v="0"/>
    <x v="2"/>
    <n v="0"/>
    <n v="0"/>
    <n v="80000"/>
    <n v="-4000"/>
    <n v="0"/>
    <n v="0"/>
  </r>
  <r>
    <s v="250923_EPA_IntroDays_Overasselt"/>
    <s v="table6"/>
    <n v="1163"/>
    <n v="675"/>
    <s v="t6p2"/>
    <m/>
    <n v="288"/>
    <x v="0"/>
    <n v="110000"/>
    <n v="60000"/>
    <n v="0"/>
    <n v="0"/>
    <n v="0"/>
    <n v="0"/>
    <n v="0"/>
    <n v="0"/>
    <n v="0"/>
    <n v="0"/>
    <n v="0"/>
    <n v="30000"/>
    <m/>
    <m/>
    <m/>
    <n v="5"/>
    <x v="1"/>
    <x v="1"/>
    <n v="0"/>
    <x v="0"/>
    <n v="0"/>
    <n v="0"/>
    <n v="60000"/>
    <n v="30000"/>
    <n v="0"/>
    <n v="0"/>
  </r>
  <r>
    <s v="250923_EPA_IntroDays_Overasselt"/>
    <s v="table6"/>
    <n v="1193"/>
    <n v="675"/>
    <s v="t6p2"/>
    <s v="N04"/>
    <n v="292"/>
    <x v="1"/>
    <n v="110000"/>
    <n v="60000"/>
    <n v="0"/>
    <n v="0"/>
    <n v="30000"/>
    <n v="15000"/>
    <n v="17000"/>
    <n v="8000"/>
    <n v="4000"/>
    <n v="0"/>
    <n v="0"/>
    <n v="6000"/>
    <n v="3400"/>
    <n v="8000"/>
    <n v="600"/>
    <n v="6"/>
    <x v="1"/>
    <x v="1"/>
    <n v="0"/>
    <x v="2"/>
    <n v="1"/>
    <n v="1"/>
    <n v="134000"/>
    <n v="6000"/>
    <n v="0"/>
    <n v="2"/>
  </r>
  <r>
    <s v="250923_EPA_IntroDays_Overasselt"/>
    <s v="table6"/>
    <n v="1205"/>
    <n v="675"/>
    <s v="t6p2"/>
    <s v="N04"/>
    <n v="294"/>
    <x v="2"/>
    <n v="110000"/>
    <n v="60000"/>
    <n v="0"/>
    <n v="0"/>
    <n v="0"/>
    <n v="15000"/>
    <n v="17000"/>
    <n v="7000"/>
    <n v="0"/>
    <n v="0"/>
    <n v="0"/>
    <n v="17000"/>
    <m/>
    <n v="7000"/>
    <m/>
    <n v="7"/>
    <x v="1"/>
    <x v="1"/>
    <n v="0"/>
    <x v="2"/>
    <n v="1"/>
    <n v="1"/>
    <n v="99000"/>
    <n v="17000"/>
    <n v="0"/>
    <n v="2"/>
  </r>
  <r>
    <s v="250923_EPA_IntroDays_Overasselt"/>
    <s v="table6"/>
    <n v="1230"/>
    <n v="675"/>
    <s v="t6p2"/>
    <s v="N04"/>
    <n v="298"/>
    <x v="3"/>
    <n v="110000"/>
    <n v="60000"/>
    <n v="0"/>
    <n v="0"/>
    <n v="0"/>
    <n v="15000"/>
    <n v="17000"/>
    <n v="18000"/>
    <n v="0"/>
    <n v="4000"/>
    <n v="0"/>
    <n v="13000"/>
    <m/>
    <n v="18000"/>
    <m/>
    <n v="6"/>
    <x v="1"/>
    <x v="1"/>
    <n v="4000"/>
    <x v="2"/>
    <n v="1"/>
    <n v="2"/>
    <n v="114000"/>
    <n v="13000"/>
    <n v="0"/>
    <n v="3"/>
  </r>
  <r>
    <s v="250923_EPA_IntroDays_Overasselt"/>
    <s v="table6"/>
    <n v="1271"/>
    <n v="675"/>
    <s v="t6p2"/>
    <s v="N04"/>
    <n v="305"/>
    <x v="4"/>
    <n v="110000"/>
    <n v="60000"/>
    <n v="0"/>
    <n v="0"/>
    <n v="0"/>
    <n v="30000"/>
    <n v="17000"/>
    <n v="0"/>
    <n v="10000"/>
    <n v="0"/>
    <n v="0"/>
    <n v="6000"/>
    <n v="8500"/>
    <m/>
    <m/>
    <n v="8"/>
    <x v="1"/>
    <x v="1"/>
    <n v="0"/>
    <x v="2"/>
    <n v="0"/>
    <n v="0"/>
    <n v="117000"/>
    <n v="6000"/>
    <n v="0"/>
    <n v="0"/>
  </r>
  <r>
    <s v="250923_EPA_IntroDays_Overasselt"/>
    <s v="table6"/>
    <n v="1160"/>
    <n v="676"/>
    <s v="t6p3"/>
    <m/>
    <n v="288"/>
    <x v="0"/>
    <n v="60000"/>
    <n v="30000"/>
    <n v="0"/>
    <n v="0"/>
    <n v="0"/>
    <n v="0"/>
    <n v="0"/>
    <n v="0"/>
    <n v="0"/>
    <n v="0"/>
    <n v="0"/>
    <n v="0"/>
    <m/>
    <m/>
    <m/>
    <n v="5"/>
    <x v="2"/>
    <x v="2"/>
    <n v="0"/>
    <x v="0"/>
    <n v="0"/>
    <n v="0"/>
    <n v="30000"/>
    <n v="0"/>
    <n v="0"/>
    <n v="0"/>
  </r>
  <r>
    <s v="250923_EPA_IntroDays_Overasselt"/>
    <s v="table6"/>
    <n v="1184"/>
    <n v="676"/>
    <s v="t6p3"/>
    <s v="D10"/>
    <n v="292"/>
    <x v="1"/>
    <n v="60000"/>
    <n v="30000"/>
    <n v="0"/>
    <n v="0"/>
    <n v="0"/>
    <n v="20000"/>
    <n v="8000"/>
    <n v="0"/>
    <n v="1600"/>
    <n v="0"/>
    <n v="4000"/>
    <n v="-3600"/>
    <n v="1600"/>
    <m/>
    <m/>
    <n v="3"/>
    <x v="2"/>
    <x v="2"/>
    <n v="4000"/>
    <x v="3"/>
    <n v="0"/>
    <n v="0"/>
    <n v="63600"/>
    <n v="-3600"/>
    <n v="0"/>
    <n v="0"/>
  </r>
  <r>
    <s v="250923_EPA_IntroDays_Overasselt"/>
    <s v="table6"/>
    <n v="1207"/>
    <n v="676"/>
    <s v="t6p3"/>
    <s v="D10"/>
    <n v="294"/>
    <x v="2"/>
    <n v="60000"/>
    <n v="30000"/>
    <n v="3600"/>
    <n v="0"/>
    <n v="0"/>
    <n v="20000"/>
    <n v="8000"/>
    <n v="0"/>
    <n v="0"/>
    <n v="0"/>
    <n v="4000"/>
    <n v="-5600"/>
    <m/>
    <m/>
    <m/>
    <n v="1"/>
    <x v="2"/>
    <x v="2"/>
    <n v="4000"/>
    <x v="3"/>
    <n v="0"/>
    <n v="0"/>
    <n v="62000"/>
    <n v="-5600"/>
    <n v="0"/>
    <n v="0"/>
  </r>
  <r>
    <s v="250923_EPA_IntroDays_Overasselt"/>
    <s v="table6"/>
    <n v="1227"/>
    <n v="676"/>
    <s v="t6p3"/>
    <s v="D10"/>
    <n v="298"/>
    <x v="3"/>
    <n v="60000"/>
    <n v="30000"/>
    <n v="5600"/>
    <n v="16000"/>
    <n v="0"/>
    <n v="20000"/>
    <n v="8000"/>
    <n v="6000"/>
    <n v="2000"/>
    <n v="8000"/>
    <n v="4000"/>
    <n v="-7600"/>
    <n v="2000"/>
    <n v="6000"/>
    <n v="0"/>
    <n v="-4"/>
    <x v="2"/>
    <x v="2"/>
    <n v="12000"/>
    <x v="3"/>
    <n v="0"/>
    <n v="1"/>
    <n v="78000"/>
    <n v="-7600"/>
    <n v="0"/>
    <n v="1"/>
  </r>
  <r>
    <s v="250923_EPA_IntroDays_Overasselt"/>
    <s v="table6"/>
    <n v="1275"/>
    <n v="676"/>
    <s v="t6p3"/>
    <s v="D10"/>
    <n v="305"/>
    <x v="4"/>
    <n v="60000"/>
    <n v="30000"/>
    <n v="7600"/>
    <n v="20000"/>
    <n v="0"/>
    <n v="20000"/>
    <n v="8000"/>
    <n v="9000"/>
    <n v="0"/>
    <n v="0"/>
    <n v="0"/>
    <n v="5400"/>
    <m/>
    <n v="9000"/>
    <m/>
    <n v="-6"/>
    <x v="2"/>
    <x v="2"/>
    <n v="0"/>
    <x v="3"/>
    <n v="1"/>
    <n v="1"/>
    <n v="67000"/>
    <n v="5400"/>
    <n v="0"/>
    <n v="2"/>
  </r>
  <r>
    <s v="250923_EPA_IntroDays_Overasselt"/>
    <s v="table6"/>
    <n v="1161"/>
    <n v="677"/>
    <s v="t6p4"/>
    <m/>
    <n v="288"/>
    <x v="0"/>
    <n v="90000"/>
    <n v="50000"/>
    <n v="0"/>
    <n v="0"/>
    <n v="0"/>
    <n v="0"/>
    <n v="0"/>
    <n v="0"/>
    <n v="0"/>
    <n v="0"/>
    <n v="0"/>
    <n v="15000"/>
    <m/>
    <m/>
    <m/>
    <n v="5"/>
    <x v="3"/>
    <x v="3"/>
    <n v="0"/>
    <x v="0"/>
    <n v="0"/>
    <n v="0"/>
    <n v="50000"/>
    <n v="15000"/>
    <n v="0"/>
    <n v="0"/>
  </r>
  <r>
    <s v="250923_EPA_IntroDays_Overasselt"/>
    <s v="table6"/>
    <n v="1192"/>
    <n v="677"/>
    <s v="t6p4"/>
    <s v="U04"/>
    <n v="292"/>
    <x v="1"/>
    <n v="90000"/>
    <n v="50000"/>
    <n v="0"/>
    <n v="0"/>
    <n v="0"/>
    <n v="20000"/>
    <n v="12500"/>
    <n v="9000"/>
    <n v="2500"/>
    <n v="0"/>
    <n v="0"/>
    <n v="11000"/>
    <n v="2500"/>
    <m/>
    <m/>
    <n v="4"/>
    <x v="3"/>
    <x v="3"/>
    <n v="0"/>
    <x v="1"/>
    <n v="2"/>
    <n v="1"/>
    <n v="94000"/>
    <n v="11000"/>
    <n v="0"/>
    <n v="3"/>
  </r>
  <r>
    <s v="250923_EPA_IntroDays_Overasselt"/>
    <s v="table6"/>
    <n v="1203"/>
    <n v="677"/>
    <s v="t6p4"/>
    <s v="U04"/>
    <n v="294"/>
    <x v="2"/>
    <n v="90000"/>
    <n v="50000"/>
    <n v="0"/>
    <n v="0"/>
    <n v="0"/>
    <n v="20000"/>
    <n v="12500"/>
    <n v="0"/>
    <n v="4500"/>
    <n v="12000"/>
    <n v="0"/>
    <n v="2000"/>
    <n v="4500"/>
    <m/>
    <m/>
    <n v="1"/>
    <x v="3"/>
    <x v="3"/>
    <n v="12000"/>
    <x v="1"/>
    <n v="0"/>
    <n v="0"/>
    <n v="99000"/>
    <n v="2000"/>
    <n v="0"/>
    <n v="0"/>
  </r>
  <r>
    <s v="250923_EPA_IntroDays_Overasselt"/>
    <s v="table6"/>
    <n v="1232"/>
    <n v="677"/>
    <s v="t6p4"/>
    <s v="U04"/>
    <n v="298"/>
    <x v="3"/>
    <n v="90000"/>
    <n v="50000"/>
    <n v="0"/>
    <n v="0"/>
    <n v="0"/>
    <n v="20000"/>
    <n v="12500"/>
    <n v="0"/>
    <n v="0"/>
    <n v="20000"/>
    <n v="4000"/>
    <n v="-14500"/>
    <m/>
    <m/>
    <m/>
    <n v="-6"/>
    <x v="3"/>
    <x v="3"/>
    <n v="24000"/>
    <x v="1"/>
    <n v="0"/>
    <n v="0"/>
    <n v="106500"/>
    <n v="-14500"/>
    <n v="0"/>
    <n v="0"/>
  </r>
  <r>
    <s v="250923_EPA_IntroDays_Overasselt"/>
    <s v="table6"/>
    <n v="1274"/>
    <n v="677"/>
    <s v="t6p4"/>
    <s v="N06"/>
    <n v="305"/>
    <x v="4"/>
    <n v="90000"/>
    <n v="50000"/>
    <n v="14500"/>
    <n v="37500"/>
    <n v="0"/>
    <n v="30000"/>
    <n v="11100"/>
    <n v="14000"/>
    <n v="2500"/>
    <n v="0"/>
    <n v="0"/>
    <n v="5400"/>
    <n v="2775"/>
    <n v="15000"/>
    <n v="-1275"/>
    <n v="-7"/>
    <x v="3"/>
    <x v="3"/>
    <n v="0"/>
    <x v="2"/>
    <n v="2"/>
    <n v="2"/>
    <n v="107600"/>
    <n v="5400"/>
    <n v="0"/>
    <n v="4"/>
  </r>
  <r>
    <s v="250923_EPA_IntroDays_Overasselt"/>
    <s v="table6"/>
    <n v="1157"/>
    <n v="678"/>
    <s v="t6p5"/>
    <m/>
    <n v="288"/>
    <x v="0"/>
    <n v="130000"/>
    <n v="75000"/>
    <n v="0"/>
    <n v="0"/>
    <n v="0"/>
    <n v="0"/>
    <n v="0"/>
    <n v="0"/>
    <n v="0"/>
    <n v="0"/>
    <n v="0"/>
    <n v="50000"/>
    <m/>
    <m/>
    <m/>
    <n v="5"/>
    <x v="4"/>
    <x v="4"/>
    <n v="0"/>
    <x v="0"/>
    <n v="0"/>
    <n v="0"/>
    <n v="75000"/>
    <n v="50000"/>
    <n v="0"/>
    <n v="0"/>
  </r>
  <r>
    <s v="250923_EPA_IntroDays_Overasselt"/>
    <s v="table6"/>
    <n v="1191"/>
    <n v="678"/>
    <s v="t6p5"/>
    <s v="N05"/>
    <n v="292"/>
    <x v="1"/>
    <n v="130000"/>
    <n v="75000"/>
    <n v="0"/>
    <n v="0"/>
    <n v="0"/>
    <n v="15000"/>
    <n v="20000"/>
    <n v="33000"/>
    <n v="25500"/>
    <n v="0"/>
    <n v="0"/>
    <n v="11500"/>
    <n v="25500"/>
    <n v="33000"/>
    <n v="0"/>
    <n v="11"/>
    <x v="4"/>
    <x v="4"/>
    <n v="0"/>
    <x v="2"/>
    <n v="3"/>
    <n v="4"/>
    <n v="168500"/>
    <n v="11500"/>
    <n v="0"/>
    <n v="7"/>
  </r>
  <r>
    <s v="250923_EPA_IntroDays_Overasselt"/>
    <s v="table6"/>
    <n v="1204"/>
    <n v="678"/>
    <s v="t6p5"/>
    <s v="N05"/>
    <n v="294"/>
    <x v="2"/>
    <n v="130000"/>
    <n v="75000"/>
    <n v="0"/>
    <n v="0"/>
    <n v="0"/>
    <n v="15000"/>
    <n v="20000"/>
    <n v="0"/>
    <n v="0"/>
    <n v="0"/>
    <n v="0"/>
    <n v="31500"/>
    <m/>
    <m/>
    <m/>
    <n v="11"/>
    <x v="4"/>
    <x v="4"/>
    <n v="0"/>
    <x v="2"/>
    <n v="0"/>
    <n v="0"/>
    <n v="110000"/>
    <n v="31500"/>
    <n v="0"/>
    <n v="0"/>
  </r>
  <r>
    <s v="250923_EPA_IntroDays_Overasselt"/>
    <s v="table6"/>
    <n v="1231"/>
    <n v="678"/>
    <s v="t6p5"/>
    <s v="N05"/>
    <n v="298"/>
    <x v="3"/>
    <n v="130000"/>
    <n v="75000"/>
    <n v="0"/>
    <n v="0"/>
    <n v="0"/>
    <n v="15000"/>
    <n v="20000"/>
    <n v="0"/>
    <n v="0"/>
    <n v="8000"/>
    <n v="4000"/>
    <n v="39500"/>
    <m/>
    <m/>
    <m/>
    <n v="7"/>
    <x v="4"/>
    <x v="4"/>
    <n v="12000"/>
    <x v="2"/>
    <n v="0"/>
    <n v="0"/>
    <n v="122000"/>
    <n v="39500"/>
    <n v="0"/>
    <n v="0"/>
  </r>
  <r>
    <s v="250923_EPA_IntroDays_Overasselt"/>
    <s v="table6"/>
    <n v="1273"/>
    <n v="678"/>
    <s v="t6p5"/>
    <s v="N05"/>
    <n v="305"/>
    <x v="4"/>
    <n v="130000"/>
    <n v="75000"/>
    <n v="0"/>
    <n v="0"/>
    <n v="0"/>
    <n v="30000"/>
    <n v="20000"/>
    <n v="0"/>
    <n v="0"/>
    <n v="0"/>
    <n v="0"/>
    <n v="44500"/>
    <m/>
    <m/>
    <m/>
    <n v="7"/>
    <x v="4"/>
    <x v="4"/>
    <n v="0"/>
    <x v="2"/>
    <n v="0"/>
    <n v="0"/>
    <n v="125000"/>
    <n v="44500"/>
    <n v="0"/>
    <n v="0"/>
  </r>
  <r>
    <s v="250923_EPA_IntroDays_Overasselt"/>
    <s v="table6"/>
    <n v="1178"/>
    <n v="679"/>
    <s v="t6p6"/>
    <m/>
    <n v="288"/>
    <x v="0"/>
    <n v="190000"/>
    <n v="115000"/>
    <n v="0"/>
    <n v="0"/>
    <n v="0"/>
    <n v="0"/>
    <n v="0"/>
    <n v="0"/>
    <n v="0"/>
    <n v="0"/>
    <n v="0"/>
    <n v="80000"/>
    <m/>
    <m/>
    <m/>
    <n v="5"/>
    <x v="5"/>
    <x v="5"/>
    <n v="0"/>
    <x v="0"/>
    <n v="0"/>
    <n v="0"/>
    <n v="115000"/>
    <n v="80000"/>
    <n v="0"/>
    <n v="0"/>
  </r>
  <r>
    <s v="250923_EPA_IntroDays_Overasselt"/>
    <s v="table6"/>
    <n v="1189"/>
    <n v="679"/>
    <s v="t6p6"/>
    <s v="D02"/>
    <n v="292"/>
    <x v="1"/>
    <n v="190000"/>
    <n v="115000"/>
    <n v="0"/>
    <n v="0"/>
    <n v="0"/>
    <n v="20000"/>
    <n v="30000"/>
    <n v="33000"/>
    <n v="38000"/>
    <n v="0"/>
    <n v="0"/>
    <n v="34000"/>
    <n v="38000"/>
    <m/>
    <m/>
    <n v="12"/>
    <x v="5"/>
    <x v="5"/>
    <n v="0"/>
    <x v="3"/>
    <n v="3"/>
    <n v="4"/>
    <n v="236000"/>
    <n v="34000"/>
    <n v="0"/>
    <n v="7"/>
  </r>
  <r>
    <s v="250923_EPA_IntroDays_Overasselt"/>
    <s v="table6"/>
    <n v="1202"/>
    <n v="679"/>
    <s v="t6p6"/>
    <s v="D02"/>
    <n v="294"/>
    <x v="2"/>
    <n v="190000"/>
    <n v="115000"/>
    <n v="0"/>
    <n v="0"/>
    <n v="0"/>
    <n v="20000"/>
    <n v="30000"/>
    <n v="0"/>
    <n v="0"/>
    <n v="0"/>
    <n v="4000"/>
    <n v="55000"/>
    <m/>
    <m/>
    <m/>
    <n v="11"/>
    <x v="5"/>
    <x v="5"/>
    <n v="4000"/>
    <x v="3"/>
    <n v="0"/>
    <n v="0"/>
    <n v="169000"/>
    <n v="55000"/>
    <n v="0"/>
    <n v="0"/>
  </r>
  <r>
    <s v="250923_EPA_IntroDays_Overasselt"/>
    <s v="table6"/>
    <n v="1228"/>
    <n v="679"/>
    <s v="t6p6"/>
    <s v="D02"/>
    <n v="298"/>
    <x v="3"/>
    <n v="190000"/>
    <n v="115000"/>
    <n v="0"/>
    <n v="0"/>
    <n v="0"/>
    <n v="20000"/>
    <n v="30000"/>
    <n v="0"/>
    <n v="0"/>
    <n v="8000"/>
    <n v="4000"/>
    <n v="68000"/>
    <m/>
    <m/>
    <m/>
    <n v="7"/>
    <x v="5"/>
    <x v="5"/>
    <n v="12000"/>
    <x v="3"/>
    <n v="0"/>
    <n v="0"/>
    <n v="177000"/>
    <n v="68000"/>
    <n v="0"/>
    <n v="0"/>
  </r>
  <r>
    <s v="250923_EPA_IntroDays_Overasselt"/>
    <s v="table6"/>
    <n v="1269"/>
    <n v="679"/>
    <s v="t6p6"/>
    <s v="N03"/>
    <n v="305"/>
    <x v="4"/>
    <n v="190000"/>
    <n v="115000"/>
    <n v="0"/>
    <n v="140000"/>
    <n v="125000"/>
    <n v="30000"/>
    <n v="30000"/>
    <n v="15000"/>
    <n v="0"/>
    <n v="0"/>
    <n v="0"/>
    <n v="83000"/>
    <m/>
    <n v="33000"/>
    <m/>
    <n v="9"/>
    <x v="5"/>
    <x v="5"/>
    <n v="0"/>
    <x v="2"/>
    <n v="3"/>
    <n v="4"/>
    <n v="315000"/>
    <n v="83000"/>
    <n v="0"/>
    <n v="7"/>
  </r>
  <r>
    <s v="250923_EPA_IntroDays_Overasselt"/>
    <s v="table7"/>
    <n v="1164"/>
    <n v="682"/>
    <s v="t7p1"/>
    <m/>
    <n v="286"/>
    <x v="0"/>
    <n v="75000"/>
    <n v="40000"/>
    <n v="0"/>
    <n v="0"/>
    <n v="0"/>
    <n v="0"/>
    <n v="0"/>
    <n v="0"/>
    <n v="0"/>
    <n v="0"/>
    <n v="0"/>
    <n v="5000"/>
    <m/>
    <m/>
    <m/>
    <n v="5"/>
    <x v="0"/>
    <x v="0"/>
    <n v="0"/>
    <x v="0"/>
    <n v="0"/>
    <n v="0"/>
    <n v="40000"/>
    <n v="5000"/>
    <n v="0"/>
    <n v="0"/>
  </r>
  <r>
    <s v="250923_EPA_IntroDays_Overasselt"/>
    <s v="table7"/>
    <n v="1176"/>
    <n v="682"/>
    <s v="t7p1"/>
    <s v="U04"/>
    <n v="290"/>
    <x v="1"/>
    <n v="75000"/>
    <n v="40000"/>
    <n v="0"/>
    <n v="0"/>
    <n v="15000"/>
    <n v="15000"/>
    <n v="11000"/>
    <n v="0"/>
    <n v="0"/>
    <n v="8000"/>
    <n v="0"/>
    <n v="-9000"/>
    <m/>
    <m/>
    <m/>
    <n v="2"/>
    <x v="0"/>
    <x v="0"/>
    <n v="8000"/>
    <x v="1"/>
    <n v="0"/>
    <n v="0"/>
    <n v="89000"/>
    <n v="-9000"/>
    <n v="0"/>
    <n v="0"/>
  </r>
  <r>
    <s v="250923_EPA_IntroDays_Overasselt"/>
    <s v="table7"/>
    <n v="1215"/>
    <n v="682"/>
    <s v="t7p1"/>
    <s v="U04"/>
    <n v="296"/>
    <x v="2"/>
    <n v="75000"/>
    <n v="40000"/>
    <n v="9000"/>
    <n v="0"/>
    <n v="0"/>
    <n v="15000"/>
    <n v="11000"/>
    <n v="0"/>
    <n v="0"/>
    <n v="0"/>
    <n v="4000"/>
    <n v="-4000"/>
    <m/>
    <m/>
    <m/>
    <n v="0"/>
    <x v="0"/>
    <x v="0"/>
    <n v="4000"/>
    <x v="1"/>
    <n v="0"/>
    <n v="0"/>
    <n v="70000"/>
    <n v="-4000"/>
    <n v="0"/>
    <n v="0"/>
  </r>
  <r>
    <s v="250923_EPA_IntroDays_Overasselt"/>
    <s v="table7"/>
    <n v="1233"/>
    <n v="682"/>
    <s v="t7p1"/>
    <s v="U04"/>
    <n v="299"/>
    <x v="3"/>
    <n v="75000"/>
    <n v="40000"/>
    <n v="4000"/>
    <n v="0"/>
    <n v="0"/>
    <n v="15000"/>
    <n v="11000"/>
    <n v="1000"/>
    <n v="3750"/>
    <n v="20000"/>
    <n v="0"/>
    <n v="-19750"/>
    <n v="3750"/>
    <n v="1000"/>
    <n v="0"/>
    <n v="-6"/>
    <x v="0"/>
    <x v="0"/>
    <n v="20000"/>
    <x v="1"/>
    <n v="1"/>
    <n v="0"/>
    <n v="90750"/>
    <n v="-19750"/>
    <n v="0"/>
    <n v="1"/>
  </r>
  <r>
    <s v="250923_EPA_IntroDays_Overasselt"/>
    <s v="table7"/>
    <n v="1252"/>
    <n v="682"/>
    <s v="t7p1"/>
    <s v="U04"/>
    <n v="302"/>
    <x v="4"/>
    <n v="75000"/>
    <n v="40000"/>
    <n v="19750"/>
    <n v="0"/>
    <n v="0"/>
    <n v="15000"/>
    <n v="11000"/>
    <n v="0"/>
    <n v="0"/>
    <n v="16000"/>
    <n v="4000"/>
    <n v="-30750"/>
    <m/>
    <m/>
    <m/>
    <n v="-13"/>
    <x v="0"/>
    <x v="0"/>
    <n v="20000"/>
    <x v="1"/>
    <n v="0"/>
    <n v="0"/>
    <n v="86000"/>
    <n v="-30750"/>
    <n v="0"/>
    <n v="0"/>
  </r>
  <r>
    <s v="250923_EPA_IntroDays_Overasselt"/>
    <s v="table7"/>
    <n v="1167"/>
    <n v="683"/>
    <s v="t7p2"/>
    <m/>
    <n v="286"/>
    <x v="0"/>
    <n v="110000"/>
    <n v="60000"/>
    <n v="0"/>
    <n v="0"/>
    <n v="0"/>
    <n v="0"/>
    <n v="0"/>
    <n v="0"/>
    <n v="0"/>
    <n v="0"/>
    <n v="0"/>
    <n v="30000"/>
    <m/>
    <m/>
    <m/>
    <n v="5"/>
    <x v="1"/>
    <x v="1"/>
    <n v="0"/>
    <x v="0"/>
    <n v="0"/>
    <n v="0"/>
    <n v="60000"/>
    <n v="30000"/>
    <n v="0"/>
    <n v="0"/>
  </r>
  <r>
    <s v="250923_EPA_IntroDays_Overasselt"/>
    <s v="table7"/>
    <n v="1179"/>
    <n v="683"/>
    <s v="t7p2"/>
    <s v="U05"/>
    <n v="290"/>
    <x v="1"/>
    <n v="110000"/>
    <n v="60000"/>
    <n v="0"/>
    <n v="0"/>
    <n v="0"/>
    <n v="15000"/>
    <n v="12500"/>
    <n v="8000"/>
    <n v="8000"/>
    <n v="4000"/>
    <n v="0"/>
    <n v="32500"/>
    <n v="8000"/>
    <n v="8000"/>
    <n v="0"/>
    <n v="3"/>
    <x v="1"/>
    <x v="1"/>
    <n v="4000"/>
    <x v="1"/>
    <n v="1"/>
    <n v="1"/>
    <n v="107500"/>
    <n v="32500"/>
    <n v="0"/>
    <n v="2"/>
  </r>
  <r>
    <s v="250923_EPA_IntroDays_Overasselt"/>
    <s v="table7"/>
    <n v="1219"/>
    <n v="683"/>
    <s v="t7p2"/>
    <s v="U05"/>
    <n v="296"/>
    <x v="2"/>
    <n v="110000"/>
    <n v="60000"/>
    <n v="0"/>
    <n v="0"/>
    <n v="0"/>
    <n v="15000"/>
    <n v="12500"/>
    <n v="10000"/>
    <n v="0"/>
    <n v="0"/>
    <n v="4000"/>
    <n v="41000"/>
    <m/>
    <n v="10000"/>
    <m/>
    <n v="2"/>
    <x v="1"/>
    <x v="1"/>
    <n v="4000"/>
    <x v="1"/>
    <n v="1"/>
    <n v="1"/>
    <n v="101500"/>
    <n v="41000"/>
    <n v="0"/>
    <n v="2"/>
  </r>
  <r>
    <s v="250923_EPA_IntroDays_Overasselt"/>
    <s v="table7"/>
    <n v="1238"/>
    <n v="683"/>
    <s v="t7p2"/>
    <s v="U05"/>
    <n v="299"/>
    <x v="3"/>
    <n v="110000"/>
    <n v="60000"/>
    <n v="0"/>
    <n v="0"/>
    <n v="0"/>
    <n v="15000"/>
    <n v="12500"/>
    <n v="8000"/>
    <n v="6250"/>
    <n v="24000"/>
    <n v="0"/>
    <n v="25250"/>
    <n v="6250"/>
    <n v="8000"/>
    <n v="0"/>
    <n v="-2"/>
    <x v="1"/>
    <x v="1"/>
    <n v="24000"/>
    <x v="1"/>
    <n v="0"/>
    <n v="1"/>
    <n v="125750"/>
    <n v="25250"/>
    <n v="0"/>
    <n v="1"/>
  </r>
  <r>
    <s v="250923_EPA_IntroDays_Overasselt"/>
    <s v="table7"/>
    <n v="1257"/>
    <n v="683"/>
    <s v="t7p2"/>
    <s v="U05"/>
    <n v="302"/>
    <x v="4"/>
    <n v="110000"/>
    <n v="60000"/>
    <n v="0"/>
    <n v="0"/>
    <n v="0"/>
    <n v="15000"/>
    <n v="12500"/>
    <n v="6000"/>
    <n v="0"/>
    <n v="16000"/>
    <n v="4000"/>
    <n v="21750"/>
    <m/>
    <n v="6000"/>
    <m/>
    <n v="-7"/>
    <x v="1"/>
    <x v="1"/>
    <n v="20000"/>
    <x v="1"/>
    <n v="0"/>
    <n v="1"/>
    <n v="113500"/>
    <n v="21750"/>
    <n v="0"/>
    <n v="1"/>
  </r>
  <r>
    <s v="250923_EPA_IntroDays_Overasselt"/>
    <s v="table7"/>
    <n v="1165"/>
    <n v="684"/>
    <s v="t7p3"/>
    <m/>
    <n v="286"/>
    <x v="0"/>
    <n v="60000"/>
    <n v="30000"/>
    <n v="0"/>
    <n v="0"/>
    <n v="0"/>
    <n v="0"/>
    <n v="0"/>
    <n v="0"/>
    <n v="0"/>
    <n v="0"/>
    <n v="0"/>
    <n v="0"/>
    <m/>
    <m/>
    <m/>
    <n v="5"/>
    <x v="2"/>
    <x v="2"/>
    <n v="0"/>
    <x v="0"/>
    <n v="0"/>
    <n v="0"/>
    <n v="30000"/>
    <n v="0"/>
    <n v="0"/>
    <n v="0"/>
  </r>
  <r>
    <s v="250923_EPA_IntroDays_Overasselt"/>
    <s v="table7"/>
    <n v="1173"/>
    <n v="684"/>
    <s v="t7p3"/>
    <s v="U10"/>
    <n v="290"/>
    <x v="1"/>
    <n v="60000"/>
    <n v="30000"/>
    <n v="0"/>
    <n v="0"/>
    <n v="0"/>
    <n v="15000"/>
    <n v="7000"/>
    <n v="1000"/>
    <n v="1400"/>
    <n v="4000"/>
    <n v="0"/>
    <n v="1600"/>
    <n v="1400"/>
    <n v="1000"/>
    <n v="0"/>
    <n v="2"/>
    <x v="2"/>
    <x v="2"/>
    <n v="4000"/>
    <x v="1"/>
    <n v="1"/>
    <n v="0"/>
    <n v="58400"/>
    <n v="1600"/>
    <n v="0"/>
    <n v="1"/>
  </r>
  <r>
    <s v="250923_EPA_IntroDays_Overasselt"/>
    <s v="table7"/>
    <n v="1213"/>
    <n v="684"/>
    <s v="t7p3"/>
    <s v="U10"/>
    <n v="296"/>
    <x v="2"/>
    <n v="60000"/>
    <n v="30000"/>
    <n v="0"/>
    <n v="0"/>
    <n v="0"/>
    <n v="15000"/>
    <n v="7000"/>
    <n v="0"/>
    <n v="3500"/>
    <n v="0"/>
    <n v="4000"/>
    <n v="2100"/>
    <n v="3500"/>
    <m/>
    <m/>
    <n v="3"/>
    <x v="2"/>
    <x v="2"/>
    <n v="4000"/>
    <x v="1"/>
    <n v="0"/>
    <n v="0"/>
    <n v="59500"/>
    <n v="2100"/>
    <n v="0"/>
    <n v="0"/>
  </r>
  <r>
    <s v="250923_EPA_IntroDays_Overasselt"/>
    <s v="table7"/>
    <n v="1235"/>
    <n v="684"/>
    <s v="t7p3"/>
    <s v="U10"/>
    <n v="299"/>
    <x v="3"/>
    <n v="60000"/>
    <n v="30000"/>
    <n v="0"/>
    <n v="0"/>
    <n v="0"/>
    <n v="15000"/>
    <n v="7000"/>
    <n v="0"/>
    <n v="1750"/>
    <n v="24000"/>
    <n v="0"/>
    <n v="-15650"/>
    <n v="1750"/>
    <m/>
    <m/>
    <n v="-3"/>
    <x v="2"/>
    <x v="2"/>
    <n v="24000"/>
    <x v="1"/>
    <n v="0"/>
    <n v="0"/>
    <n v="77750"/>
    <n v="-15650"/>
    <n v="0"/>
    <n v="0"/>
  </r>
  <r>
    <s v="250923_EPA_IntroDays_Overasselt"/>
    <s v="table7"/>
    <n v="1255"/>
    <n v="684"/>
    <s v="t7p3"/>
    <s v="U10"/>
    <n v="302"/>
    <x v="4"/>
    <n v="60000"/>
    <n v="30000"/>
    <n v="15650"/>
    <n v="0"/>
    <n v="0"/>
    <n v="15000"/>
    <n v="0"/>
    <n v="0"/>
    <n v="0"/>
    <n v="16000"/>
    <n v="4000"/>
    <n v="-20650"/>
    <m/>
    <m/>
    <m/>
    <n v="-10"/>
    <x v="2"/>
    <x v="2"/>
    <n v="20000"/>
    <x v="1"/>
    <n v="0"/>
    <n v="0"/>
    <n v="65000"/>
    <n v="-20650"/>
    <n v="0"/>
    <n v="0"/>
  </r>
  <r>
    <s v="250923_EPA_IntroDays_Overasselt"/>
    <s v="table7"/>
    <n v="1154"/>
    <n v="685"/>
    <s v="t7p4"/>
    <m/>
    <n v="286"/>
    <x v="0"/>
    <n v="90000"/>
    <n v="50000"/>
    <n v="0"/>
    <n v="0"/>
    <n v="0"/>
    <n v="0"/>
    <n v="0"/>
    <n v="0"/>
    <n v="0"/>
    <n v="0"/>
    <n v="0"/>
    <n v="15000"/>
    <m/>
    <m/>
    <m/>
    <n v="5"/>
    <x v="3"/>
    <x v="3"/>
    <n v="0"/>
    <x v="0"/>
    <n v="0"/>
    <n v="0"/>
    <n v="50000"/>
    <n v="15000"/>
    <n v="0"/>
    <n v="0"/>
  </r>
  <r>
    <s v="250923_EPA_IntroDays_Overasselt"/>
    <s v="table7"/>
    <n v="1175"/>
    <n v="685"/>
    <s v="t7p4"/>
    <s v="U09"/>
    <n v="290"/>
    <x v="1"/>
    <n v="90000"/>
    <n v="50000"/>
    <n v="0"/>
    <n v="0"/>
    <n v="0"/>
    <n v="15000"/>
    <n v="7000"/>
    <n v="6000"/>
    <n v="3500"/>
    <n v="8000"/>
    <n v="0"/>
    <n v="15500"/>
    <n v="3500"/>
    <m/>
    <m/>
    <n v="2"/>
    <x v="3"/>
    <x v="3"/>
    <n v="8000"/>
    <x v="1"/>
    <n v="0"/>
    <n v="1"/>
    <n v="89500"/>
    <n v="15500"/>
    <n v="0"/>
    <n v="1"/>
  </r>
  <r>
    <s v="250923_EPA_IntroDays_Overasselt"/>
    <s v="table7"/>
    <n v="1214"/>
    <n v="685"/>
    <s v="t7p4"/>
    <s v="U09"/>
    <n v="296"/>
    <x v="2"/>
    <n v="90000"/>
    <n v="50000"/>
    <n v="0"/>
    <n v="0"/>
    <n v="0"/>
    <n v="15000"/>
    <n v="7000"/>
    <n v="11000"/>
    <n v="1400"/>
    <n v="0"/>
    <n v="4000"/>
    <n v="17100"/>
    <n v="1400"/>
    <m/>
    <m/>
    <n v="1"/>
    <x v="3"/>
    <x v="3"/>
    <n v="4000"/>
    <x v="1"/>
    <n v="2"/>
    <n v="1"/>
    <n v="88400"/>
    <n v="17100"/>
    <n v="0"/>
    <n v="3"/>
  </r>
  <r>
    <s v="250923_EPA_IntroDays_Overasselt"/>
    <s v="table7"/>
    <n v="1236"/>
    <n v="685"/>
    <s v="t7p4"/>
    <s v="U09"/>
    <n v="299"/>
    <x v="3"/>
    <n v="90000"/>
    <n v="50000"/>
    <n v="0"/>
    <n v="0"/>
    <n v="0"/>
    <n v="15000"/>
    <n v="7000"/>
    <n v="16000"/>
    <n v="1750"/>
    <n v="20000"/>
    <n v="0"/>
    <n v="-2650"/>
    <n v="1750"/>
    <m/>
    <m/>
    <n v="-2"/>
    <x v="3"/>
    <x v="3"/>
    <n v="20000"/>
    <x v="1"/>
    <n v="1"/>
    <n v="2"/>
    <n v="109750"/>
    <n v="-2650"/>
    <n v="0"/>
    <n v="3"/>
  </r>
  <r>
    <s v="250923_EPA_IntroDays_Overasselt"/>
    <s v="table7"/>
    <n v="1253"/>
    <n v="685"/>
    <s v="t7p4"/>
    <s v="N06"/>
    <n v="302"/>
    <x v="4"/>
    <n v="90000"/>
    <n v="50000"/>
    <n v="2650"/>
    <n v="21000"/>
    <n v="0"/>
    <n v="25000"/>
    <n v="10000"/>
    <n v="6000"/>
    <n v="0"/>
    <n v="0"/>
    <n v="4000"/>
    <n v="13350"/>
    <m/>
    <n v="7000"/>
    <m/>
    <n v="-7"/>
    <x v="3"/>
    <x v="3"/>
    <n v="4000"/>
    <x v="2"/>
    <n v="1"/>
    <n v="1"/>
    <n v="95000"/>
    <n v="13350"/>
    <n v="0"/>
    <n v="2"/>
  </r>
  <r>
    <s v="250923_EPA_IntroDays_Overasselt"/>
    <s v="table7"/>
    <n v="1158"/>
    <n v="686"/>
    <s v="t7p5"/>
    <m/>
    <n v="286"/>
    <x v="0"/>
    <n v="130000"/>
    <n v="75000"/>
    <n v="0"/>
    <n v="0"/>
    <n v="0"/>
    <n v="0"/>
    <n v="0"/>
    <n v="0"/>
    <n v="0"/>
    <n v="0"/>
    <n v="0"/>
    <n v="50000"/>
    <m/>
    <m/>
    <m/>
    <n v="5"/>
    <x v="4"/>
    <x v="4"/>
    <n v="0"/>
    <x v="0"/>
    <n v="0"/>
    <n v="0"/>
    <n v="75000"/>
    <n v="50000"/>
    <n v="0"/>
    <n v="0"/>
  </r>
  <r>
    <s v="250923_EPA_IntroDays_Overasselt"/>
    <s v="table7"/>
    <n v="1174"/>
    <n v="686"/>
    <s v="t7p5"/>
    <s v="D10"/>
    <n v="290"/>
    <x v="1"/>
    <n v="130000"/>
    <n v="75000"/>
    <n v="0"/>
    <n v="0"/>
    <n v="0"/>
    <n v="20000"/>
    <n v="8000"/>
    <n v="14000"/>
    <n v="7600"/>
    <n v="0"/>
    <n v="0"/>
    <n v="55400"/>
    <n v="7600"/>
    <n v="14000"/>
    <n v="0"/>
    <n v="5"/>
    <x v="4"/>
    <x v="4"/>
    <n v="0"/>
    <x v="3"/>
    <n v="0"/>
    <n v="2"/>
    <n v="124600"/>
    <n v="55400"/>
    <n v="0"/>
    <n v="2"/>
  </r>
  <r>
    <s v="250923_EPA_IntroDays_Overasselt"/>
    <s v="table7"/>
    <n v="1217"/>
    <n v="686"/>
    <s v="t7p5"/>
    <s v="D10"/>
    <n v="296"/>
    <x v="2"/>
    <n v="130000"/>
    <n v="75000"/>
    <n v="0"/>
    <n v="0"/>
    <n v="0"/>
    <n v="20000"/>
    <n v="8000"/>
    <n v="18000"/>
    <n v="0"/>
    <n v="0"/>
    <n v="4000"/>
    <n v="60400"/>
    <m/>
    <n v="18000"/>
    <m/>
    <n v="5"/>
    <x v="4"/>
    <x v="4"/>
    <n v="4000"/>
    <x v="3"/>
    <n v="2"/>
    <n v="2"/>
    <n v="125000"/>
    <n v="60400"/>
    <n v="0"/>
    <n v="4"/>
  </r>
  <r>
    <s v="250923_EPA_IntroDays_Overasselt"/>
    <s v="table7"/>
    <n v="1237"/>
    <n v="686"/>
    <s v="t7p5"/>
    <s v="D10"/>
    <n v="299"/>
    <x v="3"/>
    <n v="130000"/>
    <n v="75000"/>
    <n v="0"/>
    <n v="0"/>
    <n v="0"/>
    <n v="20000"/>
    <n v="8000"/>
    <n v="1000"/>
    <n v="6500"/>
    <n v="8000"/>
    <n v="4000"/>
    <n v="67900"/>
    <n v="6500"/>
    <n v="1000"/>
    <n v="0"/>
    <n v="2"/>
    <x v="4"/>
    <x v="4"/>
    <n v="12000"/>
    <x v="3"/>
    <n v="1"/>
    <n v="0"/>
    <n v="122500"/>
    <n v="67900"/>
    <n v="0"/>
    <n v="1"/>
  </r>
  <r>
    <s v="250923_EPA_IntroDays_Overasselt"/>
    <s v="table7"/>
    <n v="1256"/>
    <n v="686"/>
    <s v="t7p5"/>
    <s v="D10"/>
    <n v="302"/>
    <x v="4"/>
    <n v="130000"/>
    <n v="75000"/>
    <n v="0"/>
    <n v="0"/>
    <n v="0"/>
    <n v="20000"/>
    <n v="0"/>
    <n v="0"/>
    <n v="0"/>
    <n v="4000"/>
    <n v="4000"/>
    <n v="94900"/>
    <m/>
    <m/>
    <m/>
    <n v="-1"/>
    <x v="4"/>
    <x v="4"/>
    <n v="8000"/>
    <x v="3"/>
    <n v="0"/>
    <n v="0"/>
    <n v="103000"/>
    <n v="94900"/>
    <n v="0"/>
    <n v="0"/>
  </r>
  <r>
    <s v="250923_EPA_IntroDays_Overasselt"/>
    <s v="table7"/>
    <n v="1177"/>
    <n v="687"/>
    <s v="t7p6"/>
    <m/>
    <n v="286"/>
    <x v="0"/>
    <n v="190000"/>
    <n v="115000"/>
    <n v="0"/>
    <n v="0"/>
    <n v="0"/>
    <n v="0"/>
    <n v="0"/>
    <n v="0"/>
    <n v="0"/>
    <n v="0"/>
    <n v="0"/>
    <n v="80000"/>
    <m/>
    <m/>
    <m/>
    <n v="5"/>
    <x v="5"/>
    <x v="5"/>
    <n v="0"/>
    <x v="0"/>
    <n v="0"/>
    <n v="0"/>
    <n v="115000"/>
    <n v="80000"/>
    <n v="0"/>
    <n v="0"/>
  </r>
  <r>
    <s v="250923_EPA_IntroDays_Overasselt"/>
    <s v="table7"/>
    <n v="1180"/>
    <n v="687"/>
    <s v="t7p6"/>
    <s v="N04"/>
    <n v="290"/>
    <x v="1"/>
    <n v="190000"/>
    <n v="115000"/>
    <n v="0"/>
    <n v="0"/>
    <n v="0"/>
    <n v="20000"/>
    <n v="20000"/>
    <n v="33000"/>
    <n v="14000"/>
    <n v="0"/>
    <n v="0"/>
    <n v="68000"/>
    <n v="14000"/>
    <n v="33000"/>
    <n v="0"/>
    <n v="8"/>
    <x v="5"/>
    <x v="5"/>
    <n v="0"/>
    <x v="2"/>
    <n v="3"/>
    <n v="4"/>
    <n v="202000"/>
    <n v="68000"/>
    <n v="0"/>
    <n v="7"/>
  </r>
  <r>
    <s v="250923_EPA_IntroDays_Overasselt"/>
    <s v="table7"/>
    <n v="1218"/>
    <n v="687"/>
    <s v="t7p6"/>
    <s v="N04"/>
    <n v="296"/>
    <x v="2"/>
    <n v="190000"/>
    <n v="115000"/>
    <n v="0"/>
    <n v="0"/>
    <n v="0"/>
    <n v="20000"/>
    <n v="20000"/>
    <n v="0"/>
    <n v="14500"/>
    <n v="0"/>
    <n v="4000"/>
    <n v="84500"/>
    <n v="14500"/>
    <m/>
    <m/>
    <n v="9"/>
    <x v="5"/>
    <x v="5"/>
    <n v="4000"/>
    <x v="2"/>
    <n v="0"/>
    <n v="0"/>
    <n v="173500"/>
    <n v="84500"/>
    <n v="0"/>
    <n v="0"/>
  </r>
  <r>
    <s v="250923_EPA_IntroDays_Overasselt"/>
    <s v="table7"/>
    <n v="1234"/>
    <n v="687"/>
    <s v="t7p6"/>
    <s v="N04"/>
    <n v="299"/>
    <x v="3"/>
    <n v="190000"/>
    <n v="115000"/>
    <n v="0"/>
    <n v="0"/>
    <n v="0"/>
    <n v="20000"/>
    <n v="20000"/>
    <n v="0"/>
    <n v="0"/>
    <n v="12000"/>
    <n v="0"/>
    <n v="107500"/>
    <m/>
    <m/>
    <m/>
    <n v="5"/>
    <x v="5"/>
    <x v="5"/>
    <n v="12000"/>
    <x v="2"/>
    <n v="0"/>
    <n v="0"/>
    <n v="167000"/>
    <n v="107500"/>
    <n v="0"/>
    <n v="0"/>
  </r>
  <r>
    <s v="250923_EPA_IntroDays_Overasselt"/>
    <s v="table7"/>
    <n v="1254"/>
    <n v="687"/>
    <s v="t7p6"/>
    <s v="N04"/>
    <n v="302"/>
    <x v="4"/>
    <n v="190000"/>
    <n v="115000"/>
    <n v="0"/>
    <n v="0"/>
    <n v="0"/>
    <n v="25000"/>
    <n v="20000"/>
    <n v="0"/>
    <n v="0"/>
    <n v="4000"/>
    <n v="4000"/>
    <n v="129500"/>
    <m/>
    <m/>
    <m/>
    <n v="2"/>
    <x v="5"/>
    <x v="5"/>
    <n v="8000"/>
    <x v="2"/>
    <n v="0"/>
    <n v="0"/>
    <n v="168000"/>
    <n v="129500"/>
    <n v="0"/>
    <n v="0"/>
  </r>
  <r>
    <s v="250923_EPA_IntroDays_Overasselt"/>
    <s v="table8"/>
    <n v="1168"/>
    <n v="690"/>
    <s v="t8p1"/>
    <m/>
    <n v="287"/>
    <x v="0"/>
    <n v="75000"/>
    <n v="40000"/>
    <n v="0"/>
    <n v="0"/>
    <n v="0"/>
    <n v="0"/>
    <n v="0"/>
    <n v="0"/>
    <n v="0"/>
    <n v="0"/>
    <n v="0"/>
    <n v="5000"/>
    <m/>
    <m/>
    <m/>
    <n v="5"/>
    <x v="0"/>
    <x v="0"/>
    <n v="0"/>
    <x v="0"/>
    <n v="0"/>
    <n v="0"/>
    <n v="40000"/>
    <n v="5000"/>
    <n v="0"/>
    <n v="0"/>
  </r>
  <r>
    <s v="250923_EPA_IntroDays_Overasselt"/>
    <s v="table8"/>
    <n v="1200"/>
    <n v="690"/>
    <s v="t8p1"/>
    <s v="N07"/>
    <n v="293"/>
    <x v="1"/>
    <n v="75000"/>
    <n v="40000"/>
    <n v="0"/>
    <n v="0"/>
    <n v="0"/>
    <n v="15000"/>
    <n v="10000"/>
    <n v="6000"/>
    <n v="0"/>
    <n v="0"/>
    <n v="4000"/>
    <n v="5000"/>
    <m/>
    <n v="6000"/>
    <m/>
    <n v="4"/>
    <x v="0"/>
    <x v="0"/>
    <n v="4000"/>
    <x v="2"/>
    <n v="0"/>
    <n v="1"/>
    <n v="75000"/>
    <n v="5000"/>
    <n v="0"/>
    <n v="1"/>
  </r>
  <r>
    <s v="250923_EPA_IntroDays_Overasselt"/>
    <s v="table8"/>
    <n v="1216"/>
    <n v="690"/>
    <s v="t8p1"/>
    <s v="N07"/>
    <n v="295"/>
    <x v="2"/>
    <n v="75000"/>
    <n v="40000"/>
    <n v="0"/>
    <n v="0"/>
    <n v="0"/>
    <n v="15000"/>
    <n v="10000"/>
    <n v="0"/>
    <n v="7000"/>
    <n v="0"/>
    <n v="0"/>
    <n v="8000"/>
    <n v="7000"/>
    <m/>
    <m/>
    <n v="6"/>
    <x v="0"/>
    <x v="0"/>
    <n v="0"/>
    <x v="2"/>
    <n v="0"/>
    <n v="0"/>
    <n v="72000"/>
    <n v="8000"/>
    <n v="0"/>
    <n v="0"/>
  </r>
  <r>
    <s v="250923_EPA_IntroDays_Overasselt"/>
    <s v="table8"/>
    <n v="1244"/>
    <n v="690"/>
    <s v="t8p1"/>
    <s v="N07"/>
    <n v="300"/>
    <x v="3"/>
    <n v="75000"/>
    <n v="40000"/>
    <n v="0"/>
    <n v="0"/>
    <n v="0"/>
    <n v="15000"/>
    <n v="10000"/>
    <n v="10000"/>
    <n v="0"/>
    <n v="0"/>
    <n v="0"/>
    <n v="8000"/>
    <m/>
    <n v="10000"/>
    <m/>
    <n v="6"/>
    <x v="0"/>
    <x v="0"/>
    <n v="0"/>
    <x v="2"/>
    <n v="1"/>
    <n v="1"/>
    <n v="75000"/>
    <n v="8000"/>
    <n v="0"/>
    <n v="2"/>
  </r>
  <r>
    <s v="250923_EPA_IntroDays_Overasselt"/>
    <s v="table8"/>
    <n v="1263"/>
    <n v="690"/>
    <s v="t8p1"/>
    <s v="N07"/>
    <n v="303"/>
    <x v="4"/>
    <n v="75000"/>
    <n v="40000"/>
    <n v="0"/>
    <n v="0"/>
    <n v="0"/>
    <n v="30000"/>
    <n v="10000"/>
    <n v="0"/>
    <n v="0"/>
    <n v="0"/>
    <n v="0"/>
    <n v="3000"/>
    <m/>
    <m/>
    <m/>
    <n v="6"/>
    <x v="0"/>
    <x v="0"/>
    <n v="0"/>
    <x v="2"/>
    <n v="0"/>
    <n v="0"/>
    <n v="80000"/>
    <n v="3000"/>
    <n v="0"/>
    <n v="0"/>
  </r>
  <r>
    <s v="250923_EPA_IntroDays_Overasselt"/>
    <s v="table8"/>
    <n v="1194"/>
    <n v="691"/>
    <s v="t8p2"/>
    <m/>
    <n v="287"/>
    <x v="0"/>
    <n v="110000"/>
    <n v="60000"/>
    <n v="0"/>
    <n v="0"/>
    <n v="0"/>
    <n v="0"/>
    <n v="0"/>
    <n v="0"/>
    <n v="0"/>
    <n v="0"/>
    <n v="0"/>
    <n v="30000"/>
    <m/>
    <m/>
    <m/>
    <n v="5"/>
    <x v="1"/>
    <x v="1"/>
    <n v="0"/>
    <x v="0"/>
    <n v="0"/>
    <n v="0"/>
    <n v="60000"/>
    <n v="30000"/>
    <n v="0"/>
    <n v="0"/>
  </r>
  <r>
    <s v="250923_EPA_IntroDays_Overasselt"/>
    <s v="table8"/>
    <n v="1199"/>
    <n v="691"/>
    <s v="t8p2"/>
    <s v="N05"/>
    <n v="293"/>
    <x v="1"/>
    <n v="110000"/>
    <n v="60000"/>
    <n v="0"/>
    <n v="0"/>
    <n v="30000"/>
    <n v="15000"/>
    <n v="17000"/>
    <n v="8000"/>
    <n v="0"/>
    <n v="0"/>
    <n v="4000"/>
    <n v="6000"/>
    <m/>
    <n v="8000"/>
    <m/>
    <n v="5"/>
    <x v="1"/>
    <x v="1"/>
    <n v="4000"/>
    <x v="2"/>
    <n v="1"/>
    <n v="1"/>
    <n v="134000"/>
    <n v="6000"/>
    <n v="0"/>
    <n v="2"/>
  </r>
  <r>
    <s v="250923_EPA_IntroDays_Overasselt"/>
    <s v="table8"/>
    <n v="1212"/>
    <n v="691"/>
    <s v="t8p2"/>
    <s v="N05"/>
    <n v="295"/>
    <x v="2"/>
    <n v="110000"/>
    <n v="60000"/>
    <n v="0"/>
    <n v="0"/>
    <n v="0"/>
    <n v="15000"/>
    <n v="17000"/>
    <n v="14000"/>
    <n v="0"/>
    <n v="0"/>
    <n v="0"/>
    <n v="10000"/>
    <m/>
    <n v="14000"/>
    <m/>
    <n v="7"/>
    <x v="1"/>
    <x v="1"/>
    <n v="0"/>
    <x v="2"/>
    <n v="0"/>
    <n v="2"/>
    <n v="106000"/>
    <n v="10000"/>
    <n v="0"/>
    <n v="2"/>
  </r>
  <r>
    <s v="250923_EPA_IntroDays_Overasselt"/>
    <s v="table8"/>
    <n v="1241"/>
    <n v="691"/>
    <s v="t8p2"/>
    <s v="N05"/>
    <n v="300"/>
    <x v="3"/>
    <n v="110000"/>
    <n v="60000"/>
    <n v="0"/>
    <n v="0"/>
    <n v="0"/>
    <n v="15000"/>
    <n v="17000"/>
    <n v="11000"/>
    <n v="4000"/>
    <n v="0"/>
    <n v="0"/>
    <n v="13000"/>
    <n v="3400"/>
    <n v="11000"/>
    <n v="600"/>
    <n v="7"/>
    <x v="1"/>
    <x v="1"/>
    <n v="0"/>
    <x v="2"/>
    <n v="2"/>
    <n v="1"/>
    <n v="107000"/>
    <n v="13000"/>
    <n v="0"/>
    <n v="3"/>
  </r>
  <r>
    <s v="250923_EPA_IntroDays_Overasselt"/>
    <s v="table8"/>
    <n v="1259"/>
    <n v="691"/>
    <s v="t8p2"/>
    <s v="N05"/>
    <n v="303"/>
    <x v="4"/>
    <n v="110000"/>
    <n v="60000"/>
    <n v="0"/>
    <n v="0"/>
    <n v="0"/>
    <n v="30000"/>
    <n v="17000"/>
    <n v="0"/>
    <n v="5000"/>
    <n v="0"/>
    <n v="0"/>
    <n v="11000"/>
    <n v="4250"/>
    <m/>
    <m/>
    <n v="8"/>
    <x v="1"/>
    <x v="1"/>
    <n v="0"/>
    <x v="2"/>
    <n v="0"/>
    <n v="0"/>
    <n v="112000"/>
    <n v="11000"/>
    <n v="0"/>
    <n v="0"/>
  </r>
  <r>
    <s v="250923_EPA_IntroDays_Overasselt"/>
    <s v="table8"/>
    <n v="1170"/>
    <n v="693"/>
    <s v="t8p4"/>
    <m/>
    <n v="287"/>
    <x v="0"/>
    <n v="90000"/>
    <n v="50000"/>
    <n v="0"/>
    <n v="0"/>
    <n v="0"/>
    <n v="0"/>
    <n v="0"/>
    <n v="0"/>
    <n v="0"/>
    <n v="0"/>
    <n v="0"/>
    <n v="15000"/>
    <m/>
    <m/>
    <m/>
    <n v="5"/>
    <x v="3"/>
    <x v="3"/>
    <n v="0"/>
    <x v="0"/>
    <n v="0"/>
    <n v="0"/>
    <n v="50000"/>
    <n v="15000"/>
    <n v="0"/>
    <n v="0"/>
  </r>
  <r>
    <s v="250923_EPA_IntroDays_Overasselt"/>
    <s v="table8"/>
    <n v="1198"/>
    <n v="693"/>
    <s v="t8p4"/>
    <s v="U10"/>
    <n v="293"/>
    <x v="1"/>
    <n v="90000"/>
    <n v="50000"/>
    <n v="0"/>
    <n v="0"/>
    <n v="0"/>
    <n v="20000"/>
    <n v="7000"/>
    <n v="9000"/>
    <n v="1400"/>
    <n v="0"/>
    <n v="4000"/>
    <n v="13600"/>
    <n v="1400"/>
    <m/>
    <m/>
    <n v="1"/>
    <x v="3"/>
    <x v="3"/>
    <n v="4000"/>
    <x v="1"/>
    <n v="1"/>
    <n v="1"/>
    <n v="91400"/>
    <n v="13600"/>
    <n v="0"/>
    <n v="2"/>
  </r>
  <r>
    <s v="250923_EPA_IntroDays_Overasselt"/>
    <s v="table8"/>
    <n v="1210"/>
    <n v="693"/>
    <s v="t8p4"/>
    <s v="U10"/>
    <n v="295"/>
    <x v="2"/>
    <n v="90000"/>
    <n v="50000"/>
    <n v="0"/>
    <n v="0"/>
    <n v="0"/>
    <n v="20000"/>
    <n v="7000"/>
    <n v="0"/>
    <n v="5250"/>
    <n v="8000"/>
    <n v="0"/>
    <n v="13350"/>
    <n v="5250"/>
    <m/>
    <m/>
    <n v="1"/>
    <x v="3"/>
    <x v="3"/>
    <n v="8000"/>
    <x v="1"/>
    <n v="0"/>
    <n v="0"/>
    <n v="90250"/>
    <n v="13350"/>
    <n v="0"/>
    <n v="0"/>
  </r>
  <r>
    <s v="250923_EPA_IntroDays_Overasselt"/>
    <s v="table8"/>
    <n v="1239"/>
    <n v="693"/>
    <s v="t8p4"/>
    <s v="U10"/>
    <n v="300"/>
    <x v="3"/>
    <n v="90000"/>
    <n v="50000"/>
    <n v="0"/>
    <n v="0"/>
    <n v="0"/>
    <n v="20000"/>
    <n v="7000"/>
    <n v="8000"/>
    <n v="0"/>
    <n v="8000"/>
    <n v="0"/>
    <n v="10350"/>
    <m/>
    <m/>
    <m/>
    <n v="-1"/>
    <x v="3"/>
    <x v="3"/>
    <n v="8000"/>
    <x v="1"/>
    <n v="1"/>
    <n v="1"/>
    <n v="93000"/>
    <n v="10350"/>
    <n v="0"/>
    <n v="2"/>
  </r>
  <r>
    <s v="250923_EPA_IntroDays_Overasselt"/>
    <s v="table8"/>
    <n v="1258"/>
    <n v="693"/>
    <s v="t8p4"/>
    <s v="N06"/>
    <n v="303"/>
    <x v="4"/>
    <n v="90000"/>
    <n v="50000"/>
    <n v="0"/>
    <n v="21000"/>
    <n v="0"/>
    <n v="30000"/>
    <n v="10000"/>
    <n v="6000"/>
    <n v="4500"/>
    <n v="0"/>
    <n v="0"/>
    <n v="20850"/>
    <n v="4500"/>
    <n v="7000"/>
    <n v="-1000"/>
    <n v="-2"/>
    <x v="3"/>
    <x v="3"/>
    <n v="0"/>
    <x v="2"/>
    <n v="1"/>
    <n v="1"/>
    <n v="100500"/>
    <n v="20850"/>
    <n v="0"/>
    <n v="2"/>
  </r>
  <r>
    <s v="250923_EPA_IntroDays_Overasselt"/>
    <s v="table8"/>
    <n v="1172"/>
    <n v="694"/>
    <s v="t8p5"/>
    <m/>
    <n v="287"/>
    <x v="0"/>
    <n v="130000"/>
    <n v="75000"/>
    <n v="0"/>
    <n v="0"/>
    <n v="0"/>
    <n v="0"/>
    <n v="0"/>
    <n v="0"/>
    <n v="0"/>
    <n v="0"/>
    <n v="0"/>
    <n v="50000"/>
    <m/>
    <m/>
    <m/>
    <n v="5"/>
    <x v="4"/>
    <x v="4"/>
    <n v="0"/>
    <x v="0"/>
    <n v="0"/>
    <n v="0"/>
    <n v="75000"/>
    <n v="50000"/>
    <n v="0"/>
    <n v="0"/>
  </r>
  <r>
    <s v="250923_EPA_IntroDays_Overasselt"/>
    <s v="table8"/>
    <n v="1197"/>
    <n v="694"/>
    <s v="t8p5"/>
    <s v="U01"/>
    <n v="293"/>
    <x v="1"/>
    <n v="130000"/>
    <n v="75000"/>
    <n v="0"/>
    <n v="0"/>
    <n v="0"/>
    <n v="20000"/>
    <n v="20000"/>
    <n v="16000"/>
    <n v="4000"/>
    <n v="0"/>
    <n v="0"/>
    <n v="45000"/>
    <n v="4000"/>
    <m/>
    <m/>
    <n v="5"/>
    <x v="4"/>
    <x v="4"/>
    <n v="0"/>
    <x v="1"/>
    <n v="1"/>
    <n v="2"/>
    <n v="135000"/>
    <n v="45000"/>
    <n v="0"/>
    <n v="3"/>
  </r>
  <r>
    <s v="250923_EPA_IntroDays_Overasselt"/>
    <s v="table8"/>
    <n v="1211"/>
    <n v="694"/>
    <s v="t8p5"/>
    <s v="U01"/>
    <n v="295"/>
    <x v="2"/>
    <n v="130000"/>
    <n v="75000"/>
    <n v="0"/>
    <n v="0"/>
    <n v="0"/>
    <n v="20000"/>
    <n v="20000"/>
    <n v="1000"/>
    <n v="10000"/>
    <n v="4000"/>
    <n v="0"/>
    <n v="45000"/>
    <n v="10000"/>
    <m/>
    <m/>
    <n v="5"/>
    <x v="4"/>
    <x v="4"/>
    <n v="4000"/>
    <x v="1"/>
    <n v="1"/>
    <n v="0"/>
    <n v="130000"/>
    <n v="45000"/>
    <n v="0"/>
    <n v="1"/>
  </r>
  <r>
    <s v="250923_EPA_IntroDays_Overasselt"/>
    <s v="table8"/>
    <n v="1243"/>
    <n v="694"/>
    <s v="t8p5"/>
    <s v="U01"/>
    <n v="300"/>
    <x v="3"/>
    <n v="130000"/>
    <n v="75000"/>
    <n v="0"/>
    <n v="0"/>
    <n v="0"/>
    <n v="20000"/>
    <n v="20000"/>
    <n v="10000"/>
    <n v="11500"/>
    <n v="8000"/>
    <n v="0"/>
    <n v="30500"/>
    <n v="11500"/>
    <m/>
    <m/>
    <n v="4"/>
    <x v="4"/>
    <x v="4"/>
    <n v="8000"/>
    <x v="1"/>
    <n v="1"/>
    <n v="1"/>
    <n v="144500"/>
    <n v="30500"/>
    <n v="0"/>
    <n v="2"/>
  </r>
  <r>
    <s v="250923_EPA_IntroDays_Overasselt"/>
    <s v="table8"/>
    <n v="1260"/>
    <n v="694"/>
    <s v="t8p5"/>
    <s v="N02"/>
    <n v="303"/>
    <x v="4"/>
    <n v="130000"/>
    <n v="75000"/>
    <n v="0"/>
    <n v="60000"/>
    <n v="0"/>
    <n v="30000"/>
    <n v="0"/>
    <n v="23000"/>
    <n v="0"/>
    <n v="0"/>
    <n v="0"/>
    <n v="92500"/>
    <m/>
    <n v="33000"/>
    <m/>
    <n v="6"/>
    <x v="4"/>
    <x v="4"/>
    <n v="0"/>
    <x v="2"/>
    <n v="3"/>
    <n v="4"/>
    <n v="128000"/>
    <n v="92500"/>
    <n v="0"/>
    <n v="7"/>
  </r>
  <r>
    <s v="250923_EPA_IntroDays_Overasselt"/>
    <s v="table8"/>
    <n v="1166"/>
    <n v="695"/>
    <s v="t8p6"/>
    <m/>
    <n v="287"/>
    <x v="0"/>
    <n v="190000"/>
    <n v="115000"/>
    <n v="0"/>
    <n v="0"/>
    <n v="0"/>
    <n v="0"/>
    <n v="0"/>
    <n v="0"/>
    <n v="0"/>
    <n v="0"/>
    <n v="0"/>
    <n v="80000"/>
    <m/>
    <m/>
    <m/>
    <n v="5"/>
    <x v="5"/>
    <x v="5"/>
    <n v="0"/>
    <x v="0"/>
    <n v="0"/>
    <n v="0"/>
    <n v="115000"/>
    <n v="80000"/>
    <n v="0"/>
    <n v="0"/>
  </r>
  <r>
    <s v="250923_EPA_IntroDays_Overasselt"/>
    <s v="table8"/>
    <n v="1195"/>
    <n v="695"/>
    <s v="t8p6"/>
    <s v="N04"/>
    <n v="293"/>
    <x v="1"/>
    <n v="190000"/>
    <n v="115000"/>
    <n v="0"/>
    <n v="0"/>
    <n v="0"/>
    <n v="15000"/>
    <n v="20000"/>
    <n v="14000"/>
    <n v="19500"/>
    <n v="0"/>
    <n v="0"/>
    <n v="86500"/>
    <n v="19500"/>
    <m/>
    <m/>
    <n v="8"/>
    <x v="5"/>
    <x v="5"/>
    <n v="0"/>
    <x v="2"/>
    <n v="0"/>
    <n v="2"/>
    <n v="183500"/>
    <n v="86500"/>
    <n v="0"/>
    <n v="2"/>
  </r>
  <r>
    <s v="250923_EPA_IntroDays_Overasselt"/>
    <s v="table8"/>
    <n v="1209"/>
    <n v="695"/>
    <s v="t8p6"/>
    <s v="N04"/>
    <n v="295"/>
    <x v="2"/>
    <n v="190000"/>
    <n v="115000"/>
    <n v="0"/>
    <n v="0"/>
    <n v="0"/>
    <n v="15000"/>
    <n v="20000"/>
    <n v="0"/>
    <n v="5000"/>
    <n v="0"/>
    <n v="0"/>
    <n v="121500"/>
    <n v="5000"/>
    <m/>
    <m/>
    <n v="9"/>
    <x v="5"/>
    <x v="5"/>
    <n v="0"/>
    <x v="2"/>
    <n v="0"/>
    <n v="0"/>
    <n v="155000"/>
    <n v="121500"/>
    <n v="0"/>
    <n v="0"/>
  </r>
  <r>
    <s v="250923_EPA_IntroDays_Overasselt"/>
    <s v="table8"/>
    <n v="1242"/>
    <n v="695"/>
    <s v="t8p6"/>
    <s v="N04"/>
    <n v="300"/>
    <x v="3"/>
    <n v="190000"/>
    <n v="115000"/>
    <n v="0"/>
    <n v="0"/>
    <n v="0"/>
    <n v="15000"/>
    <n v="20000"/>
    <n v="8000"/>
    <n v="4000"/>
    <n v="0"/>
    <n v="0"/>
    <n v="149500"/>
    <n v="4000"/>
    <m/>
    <m/>
    <n v="10"/>
    <x v="5"/>
    <x v="5"/>
    <n v="0"/>
    <x v="2"/>
    <n v="1"/>
    <n v="1"/>
    <n v="162000"/>
    <n v="149500"/>
    <n v="0"/>
    <n v="2"/>
  </r>
  <r>
    <s v="250923_EPA_IntroDays_Overasselt"/>
    <s v="table8"/>
    <n v="1261"/>
    <n v="695"/>
    <s v="t8p6"/>
    <s v="N03"/>
    <n v="303"/>
    <x v="4"/>
    <n v="190000"/>
    <n v="115000"/>
    <n v="0"/>
    <n v="110000"/>
    <n v="125000"/>
    <n v="30000"/>
    <n v="30000"/>
    <n v="15000"/>
    <n v="0"/>
    <n v="0"/>
    <n v="0"/>
    <n v="134500"/>
    <m/>
    <n v="33000"/>
    <m/>
    <n v="10"/>
    <x v="5"/>
    <x v="5"/>
    <n v="0"/>
    <x v="2"/>
    <n v="3"/>
    <n v="4"/>
    <n v="315000"/>
    <n v="134500"/>
    <n v="0"/>
    <n v="7"/>
  </r>
  <r>
    <s v="250923_EPA_IntroDays_Overasselt"/>
    <s v="table8"/>
    <n v="1169"/>
    <n v="696"/>
    <s v="t8p7"/>
    <m/>
    <n v="287"/>
    <x v="0"/>
    <n v="110000"/>
    <n v="60000"/>
    <n v="0"/>
    <n v="0"/>
    <n v="0"/>
    <n v="0"/>
    <n v="0"/>
    <n v="0"/>
    <n v="0"/>
    <n v="0"/>
    <n v="0"/>
    <n v="30000"/>
    <m/>
    <m/>
    <m/>
    <n v="5"/>
    <x v="1"/>
    <x v="1"/>
    <n v="0"/>
    <x v="0"/>
    <n v="0"/>
    <n v="0"/>
    <n v="60000"/>
    <n v="30000"/>
    <n v="0"/>
    <n v="0"/>
  </r>
  <r>
    <s v="250923_EPA_IntroDays_Overasselt"/>
    <s v="table8"/>
    <n v="1196"/>
    <n v="696"/>
    <s v="t8p7"/>
    <s v="D05"/>
    <n v="293"/>
    <x v="1"/>
    <n v="110000"/>
    <n v="60000"/>
    <n v="0"/>
    <n v="0"/>
    <n v="0"/>
    <n v="20000"/>
    <n v="16000"/>
    <n v="23000"/>
    <n v="0"/>
    <n v="0"/>
    <n v="4000"/>
    <n v="17000"/>
    <m/>
    <n v="23000"/>
    <m/>
    <n v="6"/>
    <x v="1"/>
    <x v="1"/>
    <n v="4000"/>
    <x v="3"/>
    <n v="2"/>
    <n v="3"/>
    <n v="123000"/>
    <n v="17000"/>
    <n v="0"/>
    <n v="5"/>
  </r>
  <r>
    <s v="250923_EPA_IntroDays_Overasselt"/>
    <s v="table8"/>
    <n v="1208"/>
    <n v="696"/>
    <s v="t8p7"/>
    <s v="D05"/>
    <n v="295"/>
    <x v="2"/>
    <n v="110000"/>
    <n v="60000"/>
    <n v="0"/>
    <n v="0"/>
    <n v="0"/>
    <n v="20000"/>
    <n v="0"/>
    <n v="10000"/>
    <n v="4000"/>
    <n v="0"/>
    <n v="0"/>
    <n v="33000"/>
    <n v="0"/>
    <n v="10000"/>
    <n v="4000"/>
    <n v="7"/>
    <x v="1"/>
    <x v="1"/>
    <n v="0"/>
    <x v="3"/>
    <n v="1"/>
    <n v="1"/>
    <n v="94000"/>
    <n v="33000"/>
    <n v="0"/>
    <n v="2"/>
  </r>
  <r>
    <s v="250923_EPA_IntroDays_Overasselt"/>
    <s v="table8"/>
    <n v="1240"/>
    <n v="696"/>
    <s v="t8p7"/>
    <s v="D05"/>
    <n v="300"/>
    <x v="3"/>
    <n v="110000"/>
    <n v="60000"/>
    <n v="0"/>
    <n v="0"/>
    <n v="0"/>
    <n v="20000"/>
    <n v="16000"/>
    <n v="0"/>
    <n v="16700"/>
    <n v="0"/>
    <n v="0"/>
    <n v="30300"/>
    <n v="16700"/>
    <m/>
    <m/>
    <n v="10"/>
    <x v="1"/>
    <x v="1"/>
    <n v="0"/>
    <x v="3"/>
    <n v="0"/>
    <n v="0"/>
    <n v="112700"/>
    <n v="30300"/>
    <n v="0"/>
    <n v="0"/>
  </r>
  <r>
    <s v="250923_EPA_IntroDays_Overasselt"/>
    <s v="table8"/>
    <n v="1262"/>
    <n v="696"/>
    <s v="t8p7"/>
    <s v="D05"/>
    <n v="303"/>
    <x v="4"/>
    <n v="110000"/>
    <n v="60000"/>
    <n v="0"/>
    <n v="0"/>
    <n v="0"/>
    <n v="20000"/>
    <n v="16000"/>
    <n v="0"/>
    <n v="0"/>
    <n v="0"/>
    <n v="0"/>
    <n v="44300"/>
    <m/>
    <m/>
    <m/>
    <n v="10"/>
    <x v="1"/>
    <x v="1"/>
    <n v="0"/>
    <x v="3"/>
    <n v="0"/>
    <n v="0"/>
    <n v="96000"/>
    <n v="44300"/>
    <n v="0"/>
    <n v="0"/>
  </r>
  <r>
    <m/>
    <m/>
    <m/>
    <m/>
    <m/>
    <m/>
    <m/>
    <x v="5"/>
    <m/>
    <m/>
    <m/>
    <m/>
    <m/>
    <m/>
    <m/>
    <m/>
    <m/>
    <m/>
    <m/>
    <m/>
    <m/>
    <m/>
    <m/>
    <m/>
    <x v="6"/>
    <x v="6"/>
    <m/>
    <x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1084D1-5A93-42DE-B042-7AAED2CED102}" name="Draaitabel1" cacheId="12"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chartFormat="2">
  <location ref="A3:H8" firstHeaderRow="1" firstDataRow="2" firstDataCol="1" rowPageCount="1" colPageCount="1"/>
  <pivotFields count="34">
    <pivotField showAll="0"/>
    <pivotField showAll="0"/>
    <pivotField showAll="0"/>
    <pivotField showAll="0"/>
    <pivotField showAll="0"/>
    <pivotField showAll="0"/>
    <pivotField showAll="0"/>
    <pivotField axis="axisPage" multipleItemSelectionAllowed="1" showAll="0">
      <items count="7">
        <item h="1" x="0"/>
        <item x="1"/>
        <item x="2"/>
        <item x="3"/>
        <item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x="2"/>
        <item x="0"/>
        <item x="3"/>
        <item x="1"/>
        <item x="4"/>
        <item x="5"/>
        <item x="6"/>
        <item t="default"/>
      </items>
    </pivotField>
    <pivotField showAll="0">
      <items count="8">
        <item x="4"/>
        <item x="1"/>
        <item x="0"/>
        <item x="3"/>
        <item x="5"/>
        <item x="2"/>
        <item x="6"/>
        <item t="default"/>
      </items>
    </pivotField>
    <pivotField showAll="0"/>
    <pivotField axis="axisRow" showAll="0">
      <items count="5">
        <item x="3"/>
        <item x="2"/>
        <item x="1"/>
        <item h="1" x="0"/>
        <item t="default"/>
      </items>
    </pivotField>
    <pivotField showAll="0"/>
    <pivotField showAll="0"/>
    <pivotField showAll="0"/>
    <pivotField showAll="0"/>
    <pivotField showAll="0"/>
    <pivotField dataField="1" showAll="0"/>
  </pivotFields>
  <rowFields count="1">
    <field x="27"/>
  </rowFields>
  <rowItems count="4">
    <i>
      <x/>
    </i>
    <i>
      <x v="1"/>
    </i>
    <i>
      <x v="2"/>
    </i>
    <i t="grand">
      <x/>
    </i>
  </rowItems>
  <colFields count="1">
    <field x="24"/>
  </colFields>
  <colItems count="7">
    <i>
      <x/>
    </i>
    <i>
      <x v="1"/>
    </i>
    <i>
      <x v="2"/>
    </i>
    <i>
      <x v="3"/>
    </i>
    <i>
      <x v="4"/>
    </i>
    <i>
      <x v="5"/>
    </i>
    <i t="grand">
      <x/>
    </i>
  </colItems>
  <pageFields count="1">
    <pageField fld="7" hier="-1"/>
  </pageFields>
  <dataFields count="1">
    <dataField name="Som van Added_total_house_protection" fld="33" baseField="0" baseItem="0"/>
  </dataFields>
  <chartFormats count="5">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4" count="1" selected="0">
            <x v="2"/>
          </reference>
        </references>
      </pivotArea>
    </chartFormat>
    <chartFormat chart="0" format="5" series="1">
      <pivotArea type="data" outline="0" fieldPosition="0">
        <references count="2">
          <reference field="4294967294" count="1" selected="0">
            <x v="0"/>
          </reference>
          <reference field="24" count="1" selected="0">
            <x v="3"/>
          </reference>
        </references>
      </pivotArea>
    </chartFormat>
    <chartFormat chart="0" format="6" series="1">
      <pivotArea type="data" outline="0" fieldPosition="0">
        <references count="2">
          <reference field="4294967294" count="1" selected="0">
            <x v="0"/>
          </reference>
          <reference field="24" count="1" selected="0">
            <x v="4"/>
          </reference>
        </references>
      </pivotArea>
    </chartFormat>
    <chartFormat chart="0" format="7" series="1">
      <pivotArea type="data" outline="0" fieldPosition="0">
        <references count="2">
          <reference field="4294967294" count="1" selected="0">
            <x v="0"/>
          </reference>
          <reference field="2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8DD4-D87D-4561-BEB9-E4A255D15F3D}">
  <dimension ref="A1:H8"/>
  <sheetViews>
    <sheetView zoomScale="66" workbookViewId="0">
      <selection activeCell="M13" sqref="M13"/>
    </sheetView>
  </sheetViews>
  <sheetFormatPr defaultRowHeight="14.4" x14ac:dyDescent="0.3"/>
  <cols>
    <col min="1" max="1" width="35.77734375" bestFit="1" customWidth="1"/>
    <col min="2" max="2" width="20.6640625" bestFit="1" customWidth="1"/>
    <col min="3" max="7" width="4.109375" bestFit="1" customWidth="1"/>
    <col min="8" max="8" width="9.5546875" bestFit="1" customWidth="1"/>
  </cols>
  <sheetData>
    <row r="1" spans="1:8" x14ac:dyDescent="0.3">
      <c r="A1" s="4" t="s">
        <v>7</v>
      </c>
      <c r="B1" t="s">
        <v>294</v>
      </c>
    </row>
    <row r="3" spans="1:8" x14ac:dyDescent="0.3">
      <c r="A3" s="4" t="s">
        <v>292</v>
      </c>
      <c r="B3" s="4" t="s">
        <v>293</v>
      </c>
    </row>
    <row r="4" spans="1:8" x14ac:dyDescent="0.3">
      <c r="A4" s="4" t="s">
        <v>290</v>
      </c>
      <c r="B4">
        <v>123</v>
      </c>
      <c r="C4">
        <v>124</v>
      </c>
      <c r="D4">
        <v>125</v>
      </c>
      <c r="E4">
        <v>126</v>
      </c>
      <c r="F4">
        <v>127</v>
      </c>
      <c r="G4">
        <v>128</v>
      </c>
      <c r="H4" t="s">
        <v>291</v>
      </c>
    </row>
    <row r="5" spans="1:8" x14ac:dyDescent="0.3">
      <c r="A5" s="5" t="s">
        <v>52</v>
      </c>
      <c r="B5" s="3">
        <v>8</v>
      </c>
      <c r="C5" s="3">
        <v>2</v>
      </c>
      <c r="D5" s="3"/>
      <c r="E5" s="3">
        <v>14</v>
      </c>
      <c r="F5" s="3">
        <v>15</v>
      </c>
      <c r="G5" s="3">
        <v>41</v>
      </c>
      <c r="H5" s="3">
        <v>80</v>
      </c>
    </row>
    <row r="6" spans="1:8" x14ac:dyDescent="0.3">
      <c r="A6" s="5" t="s">
        <v>42</v>
      </c>
      <c r="B6" s="3">
        <v>0</v>
      </c>
      <c r="C6" s="3">
        <v>6</v>
      </c>
      <c r="D6" s="3">
        <v>23</v>
      </c>
      <c r="E6" s="3">
        <v>44</v>
      </c>
      <c r="F6" s="3">
        <v>35</v>
      </c>
      <c r="G6" s="3">
        <v>57</v>
      </c>
      <c r="H6" s="3">
        <v>165</v>
      </c>
    </row>
    <row r="7" spans="1:8" x14ac:dyDescent="0.3">
      <c r="A7" s="5" t="s">
        <v>38</v>
      </c>
      <c r="B7" s="3">
        <v>2</v>
      </c>
      <c r="C7" s="3">
        <v>5</v>
      </c>
      <c r="D7" s="3">
        <v>17</v>
      </c>
      <c r="E7" s="3">
        <v>6</v>
      </c>
      <c r="F7" s="3">
        <v>6</v>
      </c>
      <c r="G7" s="3"/>
      <c r="H7" s="3">
        <v>36</v>
      </c>
    </row>
    <row r="8" spans="1:8" x14ac:dyDescent="0.3">
      <c r="A8" s="5" t="s">
        <v>291</v>
      </c>
      <c r="B8" s="3">
        <v>10</v>
      </c>
      <c r="C8" s="3">
        <v>13</v>
      </c>
      <c r="D8" s="3">
        <v>40</v>
      </c>
      <c r="E8" s="3">
        <v>64</v>
      </c>
      <c r="F8" s="3">
        <v>56</v>
      </c>
      <c r="G8" s="3">
        <v>98</v>
      </c>
      <c r="H8" s="3">
        <v>281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53"/>
  <sheetViews>
    <sheetView workbookViewId="0">
      <selection activeCell="AH1" sqref="A1:XFD1048576"/>
    </sheetView>
  </sheetViews>
  <sheetFormatPr defaultRowHeight="14.4" x14ac:dyDescent="0.3"/>
  <cols>
    <col min="18" max="18" width="18.5546875" bestFit="1" customWidth="1"/>
    <col min="23" max="23" width="24.6640625" bestFit="1" customWidth="1"/>
    <col min="29" max="29" width="17.6640625" bestFit="1" customWidth="1"/>
    <col min="30" max="30" width="18.109375" bestFit="1" customWidth="1"/>
    <col min="31" max="31" width="14.88671875" bestFit="1" customWidth="1"/>
    <col min="34" max="34" width="27.77734375" bestFit="1" customWidth="1"/>
  </cols>
  <sheetData>
    <row r="1" spans="1:34"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289</v>
      </c>
    </row>
    <row r="2" spans="1:34" x14ac:dyDescent="0.3">
      <c r="A2" t="s">
        <v>33</v>
      </c>
      <c r="B2" t="s">
        <v>34</v>
      </c>
      <c r="C2">
        <v>1036</v>
      </c>
      <c r="D2">
        <v>634</v>
      </c>
      <c r="E2" t="s">
        <v>35</v>
      </c>
      <c r="G2">
        <v>269</v>
      </c>
      <c r="H2">
        <v>0</v>
      </c>
      <c r="I2">
        <v>75000</v>
      </c>
      <c r="J2">
        <v>40000</v>
      </c>
      <c r="K2">
        <v>0</v>
      </c>
      <c r="L2">
        <v>0</v>
      </c>
      <c r="M2">
        <v>0</v>
      </c>
      <c r="N2">
        <v>0</v>
      </c>
      <c r="O2">
        <v>0</v>
      </c>
      <c r="P2">
        <v>0</v>
      </c>
      <c r="Q2">
        <v>0</v>
      </c>
      <c r="R2">
        <v>0</v>
      </c>
      <c r="S2">
        <v>0</v>
      </c>
      <c r="T2">
        <v>5000</v>
      </c>
      <c r="X2">
        <v>5</v>
      </c>
      <c r="Y2">
        <v>124</v>
      </c>
      <c r="Z2" t="s">
        <v>36</v>
      </c>
      <c r="AA2">
        <v>0</v>
      </c>
      <c r="AC2">
        <v>0</v>
      </c>
      <c r="AD2">
        <v>0</v>
      </c>
      <c r="AE2">
        <v>40000</v>
      </c>
      <c r="AF2">
        <v>5000</v>
      </c>
      <c r="AG2">
        <v>0</v>
      </c>
      <c r="AH2">
        <f>AC2+AD2</f>
        <v>0</v>
      </c>
    </row>
    <row r="3" spans="1:34" x14ac:dyDescent="0.3">
      <c r="A3" t="s">
        <v>33</v>
      </c>
      <c r="B3" t="s">
        <v>34</v>
      </c>
      <c r="C3">
        <v>1054</v>
      </c>
      <c r="D3">
        <v>634</v>
      </c>
      <c r="E3" t="s">
        <v>35</v>
      </c>
      <c r="F3" t="s">
        <v>37</v>
      </c>
      <c r="G3">
        <v>271</v>
      </c>
      <c r="H3">
        <v>1</v>
      </c>
      <c r="I3">
        <v>75000</v>
      </c>
      <c r="J3">
        <v>40000</v>
      </c>
      <c r="K3">
        <v>0</v>
      </c>
      <c r="L3">
        <v>0</v>
      </c>
      <c r="M3">
        <v>15000</v>
      </c>
      <c r="N3">
        <v>20000</v>
      </c>
      <c r="O3">
        <v>11000</v>
      </c>
      <c r="P3">
        <v>0</v>
      </c>
      <c r="Q3">
        <v>0</v>
      </c>
      <c r="R3">
        <v>0</v>
      </c>
      <c r="S3">
        <v>0</v>
      </c>
      <c r="T3">
        <v>-6000</v>
      </c>
      <c r="X3">
        <v>5</v>
      </c>
      <c r="Y3">
        <v>124</v>
      </c>
      <c r="Z3" t="s">
        <v>36</v>
      </c>
      <c r="AA3">
        <v>0</v>
      </c>
      <c r="AB3" t="s">
        <v>38</v>
      </c>
      <c r="AC3">
        <v>0</v>
      </c>
      <c r="AD3">
        <v>0</v>
      </c>
      <c r="AE3">
        <v>86000</v>
      </c>
      <c r="AF3">
        <v>-6000</v>
      </c>
      <c r="AG3">
        <v>0</v>
      </c>
      <c r="AH3">
        <f t="shared" ref="AH3:AH66" si="0">AC3+AD3</f>
        <v>0</v>
      </c>
    </row>
    <row r="4" spans="1:34" x14ac:dyDescent="0.3">
      <c r="A4" t="s">
        <v>33</v>
      </c>
      <c r="B4" t="s">
        <v>34</v>
      </c>
      <c r="C4">
        <v>1092</v>
      </c>
      <c r="D4">
        <v>634</v>
      </c>
      <c r="E4" t="s">
        <v>35</v>
      </c>
      <c r="F4" t="s">
        <v>37</v>
      </c>
      <c r="G4">
        <v>276</v>
      </c>
      <c r="H4">
        <v>2</v>
      </c>
      <c r="I4">
        <v>75000</v>
      </c>
      <c r="J4">
        <v>40000</v>
      </c>
      <c r="K4">
        <v>6000</v>
      </c>
      <c r="L4">
        <v>0</v>
      </c>
      <c r="M4">
        <v>0</v>
      </c>
      <c r="N4">
        <v>20000</v>
      </c>
      <c r="O4">
        <v>11000</v>
      </c>
      <c r="P4">
        <v>0</v>
      </c>
      <c r="Q4">
        <v>0</v>
      </c>
      <c r="R4">
        <v>0</v>
      </c>
      <c r="S4">
        <v>0</v>
      </c>
      <c r="T4">
        <v>-2000</v>
      </c>
      <c r="X4">
        <v>4</v>
      </c>
      <c r="Y4">
        <v>124</v>
      </c>
      <c r="Z4" t="s">
        <v>36</v>
      </c>
      <c r="AA4">
        <v>0</v>
      </c>
      <c r="AB4" t="s">
        <v>38</v>
      </c>
      <c r="AC4">
        <v>0</v>
      </c>
      <c r="AD4">
        <v>0</v>
      </c>
      <c r="AE4">
        <v>71000</v>
      </c>
      <c r="AF4">
        <v>-2000</v>
      </c>
      <c r="AG4">
        <v>0</v>
      </c>
      <c r="AH4">
        <f t="shared" si="0"/>
        <v>0</v>
      </c>
    </row>
    <row r="5" spans="1:34" x14ac:dyDescent="0.3">
      <c r="A5" t="s">
        <v>33</v>
      </c>
      <c r="B5" t="s">
        <v>34</v>
      </c>
      <c r="C5">
        <v>1105</v>
      </c>
      <c r="D5">
        <v>634</v>
      </c>
      <c r="E5" t="s">
        <v>35</v>
      </c>
      <c r="F5" t="s">
        <v>37</v>
      </c>
      <c r="G5">
        <v>278</v>
      </c>
      <c r="H5">
        <v>3</v>
      </c>
      <c r="I5">
        <v>75000</v>
      </c>
      <c r="J5">
        <v>40000</v>
      </c>
      <c r="K5">
        <v>2000</v>
      </c>
      <c r="L5">
        <v>0</v>
      </c>
      <c r="M5">
        <v>0</v>
      </c>
      <c r="N5">
        <v>20000</v>
      </c>
      <c r="O5">
        <v>11000</v>
      </c>
      <c r="P5">
        <v>0</v>
      </c>
      <c r="Q5">
        <v>0</v>
      </c>
      <c r="R5">
        <v>12000</v>
      </c>
      <c r="S5">
        <v>0</v>
      </c>
      <c r="T5">
        <v>-10000</v>
      </c>
      <c r="X5">
        <v>-1</v>
      </c>
      <c r="Y5">
        <v>124</v>
      </c>
      <c r="Z5" t="s">
        <v>36</v>
      </c>
      <c r="AA5">
        <v>12000</v>
      </c>
      <c r="AB5" t="s">
        <v>38</v>
      </c>
      <c r="AC5">
        <v>0</v>
      </c>
      <c r="AD5">
        <v>0</v>
      </c>
      <c r="AE5">
        <v>83000</v>
      </c>
      <c r="AF5">
        <v>-10000</v>
      </c>
      <c r="AG5">
        <v>0</v>
      </c>
      <c r="AH5">
        <f t="shared" si="0"/>
        <v>0</v>
      </c>
    </row>
    <row r="6" spans="1:34" x14ac:dyDescent="0.3">
      <c r="A6" t="s">
        <v>33</v>
      </c>
      <c r="B6" t="s">
        <v>34</v>
      </c>
      <c r="C6">
        <v>1131</v>
      </c>
      <c r="D6">
        <v>634</v>
      </c>
      <c r="E6" t="s">
        <v>35</v>
      </c>
      <c r="F6" t="s">
        <v>37</v>
      </c>
      <c r="G6">
        <v>282</v>
      </c>
      <c r="H6">
        <v>4</v>
      </c>
      <c r="I6">
        <v>75000</v>
      </c>
      <c r="J6">
        <v>40000</v>
      </c>
      <c r="K6">
        <v>10000</v>
      </c>
      <c r="L6">
        <v>0</v>
      </c>
      <c r="M6">
        <v>0</v>
      </c>
      <c r="N6">
        <v>20000</v>
      </c>
      <c r="O6">
        <v>11000</v>
      </c>
      <c r="P6">
        <v>0</v>
      </c>
      <c r="Q6">
        <v>0</v>
      </c>
      <c r="R6">
        <v>12000</v>
      </c>
      <c r="S6">
        <v>0</v>
      </c>
      <c r="T6">
        <v>-18000</v>
      </c>
      <c r="X6">
        <v>-6</v>
      </c>
      <c r="Y6">
        <v>124</v>
      </c>
      <c r="Z6" t="s">
        <v>36</v>
      </c>
      <c r="AA6">
        <v>12000</v>
      </c>
      <c r="AB6" t="s">
        <v>38</v>
      </c>
      <c r="AC6">
        <v>0</v>
      </c>
      <c r="AD6">
        <v>0</v>
      </c>
      <c r="AE6">
        <v>83000</v>
      </c>
      <c r="AF6">
        <v>-18000</v>
      </c>
      <c r="AG6">
        <v>0</v>
      </c>
      <c r="AH6">
        <f t="shared" si="0"/>
        <v>0</v>
      </c>
    </row>
    <row r="7" spans="1:34" x14ac:dyDescent="0.3">
      <c r="A7" t="s">
        <v>33</v>
      </c>
      <c r="B7" t="s">
        <v>34</v>
      </c>
      <c r="C7">
        <v>1030</v>
      </c>
      <c r="D7">
        <v>635</v>
      </c>
      <c r="E7" t="s">
        <v>39</v>
      </c>
      <c r="G7">
        <v>269</v>
      </c>
      <c r="H7">
        <v>0</v>
      </c>
      <c r="I7">
        <v>110000</v>
      </c>
      <c r="J7">
        <v>60000</v>
      </c>
      <c r="K7">
        <v>0</v>
      </c>
      <c r="L7">
        <v>0</v>
      </c>
      <c r="M7">
        <v>0</v>
      </c>
      <c r="N7">
        <v>0</v>
      </c>
      <c r="O7">
        <v>0</v>
      </c>
      <c r="P7">
        <v>0</v>
      </c>
      <c r="Q7">
        <v>0</v>
      </c>
      <c r="R7">
        <v>0</v>
      </c>
      <c r="S7">
        <v>0</v>
      </c>
      <c r="T7">
        <v>30000</v>
      </c>
      <c r="X7">
        <v>5</v>
      </c>
      <c r="Y7">
        <v>126</v>
      </c>
      <c r="Z7" t="s">
        <v>40</v>
      </c>
      <c r="AA7">
        <v>0</v>
      </c>
      <c r="AC7">
        <v>0</v>
      </c>
      <c r="AD7">
        <v>0</v>
      </c>
      <c r="AE7">
        <v>60000</v>
      </c>
      <c r="AF7">
        <v>30000</v>
      </c>
      <c r="AG7">
        <v>0</v>
      </c>
      <c r="AH7">
        <f t="shared" si="0"/>
        <v>0</v>
      </c>
    </row>
    <row r="8" spans="1:34" x14ac:dyDescent="0.3">
      <c r="A8" t="s">
        <v>33</v>
      </c>
      <c r="B8" t="s">
        <v>34</v>
      </c>
      <c r="C8">
        <v>1049</v>
      </c>
      <c r="D8">
        <v>635</v>
      </c>
      <c r="E8" t="s">
        <v>39</v>
      </c>
      <c r="F8" t="s">
        <v>41</v>
      </c>
      <c r="G8">
        <v>271</v>
      </c>
      <c r="H8">
        <v>1</v>
      </c>
      <c r="I8">
        <v>110000</v>
      </c>
      <c r="J8">
        <v>60000</v>
      </c>
      <c r="K8">
        <v>0</v>
      </c>
      <c r="L8">
        <v>0</v>
      </c>
      <c r="M8">
        <v>30000</v>
      </c>
      <c r="N8">
        <v>15000</v>
      </c>
      <c r="O8">
        <v>17000</v>
      </c>
      <c r="P8">
        <v>8000</v>
      </c>
      <c r="Q8">
        <v>0</v>
      </c>
      <c r="R8">
        <v>0</v>
      </c>
      <c r="S8">
        <v>0</v>
      </c>
      <c r="T8">
        <v>10000</v>
      </c>
      <c r="V8">
        <v>8000</v>
      </c>
      <c r="X8">
        <v>6</v>
      </c>
      <c r="Y8">
        <v>126</v>
      </c>
      <c r="Z8" t="s">
        <v>40</v>
      </c>
      <c r="AA8">
        <v>0</v>
      </c>
      <c r="AB8" t="s">
        <v>42</v>
      </c>
      <c r="AC8">
        <v>1</v>
      </c>
      <c r="AD8">
        <v>1</v>
      </c>
      <c r="AE8">
        <v>130000</v>
      </c>
      <c r="AF8">
        <v>10000</v>
      </c>
      <c r="AG8">
        <v>0</v>
      </c>
      <c r="AH8">
        <f t="shared" si="0"/>
        <v>2</v>
      </c>
    </row>
    <row r="9" spans="1:34" x14ac:dyDescent="0.3">
      <c r="A9" t="s">
        <v>33</v>
      </c>
      <c r="B9" t="s">
        <v>34</v>
      </c>
      <c r="C9">
        <v>1090</v>
      </c>
      <c r="D9">
        <v>635</v>
      </c>
      <c r="E9" t="s">
        <v>39</v>
      </c>
      <c r="F9" t="s">
        <v>41</v>
      </c>
      <c r="G9">
        <v>276</v>
      </c>
      <c r="H9">
        <v>2</v>
      </c>
      <c r="I9">
        <v>110000</v>
      </c>
      <c r="J9">
        <v>60000</v>
      </c>
      <c r="K9">
        <v>0</v>
      </c>
      <c r="L9">
        <v>0</v>
      </c>
      <c r="M9">
        <v>0</v>
      </c>
      <c r="N9">
        <v>15000</v>
      </c>
      <c r="O9">
        <v>17000</v>
      </c>
      <c r="P9">
        <v>0</v>
      </c>
      <c r="Q9">
        <v>9000</v>
      </c>
      <c r="R9">
        <v>0</v>
      </c>
      <c r="S9">
        <v>0</v>
      </c>
      <c r="T9">
        <v>19000</v>
      </c>
      <c r="U9">
        <v>7650</v>
      </c>
      <c r="X9">
        <v>7</v>
      </c>
      <c r="Y9">
        <v>126</v>
      </c>
      <c r="Z9" t="s">
        <v>40</v>
      </c>
      <c r="AA9">
        <v>0</v>
      </c>
      <c r="AB9" t="s">
        <v>42</v>
      </c>
      <c r="AC9">
        <v>0</v>
      </c>
      <c r="AD9">
        <v>0</v>
      </c>
      <c r="AE9">
        <v>101000</v>
      </c>
      <c r="AF9">
        <v>19000</v>
      </c>
      <c r="AG9">
        <v>0</v>
      </c>
      <c r="AH9">
        <f t="shared" si="0"/>
        <v>0</v>
      </c>
    </row>
    <row r="10" spans="1:34" x14ac:dyDescent="0.3">
      <c r="A10" t="s">
        <v>33</v>
      </c>
      <c r="B10" t="s">
        <v>34</v>
      </c>
      <c r="C10">
        <v>1102</v>
      </c>
      <c r="D10">
        <v>635</v>
      </c>
      <c r="E10" t="s">
        <v>39</v>
      </c>
      <c r="F10" t="s">
        <v>41</v>
      </c>
      <c r="G10">
        <v>278</v>
      </c>
      <c r="H10">
        <v>3</v>
      </c>
      <c r="I10">
        <v>110000</v>
      </c>
      <c r="J10">
        <v>60000</v>
      </c>
      <c r="K10">
        <v>0</v>
      </c>
      <c r="L10">
        <v>0</v>
      </c>
      <c r="M10">
        <v>0</v>
      </c>
      <c r="N10">
        <v>15000</v>
      </c>
      <c r="O10">
        <v>17000</v>
      </c>
      <c r="P10">
        <v>6000</v>
      </c>
      <c r="Q10">
        <v>15500</v>
      </c>
      <c r="R10">
        <v>0</v>
      </c>
      <c r="S10">
        <v>0</v>
      </c>
      <c r="T10">
        <v>15500</v>
      </c>
      <c r="U10">
        <v>14000</v>
      </c>
      <c r="V10">
        <v>6000</v>
      </c>
      <c r="W10">
        <v>1500</v>
      </c>
      <c r="X10">
        <v>11</v>
      </c>
      <c r="Y10">
        <v>126</v>
      </c>
      <c r="Z10" t="s">
        <v>40</v>
      </c>
      <c r="AA10">
        <v>0</v>
      </c>
      <c r="AB10" t="s">
        <v>42</v>
      </c>
      <c r="AC10">
        <v>0</v>
      </c>
      <c r="AD10">
        <v>1</v>
      </c>
      <c r="AE10">
        <v>113500</v>
      </c>
      <c r="AF10">
        <v>15500</v>
      </c>
      <c r="AG10">
        <v>0</v>
      </c>
      <c r="AH10">
        <f t="shared" si="0"/>
        <v>1</v>
      </c>
    </row>
    <row r="11" spans="1:34" x14ac:dyDescent="0.3">
      <c r="A11" t="s">
        <v>33</v>
      </c>
      <c r="B11" t="s">
        <v>34</v>
      </c>
      <c r="C11">
        <v>1127</v>
      </c>
      <c r="D11">
        <v>635</v>
      </c>
      <c r="E11" t="s">
        <v>39</v>
      </c>
      <c r="F11" t="s">
        <v>41</v>
      </c>
      <c r="G11">
        <v>282</v>
      </c>
      <c r="H11">
        <v>4</v>
      </c>
      <c r="I11">
        <v>110000</v>
      </c>
      <c r="J11">
        <v>60000</v>
      </c>
      <c r="K11">
        <v>0</v>
      </c>
      <c r="L11">
        <v>0</v>
      </c>
      <c r="M11">
        <v>0</v>
      </c>
      <c r="N11">
        <v>30000</v>
      </c>
      <c r="O11">
        <v>17000</v>
      </c>
      <c r="P11">
        <v>1000</v>
      </c>
      <c r="Q11">
        <v>0</v>
      </c>
      <c r="R11">
        <v>0</v>
      </c>
      <c r="S11">
        <v>0</v>
      </c>
      <c r="T11">
        <v>17500</v>
      </c>
      <c r="V11">
        <v>1000</v>
      </c>
      <c r="X11">
        <v>11</v>
      </c>
      <c r="Y11">
        <v>126</v>
      </c>
      <c r="Z11" t="s">
        <v>40</v>
      </c>
      <c r="AA11">
        <v>0</v>
      </c>
      <c r="AB11" t="s">
        <v>42</v>
      </c>
      <c r="AC11">
        <v>1</v>
      </c>
      <c r="AD11">
        <v>0</v>
      </c>
      <c r="AE11">
        <v>108000</v>
      </c>
      <c r="AF11">
        <v>17500</v>
      </c>
      <c r="AG11">
        <v>0</v>
      </c>
      <c r="AH11">
        <f t="shared" si="0"/>
        <v>1</v>
      </c>
    </row>
    <row r="12" spans="1:34" x14ac:dyDescent="0.3">
      <c r="A12" t="s">
        <v>33</v>
      </c>
      <c r="B12" t="s">
        <v>34</v>
      </c>
      <c r="C12">
        <v>1025</v>
      </c>
      <c r="D12">
        <v>636</v>
      </c>
      <c r="E12" t="s">
        <v>43</v>
      </c>
      <c r="G12">
        <v>269</v>
      </c>
      <c r="H12">
        <v>0</v>
      </c>
      <c r="I12">
        <v>60000</v>
      </c>
      <c r="J12">
        <v>30000</v>
      </c>
      <c r="K12">
        <v>0</v>
      </c>
      <c r="L12">
        <v>0</v>
      </c>
      <c r="M12">
        <v>0</v>
      </c>
      <c r="N12">
        <v>0</v>
      </c>
      <c r="O12">
        <v>0</v>
      </c>
      <c r="P12">
        <v>0</v>
      </c>
      <c r="Q12">
        <v>0</v>
      </c>
      <c r="R12">
        <v>0</v>
      </c>
      <c r="S12">
        <v>0</v>
      </c>
      <c r="T12">
        <v>0</v>
      </c>
      <c r="X12">
        <v>5</v>
      </c>
      <c r="Y12">
        <v>123</v>
      </c>
      <c r="Z12" t="s">
        <v>44</v>
      </c>
      <c r="AA12">
        <v>0</v>
      </c>
      <c r="AC12">
        <v>0</v>
      </c>
      <c r="AD12">
        <v>0</v>
      </c>
      <c r="AE12">
        <v>30000</v>
      </c>
      <c r="AF12">
        <v>0</v>
      </c>
      <c r="AG12">
        <v>0</v>
      </c>
      <c r="AH12">
        <f t="shared" si="0"/>
        <v>0</v>
      </c>
    </row>
    <row r="13" spans="1:34" x14ac:dyDescent="0.3">
      <c r="A13" t="s">
        <v>33</v>
      </c>
      <c r="B13" t="s">
        <v>34</v>
      </c>
      <c r="C13">
        <v>1050</v>
      </c>
      <c r="D13">
        <v>636</v>
      </c>
      <c r="E13" t="s">
        <v>43</v>
      </c>
      <c r="F13" t="s">
        <v>45</v>
      </c>
      <c r="G13">
        <v>271</v>
      </c>
      <c r="H13">
        <v>1</v>
      </c>
      <c r="I13">
        <v>60000</v>
      </c>
      <c r="J13">
        <v>30000</v>
      </c>
      <c r="K13">
        <v>0</v>
      </c>
      <c r="L13">
        <v>0</v>
      </c>
      <c r="M13">
        <v>0</v>
      </c>
      <c r="N13">
        <v>20000</v>
      </c>
      <c r="O13">
        <v>7000</v>
      </c>
      <c r="P13">
        <v>0</v>
      </c>
      <c r="Q13">
        <v>1750</v>
      </c>
      <c r="R13">
        <v>0</v>
      </c>
      <c r="S13">
        <v>0</v>
      </c>
      <c r="T13">
        <v>1250</v>
      </c>
      <c r="U13">
        <v>1750</v>
      </c>
      <c r="X13">
        <v>5</v>
      </c>
      <c r="Y13">
        <v>123</v>
      </c>
      <c r="Z13" t="s">
        <v>44</v>
      </c>
      <c r="AA13">
        <v>0</v>
      </c>
      <c r="AB13" t="s">
        <v>38</v>
      </c>
      <c r="AC13">
        <v>0</v>
      </c>
      <c r="AD13">
        <v>0</v>
      </c>
      <c r="AE13">
        <v>58750</v>
      </c>
      <c r="AF13">
        <v>1250</v>
      </c>
      <c r="AG13">
        <v>0</v>
      </c>
      <c r="AH13">
        <f t="shared" si="0"/>
        <v>0</v>
      </c>
    </row>
    <row r="14" spans="1:34" x14ac:dyDescent="0.3">
      <c r="A14" t="s">
        <v>33</v>
      </c>
      <c r="B14" t="s">
        <v>34</v>
      </c>
      <c r="C14">
        <v>1091</v>
      </c>
      <c r="D14">
        <v>636</v>
      </c>
      <c r="E14" t="s">
        <v>43</v>
      </c>
      <c r="F14" t="s">
        <v>45</v>
      </c>
      <c r="G14">
        <v>276</v>
      </c>
      <c r="H14">
        <v>2</v>
      </c>
      <c r="I14">
        <v>60000</v>
      </c>
      <c r="J14">
        <v>30000</v>
      </c>
      <c r="K14">
        <v>0</v>
      </c>
      <c r="L14">
        <v>0</v>
      </c>
      <c r="M14">
        <v>0</v>
      </c>
      <c r="N14">
        <v>20000</v>
      </c>
      <c r="O14">
        <v>7000</v>
      </c>
      <c r="P14">
        <v>1000</v>
      </c>
      <c r="Q14">
        <v>1400</v>
      </c>
      <c r="R14">
        <v>0</v>
      </c>
      <c r="S14">
        <v>0</v>
      </c>
      <c r="T14">
        <v>1850</v>
      </c>
      <c r="U14">
        <v>1400</v>
      </c>
      <c r="V14">
        <v>1000</v>
      </c>
      <c r="W14">
        <v>0</v>
      </c>
      <c r="X14">
        <v>5</v>
      </c>
      <c r="Y14">
        <v>123</v>
      </c>
      <c r="Z14" t="s">
        <v>44</v>
      </c>
      <c r="AA14">
        <v>0</v>
      </c>
      <c r="AB14" t="s">
        <v>38</v>
      </c>
      <c r="AC14">
        <v>1</v>
      </c>
      <c r="AD14">
        <v>0</v>
      </c>
      <c r="AE14">
        <v>59400</v>
      </c>
      <c r="AF14">
        <v>1850</v>
      </c>
      <c r="AG14">
        <v>0</v>
      </c>
      <c r="AH14">
        <f t="shared" si="0"/>
        <v>1</v>
      </c>
    </row>
    <row r="15" spans="1:34" x14ac:dyDescent="0.3">
      <c r="A15" t="s">
        <v>33</v>
      </c>
      <c r="B15" t="s">
        <v>34</v>
      </c>
      <c r="C15">
        <v>1111</v>
      </c>
      <c r="D15">
        <v>636</v>
      </c>
      <c r="E15" t="s">
        <v>43</v>
      </c>
      <c r="F15" t="s">
        <v>45</v>
      </c>
      <c r="G15">
        <v>278</v>
      </c>
      <c r="H15">
        <v>3</v>
      </c>
      <c r="I15">
        <v>60000</v>
      </c>
      <c r="J15">
        <v>30000</v>
      </c>
      <c r="K15">
        <v>0</v>
      </c>
      <c r="L15">
        <v>0</v>
      </c>
      <c r="M15">
        <v>0</v>
      </c>
      <c r="N15">
        <v>20000</v>
      </c>
      <c r="O15">
        <v>7000</v>
      </c>
      <c r="P15">
        <v>0</v>
      </c>
      <c r="Q15">
        <v>0</v>
      </c>
      <c r="R15">
        <v>12000</v>
      </c>
      <c r="S15">
        <v>0</v>
      </c>
      <c r="T15">
        <v>-7150</v>
      </c>
      <c r="X15">
        <v>1</v>
      </c>
      <c r="Y15">
        <v>123</v>
      </c>
      <c r="Z15" t="s">
        <v>44</v>
      </c>
      <c r="AA15">
        <v>12000</v>
      </c>
      <c r="AB15" t="s">
        <v>38</v>
      </c>
      <c r="AC15">
        <v>0</v>
      </c>
      <c r="AD15">
        <v>0</v>
      </c>
      <c r="AE15">
        <v>69000</v>
      </c>
      <c r="AF15">
        <v>-7150</v>
      </c>
      <c r="AG15">
        <v>0</v>
      </c>
      <c r="AH15">
        <f t="shared" si="0"/>
        <v>0</v>
      </c>
    </row>
    <row r="16" spans="1:34" x14ac:dyDescent="0.3">
      <c r="A16" t="s">
        <v>33</v>
      </c>
      <c r="B16" t="s">
        <v>34</v>
      </c>
      <c r="C16">
        <v>1128</v>
      </c>
      <c r="D16">
        <v>636</v>
      </c>
      <c r="E16" t="s">
        <v>43</v>
      </c>
      <c r="F16" t="s">
        <v>45</v>
      </c>
      <c r="G16">
        <v>282</v>
      </c>
      <c r="H16">
        <v>4</v>
      </c>
      <c r="I16">
        <v>60000</v>
      </c>
      <c r="J16">
        <v>30000</v>
      </c>
      <c r="K16">
        <v>7150</v>
      </c>
      <c r="L16">
        <v>0</v>
      </c>
      <c r="M16">
        <v>0</v>
      </c>
      <c r="N16">
        <v>20000</v>
      </c>
      <c r="O16">
        <v>7000</v>
      </c>
      <c r="P16">
        <v>0</v>
      </c>
      <c r="Q16">
        <v>0</v>
      </c>
      <c r="R16">
        <v>12000</v>
      </c>
      <c r="S16">
        <v>0</v>
      </c>
      <c r="T16">
        <v>-16150</v>
      </c>
      <c r="X16">
        <v>-4</v>
      </c>
      <c r="Y16">
        <v>123</v>
      </c>
      <c r="Z16" t="s">
        <v>44</v>
      </c>
      <c r="AA16">
        <v>12000</v>
      </c>
      <c r="AB16" t="s">
        <v>38</v>
      </c>
      <c r="AC16">
        <v>0</v>
      </c>
      <c r="AD16">
        <v>0</v>
      </c>
      <c r="AE16">
        <v>69000</v>
      </c>
      <c r="AF16">
        <v>-16150</v>
      </c>
      <c r="AG16">
        <v>0</v>
      </c>
      <c r="AH16">
        <f t="shared" si="0"/>
        <v>0</v>
      </c>
    </row>
    <row r="17" spans="1:34" x14ac:dyDescent="0.3">
      <c r="A17" t="s">
        <v>33</v>
      </c>
      <c r="B17" t="s">
        <v>34</v>
      </c>
      <c r="C17">
        <v>1034</v>
      </c>
      <c r="D17">
        <v>637</v>
      </c>
      <c r="E17" t="s">
        <v>46</v>
      </c>
      <c r="G17">
        <v>269</v>
      </c>
      <c r="H17">
        <v>0</v>
      </c>
      <c r="I17">
        <v>90000</v>
      </c>
      <c r="J17">
        <v>50000</v>
      </c>
      <c r="K17">
        <v>0</v>
      </c>
      <c r="L17">
        <v>0</v>
      </c>
      <c r="M17">
        <v>0</v>
      </c>
      <c r="N17">
        <v>0</v>
      </c>
      <c r="O17">
        <v>0</v>
      </c>
      <c r="P17">
        <v>0</v>
      </c>
      <c r="Q17">
        <v>0</v>
      </c>
      <c r="R17">
        <v>0</v>
      </c>
      <c r="S17">
        <v>0</v>
      </c>
      <c r="T17">
        <v>15000</v>
      </c>
      <c r="X17">
        <v>5</v>
      </c>
      <c r="Y17">
        <v>125</v>
      </c>
      <c r="Z17" t="s">
        <v>47</v>
      </c>
      <c r="AA17">
        <v>0</v>
      </c>
      <c r="AC17">
        <v>0</v>
      </c>
      <c r="AD17">
        <v>0</v>
      </c>
      <c r="AE17">
        <v>50000</v>
      </c>
      <c r="AF17">
        <v>15000</v>
      </c>
      <c r="AG17">
        <v>0</v>
      </c>
      <c r="AH17">
        <f t="shared" si="0"/>
        <v>0</v>
      </c>
    </row>
    <row r="18" spans="1:34" x14ac:dyDescent="0.3">
      <c r="A18" t="s">
        <v>33</v>
      </c>
      <c r="B18" t="s">
        <v>34</v>
      </c>
      <c r="C18">
        <v>1052</v>
      </c>
      <c r="D18">
        <v>637</v>
      </c>
      <c r="E18" t="s">
        <v>46</v>
      </c>
      <c r="F18" t="s">
        <v>48</v>
      </c>
      <c r="G18">
        <v>271</v>
      </c>
      <c r="H18">
        <v>1</v>
      </c>
      <c r="I18">
        <v>90000</v>
      </c>
      <c r="J18">
        <v>50000</v>
      </c>
      <c r="K18">
        <v>0</v>
      </c>
      <c r="L18">
        <v>0</v>
      </c>
      <c r="M18">
        <v>0</v>
      </c>
      <c r="N18">
        <v>15000</v>
      </c>
      <c r="O18">
        <v>10000</v>
      </c>
      <c r="P18">
        <v>6000</v>
      </c>
      <c r="Q18">
        <v>5000</v>
      </c>
      <c r="R18">
        <v>0</v>
      </c>
      <c r="S18">
        <v>0</v>
      </c>
      <c r="T18">
        <v>19000</v>
      </c>
      <c r="U18">
        <v>5000</v>
      </c>
      <c r="V18">
        <v>6000</v>
      </c>
      <c r="W18">
        <v>0</v>
      </c>
      <c r="X18">
        <v>6</v>
      </c>
      <c r="Y18">
        <v>125</v>
      </c>
      <c r="Z18" t="s">
        <v>47</v>
      </c>
      <c r="AA18">
        <v>0</v>
      </c>
      <c r="AB18" t="s">
        <v>42</v>
      </c>
      <c r="AC18">
        <v>0</v>
      </c>
      <c r="AD18">
        <v>1</v>
      </c>
      <c r="AE18">
        <v>86000</v>
      </c>
      <c r="AF18">
        <v>19000</v>
      </c>
      <c r="AG18">
        <v>0</v>
      </c>
      <c r="AH18">
        <f t="shared" si="0"/>
        <v>1</v>
      </c>
    </row>
    <row r="19" spans="1:34" x14ac:dyDescent="0.3">
      <c r="A19" t="s">
        <v>33</v>
      </c>
      <c r="B19" t="s">
        <v>34</v>
      </c>
      <c r="C19">
        <v>1094</v>
      </c>
      <c r="D19">
        <v>637</v>
      </c>
      <c r="E19" t="s">
        <v>46</v>
      </c>
      <c r="F19" t="s">
        <v>48</v>
      </c>
      <c r="G19">
        <v>276</v>
      </c>
      <c r="H19">
        <v>2</v>
      </c>
      <c r="I19">
        <v>90000</v>
      </c>
      <c r="J19">
        <v>50000</v>
      </c>
      <c r="K19">
        <v>0</v>
      </c>
      <c r="L19">
        <v>0</v>
      </c>
      <c r="M19">
        <v>0</v>
      </c>
      <c r="N19">
        <v>15000</v>
      </c>
      <c r="O19">
        <v>10000</v>
      </c>
      <c r="P19">
        <v>10000</v>
      </c>
      <c r="Q19">
        <v>2500</v>
      </c>
      <c r="R19">
        <v>0</v>
      </c>
      <c r="S19">
        <v>0</v>
      </c>
      <c r="T19">
        <v>21500</v>
      </c>
      <c r="U19">
        <v>2500</v>
      </c>
      <c r="V19">
        <v>10000</v>
      </c>
      <c r="W19">
        <v>0</v>
      </c>
      <c r="X19">
        <v>7</v>
      </c>
      <c r="Y19">
        <v>125</v>
      </c>
      <c r="Z19" t="s">
        <v>47</v>
      </c>
      <c r="AA19">
        <v>0</v>
      </c>
      <c r="AB19" t="s">
        <v>42</v>
      </c>
      <c r="AC19">
        <v>1</v>
      </c>
      <c r="AD19">
        <v>1</v>
      </c>
      <c r="AE19">
        <v>87500</v>
      </c>
      <c r="AF19">
        <v>21500</v>
      </c>
      <c r="AG19">
        <v>0</v>
      </c>
      <c r="AH19">
        <f t="shared" si="0"/>
        <v>2</v>
      </c>
    </row>
    <row r="20" spans="1:34" x14ac:dyDescent="0.3">
      <c r="A20" t="s">
        <v>33</v>
      </c>
      <c r="B20" t="s">
        <v>34</v>
      </c>
      <c r="C20">
        <v>1108</v>
      </c>
      <c r="D20">
        <v>637</v>
      </c>
      <c r="E20" t="s">
        <v>46</v>
      </c>
      <c r="F20" t="s">
        <v>48</v>
      </c>
      <c r="G20">
        <v>278</v>
      </c>
      <c r="H20">
        <v>3</v>
      </c>
      <c r="I20">
        <v>90000</v>
      </c>
      <c r="J20">
        <v>50000</v>
      </c>
      <c r="K20">
        <v>0</v>
      </c>
      <c r="L20">
        <v>0</v>
      </c>
      <c r="M20">
        <v>0</v>
      </c>
      <c r="N20">
        <v>15000</v>
      </c>
      <c r="O20">
        <v>10000</v>
      </c>
      <c r="P20">
        <v>8000</v>
      </c>
      <c r="Q20">
        <v>0</v>
      </c>
      <c r="R20">
        <v>0</v>
      </c>
      <c r="S20">
        <v>0</v>
      </c>
      <c r="T20">
        <v>28500</v>
      </c>
      <c r="V20">
        <v>8000</v>
      </c>
      <c r="X20">
        <v>8</v>
      </c>
      <c r="Y20">
        <v>125</v>
      </c>
      <c r="Z20" t="s">
        <v>47</v>
      </c>
      <c r="AA20">
        <v>0</v>
      </c>
      <c r="AB20" t="s">
        <v>42</v>
      </c>
      <c r="AC20">
        <v>0</v>
      </c>
      <c r="AD20">
        <v>1</v>
      </c>
      <c r="AE20">
        <v>83000</v>
      </c>
      <c r="AF20">
        <v>28500</v>
      </c>
      <c r="AG20">
        <v>0</v>
      </c>
      <c r="AH20">
        <f t="shared" si="0"/>
        <v>1</v>
      </c>
    </row>
    <row r="21" spans="1:34" x14ac:dyDescent="0.3">
      <c r="A21" t="s">
        <v>33</v>
      </c>
      <c r="B21" t="s">
        <v>34</v>
      </c>
      <c r="C21">
        <v>1133</v>
      </c>
      <c r="D21">
        <v>637</v>
      </c>
      <c r="E21" t="s">
        <v>46</v>
      </c>
      <c r="F21" t="s">
        <v>48</v>
      </c>
      <c r="G21">
        <v>282</v>
      </c>
      <c r="H21">
        <v>4</v>
      </c>
      <c r="I21">
        <v>90000</v>
      </c>
      <c r="J21">
        <v>50000</v>
      </c>
      <c r="K21">
        <v>0</v>
      </c>
      <c r="L21">
        <v>0</v>
      </c>
      <c r="M21">
        <v>0</v>
      </c>
      <c r="N21">
        <v>30000</v>
      </c>
      <c r="O21">
        <v>10000</v>
      </c>
      <c r="P21">
        <v>9000</v>
      </c>
      <c r="Q21">
        <v>0</v>
      </c>
      <c r="R21">
        <v>0</v>
      </c>
      <c r="S21">
        <v>0</v>
      </c>
      <c r="T21">
        <v>19500</v>
      </c>
      <c r="U21">
        <v>6500</v>
      </c>
      <c r="V21">
        <v>9000</v>
      </c>
      <c r="W21">
        <v>-6500</v>
      </c>
      <c r="X21">
        <v>9</v>
      </c>
      <c r="Y21">
        <v>125</v>
      </c>
      <c r="Z21" t="s">
        <v>47</v>
      </c>
      <c r="AA21">
        <v>0</v>
      </c>
      <c r="AB21" t="s">
        <v>42</v>
      </c>
      <c r="AC21">
        <v>2</v>
      </c>
      <c r="AD21">
        <v>1</v>
      </c>
      <c r="AE21">
        <v>99000</v>
      </c>
      <c r="AF21">
        <v>19500</v>
      </c>
      <c r="AG21">
        <v>0</v>
      </c>
      <c r="AH21">
        <f t="shared" si="0"/>
        <v>3</v>
      </c>
    </row>
    <row r="22" spans="1:34" x14ac:dyDescent="0.3">
      <c r="A22" t="s">
        <v>33</v>
      </c>
      <c r="B22" t="s">
        <v>34</v>
      </c>
      <c r="C22">
        <v>1033</v>
      </c>
      <c r="D22">
        <v>638</v>
      </c>
      <c r="E22" t="s">
        <v>49</v>
      </c>
      <c r="G22">
        <v>269</v>
      </c>
      <c r="H22">
        <v>0</v>
      </c>
      <c r="I22">
        <v>130000</v>
      </c>
      <c r="J22">
        <v>75000</v>
      </c>
      <c r="K22">
        <v>0</v>
      </c>
      <c r="L22">
        <v>0</v>
      </c>
      <c r="M22">
        <v>0</v>
      </c>
      <c r="N22">
        <v>0</v>
      </c>
      <c r="O22">
        <v>0</v>
      </c>
      <c r="P22">
        <v>0</v>
      </c>
      <c r="Q22">
        <v>0</v>
      </c>
      <c r="R22">
        <v>0</v>
      </c>
      <c r="S22">
        <v>0</v>
      </c>
      <c r="T22">
        <v>50000</v>
      </c>
      <c r="X22">
        <v>5</v>
      </c>
      <c r="Y22">
        <v>127</v>
      </c>
      <c r="Z22" t="s">
        <v>50</v>
      </c>
      <c r="AA22">
        <v>0</v>
      </c>
      <c r="AC22">
        <v>0</v>
      </c>
      <c r="AD22">
        <v>0</v>
      </c>
      <c r="AE22">
        <v>75000</v>
      </c>
      <c r="AF22">
        <v>50000</v>
      </c>
      <c r="AG22">
        <v>0</v>
      </c>
      <c r="AH22">
        <f t="shared" si="0"/>
        <v>0</v>
      </c>
    </row>
    <row r="23" spans="1:34" x14ac:dyDescent="0.3">
      <c r="A23" t="s">
        <v>33</v>
      </c>
      <c r="B23" t="s">
        <v>34</v>
      </c>
      <c r="C23">
        <v>1051</v>
      </c>
      <c r="D23">
        <v>638</v>
      </c>
      <c r="E23" t="s">
        <v>49</v>
      </c>
      <c r="F23" t="s">
        <v>51</v>
      </c>
      <c r="G23">
        <v>271</v>
      </c>
      <c r="H23">
        <v>1</v>
      </c>
      <c r="I23">
        <v>130000</v>
      </c>
      <c r="J23">
        <v>75000</v>
      </c>
      <c r="K23">
        <v>0</v>
      </c>
      <c r="L23">
        <v>0</v>
      </c>
      <c r="M23">
        <v>100000</v>
      </c>
      <c r="N23">
        <v>20000</v>
      </c>
      <c r="O23">
        <v>20000</v>
      </c>
      <c r="P23">
        <v>0</v>
      </c>
      <c r="Q23">
        <v>0</v>
      </c>
      <c r="R23">
        <v>0</v>
      </c>
      <c r="S23">
        <v>4000</v>
      </c>
      <c r="T23">
        <v>-39000</v>
      </c>
      <c r="X23">
        <v>5</v>
      </c>
      <c r="Y23">
        <v>127</v>
      </c>
      <c r="Z23" t="s">
        <v>50</v>
      </c>
      <c r="AA23">
        <v>4000</v>
      </c>
      <c r="AB23" t="s">
        <v>52</v>
      </c>
      <c r="AC23">
        <v>0</v>
      </c>
      <c r="AD23">
        <v>0</v>
      </c>
      <c r="AE23">
        <v>219000</v>
      </c>
      <c r="AF23">
        <v>-39000</v>
      </c>
      <c r="AG23">
        <v>0</v>
      </c>
      <c r="AH23">
        <f t="shared" si="0"/>
        <v>0</v>
      </c>
    </row>
    <row r="24" spans="1:34" x14ac:dyDescent="0.3">
      <c r="A24" t="s">
        <v>33</v>
      </c>
      <c r="B24" t="s">
        <v>34</v>
      </c>
      <c r="C24">
        <v>1093</v>
      </c>
      <c r="D24">
        <v>638</v>
      </c>
      <c r="E24" t="s">
        <v>49</v>
      </c>
      <c r="F24" t="s">
        <v>51</v>
      </c>
      <c r="G24">
        <v>276</v>
      </c>
      <c r="H24">
        <v>2</v>
      </c>
      <c r="I24">
        <v>130000</v>
      </c>
      <c r="J24">
        <v>75000</v>
      </c>
      <c r="K24">
        <v>39000</v>
      </c>
      <c r="L24">
        <v>0</v>
      </c>
      <c r="M24">
        <v>0</v>
      </c>
      <c r="N24">
        <v>20000</v>
      </c>
      <c r="O24">
        <v>20000</v>
      </c>
      <c r="P24">
        <v>0</v>
      </c>
      <c r="Q24">
        <v>0</v>
      </c>
      <c r="R24">
        <v>0</v>
      </c>
      <c r="S24">
        <v>0</v>
      </c>
      <c r="T24">
        <v>-24000</v>
      </c>
      <c r="X24">
        <v>4</v>
      </c>
      <c r="Y24">
        <v>127</v>
      </c>
      <c r="Z24" t="s">
        <v>50</v>
      </c>
      <c r="AA24">
        <v>0</v>
      </c>
      <c r="AB24" t="s">
        <v>52</v>
      </c>
      <c r="AC24">
        <v>0</v>
      </c>
      <c r="AD24">
        <v>0</v>
      </c>
      <c r="AE24">
        <v>115000</v>
      </c>
      <c r="AF24">
        <v>-24000</v>
      </c>
      <c r="AG24">
        <v>0</v>
      </c>
      <c r="AH24">
        <f t="shared" si="0"/>
        <v>0</v>
      </c>
    </row>
    <row r="25" spans="1:34" x14ac:dyDescent="0.3">
      <c r="A25" t="s">
        <v>33</v>
      </c>
      <c r="B25" t="s">
        <v>34</v>
      </c>
      <c r="C25">
        <v>1107</v>
      </c>
      <c r="D25">
        <v>638</v>
      </c>
      <c r="E25" t="s">
        <v>49</v>
      </c>
      <c r="F25" t="s">
        <v>51</v>
      </c>
      <c r="G25">
        <v>278</v>
      </c>
      <c r="H25">
        <v>3</v>
      </c>
      <c r="I25">
        <v>130000</v>
      </c>
      <c r="J25">
        <v>75000</v>
      </c>
      <c r="K25">
        <v>24000</v>
      </c>
      <c r="L25">
        <v>0</v>
      </c>
      <c r="M25">
        <v>0</v>
      </c>
      <c r="N25">
        <v>20000</v>
      </c>
      <c r="O25">
        <v>20000</v>
      </c>
      <c r="P25">
        <v>0</v>
      </c>
      <c r="Q25">
        <v>0</v>
      </c>
      <c r="R25">
        <v>0</v>
      </c>
      <c r="S25">
        <v>0</v>
      </c>
      <c r="T25">
        <v>-9000</v>
      </c>
      <c r="X25">
        <v>3</v>
      </c>
      <c r="Y25">
        <v>127</v>
      </c>
      <c r="Z25" t="s">
        <v>50</v>
      </c>
      <c r="AA25">
        <v>0</v>
      </c>
      <c r="AB25" t="s">
        <v>52</v>
      </c>
      <c r="AC25">
        <v>0</v>
      </c>
      <c r="AD25">
        <v>0</v>
      </c>
      <c r="AE25">
        <v>115000</v>
      </c>
      <c r="AF25">
        <v>-9000</v>
      </c>
      <c r="AG25">
        <v>0</v>
      </c>
      <c r="AH25">
        <f t="shared" si="0"/>
        <v>0</v>
      </c>
    </row>
    <row r="26" spans="1:34" x14ac:dyDescent="0.3">
      <c r="A26" t="s">
        <v>33</v>
      </c>
      <c r="B26" t="s">
        <v>34</v>
      </c>
      <c r="C26">
        <v>1129</v>
      </c>
      <c r="D26">
        <v>638</v>
      </c>
      <c r="E26" t="s">
        <v>49</v>
      </c>
      <c r="F26" t="s">
        <v>51</v>
      </c>
      <c r="G26">
        <v>282</v>
      </c>
      <c r="H26">
        <v>4</v>
      </c>
      <c r="I26">
        <v>130000</v>
      </c>
      <c r="J26">
        <v>75000</v>
      </c>
      <c r="K26">
        <v>9000</v>
      </c>
      <c r="L26">
        <v>0</v>
      </c>
      <c r="M26">
        <v>0</v>
      </c>
      <c r="N26">
        <v>20000</v>
      </c>
      <c r="O26">
        <v>20000</v>
      </c>
      <c r="P26">
        <v>6000</v>
      </c>
      <c r="Q26">
        <v>0</v>
      </c>
      <c r="R26">
        <v>0</v>
      </c>
      <c r="S26">
        <v>0</v>
      </c>
      <c r="T26">
        <v>0</v>
      </c>
      <c r="V26">
        <v>6000</v>
      </c>
      <c r="X26">
        <v>3</v>
      </c>
      <c r="Y26">
        <v>127</v>
      </c>
      <c r="Z26" t="s">
        <v>50</v>
      </c>
      <c r="AA26">
        <v>0</v>
      </c>
      <c r="AB26" t="s">
        <v>52</v>
      </c>
      <c r="AC26">
        <v>0</v>
      </c>
      <c r="AD26">
        <v>1</v>
      </c>
      <c r="AE26">
        <v>121000</v>
      </c>
      <c r="AF26">
        <v>0</v>
      </c>
      <c r="AG26">
        <v>0</v>
      </c>
      <c r="AH26">
        <f t="shared" si="0"/>
        <v>1</v>
      </c>
    </row>
    <row r="27" spans="1:34" x14ac:dyDescent="0.3">
      <c r="A27" t="s">
        <v>33</v>
      </c>
      <c r="B27" t="s">
        <v>34</v>
      </c>
      <c r="C27">
        <v>1043</v>
      </c>
      <c r="D27">
        <v>639</v>
      </c>
      <c r="E27" t="s">
        <v>53</v>
      </c>
      <c r="G27">
        <v>269</v>
      </c>
      <c r="H27">
        <v>0</v>
      </c>
      <c r="I27">
        <v>190000</v>
      </c>
      <c r="J27">
        <v>115000</v>
      </c>
      <c r="K27">
        <v>0</v>
      </c>
      <c r="L27">
        <v>0</v>
      </c>
      <c r="M27">
        <v>0</v>
      </c>
      <c r="N27">
        <v>0</v>
      </c>
      <c r="O27">
        <v>0</v>
      </c>
      <c r="P27">
        <v>0</v>
      </c>
      <c r="Q27">
        <v>0</v>
      </c>
      <c r="R27">
        <v>0</v>
      </c>
      <c r="S27">
        <v>0</v>
      </c>
      <c r="T27">
        <v>80000</v>
      </c>
      <c r="X27">
        <v>5</v>
      </c>
      <c r="Y27">
        <v>128</v>
      </c>
      <c r="Z27" t="s">
        <v>54</v>
      </c>
      <c r="AA27">
        <v>0</v>
      </c>
      <c r="AC27">
        <v>0</v>
      </c>
      <c r="AD27">
        <v>0</v>
      </c>
      <c r="AE27">
        <v>115000</v>
      </c>
      <c r="AF27">
        <v>80000</v>
      </c>
      <c r="AG27">
        <v>0</v>
      </c>
      <c r="AH27">
        <f t="shared" si="0"/>
        <v>0</v>
      </c>
    </row>
    <row r="28" spans="1:34" x14ac:dyDescent="0.3">
      <c r="A28" t="s">
        <v>33</v>
      </c>
      <c r="B28" t="s">
        <v>34</v>
      </c>
      <c r="C28">
        <v>1053</v>
      </c>
      <c r="D28">
        <v>639</v>
      </c>
      <c r="E28" t="s">
        <v>53</v>
      </c>
      <c r="F28" t="s">
        <v>55</v>
      </c>
      <c r="G28">
        <v>271</v>
      </c>
      <c r="H28">
        <v>1</v>
      </c>
      <c r="I28">
        <v>190000</v>
      </c>
      <c r="J28">
        <v>115000</v>
      </c>
      <c r="K28">
        <v>0</v>
      </c>
      <c r="L28">
        <v>0</v>
      </c>
      <c r="M28">
        <v>0</v>
      </c>
      <c r="N28">
        <v>20000</v>
      </c>
      <c r="O28">
        <v>0</v>
      </c>
      <c r="P28">
        <v>8000</v>
      </c>
      <c r="Q28">
        <v>21000</v>
      </c>
      <c r="R28">
        <v>0</v>
      </c>
      <c r="S28">
        <v>0</v>
      </c>
      <c r="T28">
        <v>106000</v>
      </c>
      <c r="U28">
        <v>0</v>
      </c>
      <c r="X28">
        <v>8</v>
      </c>
      <c r="Y28">
        <v>128</v>
      </c>
      <c r="Z28" t="s">
        <v>54</v>
      </c>
      <c r="AA28">
        <v>0</v>
      </c>
      <c r="AB28" t="s">
        <v>52</v>
      </c>
      <c r="AC28">
        <v>1</v>
      </c>
      <c r="AD28">
        <v>1</v>
      </c>
      <c r="AE28">
        <v>164000</v>
      </c>
      <c r="AF28">
        <v>106000</v>
      </c>
      <c r="AG28">
        <v>0</v>
      </c>
      <c r="AH28">
        <f t="shared" si="0"/>
        <v>2</v>
      </c>
    </row>
    <row r="29" spans="1:34" x14ac:dyDescent="0.3">
      <c r="A29" t="s">
        <v>33</v>
      </c>
      <c r="B29" t="s">
        <v>34</v>
      </c>
      <c r="C29">
        <v>1095</v>
      </c>
      <c r="D29">
        <v>639</v>
      </c>
      <c r="E29" t="s">
        <v>53</v>
      </c>
      <c r="F29" t="s">
        <v>55</v>
      </c>
      <c r="G29">
        <v>276</v>
      </c>
      <c r="H29">
        <v>2</v>
      </c>
      <c r="I29">
        <v>190000</v>
      </c>
      <c r="J29">
        <v>115000</v>
      </c>
      <c r="K29">
        <v>0</v>
      </c>
      <c r="L29">
        <v>0</v>
      </c>
      <c r="M29">
        <v>0</v>
      </c>
      <c r="N29">
        <v>20000</v>
      </c>
      <c r="O29">
        <v>0</v>
      </c>
      <c r="P29">
        <v>16000</v>
      </c>
      <c r="Q29">
        <v>0</v>
      </c>
      <c r="R29">
        <v>0</v>
      </c>
      <c r="S29">
        <v>0</v>
      </c>
      <c r="T29">
        <v>145000</v>
      </c>
      <c r="X29">
        <v>9</v>
      </c>
      <c r="Y29">
        <v>128</v>
      </c>
      <c r="Z29" t="s">
        <v>54</v>
      </c>
      <c r="AA29">
        <v>0</v>
      </c>
      <c r="AB29" t="s">
        <v>52</v>
      </c>
      <c r="AC29">
        <v>1</v>
      </c>
      <c r="AD29">
        <v>2</v>
      </c>
      <c r="AE29">
        <v>151000</v>
      </c>
      <c r="AF29">
        <v>145000</v>
      </c>
      <c r="AG29">
        <v>0</v>
      </c>
      <c r="AH29">
        <f t="shared" si="0"/>
        <v>3</v>
      </c>
    </row>
    <row r="30" spans="1:34" x14ac:dyDescent="0.3">
      <c r="A30" t="s">
        <v>33</v>
      </c>
      <c r="B30" t="s">
        <v>34</v>
      </c>
      <c r="C30">
        <v>1114</v>
      </c>
      <c r="D30">
        <v>639</v>
      </c>
      <c r="E30" t="s">
        <v>53</v>
      </c>
      <c r="F30" t="s">
        <v>55</v>
      </c>
      <c r="G30">
        <v>278</v>
      </c>
      <c r="H30">
        <v>3</v>
      </c>
      <c r="I30">
        <v>190000</v>
      </c>
      <c r="J30">
        <v>115000</v>
      </c>
      <c r="K30">
        <v>0</v>
      </c>
      <c r="L30">
        <v>0</v>
      </c>
      <c r="M30">
        <v>0</v>
      </c>
      <c r="N30">
        <v>20000</v>
      </c>
      <c r="O30">
        <v>0</v>
      </c>
      <c r="P30">
        <v>8000</v>
      </c>
      <c r="Q30">
        <v>17000</v>
      </c>
      <c r="R30">
        <v>0</v>
      </c>
      <c r="S30">
        <v>0</v>
      </c>
      <c r="T30">
        <v>175000</v>
      </c>
      <c r="U30">
        <v>9500</v>
      </c>
      <c r="X30">
        <v>12</v>
      </c>
      <c r="Y30">
        <v>128</v>
      </c>
      <c r="Z30" t="s">
        <v>54</v>
      </c>
      <c r="AA30">
        <v>0</v>
      </c>
      <c r="AB30" t="s">
        <v>52</v>
      </c>
      <c r="AC30">
        <v>0</v>
      </c>
      <c r="AD30">
        <v>1</v>
      </c>
      <c r="AE30">
        <v>160000</v>
      </c>
      <c r="AF30">
        <v>175000</v>
      </c>
      <c r="AG30">
        <v>0</v>
      </c>
      <c r="AH30">
        <f t="shared" si="0"/>
        <v>1</v>
      </c>
    </row>
    <row r="31" spans="1:34" x14ac:dyDescent="0.3">
      <c r="A31" t="s">
        <v>33</v>
      </c>
      <c r="B31" t="s">
        <v>34</v>
      </c>
      <c r="C31">
        <v>1132</v>
      </c>
      <c r="D31">
        <v>639</v>
      </c>
      <c r="E31" t="s">
        <v>53</v>
      </c>
      <c r="F31" t="s">
        <v>56</v>
      </c>
      <c r="G31">
        <v>282</v>
      </c>
      <c r="H31">
        <v>4</v>
      </c>
      <c r="I31">
        <v>190000</v>
      </c>
      <c r="J31">
        <v>115000</v>
      </c>
      <c r="K31">
        <v>0</v>
      </c>
      <c r="L31">
        <v>300000</v>
      </c>
      <c r="M31">
        <v>125000</v>
      </c>
      <c r="N31">
        <v>30000</v>
      </c>
      <c r="O31">
        <v>30000</v>
      </c>
      <c r="P31">
        <v>14000</v>
      </c>
      <c r="Q31">
        <v>0</v>
      </c>
      <c r="R31">
        <v>0</v>
      </c>
      <c r="S31">
        <v>0</v>
      </c>
      <c r="T31">
        <v>351000</v>
      </c>
      <c r="V31">
        <v>32000</v>
      </c>
      <c r="X31">
        <v>14</v>
      </c>
      <c r="Y31">
        <v>128</v>
      </c>
      <c r="Z31" t="s">
        <v>54</v>
      </c>
      <c r="AA31">
        <v>0</v>
      </c>
      <c r="AB31" t="s">
        <v>42</v>
      </c>
      <c r="AC31">
        <v>2</v>
      </c>
      <c r="AD31">
        <v>4</v>
      </c>
      <c r="AE31">
        <v>314000</v>
      </c>
      <c r="AF31">
        <v>351000</v>
      </c>
      <c r="AG31">
        <v>0</v>
      </c>
      <c r="AH31">
        <f t="shared" si="0"/>
        <v>6</v>
      </c>
    </row>
    <row r="32" spans="1:34" x14ac:dyDescent="0.3">
      <c r="A32" t="s">
        <v>33</v>
      </c>
      <c r="B32" t="s">
        <v>34</v>
      </c>
      <c r="C32">
        <v>1032</v>
      </c>
      <c r="D32">
        <v>640</v>
      </c>
      <c r="E32" t="s">
        <v>57</v>
      </c>
      <c r="G32">
        <v>269</v>
      </c>
      <c r="H32">
        <v>0</v>
      </c>
      <c r="I32">
        <v>110000</v>
      </c>
      <c r="J32">
        <v>60000</v>
      </c>
      <c r="K32">
        <v>0</v>
      </c>
      <c r="L32">
        <v>0</v>
      </c>
      <c r="M32">
        <v>0</v>
      </c>
      <c r="N32">
        <v>0</v>
      </c>
      <c r="O32">
        <v>0</v>
      </c>
      <c r="P32">
        <v>0</v>
      </c>
      <c r="Q32">
        <v>0</v>
      </c>
      <c r="R32">
        <v>0</v>
      </c>
      <c r="S32">
        <v>0</v>
      </c>
      <c r="T32">
        <v>30000</v>
      </c>
      <c r="X32">
        <v>5</v>
      </c>
      <c r="Y32">
        <v>126</v>
      </c>
      <c r="Z32" t="s">
        <v>40</v>
      </c>
      <c r="AA32">
        <v>0</v>
      </c>
      <c r="AC32">
        <v>0</v>
      </c>
      <c r="AD32">
        <v>0</v>
      </c>
      <c r="AE32">
        <v>60000</v>
      </c>
      <c r="AF32">
        <v>30000</v>
      </c>
      <c r="AG32">
        <v>0</v>
      </c>
      <c r="AH32">
        <f t="shared" si="0"/>
        <v>0</v>
      </c>
    </row>
    <row r="33" spans="1:34" x14ac:dyDescent="0.3">
      <c r="A33" t="s">
        <v>33</v>
      </c>
      <c r="B33" t="s">
        <v>34</v>
      </c>
      <c r="C33">
        <v>1061</v>
      </c>
      <c r="D33">
        <v>640</v>
      </c>
      <c r="E33" t="s">
        <v>57</v>
      </c>
      <c r="F33" t="s">
        <v>58</v>
      </c>
      <c r="G33">
        <v>271</v>
      </c>
      <c r="H33">
        <v>1</v>
      </c>
      <c r="I33">
        <v>110000</v>
      </c>
      <c r="J33">
        <v>60000</v>
      </c>
      <c r="K33">
        <v>0</v>
      </c>
      <c r="L33">
        <v>0</v>
      </c>
      <c r="M33">
        <v>75000</v>
      </c>
      <c r="N33">
        <v>15000</v>
      </c>
      <c r="O33">
        <v>17000</v>
      </c>
      <c r="P33">
        <v>0</v>
      </c>
      <c r="Q33">
        <v>0</v>
      </c>
      <c r="R33">
        <v>0</v>
      </c>
      <c r="S33">
        <v>0</v>
      </c>
      <c r="T33">
        <v>-27000</v>
      </c>
      <c r="X33">
        <v>5</v>
      </c>
      <c r="Y33">
        <v>126</v>
      </c>
      <c r="Z33" t="s">
        <v>40</v>
      </c>
      <c r="AA33">
        <v>0</v>
      </c>
      <c r="AB33" t="s">
        <v>42</v>
      </c>
      <c r="AC33">
        <v>0</v>
      </c>
      <c r="AD33">
        <v>0</v>
      </c>
      <c r="AE33">
        <v>167000</v>
      </c>
      <c r="AF33">
        <v>-27000</v>
      </c>
      <c r="AG33">
        <v>0</v>
      </c>
      <c r="AH33">
        <f t="shared" si="0"/>
        <v>0</v>
      </c>
    </row>
    <row r="34" spans="1:34" x14ac:dyDescent="0.3">
      <c r="A34" t="s">
        <v>33</v>
      </c>
      <c r="B34" t="s">
        <v>34</v>
      </c>
      <c r="C34">
        <v>1089</v>
      </c>
      <c r="D34">
        <v>640</v>
      </c>
      <c r="E34" t="s">
        <v>57</v>
      </c>
      <c r="F34" t="s">
        <v>58</v>
      </c>
      <c r="G34">
        <v>276</v>
      </c>
      <c r="H34">
        <v>2</v>
      </c>
      <c r="I34">
        <v>110000</v>
      </c>
      <c r="J34">
        <v>60000</v>
      </c>
      <c r="K34">
        <v>27000</v>
      </c>
      <c r="L34">
        <v>0</v>
      </c>
      <c r="M34">
        <v>0</v>
      </c>
      <c r="N34">
        <v>15000</v>
      </c>
      <c r="O34">
        <v>17000</v>
      </c>
      <c r="P34">
        <v>0</v>
      </c>
      <c r="Q34">
        <v>0</v>
      </c>
      <c r="R34">
        <v>0</v>
      </c>
      <c r="S34">
        <v>0</v>
      </c>
      <c r="T34">
        <v>-9000</v>
      </c>
      <c r="X34">
        <v>4</v>
      </c>
      <c r="Y34">
        <v>126</v>
      </c>
      <c r="Z34" t="s">
        <v>40</v>
      </c>
      <c r="AA34">
        <v>0</v>
      </c>
      <c r="AB34" t="s">
        <v>42</v>
      </c>
      <c r="AC34">
        <v>0</v>
      </c>
      <c r="AD34">
        <v>0</v>
      </c>
      <c r="AE34">
        <v>92000</v>
      </c>
      <c r="AF34">
        <v>-9000</v>
      </c>
      <c r="AG34">
        <v>0</v>
      </c>
      <c r="AH34">
        <f t="shared" si="0"/>
        <v>0</v>
      </c>
    </row>
    <row r="35" spans="1:34" x14ac:dyDescent="0.3">
      <c r="A35" t="s">
        <v>33</v>
      </c>
      <c r="B35" t="s">
        <v>34</v>
      </c>
      <c r="C35">
        <v>1112</v>
      </c>
      <c r="D35">
        <v>640</v>
      </c>
      <c r="E35" t="s">
        <v>57</v>
      </c>
      <c r="F35" t="s">
        <v>58</v>
      </c>
      <c r="G35">
        <v>278</v>
      </c>
      <c r="H35">
        <v>3</v>
      </c>
      <c r="I35">
        <v>110000</v>
      </c>
      <c r="J35">
        <v>60000</v>
      </c>
      <c r="K35">
        <v>9000</v>
      </c>
      <c r="L35">
        <v>0</v>
      </c>
      <c r="M35">
        <v>0</v>
      </c>
      <c r="N35">
        <v>15000</v>
      </c>
      <c r="O35">
        <v>17000</v>
      </c>
      <c r="P35">
        <v>7000</v>
      </c>
      <c r="Q35">
        <v>0</v>
      </c>
      <c r="R35">
        <v>0</v>
      </c>
      <c r="S35">
        <v>0</v>
      </c>
      <c r="T35">
        <v>2000</v>
      </c>
      <c r="V35">
        <v>7000</v>
      </c>
      <c r="X35">
        <v>4</v>
      </c>
      <c r="Y35">
        <v>126</v>
      </c>
      <c r="Z35" t="s">
        <v>40</v>
      </c>
      <c r="AA35">
        <v>0</v>
      </c>
      <c r="AB35" t="s">
        <v>42</v>
      </c>
      <c r="AC35">
        <v>1</v>
      </c>
      <c r="AD35">
        <v>1</v>
      </c>
      <c r="AE35">
        <v>99000</v>
      </c>
      <c r="AF35">
        <v>2000</v>
      </c>
      <c r="AG35">
        <v>0</v>
      </c>
      <c r="AH35">
        <f t="shared" si="0"/>
        <v>2</v>
      </c>
    </row>
    <row r="36" spans="1:34" x14ac:dyDescent="0.3">
      <c r="A36" t="s">
        <v>33</v>
      </c>
      <c r="B36" t="s">
        <v>34</v>
      </c>
      <c r="C36">
        <v>1130</v>
      </c>
      <c r="D36">
        <v>640</v>
      </c>
      <c r="E36" t="s">
        <v>57</v>
      </c>
      <c r="F36" t="s">
        <v>58</v>
      </c>
      <c r="G36">
        <v>282</v>
      </c>
      <c r="H36">
        <v>4</v>
      </c>
      <c r="I36">
        <v>110000</v>
      </c>
      <c r="J36">
        <v>60000</v>
      </c>
      <c r="K36">
        <v>0</v>
      </c>
      <c r="L36">
        <v>0</v>
      </c>
      <c r="M36">
        <v>0</v>
      </c>
      <c r="N36">
        <v>30000</v>
      </c>
      <c r="O36">
        <v>17000</v>
      </c>
      <c r="P36">
        <v>0</v>
      </c>
      <c r="Q36">
        <v>0</v>
      </c>
      <c r="R36">
        <v>0</v>
      </c>
      <c r="S36">
        <v>0</v>
      </c>
      <c r="T36">
        <v>5000</v>
      </c>
      <c r="X36">
        <v>4</v>
      </c>
      <c r="Y36">
        <v>126</v>
      </c>
      <c r="Z36" t="s">
        <v>40</v>
      </c>
      <c r="AA36">
        <v>0</v>
      </c>
      <c r="AB36" t="s">
        <v>42</v>
      </c>
      <c r="AC36">
        <v>0</v>
      </c>
      <c r="AD36">
        <v>0</v>
      </c>
      <c r="AE36">
        <v>107000</v>
      </c>
      <c r="AF36">
        <v>5000</v>
      </c>
      <c r="AG36">
        <v>0</v>
      </c>
      <c r="AH36">
        <f t="shared" si="0"/>
        <v>0</v>
      </c>
    </row>
    <row r="37" spans="1:34" x14ac:dyDescent="0.3">
      <c r="A37" t="s">
        <v>33</v>
      </c>
      <c r="B37" t="s">
        <v>59</v>
      </c>
      <c r="C37">
        <v>1026</v>
      </c>
      <c r="D37">
        <v>642</v>
      </c>
      <c r="E37" t="s">
        <v>60</v>
      </c>
      <c r="G37">
        <v>267</v>
      </c>
      <c r="H37">
        <v>0</v>
      </c>
      <c r="I37">
        <v>60000</v>
      </c>
      <c r="J37">
        <v>30000</v>
      </c>
      <c r="K37">
        <v>0</v>
      </c>
      <c r="L37">
        <v>0</v>
      </c>
      <c r="M37">
        <v>0</v>
      </c>
      <c r="N37">
        <v>0</v>
      </c>
      <c r="O37">
        <v>0</v>
      </c>
      <c r="P37">
        <v>0</v>
      </c>
      <c r="Q37">
        <v>0</v>
      </c>
      <c r="R37">
        <v>0</v>
      </c>
      <c r="S37">
        <v>0</v>
      </c>
      <c r="T37">
        <v>0</v>
      </c>
      <c r="X37">
        <v>5</v>
      </c>
      <c r="Y37">
        <v>123</v>
      </c>
      <c r="Z37" t="s">
        <v>44</v>
      </c>
      <c r="AA37">
        <v>0</v>
      </c>
      <c r="AC37">
        <v>0</v>
      </c>
      <c r="AD37">
        <v>0</v>
      </c>
      <c r="AE37">
        <v>30000</v>
      </c>
      <c r="AF37">
        <v>0</v>
      </c>
      <c r="AG37">
        <v>0</v>
      </c>
      <c r="AH37">
        <f t="shared" si="0"/>
        <v>0</v>
      </c>
    </row>
    <row r="38" spans="1:34" x14ac:dyDescent="0.3">
      <c r="A38" t="s">
        <v>33</v>
      </c>
      <c r="B38" t="s">
        <v>59</v>
      </c>
      <c r="C38">
        <v>1038</v>
      </c>
      <c r="D38">
        <v>642</v>
      </c>
      <c r="E38" t="s">
        <v>60</v>
      </c>
      <c r="F38" t="s">
        <v>48</v>
      </c>
      <c r="G38">
        <v>270</v>
      </c>
      <c r="H38">
        <v>1</v>
      </c>
      <c r="I38">
        <v>60000</v>
      </c>
      <c r="J38">
        <v>30000</v>
      </c>
      <c r="K38">
        <v>0</v>
      </c>
      <c r="L38">
        <v>0</v>
      </c>
      <c r="M38">
        <v>20000</v>
      </c>
      <c r="N38">
        <v>15000</v>
      </c>
      <c r="O38">
        <v>8000</v>
      </c>
      <c r="P38">
        <v>0</v>
      </c>
      <c r="Q38">
        <v>0</v>
      </c>
      <c r="R38">
        <v>0</v>
      </c>
      <c r="S38">
        <v>0</v>
      </c>
      <c r="T38">
        <v>-13000</v>
      </c>
      <c r="X38">
        <v>5</v>
      </c>
      <c r="Y38">
        <v>123</v>
      </c>
      <c r="Z38" t="s">
        <v>44</v>
      </c>
      <c r="AA38">
        <v>0</v>
      </c>
      <c r="AB38" t="s">
        <v>42</v>
      </c>
      <c r="AC38">
        <v>0</v>
      </c>
      <c r="AD38">
        <v>0</v>
      </c>
      <c r="AE38">
        <v>73000</v>
      </c>
      <c r="AF38">
        <v>-13000</v>
      </c>
      <c r="AG38">
        <v>0</v>
      </c>
      <c r="AH38">
        <f t="shared" si="0"/>
        <v>0</v>
      </c>
    </row>
    <row r="39" spans="1:34" x14ac:dyDescent="0.3">
      <c r="A39" t="s">
        <v>33</v>
      </c>
      <c r="B39" t="s">
        <v>59</v>
      </c>
      <c r="C39">
        <v>1078</v>
      </c>
      <c r="D39">
        <v>642</v>
      </c>
      <c r="E39" t="s">
        <v>60</v>
      </c>
      <c r="F39" t="s">
        <v>48</v>
      </c>
      <c r="G39">
        <v>274</v>
      </c>
      <c r="H39">
        <v>2</v>
      </c>
      <c r="I39">
        <v>60000</v>
      </c>
      <c r="J39">
        <v>30000</v>
      </c>
      <c r="K39">
        <v>13000</v>
      </c>
      <c r="L39">
        <v>0</v>
      </c>
      <c r="M39">
        <v>0</v>
      </c>
      <c r="N39">
        <v>15000</v>
      </c>
      <c r="O39">
        <v>8000</v>
      </c>
      <c r="P39">
        <v>0</v>
      </c>
      <c r="Q39">
        <v>0</v>
      </c>
      <c r="R39">
        <v>0</v>
      </c>
      <c r="S39">
        <v>4000</v>
      </c>
      <c r="T39">
        <v>-10000</v>
      </c>
      <c r="X39">
        <v>3</v>
      </c>
      <c r="Y39">
        <v>123</v>
      </c>
      <c r="Z39" t="s">
        <v>44</v>
      </c>
      <c r="AA39">
        <v>4000</v>
      </c>
      <c r="AB39" t="s">
        <v>42</v>
      </c>
      <c r="AC39">
        <v>0</v>
      </c>
      <c r="AD39">
        <v>0</v>
      </c>
      <c r="AE39">
        <v>57000</v>
      </c>
      <c r="AF39">
        <v>-10000</v>
      </c>
      <c r="AG39">
        <v>0</v>
      </c>
      <c r="AH39">
        <f t="shared" si="0"/>
        <v>0</v>
      </c>
    </row>
    <row r="40" spans="1:34" x14ac:dyDescent="0.3">
      <c r="A40" t="s">
        <v>33</v>
      </c>
      <c r="B40" t="s">
        <v>59</v>
      </c>
      <c r="C40">
        <v>1096</v>
      </c>
      <c r="D40">
        <v>642</v>
      </c>
      <c r="E40" t="s">
        <v>60</v>
      </c>
      <c r="F40" t="s">
        <v>48</v>
      </c>
      <c r="G40">
        <v>277</v>
      </c>
      <c r="H40">
        <v>3</v>
      </c>
      <c r="I40">
        <v>60000</v>
      </c>
      <c r="J40">
        <v>30000</v>
      </c>
      <c r="K40">
        <v>10000</v>
      </c>
      <c r="L40">
        <v>0</v>
      </c>
      <c r="M40">
        <v>0</v>
      </c>
      <c r="N40">
        <v>15000</v>
      </c>
      <c r="O40">
        <v>8000</v>
      </c>
      <c r="P40">
        <v>0</v>
      </c>
      <c r="Q40">
        <v>0</v>
      </c>
      <c r="R40">
        <v>16000</v>
      </c>
      <c r="S40">
        <v>0</v>
      </c>
      <c r="T40">
        <v>-19000</v>
      </c>
      <c r="X40">
        <v>-3</v>
      </c>
      <c r="Y40">
        <v>123</v>
      </c>
      <c r="Z40" t="s">
        <v>44</v>
      </c>
      <c r="AA40">
        <v>16000</v>
      </c>
      <c r="AB40" t="s">
        <v>42</v>
      </c>
      <c r="AC40">
        <v>0</v>
      </c>
      <c r="AD40">
        <v>0</v>
      </c>
      <c r="AE40">
        <v>69000</v>
      </c>
      <c r="AF40">
        <v>-19000</v>
      </c>
      <c r="AG40">
        <v>0</v>
      </c>
      <c r="AH40">
        <f t="shared" si="0"/>
        <v>0</v>
      </c>
    </row>
    <row r="41" spans="1:34" x14ac:dyDescent="0.3">
      <c r="A41" t="s">
        <v>33</v>
      </c>
      <c r="B41" t="s">
        <v>59</v>
      </c>
      <c r="C41">
        <v>1123</v>
      </c>
      <c r="D41">
        <v>642</v>
      </c>
      <c r="E41" t="s">
        <v>60</v>
      </c>
      <c r="F41" t="s">
        <v>48</v>
      </c>
      <c r="G41">
        <v>281</v>
      </c>
      <c r="H41">
        <v>4</v>
      </c>
      <c r="I41">
        <v>60000</v>
      </c>
      <c r="J41">
        <v>30000</v>
      </c>
      <c r="K41">
        <v>19000</v>
      </c>
      <c r="L41">
        <v>0</v>
      </c>
      <c r="M41">
        <v>0</v>
      </c>
      <c r="N41">
        <v>20000</v>
      </c>
      <c r="O41">
        <v>8000</v>
      </c>
      <c r="P41">
        <v>0</v>
      </c>
      <c r="Q41">
        <v>0</v>
      </c>
      <c r="R41">
        <v>0</v>
      </c>
      <c r="S41">
        <v>4000</v>
      </c>
      <c r="T41">
        <v>-21000</v>
      </c>
      <c r="X41">
        <v>-5</v>
      </c>
      <c r="Y41">
        <v>123</v>
      </c>
      <c r="Z41" t="s">
        <v>44</v>
      </c>
      <c r="AA41">
        <v>4000</v>
      </c>
      <c r="AB41" t="s">
        <v>42</v>
      </c>
      <c r="AC41">
        <v>0</v>
      </c>
      <c r="AD41">
        <v>0</v>
      </c>
      <c r="AE41">
        <v>62000</v>
      </c>
      <c r="AF41">
        <v>-21000</v>
      </c>
      <c r="AG41">
        <v>0</v>
      </c>
      <c r="AH41">
        <f t="shared" si="0"/>
        <v>0</v>
      </c>
    </row>
    <row r="42" spans="1:34" x14ac:dyDescent="0.3">
      <c r="A42" t="s">
        <v>33</v>
      </c>
      <c r="B42" t="s">
        <v>59</v>
      </c>
      <c r="C42">
        <v>1027</v>
      </c>
      <c r="D42">
        <v>643</v>
      </c>
      <c r="E42" t="s">
        <v>61</v>
      </c>
      <c r="G42">
        <v>267</v>
      </c>
      <c r="H42">
        <v>0</v>
      </c>
      <c r="I42">
        <v>110000</v>
      </c>
      <c r="J42">
        <v>60000</v>
      </c>
      <c r="K42">
        <v>0</v>
      </c>
      <c r="L42">
        <v>0</v>
      </c>
      <c r="M42">
        <v>0</v>
      </c>
      <c r="N42">
        <v>0</v>
      </c>
      <c r="O42">
        <v>0</v>
      </c>
      <c r="P42">
        <v>0</v>
      </c>
      <c r="Q42">
        <v>0</v>
      </c>
      <c r="R42">
        <v>0</v>
      </c>
      <c r="S42">
        <v>0</v>
      </c>
      <c r="T42">
        <v>30000</v>
      </c>
      <c r="X42">
        <v>5</v>
      </c>
      <c r="Y42">
        <v>126</v>
      </c>
      <c r="Z42" t="s">
        <v>40</v>
      </c>
      <c r="AA42">
        <v>0</v>
      </c>
      <c r="AC42">
        <v>0</v>
      </c>
      <c r="AD42">
        <v>0</v>
      </c>
      <c r="AE42">
        <v>60000</v>
      </c>
      <c r="AF42">
        <v>30000</v>
      </c>
      <c r="AG42">
        <v>0</v>
      </c>
      <c r="AH42">
        <f t="shared" si="0"/>
        <v>0</v>
      </c>
    </row>
    <row r="43" spans="1:34" x14ac:dyDescent="0.3">
      <c r="A43" t="s">
        <v>33</v>
      </c>
      <c r="B43" t="s">
        <v>59</v>
      </c>
      <c r="C43">
        <v>1039</v>
      </c>
      <c r="D43">
        <v>643</v>
      </c>
      <c r="E43" t="s">
        <v>61</v>
      </c>
      <c r="F43" t="s">
        <v>41</v>
      </c>
      <c r="G43">
        <v>270</v>
      </c>
      <c r="H43">
        <v>1</v>
      </c>
      <c r="I43">
        <v>110000</v>
      </c>
      <c r="J43">
        <v>60000</v>
      </c>
      <c r="K43">
        <v>0</v>
      </c>
      <c r="L43">
        <v>0</v>
      </c>
      <c r="M43">
        <v>30000</v>
      </c>
      <c r="N43">
        <v>15000</v>
      </c>
      <c r="O43">
        <v>17000</v>
      </c>
      <c r="P43">
        <v>0</v>
      </c>
      <c r="Q43">
        <v>15000</v>
      </c>
      <c r="R43">
        <v>0</v>
      </c>
      <c r="S43">
        <v>0</v>
      </c>
      <c r="T43">
        <v>3000</v>
      </c>
      <c r="U43">
        <v>12750</v>
      </c>
      <c r="X43">
        <v>8</v>
      </c>
      <c r="Y43">
        <v>126</v>
      </c>
      <c r="Z43" t="s">
        <v>40</v>
      </c>
      <c r="AA43">
        <v>0</v>
      </c>
      <c r="AB43" t="s">
        <v>42</v>
      </c>
      <c r="AC43">
        <v>0</v>
      </c>
      <c r="AD43">
        <v>0</v>
      </c>
      <c r="AE43">
        <v>137000</v>
      </c>
      <c r="AF43">
        <v>3000</v>
      </c>
      <c r="AG43">
        <v>0</v>
      </c>
      <c r="AH43">
        <f t="shared" si="0"/>
        <v>0</v>
      </c>
    </row>
    <row r="44" spans="1:34" x14ac:dyDescent="0.3">
      <c r="A44" t="s">
        <v>33</v>
      </c>
      <c r="B44" t="s">
        <v>59</v>
      </c>
      <c r="C44">
        <v>1077</v>
      </c>
      <c r="D44">
        <v>643</v>
      </c>
      <c r="E44" t="s">
        <v>61</v>
      </c>
      <c r="F44" t="s">
        <v>41</v>
      </c>
      <c r="G44">
        <v>274</v>
      </c>
      <c r="H44">
        <v>2</v>
      </c>
      <c r="I44">
        <v>110000</v>
      </c>
      <c r="J44">
        <v>60000</v>
      </c>
      <c r="K44">
        <v>0</v>
      </c>
      <c r="L44">
        <v>0</v>
      </c>
      <c r="M44">
        <v>0</v>
      </c>
      <c r="N44">
        <v>15000</v>
      </c>
      <c r="O44">
        <v>17000</v>
      </c>
      <c r="P44">
        <v>8000</v>
      </c>
      <c r="Q44">
        <v>0</v>
      </c>
      <c r="R44">
        <v>0</v>
      </c>
      <c r="S44">
        <v>4000</v>
      </c>
      <c r="T44">
        <v>9000</v>
      </c>
      <c r="X44">
        <v>8</v>
      </c>
      <c r="Y44">
        <v>126</v>
      </c>
      <c r="Z44" t="s">
        <v>40</v>
      </c>
      <c r="AA44">
        <v>4000</v>
      </c>
      <c r="AB44" t="s">
        <v>42</v>
      </c>
      <c r="AC44">
        <v>1</v>
      </c>
      <c r="AD44">
        <v>1</v>
      </c>
      <c r="AE44">
        <v>104000</v>
      </c>
      <c r="AF44">
        <v>9000</v>
      </c>
      <c r="AG44">
        <v>0</v>
      </c>
      <c r="AH44">
        <f t="shared" si="0"/>
        <v>2</v>
      </c>
    </row>
    <row r="45" spans="1:34" x14ac:dyDescent="0.3">
      <c r="A45" t="s">
        <v>33</v>
      </c>
      <c r="B45" t="s">
        <v>59</v>
      </c>
      <c r="C45">
        <v>1097</v>
      </c>
      <c r="D45">
        <v>643</v>
      </c>
      <c r="E45" t="s">
        <v>61</v>
      </c>
      <c r="F45" t="s">
        <v>41</v>
      </c>
      <c r="G45">
        <v>277</v>
      </c>
      <c r="H45">
        <v>3</v>
      </c>
      <c r="I45">
        <v>110000</v>
      </c>
      <c r="J45">
        <v>60000</v>
      </c>
      <c r="K45">
        <v>0</v>
      </c>
      <c r="L45">
        <v>0</v>
      </c>
      <c r="M45">
        <v>0</v>
      </c>
      <c r="N45">
        <v>15000</v>
      </c>
      <c r="O45">
        <v>17000</v>
      </c>
      <c r="P45">
        <v>0</v>
      </c>
      <c r="Q45">
        <v>0</v>
      </c>
      <c r="R45">
        <v>16000</v>
      </c>
      <c r="S45">
        <v>0</v>
      </c>
      <c r="T45">
        <v>11000</v>
      </c>
      <c r="X45">
        <v>3</v>
      </c>
      <c r="Y45">
        <v>126</v>
      </c>
      <c r="Z45" t="s">
        <v>40</v>
      </c>
      <c r="AA45">
        <v>16000</v>
      </c>
      <c r="AB45" t="s">
        <v>42</v>
      </c>
      <c r="AC45">
        <v>0</v>
      </c>
      <c r="AD45">
        <v>0</v>
      </c>
      <c r="AE45">
        <v>108000</v>
      </c>
      <c r="AF45">
        <v>11000</v>
      </c>
      <c r="AG45">
        <v>0</v>
      </c>
      <c r="AH45">
        <f t="shared" si="0"/>
        <v>0</v>
      </c>
    </row>
    <row r="46" spans="1:34" x14ac:dyDescent="0.3">
      <c r="A46" t="s">
        <v>33</v>
      </c>
      <c r="B46" t="s">
        <v>59</v>
      </c>
      <c r="C46">
        <v>1125</v>
      </c>
      <c r="D46">
        <v>643</v>
      </c>
      <c r="E46" t="s">
        <v>61</v>
      </c>
      <c r="F46" t="s">
        <v>62</v>
      </c>
      <c r="G46">
        <v>281</v>
      </c>
      <c r="H46">
        <v>4</v>
      </c>
      <c r="I46">
        <v>110000</v>
      </c>
      <c r="J46">
        <v>60000</v>
      </c>
      <c r="K46">
        <v>0</v>
      </c>
      <c r="L46">
        <v>101000</v>
      </c>
      <c r="M46">
        <v>130000</v>
      </c>
      <c r="N46">
        <v>15000</v>
      </c>
      <c r="O46">
        <v>17000</v>
      </c>
      <c r="P46">
        <v>0</v>
      </c>
      <c r="Q46">
        <v>0</v>
      </c>
      <c r="R46">
        <v>0</v>
      </c>
      <c r="S46">
        <v>4000</v>
      </c>
      <c r="T46">
        <v>-4000</v>
      </c>
      <c r="X46">
        <v>1</v>
      </c>
      <c r="Y46">
        <v>126</v>
      </c>
      <c r="Z46" t="s">
        <v>40</v>
      </c>
      <c r="AA46">
        <v>4000</v>
      </c>
      <c r="AB46" t="s">
        <v>52</v>
      </c>
      <c r="AC46">
        <v>0</v>
      </c>
      <c r="AD46">
        <v>0</v>
      </c>
      <c r="AE46">
        <v>226000</v>
      </c>
      <c r="AF46">
        <v>-4000</v>
      </c>
      <c r="AG46">
        <v>0</v>
      </c>
      <c r="AH46">
        <f t="shared" si="0"/>
        <v>0</v>
      </c>
    </row>
    <row r="47" spans="1:34" x14ac:dyDescent="0.3">
      <c r="A47" t="s">
        <v>33</v>
      </c>
      <c r="B47" t="s">
        <v>59</v>
      </c>
      <c r="C47">
        <v>1028</v>
      </c>
      <c r="D47">
        <v>644</v>
      </c>
      <c r="E47" t="s">
        <v>63</v>
      </c>
      <c r="G47">
        <v>267</v>
      </c>
      <c r="H47">
        <v>0</v>
      </c>
      <c r="I47">
        <v>60000</v>
      </c>
      <c r="J47">
        <v>30000</v>
      </c>
      <c r="K47">
        <v>0</v>
      </c>
      <c r="L47">
        <v>0</v>
      </c>
      <c r="M47">
        <v>0</v>
      </c>
      <c r="N47">
        <v>0</v>
      </c>
      <c r="O47">
        <v>0</v>
      </c>
      <c r="P47">
        <v>0</v>
      </c>
      <c r="Q47">
        <v>0</v>
      </c>
      <c r="R47">
        <v>0</v>
      </c>
      <c r="S47">
        <v>0</v>
      </c>
      <c r="T47">
        <v>0</v>
      </c>
      <c r="X47">
        <v>5</v>
      </c>
      <c r="Y47">
        <v>123</v>
      </c>
      <c r="Z47" t="s">
        <v>44</v>
      </c>
      <c r="AA47">
        <v>0</v>
      </c>
      <c r="AC47">
        <v>0</v>
      </c>
      <c r="AD47">
        <v>0</v>
      </c>
      <c r="AE47">
        <v>30000</v>
      </c>
      <c r="AF47">
        <v>0</v>
      </c>
      <c r="AG47">
        <v>0</v>
      </c>
      <c r="AH47">
        <f t="shared" si="0"/>
        <v>0</v>
      </c>
    </row>
    <row r="48" spans="1:34" x14ac:dyDescent="0.3">
      <c r="A48" t="s">
        <v>33</v>
      </c>
      <c r="B48" t="s">
        <v>59</v>
      </c>
      <c r="C48">
        <v>1042</v>
      </c>
      <c r="D48">
        <v>644</v>
      </c>
      <c r="E48" t="s">
        <v>63</v>
      </c>
      <c r="F48" t="s">
        <v>64</v>
      </c>
      <c r="G48">
        <v>270</v>
      </c>
      <c r="H48">
        <v>1</v>
      </c>
      <c r="I48">
        <v>60000</v>
      </c>
      <c r="J48">
        <v>30000</v>
      </c>
      <c r="K48">
        <v>0</v>
      </c>
      <c r="L48">
        <v>0</v>
      </c>
      <c r="M48">
        <v>0</v>
      </c>
      <c r="N48">
        <v>15000</v>
      </c>
      <c r="O48">
        <v>8000</v>
      </c>
      <c r="P48">
        <v>0</v>
      </c>
      <c r="Q48">
        <v>3600</v>
      </c>
      <c r="R48">
        <v>0</v>
      </c>
      <c r="S48">
        <v>0</v>
      </c>
      <c r="T48">
        <v>3400</v>
      </c>
      <c r="U48">
        <v>3600</v>
      </c>
      <c r="X48">
        <v>5</v>
      </c>
      <c r="Y48">
        <v>123</v>
      </c>
      <c r="Z48" t="s">
        <v>44</v>
      </c>
      <c r="AA48">
        <v>0</v>
      </c>
      <c r="AB48" t="s">
        <v>52</v>
      </c>
      <c r="AC48">
        <v>0</v>
      </c>
      <c r="AD48">
        <v>0</v>
      </c>
      <c r="AE48">
        <v>56600</v>
      </c>
      <c r="AF48">
        <v>3400</v>
      </c>
      <c r="AG48">
        <v>0</v>
      </c>
      <c r="AH48">
        <f t="shared" si="0"/>
        <v>0</v>
      </c>
    </row>
    <row r="49" spans="1:34" x14ac:dyDescent="0.3">
      <c r="A49" t="s">
        <v>33</v>
      </c>
      <c r="B49" t="s">
        <v>59</v>
      </c>
      <c r="C49">
        <v>1079</v>
      </c>
      <c r="D49">
        <v>644</v>
      </c>
      <c r="E49" t="s">
        <v>63</v>
      </c>
      <c r="F49" t="s">
        <v>64</v>
      </c>
      <c r="G49">
        <v>274</v>
      </c>
      <c r="H49">
        <v>2</v>
      </c>
      <c r="I49">
        <v>60000</v>
      </c>
      <c r="J49">
        <v>30000</v>
      </c>
      <c r="K49">
        <v>0</v>
      </c>
      <c r="L49">
        <v>0</v>
      </c>
      <c r="M49">
        <v>0</v>
      </c>
      <c r="N49">
        <v>15000</v>
      </c>
      <c r="O49">
        <v>8000</v>
      </c>
      <c r="P49">
        <v>8000</v>
      </c>
      <c r="Q49">
        <v>0</v>
      </c>
      <c r="R49">
        <v>0</v>
      </c>
      <c r="S49">
        <v>4000</v>
      </c>
      <c r="T49">
        <v>-1600</v>
      </c>
      <c r="V49">
        <v>8000</v>
      </c>
      <c r="X49">
        <v>5</v>
      </c>
      <c r="Y49">
        <v>123</v>
      </c>
      <c r="Z49" t="s">
        <v>44</v>
      </c>
      <c r="AA49">
        <v>4000</v>
      </c>
      <c r="AB49" t="s">
        <v>52</v>
      </c>
      <c r="AC49">
        <v>1</v>
      </c>
      <c r="AD49">
        <v>1</v>
      </c>
      <c r="AE49">
        <v>65000</v>
      </c>
      <c r="AF49">
        <v>-1600</v>
      </c>
      <c r="AG49">
        <v>0</v>
      </c>
      <c r="AH49">
        <f t="shared" si="0"/>
        <v>2</v>
      </c>
    </row>
    <row r="50" spans="1:34" x14ac:dyDescent="0.3">
      <c r="A50" t="s">
        <v>33</v>
      </c>
      <c r="B50" t="s">
        <v>59</v>
      </c>
      <c r="C50">
        <v>1099</v>
      </c>
      <c r="D50">
        <v>644</v>
      </c>
      <c r="E50" t="s">
        <v>63</v>
      </c>
      <c r="F50" t="s">
        <v>64</v>
      </c>
      <c r="G50">
        <v>277</v>
      </c>
      <c r="H50">
        <v>3</v>
      </c>
      <c r="I50">
        <v>60000</v>
      </c>
      <c r="J50">
        <v>30000</v>
      </c>
      <c r="K50">
        <v>1600</v>
      </c>
      <c r="L50">
        <v>0</v>
      </c>
      <c r="M50">
        <v>0</v>
      </c>
      <c r="N50">
        <v>15000</v>
      </c>
      <c r="O50">
        <v>8000</v>
      </c>
      <c r="P50">
        <v>0</v>
      </c>
      <c r="Q50">
        <v>0</v>
      </c>
      <c r="R50">
        <v>16000</v>
      </c>
      <c r="S50">
        <v>4000</v>
      </c>
      <c r="T50">
        <v>-14600</v>
      </c>
      <c r="X50">
        <v>-2</v>
      </c>
      <c r="Y50">
        <v>123</v>
      </c>
      <c r="Z50" t="s">
        <v>44</v>
      </c>
      <c r="AA50">
        <v>20000</v>
      </c>
      <c r="AB50" t="s">
        <v>52</v>
      </c>
      <c r="AC50">
        <v>0</v>
      </c>
      <c r="AD50">
        <v>0</v>
      </c>
      <c r="AE50">
        <v>73000</v>
      </c>
      <c r="AF50">
        <v>-14600</v>
      </c>
      <c r="AG50">
        <v>0</v>
      </c>
      <c r="AH50">
        <f t="shared" si="0"/>
        <v>0</v>
      </c>
    </row>
    <row r="51" spans="1:34" x14ac:dyDescent="0.3">
      <c r="A51" t="s">
        <v>33</v>
      </c>
      <c r="B51" t="s">
        <v>59</v>
      </c>
      <c r="C51">
        <v>1122</v>
      </c>
      <c r="D51">
        <v>644</v>
      </c>
      <c r="E51" t="s">
        <v>63</v>
      </c>
      <c r="F51" t="s">
        <v>64</v>
      </c>
      <c r="G51">
        <v>281</v>
      </c>
      <c r="H51">
        <v>4</v>
      </c>
      <c r="I51">
        <v>60000</v>
      </c>
      <c r="J51">
        <v>30000</v>
      </c>
      <c r="K51">
        <v>14600</v>
      </c>
      <c r="L51">
        <v>0</v>
      </c>
      <c r="M51">
        <v>0</v>
      </c>
      <c r="N51">
        <v>15000</v>
      </c>
      <c r="O51">
        <v>8000</v>
      </c>
      <c r="P51">
        <v>0</v>
      </c>
      <c r="Q51">
        <v>0</v>
      </c>
      <c r="R51">
        <v>0</v>
      </c>
      <c r="S51">
        <v>4000</v>
      </c>
      <c r="T51">
        <v>-11600</v>
      </c>
      <c r="X51">
        <v>-4</v>
      </c>
      <c r="Y51">
        <v>123</v>
      </c>
      <c r="Z51" t="s">
        <v>44</v>
      </c>
      <c r="AA51">
        <v>4000</v>
      </c>
      <c r="AB51" t="s">
        <v>52</v>
      </c>
      <c r="AC51">
        <v>0</v>
      </c>
      <c r="AD51">
        <v>0</v>
      </c>
      <c r="AE51">
        <v>57000</v>
      </c>
      <c r="AF51">
        <v>-11600</v>
      </c>
      <c r="AG51">
        <v>0</v>
      </c>
      <c r="AH51">
        <f t="shared" si="0"/>
        <v>0</v>
      </c>
    </row>
    <row r="52" spans="1:34" x14ac:dyDescent="0.3">
      <c r="A52" t="s">
        <v>33</v>
      </c>
      <c r="B52" t="s">
        <v>59</v>
      </c>
      <c r="C52">
        <v>1029</v>
      </c>
      <c r="D52">
        <v>645</v>
      </c>
      <c r="E52" t="s">
        <v>65</v>
      </c>
      <c r="G52">
        <v>267</v>
      </c>
      <c r="H52">
        <v>0</v>
      </c>
      <c r="I52">
        <v>90000</v>
      </c>
      <c r="J52">
        <v>50000</v>
      </c>
      <c r="K52">
        <v>0</v>
      </c>
      <c r="L52">
        <v>0</v>
      </c>
      <c r="M52">
        <v>0</v>
      </c>
      <c r="N52">
        <v>0</v>
      </c>
      <c r="O52">
        <v>0</v>
      </c>
      <c r="P52">
        <v>0</v>
      </c>
      <c r="Q52">
        <v>0</v>
      </c>
      <c r="R52">
        <v>0</v>
      </c>
      <c r="S52">
        <v>0</v>
      </c>
      <c r="T52">
        <v>15000</v>
      </c>
      <c r="X52">
        <v>5</v>
      </c>
      <c r="Y52">
        <v>124</v>
      </c>
      <c r="Z52" t="s">
        <v>36</v>
      </c>
      <c r="AA52">
        <v>0</v>
      </c>
      <c r="AC52">
        <v>0</v>
      </c>
      <c r="AD52">
        <v>0</v>
      </c>
      <c r="AE52">
        <v>50000</v>
      </c>
      <c r="AF52">
        <v>15000</v>
      </c>
      <c r="AG52">
        <v>0</v>
      </c>
      <c r="AH52">
        <f t="shared" si="0"/>
        <v>0</v>
      </c>
    </row>
    <row r="53" spans="1:34" x14ac:dyDescent="0.3">
      <c r="A53" t="s">
        <v>33</v>
      </c>
      <c r="B53" t="s">
        <v>59</v>
      </c>
      <c r="C53">
        <v>1045</v>
      </c>
      <c r="D53">
        <v>645</v>
      </c>
      <c r="E53" t="s">
        <v>65</v>
      </c>
      <c r="F53" t="s">
        <v>66</v>
      </c>
      <c r="G53">
        <v>270</v>
      </c>
      <c r="H53">
        <v>1</v>
      </c>
      <c r="I53">
        <v>90000</v>
      </c>
      <c r="J53">
        <v>50000</v>
      </c>
      <c r="K53">
        <v>0</v>
      </c>
      <c r="L53">
        <v>0</v>
      </c>
      <c r="M53">
        <v>30000</v>
      </c>
      <c r="N53">
        <v>15000</v>
      </c>
      <c r="O53">
        <v>13000</v>
      </c>
      <c r="P53">
        <v>0</v>
      </c>
      <c r="Q53">
        <v>0</v>
      </c>
      <c r="R53">
        <v>0</v>
      </c>
      <c r="S53">
        <v>0</v>
      </c>
      <c r="T53">
        <v>-3000</v>
      </c>
      <c r="X53">
        <v>5</v>
      </c>
      <c r="Y53">
        <v>124</v>
      </c>
      <c r="Z53" t="s">
        <v>36</v>
      </c>
      <c r="AA53">
        <v>0</v>
      </c>
      <c r="AB53" t="s">
        <v>52</v>
      </c>
      <c r="AC53">
        <v>0</v>
      </c>
      <c r="AD53">
        <v>0</v>
      </c>
      <c r="AE53">
        <v>108000</v>
      </c>
      <c r="AF53">
        <v>-3000</v>
      </c>
      <c r="AG53">
        <v>0</v>
      </c>
      <c r="AH53">
        <f t="shared" si="0"/>
        <v>0</v>
      </c>
    </row>
    <row r="54" spans="1:34" x14ac:dyDescent="0.3">
      <c r="A54" t="s">
        <v>33</v>
      </c>
      <c r="B54" t="s">
        <v>59</v>
      </c>
      <c r="C54">
        <v>1081</v>
      </c>
      <c r="D54">
        <v>645</v>
      </c>
      <c r="E54" t="s">
        <v>65</v>
      </c>
      <c r="F54" t="s">
        <v>66</v>
      </c>
      <c r="G54">
        <v>274</v>
      </c>
      <c r="H54">
        <v>2</v>
      </c>
      <c r="I54">
        <v>90000</v>
      </c>
      <c r="J54">
        <v>50000</v>
      </c>
      <c r="K54">
        <v>3000</v>
      </c>
      <c r="L54">
        <v>0</v>
      </c>
      <c r="M54">
        <v>0</v>
      </c>
      <c r="N54">
        <v>15000</v>
      </c>
      <c r="O54">
        <v>13000</v>
      </c>
      <c r="P54">
        <v>6000</v>
      </c>
      <c r="Q54">
        <v>0</v>
      </c>
      <c r="R54">
        <v>0</v>
      </c>
      <c r="S54">
        <v>4000</v>
      </c>
      <c r="T54">
        <v>-1000</v>
      </c>
      <c r="V54">
        <v>6000</v>
      </c>
      <c r="X54">
        <v>4</v>
      </c>
      <c r="Y54">
        <v>124</v>
      </c>
      <c r="Z54" t="s">
        <v>36</v>
      </c>
      <c r="AA54">
        <v>4000</v>
      </c>
      <c r="AB54" t="s">
        <v>52</v>
      </c>
      <c r="AC54">
        <v>0</v>
      </c>
      <c r="AD54">
        <v>1</v>
      </c>
      <c r="AE54">
        <v>88000</v>
      </c>
      <c r="AF54">
        <v>-1000</v>
      </c>
      <c r="AG54">
        <v>0</v>
      </c>
      <c r="AH54">
        <f t="shared" si="0"/>
        <v>1</v>
      </c>
    </row>
    <row r="55" spans="1:34" x14ac:dyDescent="0.3">
      <c r="A55" t="s">
        <v>33</v>
      </c>
      <c r="B55" t="s">
        <v>59</v>
      </c>
      <c r="C55">
        <v>1098</v>
      </c>
      <c r="D55">
        <v>645</v>
      </c>
      <c r="E55" t="s">
        <v>65</v>
      </c>
      <c r="F55" t="s">
        <v>66</v>
      </c>
      <c r="G55">
        <v>277</v>
      </c>
      <c r="H55">
        <v>3</v>
      </c>
      <c r="I55">
        <v>90000</v>
      </c>
      <c r="J55">
        <v>50000</v>
      </c>
      <c r="K55">
        <v>1000</v>
      </c>
      <c r="L55">
        <v>0</v>
      </c>
      <c r="M55">
        <v>0</v>
      </c>
      <c r="N55">
        <v>15000</v>
      </c>
      <c r="O55">
        <v>13000</v>
      </c>
      <c r="P55">
        <v>8000</v>
      </c>
      <c r="Q55">
        <v>0</v>
      </c>
      <c r="R55">
        <v>16000</v>
      </c>
      <c r="S55">
        <v>0</v>
      </c>
      <c r="T55">
        <v>-13000</v>
      </c>
      <c r="V55">
        <v>8000</v>
      </c>
      <c r="X55">
        <v>-1</v>
      </c>
      <c r="Y55">
        <v>124</v>
      </c>
      <c r="Z55" t="s">
        <v>36</v>
      </c>
      <c r="AA55">
        <v>16000</v>
      </c>
      <c r="AB55" t="s">
        <v>52</v>
      </c>
      <c r="AC55">
        <v>0</v>
      </c>
      <c r="AD55">
        <v>1</v>
      </c>
      <c r="AE55">
        <v>102000</v>
      </c>
      <c r="AF55">
        <v>-13000</v>
      </c>
      <c r="AG55">
        <v>0</v>
      </c>
      <c r="AH55">
        <f t="shared" si="0"/>
        <v>1</v>
      </c>
    </row>
    <row r="56" spans="1:34" x14ac:dyDescent="0.3">
      <c r="A56" t="s">
        <v>33</v>
      </c>
      <c r="B56" t="s">
        <v>59</v>
      </c>
      <c r="C56">
        <v>1126</v>
      </c>
      <c r="D56">
        <v>645</v>
      </c>
      <c r="E56" t="s">
        <v>65</v>
      </c>
      <c r="F56" t="s">
        <v>66</v>
      </c>
      <c r="G56">
        <v>281</v>
      </c>
      <c r="H56">
        <v>4</v>
      </c>
      <c r="I56">
        <v>90000</v>
      </c>
      <c r="J56">
        <v>50000</v>
      </c>
      <c r="K56">
        <v>13000</v>
      </c>
      <c r="L56">
        <v>0</v>
      </c>
      <c r="M56">
        <v>0</v>
      </c>
      <c r="N56">
        <v>15000</v>
      </c>
      <c r="O56">
        <v>13000</v>
      </c>
      <c r="P56">
        <v>0</v>
      </c>
      <c r="Q56">
        <v>0</v>
      </c>
      <c r="R56">
        <v>0</v>
      </c>
      <c r="S56">
        <v>4000</v>
      </c>
      <c r="T56">
        <v>-5000</v>
      </c>
      <c r="X56">
        <v>-3</v>
      </c>
      <c r="Y56">
        <v>124</v>
      </c>
      <c r="Z56" t="s">
        <v>36</v>
      </c>
      <c r="AA56">
        <v>4000</v>
      </c>
      <c r="AB56" t="s">
        <v>52</v>
      </c>
      <c r="AC56">
        <v>0</v>
      </c>
      <c r="AD56">
        <v>0</v>
      </c>
      <c r="AE56">
        <v>82000</v>
      </c>
      <c r="AF56">
        <v>-5000</v>
      </c>
      <c r="AG56">
        <v>0</v>
      </c>
      <c r="AH56">
        <f t="shared" si="0"/>
        <v>0</v>
      </c>
    </row>
    <row r="57" spans="1:34" x14ac:dyDescent="0.3">
      <c r="A57" t="s">
        <v>33</v>
      </c>
      <c r="B57" t="s">
        <v>59</v>
      </c>
      <c r="C57">
        <v>1037</v>
      </c>
      <c r="D57">
        <v>646</v>
      </c>
      <c r="E57" t="s">
        <v>67</v>
      </c>
      <c r="G57">
        <v>267</v>
      </c>
      <c r="H57">
        <v>0</v>
      </c>
      <c r="I57">
        <v>130000</v>
      </c>
      <c r="J57">
        <v>75000</v>
      </c>
      <c r="K57">
        <v>0</v>
      </c>
      <c r="L57">
        <v>0</v>
      </c>
      <c r="M57">
        <v>0</v>
      </c>
      <c r="N57">
        <v>0</v>
      </c>
      <c r="O57">
        <v>0</v>
      </c>
      <c r="P57">
        <v>0</v>
      </c>
      <c r="Q57">
        <v>0</v>
      </c>
      <c r="R57">
        <v>0</v>
      </c>
      <c r="S57">
        <v>0</v>
      </c>
      <c r="T57">
        <v>50000</v>
      </c>
      <c r="X57">
        <v>5</v>
      </c>
      <c r="Y57">
        <v>127</v>
      </c>
      <c r="Z57" t="s">
        <v>50</v>
      </c>
      <c r="AA57">
        <v>0</v>
      </c>
      <c r="AC57">
        <v>0</v>
      </c>
      <c r="AD57">
        <v>0</v>
      </c>
      <c r="AE57">
        <v>75000</v>
      </c>
      <c r="AF57">
        <v>50000</v>
      </c>
      <c r="AG57">
        <v>0</v>
      </c>
      <c r="AH57">
        <f t="shared" si="0"/>
        <v>0</v>
      </c>
    </row>
    <row r="58" spans="1:34" x14ac:dyDescent="0.3">
      <c r="A58" t="s">
        <v>33</v>
      </c>
      <c r="B58" t="s">
        <v>59</v>
      </c>
      <c r="C58">
        <v>1046</v>
      </c>
      <c r="D58">
        <v>646</v>
      </c>
      <c r="E58" t="s">
        <v>67</v>
      </c>
      <c r="F58" t="s">
        <v>58</v>
      </c>
      <c r="G58">
        <v>270</v>
      </c>
      <c r="H58">
        <v>1</v>
      </c>
      <c r="I58">
        <v>130000</v>
      </c>
      <c r="J58">
        <v>75000</v>
      </c>
      <c r="K58">
        <v>0</v>
      </c>
      <c r="L58">
        <v>0</v>
      </c>
      <c r="M58">
        <v>0</v>
      </c>
      <c r="N58">
        <v>15000</v>
      </c>
      <c r="O58">
        <v>20000</v>
      </c>
      <c r="P58">
        <v>33000</v>
      </c>
      <c r="Q58">
        <v>25500</v>
      </c>
      <c r="R58">
        <v>0</v>
      </c>
      <c r="S58">
        <v>0</v>
      </c>
      <c r="T58">
        <v>11500</v>
      </c>
      <c r="U58">
        <v>25500</v>
      </c>
      <c r="V58">
        <v>33000</v>
      </c>
      <c r="W58">
        <v>0</v>
      </c>
      <c r="X58">
        <v>11</v>
      </c>
      <c r="Y58">
        <v>127</v>
      </c>
      <c r="Z58" t="s">
        <v>50</v>
      </c>
      <c r="AA58">
        <v>0</v>
      </c>
      <c r="AB58" t="s">
        <v>42</v>
      </c>
      <c r="AC58">
        <v>3</v>
      </c>
      <c r="AD58">
        <v>4</v>
      </c>
      <c r="AE58">
        <v>168500</v>
      </c>
      <c r="AF58">
        <v>11500</v>
      </c>
      <c r="AG58">
        <v>0</v>
      </c>
      <c r="AH58">
        <f t="shared" si="0"/>
        <v>7</v>
      </c>
    </row>
    <row r="59" spans="1:34" x14ac:dyDescent="0.3">
      <c r="A59" t="s">
        <v>33</v>
      </c>
      <c r="B59" t="s">
        <v>59</v>
      </c>
      <c r="C59">
        <v>1080</v>
      </c>
      <c r="D59">
        <v>646</v>
      </c>
      <c r="E59" t="s">
        <v>67</v>
      </c>
      <c r="F59" t="s">
        <v>58</v>
      </c>
      <c r="G59">
        <v>274</v>
      </c>
      <c r="H59">
        <v>2</v>
      </c>
      <c r="I59">
        <v>130000</v>
      </c>
      <c r="J59">
        <v>75000</v>
      </c>
      <c r="K59">
        <v>0</v>
      </c>
      <c r="L59">
        <v>0</v>
      </c>
      <c r="M59">
        <v>0</v>
      </c>
      <c r="N59">
        <v>15000</v>
      </c>
      <c r="O59">
        <v>20000</v>
      </c>
      <c r="P59">
        <v>0</v>
      </c>
      <c r="Q59">
        <v>0</v>
      </c>
      <c r="R59">
        <v>0</v>
      </c>
      <c r="S59">
        <v>4000</v>
      </c>
      <c r="T59">
        <v>27500</v>
      </c>
      <c r="X59">
        <v>10</v>
      </c>
      <c r="Y59">
        <v>127</v>
      </c>
      <c r="Z59" t="s">
        <v>50</v>
      </c>
      <c r="AA59">
        <v>4000</v>
      </c>
      <c r="AB59" t="s">
        <v>42</v>
      </c>
      <c r="AC59">
        <v>0</v>
      </c>
      <c r="AD59">
        <v>0</v>
      </c>
      <c r="AE59">
        <v>114000</v>
      </c>
      <c r="AF59">
        <v>27500</v>
      </c>
      <c r="AG59">
        <v>0</v>
      </c>
      <c r="AH59">
        <f t="shared" si="0"/>
        <v>0</v>
      </c>
    </row>
    <row r="60" spans="1:34" x14ac:dyDescent="0.3">
      <c r="A60" t="s">
        <v>33</v>
      </c>
      <c r="B60" t="s">
        <v>59</v>
      </c>
      <c r="C60">
        <v>1101</v>
      </c>
      <c r="D60">
        <v>646</v>
      </c>
      <c r="E60" t="s">
        <v>67</v>
      </c>
      <c r="F60" t="s">
        <v>58</v>
      </c>
      <c r="G60">
        <v>277</v>
      </c>
      <c r="H60">
        <v>3</v>
      </c>
      <c r="I60">
        <v>130000</v>
      </c>
      <c r="J60">
        <v>75000</v>
      </c>
      <c r="K60">
        <v>0</v>
      </c>
      <c r="L60">
        <v>0</v>
      </c>
      <c r="M60">
        <v>0</v>
      </c>
      <c r="N60">
        <v>15000</v>
      </c>
      <c r="O60">
        <v>20000</v>
      </c>
      <c r="P60">
        <v>0</v>
      </c>
      <c r="Q60">
        <v>0</v>
      </c>
      <c r="R60">
        <v>16000</v>
      </c>
      <c r="S60">
        <v>0</v>
      </c>
      <c r="T60">
        <v>31500</v>
      </c>
      <c r="X60">
        <v>5</v>
      </c>
      <c r="Y60">
        <v>127</v>
      </c>
      <c r="Z60" t="s">
        <v>50</v>
      </c>
      <c r="AA60">
        <v>16000</v>
      </c>
      <c r="AB60" t="s">
        <v>42</v>
      </c>
      <c r="AC60">
        <v>0</v>
      </c>
      <c r="AD60">
        <v>0</v>
      </c>
      <c r="AE60">
        <v>126000</v>
      </c>
      <c r="AF60">
        <v>31500</v>
      </c>
      <c r="AG60">
        <v>0</v>
      </c>
      <c r="AH60">
        <f t="shared" si="0"/>
        <v>0</v>
      </c>
    </row>
    <row r="61" spans="1:34" x14ac:dyDescent="0.3">
      <c r="A61" t="s">
        <v>33</v>
      </c>
      <c r="B61" t="s">
        <v>59</v>
      </c>
      <c r="C61">
        <v>1121</v>
      </c>
      <c r="D61">
        <v>646</v>
      </c>
      <c r="E61" t="s">
        <v>67</v>
      </c>
      <c r="F61" t="s">
        <v>58</v>
      </c>
      <c r="G61">
        <v>281</v>
      </c>
      <c r="H61">
        <v>4</v>
      </c>
      <c r="I61">
        <v>130000</v>
      </c>
      <c r="J61">
        <v>75000</v>
      </c>
      <c r="K61">
        <v>0</v>
      </c>
      <c r="L61">
        <v>0</v>
      </c>
      <c r="M61">
        <v>0</v>
      </c>
      <c r="N61">
        <v>20000</v>
      </c>
      <c r="O61">
        <v>20000</v>
      </c>
      <c r="P61">
        <v>0</v>
      </c>
      <c r="Q61">
        <v>0</v>
      </c>
      <c r="R61">
        <v>0</v>
      </c>
      <c r="S61">
        <v>4000</v>
      </c>
      <c r="T61">
        <v>42500</v>
      </c>
      <c r="X61">
        <v>4</v>
      </c>
      <c r="Y61">
        <v>127</v>
      </c>
      <c r="Z61" t="s">
        <v>50</v>
      </c>
      <c r="AA61">
        <v>4000</v>
      </c>
      <c r="AB61" t="s">
        <v>42</v>
      </c>
      <c r="AC61">
        <v>0</v>
      </c>
      <c r="AD61">
        <v>0</v>
      </c>
      <c r="AE61">
        <v>119000</v>
      </c>
      <c r="AF61">
        <v>42500</v>
      </c>
      <c r="AG61">
        <v>0</v>
      </c>
      <c r="AH61">
        <f t="shared" si="0"/>
        <v>0</v>
      </c>
    </row>
    <row r="62" spans="1:34" x14ac:dyDescent="0.3">
      <c r="A62" t="s">
        <v>33</v>
      </c>
      <c r="B62" t="s">
        <v>59</v>
      </c>
      <c r="C62">
        <v>1031</v>
      </c>
      <c r="D62">
        <v>647</v>
      </c>
      <c r="E62" t="s">
        <v>68</v>
      </c>
      <c r="G62">
        <v>267</v>
      </c>
      <c r="H62">
        <v>0</v>
      </c>
      <c r="I62">
        <v>190000</v>
      </c>
      <c r="J62">
        <v>115000</v>
      </c>
      <c r="K62">
        <v>0</v>
      </c>
      <c r="L62">
        <v>0</v>
      </c>
      <c r="M62">
        <v>0</v>
      </c>
      <c r="N62">
        <v>0</v>
      </c>
      <c r="O62">
        <v>0</v>
      </c>
      <c r="P62">
        <v>0</v>
      </c>
      <c r="Q62">
        <v>0</v>
      </c>
      <c r="R62">
        <v>0</v>
      </c>
      <c r="S62">
        <v>0</v>
      </c>
      <c r="T62">
        <v>80000</v>
      </c>
      <c r="X62">
        <v>5</v>
      </c>
      <c r="Y62">
        <v>128</v>
      </c>
      <c r="Z62" t="s">
        <v>54</v>
      </c>
      <c r="AA62">
        <v>0</v>
      </c>
      <c r="AC62">
        <v>0</v>
      </c>
      <c r="AD62">
        <v>0</v>
      </c>
      <c r="AE62">
        <v>115000</v>
      </c>
      <c r="AF62">
        <v>80000</v>
      </c>
      <c r="AG62">
        <v>0</v>
      </c>
      <c r="AH62">
        <f t="shared" si="0"/>
        <v>0</v>
      </c>
    </row>
    <row r="63" spans="1:34" x14ac:dyDescent="0.3">
      <c r="A63" t="s">
        <v>33</v>
      </c>
      <c r="B63" t="s">
        <v>59</v>
      </c>
      <c r="C63">
        <v>1047</v>
      </c>
      <c r="D63">
        <v>647</v>
      </c>
      <c r="E63" t="s">
        <v>68</v>
      </c>
      <c r="F63" t="s">
        <v>51</v>
      </c>
      <c r="G63">
        <v>270</v>
      </c>
      <c r="H63">
        <v>1</v>
      </c>
      <c r="I63">
        <v>190000</v>
      </c>
      <c r="J63">
        <v>115000</v>
      </c>
      <c r="K63">
        <v>0</v>
      </c>
      <c r="L63">
        <v>0</v>
      </c>
      <c r="M63">
        <v>0</v>
      </c>
      <c r="N63">
        <v>15000</v>
      </c>
      <c r="O63">
        <v>30000</v>
      </c>
      <c r="P63">
        <v>14000</v>
      </c>
      <c r="Q63">
        <v>21000</v>
      </c>
      <c r="R63">
        <v>0</v>
      </c>
      <c r="S63">
        <v>0</v>
      </c>
      <c r="T63">
        <v>75000</v>
      </c>
      <c r="U63">
        <v>21000</v>
      </c>
      <c r="X63">
        <v>9</v>
      </c>
      <c r="Y63">
        <v>128</v>
      </c>
      <c r="Z63" t="s">
        <v>54</v>
      </c>
      <c r="AA63">
        <v>0</v>
      </c>
      <c r="AB63" t="s">
        <v>52</v>
      </c>
      <c r="AC63">
        <v>0</v>
      </c>
      <c r="AD63">
        <v>2</v>
      </c>
      <c r="AE63">
        <v>195000</v>
      </c>
      <c r="AF63">
        <v>75000</v>
      </c>
      <c r="AG63">
        <v>0</v>
      </c>
      <c r="AH63">
        <f t="shared" si="0"/>
        <v>2</v>
      </c>
    </row>
    <row r="64" spans="1:34" x14ac:dyDescent="0.3">
      <c r="A64" t="s">
        <v>33</v>
      </c>
      <c r="B64" t="s">
        <v>59</v>
      </c>
      <c r="C64">
        <v>1082</v>
      </c>
      <c r="D64">
        <v>647</v>
      </c>
      <c r="E64" t="s">
        <v>68</v>
      </c>
      <c r="F64" t="s">
        <v>51</v>
      </c>
      <c r="G64">
        <v>274</v>
      </c>
      <c r="H64">
        <v>2</v>
      </c>
      <c r="I64">
        <v>190000</v>
      </c>
      <c r="J64">
        <v>115000</v>
      </c>
      <c r="K64">
        <v>0</v>
      </c>
      <c r="L64">
        <v>0</v>
      </c>
      <c r="M64">
        <v>0</v>
      </c>
      <c r="N64">
        <v>15000</v>
      </c>
      <c r="O64">
        <v>30000</v>
      </c>
      <c r="P64">
        <v>19000</v>
      </c>
      <c r="Q64">
        <v>17000</v>
      </c>
      <c r="R64">
        <v>0</v>
      </c>
      <c r="S64">
        <v>4000</v>
      </c>
      <c r="T64">
        <v>65000</v>
      </c>
      <c r="U64">
        <v>17000</v>
      </c>
      <c r="X64">
        <v>11</v>
      </c>
      <c r="Y64">
        <v>128</v>
      </c>
      <c r="Z64" t="s">
        <v>54</v>
      </c>
      <c r="AA64">
        <v>4000</v>
      </c>
      <c r="AB64" t="s">
        <v>52</v>
      </c>
      <c r="AC64">
        <v>3</v>
      </c>
      <c r="AD64">
        <v>2</v>
      </c>
      <c r="AE64">
        <v>200000</v>
      </c>
      <c r="AF64">
        <v>65000</v>
      </c>
      <c r="AG64">
        <v>0</v>
      </c>
      <c r="AH64">
        <f t="shared" si="0"/>
        <v>5</v>
      </c>
    </row>
    <row r="65" spans="1:34" x14ac:dyDescent="0.3">
      <c r="A65" t="s">
        <v>33</v>
      </c>
      <c r="B65" t="s">
        <v>59</v>
      </c>
      <c r="C65">
        <v>1100</v>
      </c>
      <c r="D65">
        <v>647</v>
      </c>
      <c r="E65" t="s">
        <v>68</v>
      </c>
      <c r="F65" t="s">
        <v>51</v>
      </c>
      <c r="G65">
        <v>277</v>
      </c>
      <c r="H65">
        <v>3</v>
      </c>
      <c r="I65">
        <v>190000</v>
      </c>
      <c r="J65">
        <v>115000</v>
      </c>
      <c r="K65">
        <v>0</v>
      </c>
      <c r="L65">
        <v>0</v>
      </c>
      <c r="M65">
        <v>0</v>
      </c>
      <c r="N65">
        <v>15000</v>
      </c>
      <c r="O65">
        <v>30000</v>
      </c>
      <c r="P65">
        <v>0</v>
      </c>
      <c r="Q65">
        <v>0</v>
      </c>
      <c r="R65">
        <v>16000</v>
      </c>
      <c r="S65">
        <v>4000</v>
      </c>
      <c r="T65">
        <v>75000</v>
      </c>
      <c r="X65">
        <v>5</v>
      </c>
      <c r="Y65">
        <v>128</v>
      </c>
      <c r="Z65" t="s">
        <v>54</v>
      </c>
      <c r="AA65">
        <v>20000</v>
      </c>
      <c r="AB65" t="s">
        <v>52</v>
      </c>
      <c r="AC65">
        <v>0</v>
      </c>
      <c r="AD65">
        <v>0</v>
      </c>
      <c r="AE65">
        <v>180000</v>
      </c>
      <c r="AF65">
        <v>75000</v>
      </c>
      <c r="AG65">
        <v>0</v>
      </c>
      <c r="AH65">
        <f t="shared" si="0"/>
        <v>0</v>
      </c>
    </row>
    <row r="66" spans="1:34" x14ac:dyDescent="0.3">
      <c r="A66" t="s">
        <v>33</v>
      </c>
      <c r="B66" t="s">
        <v>59</v>
      </c>
      <c r="C66">
        <v>1124</v>
      </c>
      <c r="D66">
        <v>647</v>
      </c>
      <c r="E66" t="s">
        <v>68</v>
      </c>
      <c r="F66" t="s">
        <v>56</v>
      </c>
      <c r="G66">
        <v>281</v>
      </c>
      <c r="H66">
        <v>4</v>
      </c>
      <c r="I66">
        <v>190000</v>
      </c>
      <c r="J66">
        <v>115000</v>
      </c>
      <c r="K66">
        <v>0</v>
      </c>
      <c r="L66">
        <v>190000</v>
      </c>
      <c r="M66">
        <v>125000</v>
      </c>
      <c r="N66">
        <v>20000</v>
      </c>
      <c r="O66">
        <v>30000</v>
      </c>
      <c r="P66">
        <v>15000</v>
      </c>
      <c r="Q66">
        <v>0</v>
      </c>
      <c r="R66">
        <v>0</v>
      </c>
      <c r="S66">
        <v>0</v>
      </c>
      <c r="T66">
        <v>150000</v>
      </c>
      <c r="V66">
        <v>33000</v>
      </c>
      <c r="X66">
        <v>7</v>
      </c>
      <c r="Y66">
        <v>128</v>
      </c>
      <c r="Z66" t="s">
        <v>54</v>
      </c>
      <c r="AA66">
        <v>0</v>
      </c>
      <c r="AB66" t="s">
        <v>42</v>
      </c>
      <c r="AC66">
        <v>3</v>
      </c>
      <c r="AD66">
        <v>4</v>
      </c>
      <c r="AE66">
        <v>305000</v>
      </c>
      <c r="AF66">
        <v>150000</v>
      </c>
      <c r="AG66">
        <v>0</v>
      </c>
      <c r="AH66">
        <f t="shared" si="0"/>
        <v>7</v>
      </c>
    </row>
    <row r="67" spans="1:34" x14ac:dyDescent="0.3">
      <c r="A67" t="s">
        <v>33</v>
      </c>
      <c r="B67" t="s">
        <v>69</v>
      </c>
      <c r="C67">
        <v>1055</v>
      </c>
      <c r="D67">
        <v>650</v>
      </c>
      <c r="E67" t="s">
        <v>70</v>
      </c>
      <c r="G67">
        <v>268</v>
      </c>
      <c r="H67">
        <v>0</v>
      </c>
      <c r="I67">
        <v>75000</v>
      </c>
      <c r="J67">
        <v>40000</v>
      </c>
      <c r="K67">
        <v>0</v>
      </c>
      <c r="L67">
        <v>0</v>
      </c>
      <c r="M67">
        <v>0</v>
      </c>
      <c r="N67">
        <v>0</v>
      </c>
      <c r="O67">
        <v>0</v>
      </c>
      <c r="P67">
        <v>0</v>
      </c>
      <c r="Q67">
        <v>0</v>
      </c>
      <c r="R67">
        <v>0</v>
      </c>
      <c r="S67">
        <v>0</v>
      </c>
      <c r="T67">
        <v>5000</v>
      </c>
      <c r="X67">
        <v>5</v>
      </c>
      <c r="Y67">
        <v>124</v>
      </c>
      <c r="Z67" t="s">
        <v>36</v>
      </c>
      <c r="AA67">
        <v>0</v>
      </c>
      <c r="AC67">
        <v>0</v>
      </c>
      <c r="AD67">
        <v>0</v>
      </c>
      <c r="AE67">
        <v>40000</v>
      </c>
      <c r="AF67">
        <v>5000</v>
      </c>
      <c r="AG67">
        <v>0</v>
      </c>
      <c r="AH67">
        <f t="shared" ref="AH67:AH130" si="1">AC67+AD67</f>
        <v>0</v>
      </c>
    </row>
    <row r="68" spans="1:34" x14ac:dyDescent="0.3">
      <c r="A68" t="s">
        <v>33</v>
      </c>
      <c r="B68" t="s">
        <v>69</v>
      </c>
      <c r="C68">
        <v>1064</v>
      </c>
      <c r="D68">
        <v>650</v>
      </c>
      <c r="E68" t="s">
        <v>70</v>
      </c>
      <c r="F68" t="s">
        <v>71</v>
      </c>
      <c r="G68">
        <v>272</v>
      </c>
      <c r="H68">
        <v>1</v>
      </c>
      <c r="I68">
        <v>75000</v>
      </c>
      <c r="J68">
        <v>40000</v>
      </c>
      <c r="K68">
        <v>0</v>
      </c>
      <c r="L68">
        <v>0</v>
      </c>
      <c r="M68">
        <v>0</v>
      </c>
      <c r="N68">
        <v>20000</v>
      </c>
      <c r="O68">
        <v>7000</v>
      </c>
      <c r="P68">
        <v>1000</v>
      </c>
      <c r="Q68">
        <v>3150</v>
      </c>
      <c r="R68">
        <v>0</v>
      </c>
      <c r="S68">
        <v>4000</v>
      </c>
      <c r="T68">
        <v>4850</v>
      </c>
      <c r="U68">
        <v>3150</v>
      </c>
      <c r="V68">
        <v>1000</v>
      </c>
      <c r="W68">
        <v>0</v>
      </c>
      <c r="X68">
        <v>2</v>
      </c>
      <c r="Y68">
        <v>124</v>
      </c>
      <c r="Z68" t="s">
        <v>36</v>
      </c>
      <c r="AA68">
        <v>4000</v>
      </c>
      <c r="AB68" t="s">
        <v>38</v>
      </c>
      <c r="AC68">
        <v>1</v>
      </c>
      <c r="AD68">
        <v>0</v>
      </c>
      <c r="AE68">
        <v>75150</v>
      </c>
      <c r="AF68">
        <v>4850</v>
      </c>
      <c r="AG68">
        <v>0</v>
      </c>
      <c r="AH68">
        <f t="shared" si="1"/>
        <v>1</v>
      </c>
    </row>
    <row r="69" spans="1:34" x14ac:dyDescent="0.3">
      <c r="A69" t="s">
        <v>33</v>
      </c>
      <c r="B69" t="s">
        <v>69</v>
      </c>
      <c r="C69">
        <v>1087</v>
      </c>
      <c r="D69">
        <v>650</v>
      </c>
      <c r="E69" t="s">
        <v>70</v>
      </c>
      <c r="F69" t="s">
        <v>71</v>
      </c>
      <c r="G69">
        <v>275</v>
      </c>
      <c r="H69">
        <v>2</v>
      </c>
      <c r="I69">
        <v>75000</v>
      </c>
      <c r="J69">
        <v>40000</v>
      </c>
      <c r="K69">
        <v>0</v>
      </c>
      <c r="L69">
        <v>0</v>
      </c>
      <c r="M69">
        <v>0</v>
      </c>
      <c r="N69">
        <v>20000</v>
      </c>
      <c r="O69">
        <v>7000</v>
      </c>
      <c r="P69">
        <v>0</v>
      </c>
      <c r="Q69">
        <v>3500</v>
      </c>
      <c r="R69">
        <v>0</v>
      </c>
      <c r="S69">
        <v>4000</v>
      </c>
      <c r="T69">
        <v>5350</v>
      </c>
      <c r="U69">
        <v>3500</v>
      </c>
      <c r="X69">
        <v>3</v>
      </c>
      <c r="Y69">
        <v>124</v>
      </c>
      <c r="Z69" t="s">
        <v>36</v>
      </c>
      <c r="AA69">
        <v>4000</v>
      </c>
      <c r="AB69" t="s">
        <v>38</v>
      </c>
      <c r="AC69">
        <v>0</v>
      </c>
      <c r="AD69">
        <v>0</v>
      </c>
      <c r="AE69">
        <v>74500</v>
      </c>
      <c r="AF69">
        <v>5350</v>
      </c>
      <c r="AG69">
        <v>0</v>
      </c>
      <c r="AH69">
        <f t="shared" si="1"/>
        <v>0</v>
      </c>
    </row>
    <row r="70" spans="1:34" x14ac:dyDescent="0.3">
      <c r="A70" t="s">
        <v>33</v>
      </c>
      <c r="B70" t="s">
        <v>69</v>
      </c>
      <c r="C70">
        <v>1113</v>
      </c>
      <c r="D70">
        <v>650</v>
      </c>
      <c r="E70" t="s">
        <v>70</v>
      </c>
      <c r="F70" t="s">
        <v>71</v>
      </c>
      <c r="G70">
        <v>279</v>
      </c>
      <c r="H70">
        <v>3</v>
      </c>
      <c r="I70">
        <v>75000</v>
      </c>
      <c r="J70">
        <v>40000</v>
      </c>
      <c r="K70">
        <v>0</v>
      </c>
      <c r="L70">
        <v>0</v>
      </c>
      <c r="M70">
        <v>0</v>
      </c>
      <c r="N70">
        <v>20000</v>
      </c>
      <c r="O70">
        <v>7000</v>
      </c>
      <c r="P70">
        <v>8000</v>
      </c>
      <c r="Q70">
        <v>0</v>
      </c>
      <c r="R70">
        <v>24000</v>
      </c>
      <c r="S70">
        <v>0</v>
      </c>
      <c r="T70">
        <v>-18650</v>
      </c>
      <c r="V70">
        <v>8000</v>
      </c>
      <c r="X70">
        <v>-3</v>
      </c>
      <c r="Y70">
        <v>124</v>
      </c>
      <c r="Z70" t="s">
        <v>36</v>
      </c>
      <c r="AA70">
        <v>24000</v>
      </c>
      <c r="AB70" t="s">
        <v>38</v>
      </c>
      <c r="AC70">
        <v>1</v>
      </c>
      <c r="AD70">
        <v>1</v>
      </c>
      <c r="AE70">
        <v>99000</v>
      </c>
      <c r="AF70">
        <v>-18650</v>
      </c>
      <c r="AG70">
        <v>0</v>
      </c>
      <c r="AH70">
        <f t="shared" si="1"/>
        <v>2</v>
      </c>
    </row>
    <row r="71" spans="1:34" x14ac:dyDescent="0.3">
      <c r="A71" t="s">
        <v>33</v>
      </c>
      <c r="B71" t="s">
        <v>69</v>
      </c>
      <c r="C71">
        <v>1137</v>
      </c>
      <c r="D71">
        <v>650</v>
      </c>
      <c r="E71" t="s">
        <v>70</v>
      </c>
      <c r="F71" t="s">
        <v>71</v>
      </c>
      <c r="G71">
        <v>283</v>
      </c>
      <c r="H71">
        <v>4</v>
      </c>
      <c r="I71">
        <v>75000</v>
      </c>
      <c r="J71">
        <v>40000</v>
      </c>
      <c r="K71">
        <v>18650</v>
      </c>
      <c r="L71">
        <v>0</v>
      </c>
      <c r="M71">
        <v>0</v>
      </c>
      <c r="N71">
        <v>20000</v>
      </c>
      <c r="O71">
        <v>7000</v>
      </c>
      <c r="P71">
        <v>0</v>
      </c>
      <c r="Q71">
        <v>0</v>
      </c>
      <c r="R71">
        <v>16000</v>
      </c>
      <c r="S71">
        <v>0</v>
      </c>
      <c r="T71">
        <v>-26650</v>
      </c>
      <c r="X71">
        <v>-9</v>
      </c>
      <c r="Y71">
        <v>124</v>
      </c>
      <c r="Z71" t="s">
        <v>36</v>
      </c>
      <c r="AA71">
        <v>16000</v>
      </c>
      <c r="AB71" t="s">
        <v>38</v>
      </c>
      <c r="AC71">
        <v>0</v>
      </c>
      <c r="AD71">
        <v>0</v>
      </c>
      <c r="AE71">
        <v>83000</v>
      </c>
      <c r="AF71">
        <v>-26650</v>
      </c>
      <c r="AG71">
        <v>0</v>
      </c>
      <c r="AH71">
        <f t="shared" si="1"/>
        <v>0</v>
      </c>
    </row>
    <row r="72" spans="1:34" x14ac:dyDescent="0.3">
      <c r="A72" t="s">
        <v>33</v>
      </c>
      <c r="B72" t="s">
        <v>69</v>
      </c>
      <c r="C72">
        <v>1048</v>
      </c>
      <c r="D72">
        <v>651</v>
      </c>
      <c r="E72" t="s">
        <v>72</v>
      </c>
      <c r="G72">
        <v>268</v>
      </c>
      <c r="H72">
        <v>0</v>
      </c>
      <c r="I72">
        <v>110000</v>
      </c>
      <c r="J72">
        <v>60000</v>
      </c>
      <c r="K72">
        <v>0</v>
      </c>
      <c r="L72">
        <v>0</v>
      </c>
      <c r="M72">
        <v>0</v>
      </c>
      <c r="N72">
        <v>0</v>
      </c>
      <c r="O72">
        <v>0</v>
      </c>
      <c r="P72">
        <v>0</v>
      </c>
      <c r="Q72">
        <v>0</v>
      </c>
      <c r="R72">
        <v>0</v>
      </c>
      <c r="S72">
        <v>0</v>
      </c>
      <c r="T72">
        <v>30000</v>
      </c>
      <c r="X72">
        <v>5</v>
      </c>
      <c r="Y72">
        <v>126</v>
      </c>
      <c r="Z72" t="s">
        <v>40</v>
      </c>
      <c r="AA72">
        <v>0</v>
      </c>
      <c r="AC72">
        <v>0</v>
      </c>
      <c r="AD72">
        <v>0</v>
      </c>
      <c r="AE72">
        <v>60000</v>
      </c>
      <c r="AF72">
        <v>30000</v>
      </c>
      <c r="AG72">
        <v>0</v>
      </c>
      <c r="AH72">
        <f t="shared" si="1"/>
        <v>0</v>
      </c>
    </row>
    <row r="73" spans="1:34" x14ac:dyDescent="0.3">
      <c r="A73" t="s">
        <v>33</v>
      </c>
      <c r="B73" t="s">
        <v>69</v>
      </c>
      <c r="C73">
        <v>1066</v>
      </c>
      <c r="D73">
        <v>651</v>
      </c>
      <c r="E73" t="s">
        <v>72</v>
      </c>
      <c r="F73" t="s">
        <v>41</v>
      </c>
      <c r="G73">
        <v>272</v>
      </c>
      <c r="H73">
        <v>1</v>
      </c>
      <c r="I73">
        <v>110000</v>
      </c>
      <c r="J73">
        <v>60000</v>
      </c>
      <c r="K73">
        <v>0</v>
      </c>
      <c r="L73">
        <v>0</v>
      </c>
      <c r="M73">
        <v>30000</v>
      </c>
      <c r="N73">
        <v>20000</v>
      </c>
      <c r="O73">
        <v>17000</v>
      </c>
      <c r="P73">
        <v>9000</v>
      </c>
      <c r="Q73">
        <v>4000</v>
      </c>
      <c r="R73">
        <v>0</v>
      </c>
      <c r="S73">
        <v>4000</v>
      </c>
      <c r="T73">
        <v>-4000</v>
      </c>
      <c r="U73">
        <v>3400</v>
      </c>
      <c r="V73">
        <v>9000</v>
      </c>
      <c r="W73">
        <v>600</v>
      </c>
      <c r="X73">
        <v>5</v>
      </c>
      <c r="Y73">
        <v>126</v>
      </c>
      <c r="Z73" t="s">
        <v>40</v>
      </c>
      <c r="AA73">
        <v>4000</v>
      </c>
      <c r="AB73" t="s">
        <v>42</v>
      </c>
      <c r="AC73">
        <v>2</v>
      </c>
      <c r="AD73">
        <v>1</v>
      </c>
      <c r="AE73">
        <v>144000</v>
      </c>
      <c r="AF73">
        <v>-4000</v>
      </c>
      <c r="AG73">
        <v>0</v>
      </c>
      <c r="AH73">
        <f t="shared" si="1"/>
        <v>3</v>
      </c>
    </row>
    <row r="74" spans="1:34" x14ac:dyDescent="0.3">
      <c r="A74" t="s">
        <v>33</v>
      </c>
      <c r="B74" t="s">
        <v>69</v>
      </c>
      <c r="C74">
        <v>1088</v>
      </c>
      <c r="D74">
        <v>651</v>
      </c>
      <c r="E74" t="s">
        <v>72</v>
      </c>
      <c r="F74" t="s">
        <v>41</v>
      </c>
      <c r="G74">
        <v>275</v>
      </c>
      <c r="H74">
        <v>2</v>
      </c>
      <c r="I74">
        <v>110000</v>
      </c>
      <c r="J74">
        <v>60000</v>
      </c>
      <c r="K74">
        <v>4000</v>
      </c>
      <c r="L74">
        <v>0</v>
      </c>
      <c r="M74">
        <v>0</v>
      </c>
      <c r="N74">
        <v>20000</v>
      </c>
      <c r="O74">
        <v>17000</v>
      </c>
      <c r="P74">
        <v>0</v>
      </c>
      <c r="Q74">
        <v>0</v>
      </c>
      <c r="R74">
        <v>0</v>
      </c>
      <c r="S74">
        <v>4000</v>
      </c>
      <c r="T74">
        <v>5000</v>
      </c>
      <c r="X74">
        <v>3</v>
      </c>
      <c r="Y74">
        <v>126</v>
      </c>
      <c r="Z74" t="s">
        <v>40</v>
      </c>
      <c r="AA74">
        <v>4000</v>
      </c>
      <c r="AB74" t="s">
        <v>42</v>
      </c>
      <c r="AC74">
        <v>0</v>
      </c>
      <c r="AD74">
        <v>0</v>
      </c>
      <c r="AE74">
        <v>101000</v>
      </c>
      <c r="AF74">
        <v>5000</v>
      </c>
      <c r="AG74">
        <v>0</v>
      </c>
      <c r="AH74">
        <f t="shared" si="1"/>
        <v>0</v>
      </c>
    </row>
    <row r="75" spans="1:34" x14ac:dyDescent="0.3">
      <c r="A75" t="s">
        <v>33</v>
      </c>
      <c r="B75" t="s">
        <v>69</v>
      </c>
      <c r="C75">
        <v>1104</v>
      </c>
      <c r="D75">
        <v>651</v>
      </c>
      <c r="E75" t="s">
        <v>72</v>
      </c>
      <c r="F75" t="s">
        <v>41</v>
      </c>
      <c r="G75">
        <v>279</v>
      </c>
      <c r="H75">
        <v>3</v>
      </c>
      <c r="I75">
        <v>110000</v>
      </c>
      <c r="J75">
        <v>60000</v>
      </c>
      <c r="K75">
        <v>0</v>
      </c>
      <c r="L75">
        <v>0</v>
      </c>
      <c r="M75">
        <v>0</v>
      </c>
      <c r="N75">
        <v>20000</v>
      </c>
      <c r="O75">
        <v>17000</v>
      </c>
      <c r="P75">
        <v>6000</v>
      </c>
      <c r="Q75">
        <v>0</v>
      </c>
      <c r="R75">
        <v>16000</v>
      </c>
      <c r="S75">
        <v>0</v>
      </c>
      <c r="T75">
        <v>-4000</v>
      </c>
      <c r="V75">
        <v>6000</v>
      </c>
      <c r="X75">
        <v>-1</v>
      </c>
      <c r="Y75">
        <v>126</v>
      </c>
      <c r="Z75" t="s">
        <v>40</v>
      </c>
      <c r="AA75">
        <v>16000</v>
      </c>
      <c r="AB75" t="s">
        <v>42</v>
      </c>
      <c r="AC75">
        <v>0</v>
      </c>
      <c r="AD75">
        <v>1</v>
      </c>
      <c r="AE75">
        <v>119000</v>
      </c>
      <c r="AF75">
        <v>-4000</v>
      </c>
      <c r="AG75">
        <v>0</v>
      </c>
      <c r="AH75">
        <f t="shared" si="1"/>
        <v>1</v>
      </c>
    </row>
    <row r="76" spans="1:34" x14ac:dyDescent="0.3">
      <c r="A76" t="s">
        <v>33</v>
      </c>
      <c r="B76" t="s">
        <v>69</v>
      </c>
      <c r="C76">
        <v>1138</v>
      </c>
      <c r="D76">
        <v>651</v>
      </c>
      <c r="E76" t="s">
        <v>72</v>
      </c>
      <c r="F76" t="s">
        <v>41</v>
      </c>
      <c r="G76">
        <v>283</v>
      </c>
      <c r="H76">
        <v>4</v>
      </c>
      <c r="I76">
        <v>110000</v>
      </c>
      <c r="J76">
        <v>60000</v>
      </c>
      <c r="K76">
        <v>4000</v>
      </c>
      <c r="L76">
        <v>0</v>
      </c>
      <c r="M76">
        <v>0</v>
      </c>
      <c r="N76">
        <v>30000</v>
      </c>
      <c r="O76">
        <v>17000</v>
      </c>
      <c r="P76">
        <v>0</v>
      </c>
      <c r="Q76">
        <v>0</v>
      </c>
      <c r="R76">
        <v>4000</v>
      </c>
      <c r="S76">
        <v>0</v>
      </c>
      <c r="T76">
        <v>-5000</v>
      </c>
      <c r="X76">
        <v>-4</v>
      </c>
      <c r="Y76">
        <v>126</v>
      </c>
      <c r="Z76" t="s">
        <v>40</v>
      </c>
      <c r="AA76">
        <v>4000</v>
      </c>
      <c r="AB76" t="s">
        <v>42</v>
      </c>
      <c r="AC76">
        <v>0</v>
      </c>
      <c r="AD76">
        <v>0</v>
      </c>
      <c r="AE76">
        <v>111000</v>
      </c>
      <c r="AF76">
        <v>-5000</v>
      </c>
      <c r="AG76">
        <v>0</v>
      </c>
      <c r="AH76">
        <f t="shared" si="1"/>
        <v>0</v>
      </c>
    </row>
    <row r="77" spans="1:34" x14ac:dyDescent="0.3">
      <c r="A77" t="s">
        <v>33</v>
      </c>
      <c r="B77" t="s">
        <v>69</v>
      </c>
      <c r="C77">
        <v>1041</v>
      </c>
      <c r="D77">
        <v>652</v>
      </c>
      <c r="E77" t="s">
        <v>73</v>
      </c>
      <c r="G77">
        <v>268</v>
      </c>
      <c r="H77">
        <v>0</v>
      </c>
      <c r="I77">
        <v>60000</v>
      </c>
      <c r="J77">
        <v>30000</v>
      </c>
      <c r="K77">
        <v>0</v>
      </c>
      <c r="L77">
        <v>0</v>
      </c>
      <c r="M77">
        <v>0</v>
      </c>
      <c r="N77">
        <v>0</v>
      </c>
      <c r="O77">
        <v>0</v>
      </c>
      <c r="P77">
        <v>0</v>
      </c>
      <c r="Q77">
        <v>0</v>
      </c>
      <c r="R77">
        <v>0</v>
      </c>
      <c r="S77">
        <v>0</v>
      </c>
      <c r="T77">
        <v>0</v>
      </c>
      <c r="X77">
        <v>5</v>
      </c>
      <c r="Y77">
        <v>123</v>
      </c>
      <c r="Z77" t="s">
        <v>44</v>
      </c>
      <c r="AA77">
        <v>0</v>
      </c>
      <c r="AC77">
        <v>0</v>
      </c>
      <c r="AD77">
        <v>0</v>
      </c>
      <c r="AE77">
        <v>30000</v>
      </c>
      <c r="AF77">
        <v>0</v>
      </c>
      <c r="AG77">
        <v>0</v>
      </c>
      <c r="AH77">
        <f t="shared" si="1"/>
        <v>0</v>
      </c>
    </row>
    <row r="78" spans="1:34" x14ac:dyDescent="0.3">
      <c r="A78" t="s">
        <v>33</v>
      </c>
      <c r="B78" t="s">
        <v>69</v>
      </c>
      <c r="C78">
        <v>1065</v>
      </c>
      <c r="D78">
        <v>652</v>
      </c>
      <c r="E78" t="s">
        <v>73</v>
      </c>
      <c r="F78" t="s">
        <v>48</v>
      </c>
      <c r="G78">
        <v>272</v>
      </c>
      <c r="H78">
        <v>1</v>
      </c>
      <c r="I78">
        <v>60000</v>
      </c>
      <c r="J78">
        <v>30000</v>
      </c>
      <c r="K78">
        <v>0</v>
      </c>
      <c r="L78">
        <v>0</v>
      </c>
      <c r="M78">
        <v>20000</v>
      </c>
      <c r="N78">
        <v>20000</v>
      </c>
      <c r="O78">
        <v>8000</v>
      </c>
      <c r="P78">
        <v>0</v>
      </c>
      <c r="Q78">
        <v>0</v>
      </c>
      <c r="R78">
        <v>0</v>
      </c>
      <c r="S78">
        <v>4000</v>
      </c>
      <c r="T78">
        <v>-22000</v>
      </c>
      <c r="X78">
        <v>4</v>
      </c>
      <c r="Y78">
        <v>123</v>
      </c>
      <c r="Z78" t="s">
        <v>44</v>
      </c>
      <c r="AA78">
        <v>4000</v>
      </c>
      <c r="AB78" t="s">
        <v>42</v>
      </c>
      <c r="AC78">
        <v>0</v>
      </c>
      <c r="AD78">
        <v>0</v>
      </c>
      <c r="AE78">
        <v>82000</v>
      </c>
      <c r="AF78">
        <v>-22000</v>
      </c>
      <c r="AG78">
        <v>0</v>
      </c>
      <c r="AH78">
        <f t="shared" si="1"/>
        <v>0</v>
      </c>
    </row>
    <row r="79" spans="1:34" x14ac:dyDescent="0.3">
      <c r="A79" t="s">
        <v>33</v>
      </c>
      <c r="B79" t="s">
        <v>69</v>
      </c>
      <c r="C79">
        <v>1083</v>
      </c>
      <c r="D79">
        <v>652</v>
      </c>
      <c r="E79" t="s">
        <v>73</v>
      </c>
      <c r="F79" t="s">
        <v>48</v>
      </c>
      <c r="G79">
        <v>275</v>
      </c>
      <c r="H79">
        <v>2</v>
      </c>
      <c r="I79">
        <v>60000</v>
      </c>
      <c r="J79">
        <v>30000</v>
      </c>
      <c r="K79">
        <v>22000</v>
      </c>
      <c r="L79">
        <v>0</v>
      </c>
      <c r="M79">
        <v>0</v>
      </c>
      <c r="N79">
        <v>20000</v>
      </c>
      <c r="O79">
        <v>8000</v>
      </c>
      <c r="P79">
        <v>0</v>
      </c>
      <c r="Q79">
        <v>0</v>
      </c>
      <c r="R79">
        <v>0</v>
      </c>
      <c r="S79">
        <v>4000</v>
      </c>
      <c r="T79">
        <v>-24000</v>
      </c>
      <c r="X79">
        <v>2</v>
      </c>
      <c r="Y79">
        <v>123</v>
      </c>
      <c r="Z79" t="s">
        <v>44</v>
      </c>
      <c r="AA79">
        <v>4000</v>
      </c>
      <c r="AB79" t="s">
        <v>42</v>
      </c>
      <c r="AC79">
        <v>0</v>
      </c>
      <c r="AD79">
        <v>0</v>
      </c>
      <c r="AE79">
        <v>62000</v>
      </c>
      <c r="AF79">
        <v>-24000</v>
      </c>
      <c r="AG79">
        <v>0</v>
      </c>
      <c r="AH79">
        <f t="shared" si="1"/>
        <v>0</v>
      </c>
    </row>
    <row r="80" spans="1:34" x14ac:dyDescent="0.3">
      <c r="A80" t="s">
        <v>33</v>
      </c>
      <c r="B80" t="s">
        <v>69</v>
      </c>
      <c r="C80">
        <v>1109</v>
      </c>
      <c r="D80">
        <v>652</v>
      </c>
      <c r="E80" t="s">
        <v>73</v>
      </c>
      <c r="F80" t="s">
        <v>48</v>
      </c>
      <c r="G80">
        <v>279</v>
      </c>
      <c r="H80">
        <v>3</v>
      </c>
      <c r="I80">
        <v>60000</v>
      </c>
      <c r="J80">
        <v>30000</v>
      </c>
      <c r="K80">
        <v>24000</v>
      </c>
      <c r="L80">
        <v>0</v>
      </c>
      <c r="M80">
        <v>0</v>
      </c>
      <c r="N80">
        <v>20000</v>
      </c>
      <c r="O80">
        <v>8000</v>
      </c>
      <c r="P80">
        <v>0</v>
      </c>
      <c r="Q80">
        <v>0</v>
      </c>
      <c r="R80">
        <v>16000</v>
      </c>
      <c r="S80">
        <v>0</v>
      </c>
      <c r="T80">
        <v>-38000</v>
      </c>
      <c r="X80">
        <v>-4</v>
      </c>
      <c r="Y80">
        <v>123</v>
      </c>
      <c r="Z80" t="s">
        <v>44</v>
      </c>
      <c r="AA80">
        <v>16000</v>
      </c>
      <c r="AB80" t="s">
        <v>42</v>
      </c>
      <c r="AC80">
        <v>0</v>
      </c>
      <c r="AD80">
        <v>0</v>
      </c>
      <c r="AE80">
        <v>74000</v>
      </c>
      <c r="AF80">
        <v>-38000</v>
      </c>
      <c r="AG80">
        <v>0</v>
      </c>
      <c r="AH80">
        <f t="shared" si="1"/>
        <v>0</v>
      </c>
    </row>
    <row r="81" spans="1:34" x14ac:dyDescent="0.3">
      <c r="A81" t="s">
        <v>33</v>
      </c>
      <c r="B81" t="s">
        <v>69</v>
      </c>
      <c r="C81">
        <v>1135</v>
      </c>
      <c r="D81">
        <v>652</v>
      </c>
      <c r="E81" t="s">
        <v>73</v>
      </c>
      <c r="F81" t="s">
        <v>48</v>
      </c>
      <c r="G81">
        <v>283</v>
      </c>
      <c r="H81">
        <v>4</v>
      </c>
      <c r="I81">
        <v>60000</v>
      </c>
      <c r="J81">
        <v>30000</v>
      </c>
      <c r="K81">
        <v>30000</v>
      </c>
      <c r="L81">
        <v>0</v>
      </c>
      <c r="M81">
        <v>0</v>
      </c>
      <c r="N81">
        <v>30000</v>
      </c>
      <c r="O81">
        <v>8000</v>
      </c>
      <c r="P81">
        <v>0</v>
      </c>
      <c r="Q81">
        <v>0</v>
      </c>
      <c r="R81">
        <v>4000</v>
      </c>
      <c r="S81">
        <v>0</v>
      </c>
      <c r="T81">
        <v>-50000</v>
      </c>
      <c r="X81">
        <v>-7</v>
      </c>
      <c r="Y81">
        <v>123</v>
      </c>
      <c r="Z81" t="s">
        <v>44</v>
      </c>
      <c r="AA81">
        <v>4000</v>
      </c>
      <c r="AB81" t="s">
        <v>42</v>
      </c>
      <c r="AC81">
        <v>0</v>
      </c>
      <c r="AD81">
        <v>0</v>
      </c>
      <c r="AE81">
        <v>72000</v>
      </c>
      <c r="AF81">
        <v>-50000</v>
      </c>
      <c r="AG81">
        <v>0</v>
      </c>
      <c r="AH81">
        <f t="shared" si="1"/>
        <v>0</v>
      </c>
    </row>
    <row r="82" spans="1:34" x14ac:dyDescent="0.3">
      <c r="A82" t="s">
        <v>33</v>
      </c>
      <c r="B82" t="s">
        <v>69</v>
      </c>
      <c r="C82">
        <v>1044</v>
      </c>
      <c r="D82">
        <v>653</v>
      </c>
      <c r="E82" t="s">
        <v>74</v>
      </c>
      <c r="G82">
        <v>268</v>
      </c>
      <c r="H82">
        <v>0</v>
      </c>
      <c r="I82">
        <v>90000</v>
      </c>
      <c r="J82">
        <v>50000</v>
      </c>
      <c r="K82">
        <v>0</v>
      </c>
      <c r="L82">
        <v>0</v>
      </c>
      <c r="M82">
        <v>0</v>
      </c>
      <c r="N82">
        <v>0</v>
      </c>
      <c r="O82">
        <v>0</v>
      </c>
      <c r="P82">
        <v>0</v>
      </c>
      <c r="Q82">
        <v>0</v>
      </c>
      <c r="R82">
        <v>0</v>
      </c>
      <c r="S82">
        <v>0</v>
      </c>
      <c r="T82">
        <v>15000</v>
      </c>
      <c r="X82">
        <v>5</v>
      </c>
      <c r="Y82">
        <v>125</v>
      </c>
      <c r="Z82" t="s">
        <v>47</v>
      </c>
      <c r="AA82">
        <v>0</v>
      </c>
      <c r="AC82">
        <v>0</v>
      </c>
      <c r="AD82">
        <v>0</v>
      </c>
      <c r="AE82">
        <v>50000</v>
      </c>
      <c r="AF82">
        <v>15000</v>
      </c>
      <c r="AG82">
        <v>0</v>
      </c>
      <c r="AH82">
        <f t="shared" si="1"/>
        <v>0</v>
      </c>
    </row>
    <row r="83" spans="1:34" x14ac:dyDescent="0.3">
      <c r="A83" t="s">
        <v>33</v>
      </c>
      <c r="B83" t="s">
        <v>69</v>
      </c>
      <c r="C83">
        <v>1062</v>
      </c>
      <c r="D83">
        <v>653</v>
      </c>
      <c r="E83" t="s">
        <v>74</v>
      </c>
      <c r="F83" t="s">
        <v>75</v>
      </c>
      <c r="G83">
        <v>272</v>
      </c>
      <c r="H83">
        <v>1</v>
      </c>
      <c r="I83">
        <v>90000</v>
      </c>
      <c r="J83">
        <v>50000</v>
      </c>
      <c r="K83">
        <v>0</v>
      </c>
      <c r="L83">
        <v>0</v>
      </c>
      <c r="M83">
        <v>0</v>
      </c>
      <c r="N83">
        <v>20000</v>
      </c>
      <c r="O83">
        <v>12500</v>
      </c>
      <c r="P83">
        <v>8000</v>
      </c>
      <c r="Q83">
        <v>3125</v>
      </c>
      <c r="R83">
        <v>4000</v>
      </c>
      <c r="S83">
        <v>4000</v>
      </c>
      <c r="T83">
        <v>3375</v>
      </c>
      <c r="U83">
        <v>3125</v>
      </c>
      <c r="V83">
        <v>8000</v>
      </c>
      <c r="W83">
        <v>0</v>
      </c>
      <c r="X83">
        <v>3</v>
      </c>
      <c r="Y83">
        <v>125</v>
      </c>
      <c r="Z83" t="s">
        <v>47</v>
      </c>
      <c r="AA83">
        <v>8000</v>
      </c>
      <c r="AB83" t="s">
        <v>38</v>
      </c>
      <c r="AC83">
        <v>0</v>
      </c>
      <c r="AD83">
        <v>1</v>
      </c>
      <c r="AE83">
        <v>101625</v>
      </c>
      <c r="AF83">
        <v>3375</v>
      </c>
      <c r="AG83">
        <v>0</v>
      </c>
      <c r="AH83">
        <f t="shared" si="1"/>
        <v>1</v>
      </c>
    </row>
    <row r="84" spans="1:34" x14ac:dyDescent="0.3">
      <c r="A84" t="s">
        <v>33</v>
      </c>
      <c r="B84" t="s">
        <v>69</v>
      </c>
      <c r="C84">
        <v>1086</v>
      </c>
      <c r="D84">
        <v>653</v>
      </c>
      <c r="E84" t="s">
        <v>74</v>
      </c>
      <c r="F84" t="s">
        <v>75</v>
      </c>
      <c r="G84">
        <v>275</v>
      </c>
      <c r="H84">
        <v>2</v>
      </c>
      <c r="I84">
        <v>90000</v>
      </c>
      <c r="J84">
        <v>50000</v>
      </c>
      <c r="K84">
        <v>0</v>
      </c>
      <c r="L84">
        <v>0</v>
      </c>
      <c r="M84">
        <v>0</v>
      </c>
      <c r="N84">
        <v>20000</v>
      </c>
      <c r="O84">
        <v>12500</v>
      </c>
      <c r="P84">
        <v>8000</v>
      </c>
      <c r="Q84">
        <v>0</v>
      </c>
      <c r="R84">
        <v>0</v>
      </c>
      <c r="S84">
        <v>4000</v>
      </c>
      <c r="T84">
        <v>-1125</v>
      </c>
      <c r="V84">
        <v>8000</v>
      </c>
      <c r="X84">
        <v>3</v>
      </c>
      <c r="Y84">
        <v>125</v>
      </c>
      <c r="Z84" t="s">
        <v>47</v>
      </c>
      <c r="AA84">
        <v>4000</v>
      </c>
      <c r="AB84" t="s">
        <v>38</v>
      </c>
      <c r="AC84">
        <v>1</v>
      </c>
      <c r="AD84">
        <v>1</v>
      </c>
      <c r="AE84">
        <v>94500</v>
      </c>
      <c r="AF84">
        <v>-1125</v>
      </c>
      <c r="AG84">
        <v>0</v>
      </c>
      <c r="AH84">
        <f t="shared" si="1"/>
        <v>2</v>
      </c>
    </row>
    <row r="85" spans="1:34" x14ac:dyDescent="0.3">
      <c r="A85" t="s">
        <v>33</v>
      </c>
      <c r="B85" t="s">
        <v>69</v>
      </c>
      <c r="C85">
        <v>1103</v>
      </c>
      <c r="D85">
        <v>653</v>
      </c>
      <c r="E85" t="s">
        <v>74</v>
      </c>
      <c r="F85" t="s">
        <v>75</v>
      </c>
      <c r="G85">
        <v>279</v>
      </c>
      <c r="H85">
        <v>3</v>
      </c>
      <c r="I85">
        <v>90000</v>
      </c>
      <c r="J85">
        <v>50000</v>
      </c>
      <c r="K85">
        <v>1125</v>
      </c>
      <c r="L85">
        <v>0</v>
      </c>
      <c r="M85">
        <v>0</v>
      </c>
      <c r="N85">
        <v>20000</v>
      </c>
      <c r="O85">
        <v>12500</v>
      </c>
      <c r="P85">
        <v>0</v>
      </c>
      <c r="Q85">
        <v>0</v>
      </c>
      <c r="R85">
        <v>28000</v>
      </c>
      <c r="S85">
        <v>0</v>
      </c>
      <c r="T85">
        <v>-21625</v>
      </c>
      <c r="X85">
        <v>-6</v>
      </c>
      <c r="Y85">
        <v>125</v>
      </c>
      <c r="Z85" t="s">
        <v>47</v>
      </c>
      <c r="AA85">
        <v>28000</v>
      </c>
      <c r="AB85" t="s">
        <v>38</v>
      </c>
      <c r="AC85">
        <v>0</v>
      </c>
      <c r="AD85">
        <v>0</v>
      </c>
      <c r="AE85">
        <v>110500</v>
      </c>
      <c r="AF85">
        <v>-21625</v>
      </c>
      <c r="AG85">
        <v>0</v>
      </c>
      <c r="AH85">
        <f t="shared" si="1"/>
        <v>0</v>
      </c>
    </row>
    <row r="86" spans="1:34" x14ac:dyDescent="0.3">
      <c r="A86" t="s">
        <v>33</v>
      </c>
      <c r="B86" t="s">
        <v>69</v>
      </c>
      <c r="C86">
        <v>1134</v>
      </c>
      <c r="D86">
        <v>653</v>
      </c>
      <c r="E86" t="s">
        <v>74</v>
      </c>
      <c r="F86" t="s">
        <v>75</v>
      </c>
      <c r="G86">
        <v>283</v>
      </c>
      <c r="H86">
        <v>4</v>
      </c>
      <c r="I86">
        <v>90000</v>
      </c>
      <c r="J86">
        <v>50000</v>
      </c>
      <c r="K86">
        <v>21625</v>
      </c>
      <c r="L86">
        <v>0</v>
      </c>
      <c r="M86">
        <v>0</v>
      </c>
      <c r="N86">
        <v>20000</v>
      </c>
      <c r="O86">
        <v>12500</v>
      </c>
      <c r="P86">
        <v>0</v>
      </c>
      <c r="Q86">
        <v>0</v>
      </c>
      <c r="R86">
        <v>16000</v>
      </c>
      <c r="S86">
        <v>0</v>
      </c>
      <c r="T86">
        <v>-30125</v>
      </c>
      <c r="X86">
        <v>-12</v>
      </c>
      <c r="Y86">
        <v>125</v>
      </c>
      <c r="Z86" t="s">
        <v>47</v>
      </c>
      <c r="AA86">
        <v>16000</v>
      </c>
      <c r="AB86" t="s">
        <v>38</v>
      </c>
      <c r="AC86">
        <v>0</v>
      </c>
      <c r="AD86">
        <v>0</v>
      </c>
      <c r="AE86">
        <v>98500</v>
      </c>
      <c r="AF86">
        <v>-30125</v>
      </c>
      <c r="AG86">
        <v>0</v>
      </c>
      <c r="AH86">
        <f t="shared" si="1"/>
        <v>0</v>
      </c>
    </row>
    <row r="87" spans="1:34" x14ac:dyDescent="0.3">
      <c r="A87" t="s">
        <v>33</v>
      </c>
      <c r="B87" t="s">
        <v>69</v>
      </c>
      <c r="C87">
        <v>1040</v>
      </c>
      <c r="D87">
        <v>654</v>
      </c>
      <c r="E87" t="s">
        <v>76</v>
      </c>
      <c r="G87">
        <v>268</v>
      </c>
      <c r="H87">
        <v>0</v>
      </c>
      <c r="I87">
        <v>130000</v>
      </c>
      <c r="J87">
        <v>75000</v>
      </c>
      <c r="K87">
        <v>0</v>
      </c>
      <c r="L87">
        <v>0</v>
      </c>
      <c r="M87">
        <v>0</v>
      </c>
      <c r="N87">
        <v>0</v>
      </c>
      <c r="O87">
        <v>0</v>
      </c>
      <c r="P87">
        <v>0</v>
      </c>
      <c r="Q87">
        <v>0</v>
      </c>
      <c r="R87">
        <v>0</v>
      </c>
      <c r="S87">
        <v>0</v>
      </c>
      <c r="T87">
        <v>50000</v>
      </c>
      <c r="X87">
        <v>5</v>
      </c>
      <c r="Y87">
        <v>127</v>
      </c>
      <c r="Z87" t="s">
        <v>50</v>
      </c>
      <c r="AA87">
        <v>0</v>
      </c>
      <c r="AC87">
        <v>0</v>
      </c>
      <c r="AD87">
        <v>0</v>
      </c>
      <c r="AE87">
        <v>75000</v>
      </c>
      <c r="AF87">
        <v>50000</v>
      </c>
      <c r="AG87">
        <v>0</v>
      </c>
      <c r="AH87">
        <f t="shared" si="1"/>
        <v>0</v>
      </c>
    </row>
    <row r="88" spans="1:34" x14ac:dyDescent="0.3">
      <c r="A88" t="s">
        <v>33</v>
      </c>
      <c r="B88" t="s">
        <v>69</v>
      </c>
      <c r="C88">
        <v>1067</v>
      </c>
      <c r="D88">
        <v>654</v>
      </c>
      <c r="E88" t="s">
        <v>76</v>
      </c>
      <c r="F88" t="s">
        <v>55</v>
      </c>
      <c r="G88">
        <v>272</v>
      </c>
      <c r="H88">
        <v>1</v>
      </c>
      <c r="I88">
        <v>130000</v>
      </c>
      <c r="J88">
        <v>75000</v>
      </c>
      <c r="K88">
        <v>0</v>
      </c>
      <c r="L88">
        <v>0</v>
      </c>
      <c r="M88">
        <v>100000</v>
      </c>
      <c r="N88">
        <v>20000</v>
      </c>
      <c r="O88">
        <v>20000</v>
      </c>
      <c r="P88">
        <v>0</v>
      </c>
      <c r="Q88">
        <v>0</v>
      </c>
      <c r="R88">
        <v>0</v>
      </c>
      <c r="S88">
        <v>4000</v>
      </c>
      <c r="T88">
        <v>-39000</v>
      </c>
      <c r="X88">
        <v>5</v>
      </c>
      <c r="Y88">
        <v>127</v>
      </c>
      <c r="Z88" t="s">
        <v>50</v>
      </c>
      <c r="AA88">
        <v>4000</v>
      </c>
      <c r="AB88" t="s">
        <v>52</v>
      </c>
      <c r="AC88">
        <v>0</v>
      </c>
      <c r="AD88">
        <v>0</v>
      </c>
      <c r="AE88">
        <v>219000</v>
      </c>
      <c r="AF88">
        <v>-39000</v>
      </c>
      <c r="AG88">
        <v>0</v>
      </c>
      <c r="AH88">
        <f t="shared" si="1"/>
        <v>0</v>
      </c>
    </row>
    <row r="89" spans="1:34" x14ac:dyDescent="0.3">
      <c r="A89" t="s">
        <v>33</v>
      </c>
      <c r="B89" t="s">
        <v>69</v>
      </c>
      <c r="C89">
        <v>1084</v>
      </c>
      <c r="D89">
        <v>654</v>
      </c>
      <c r="E89" t="s">
        <v>76</v>
      </c>
      <c r="F89" t="s">
        <v>55</v>
      </c>
      <c r="G89">
        <v>275</v>
      </c>
      <c r="H89">
        <v>2</v>
      </c>
      <c r="I89">
        <v>130000</v>
      </c>
      <c r="J89">
        <v>75000</v>
      </c>
      <c r="K89">
        <v>39000</v>
      </c>
      <c r="L89">
        <v>0</v>
      </c>
      <c r="M89">
        <v>0</v>
      </c>
      <c r="N89">
        <v>20000</v>
      </c>
      <c r="O89">
        <v>20000</v>
      </c>
      <c r="P89">
        <v>0</v>
      </c>
      <c r="Q89">
        <v>0</v>
      </c>
      <c r="R89">
        <v>0</v>
      </c>
      <c r="S89">
        <v>4000</v>
      </c>
      <c r="T89">
        <v>-28000</v>
      </c>
      <c r="X89">
        <v>3</v>
      </c>
      <c r="Y89">
        <v>127</v>
      </c>
      <c r="Z89" t="s">
        <v>50</v>
      </c>
      <c r="AA89">
        <v>4000</v>
      </c>
      <c r="AB89" t="s">
        <v>52</v>
      </c>
      <c r="AC89">
        <v>0</v>
      </c>
      <c r="AD89">
        <v>0</v>
      </c>
      <c r="AE89">
        <v>119000</v>
      </c>
      <c r="AF89">
        <v>-28000</v>
      </c>
      <c r="AG89">
        <v>0</v>
      </c>
      <c r="AH89">
        <f t="shared" si="1"/>
        <v>0</v>
      </c>
    </row>
    <row r="90" spans="1:34" x14ac:dyDescent="0.3">
      <c r="A90" t="s">
        <v>33</v>
      </c>
      <c r="B90" t="s">
        <v>69</v>
      </c>
      <c r="C90">
        <v>1110</v>
      </c>
      <c r="D90">
        <v>654</v>
      </c>
      <c r="E90" t="s">
        <v>76</v>
      </c>
      <c r="F90" t="s">
        <v>55</v>
      </c>
      <c r="G90">
        <v>279</v>
      </c>
      <c r="H90">
        <v>3</v>
      </c>
      <c r="I90">
        <v>130000</v>
      </c>
      <c r="J90">
        <v>75000</v>
      </c>
      <c r="K90">
        <v>28000</v>
      </c>
      <c r="L90">
        <v>0</v>
      </c>
      <c r="M90">
        <v>0</v>
      </c>
      <c r="N90">
        <v>20000</v>
      </c>
      <c r="O90">
        <v>20000</v>
      </c>
      <c r="P90">
        <v>0</v>
      </c>
      <c r="Q90">
        <v>0</v>
      </c>
      <c r="R90">
        <v>16000</v>
      </c>
      <c r="S90">
        <v>0</v>
      </c>
      <c r="T90">
        <v>-29000</v>
      </c>
      <c r="X90">
        <v>-3</v>
      </c>
      <c r="Y90">
        <v>127</v>
      </c>
      <c r="Z90" t="s">
        <v>50</v>
      </c>
      <c r="AA90">
        <v>16000</v>
      </c>
      <c r="AB90" t="s">
        <v>52</v>
      </c>
      <c r="AC90">
        <v>0</v>
      </c>
      <c r="AD90">
        <v>0</v>
      </c>
      <c r="AE90">
        <v>131000</v>
      </c>
      <c r="AF90">
        <v>-29000</v>
      </c>
      <c r="AG90">
        <v>0</v>
      </c>
      <c r="AH90">
        <f t="shared" si="1"/>
        <v>0</v>
      </c>
    </row>
    <row r="91" spans="1:34" x14ac:dyDescent="0.3">
      <c r="A91" t="s">
        <v>33</v>
      </c>
      <c r="B91" t="s">
        <v>69</v>
      </c>
      <c r="C91">
        <v>1139</v>
      </c>
      <c r="D91">
        <v>654</v>
      </c>
      <c r="E91" t="s">
        <v>76</v>
      </c>
      <c r="F91" t="s">
        <v>77</v>
      </c>
      <c r="G91">
        <v>283</v>
      </c>
      <c r="H91">
        <v>4</v>
      </c>
      <c r="I91">
        <v>130000</v>
      </c>
      <c r="J91">
        <v>75000</v>
      </c>
      <c r="K91">
        <v>29000</v>
      </c>
      <c r="L91">
        <v>160000</v>
      </c>
      <c r="M91">
        <v>0</v>
      </c>
      <c r="N91">
        <v>30000</v>
      </c>
      <c r="O91">
        <v>20000</v>
      </c>
      <c r="P91">
        <v>23000</v>
      </c>
      <c r="Q91">
        <v>25500</v>
      </c>
      <c r="R91">
        <v>0</v>
      </c>
      <c r="S91">
        <v>0</v>
      </c>
      <c r="T91">
        <v>87500</v>
      </c>
      <c r="U91">
        <v>25500</v>
      </c>
      <c r="V91">
        <v>33000</v>
      </c>
      <c r="W91">
        <v>-10000</v>
      </c>
      <c r="X91">
        <v>0</v>
      </c>
      <c r="Y91">
        <v>127</v>
      </c>
      <c r="Z91" t="s">
        <v>50</v>
      </c>
      <c r="AA91">
        <v>0</v>
      </c>
      <c r="AB91" t="s">
        <v>42</v>
      </c>
      <c r="AC91">
        <v>3</v>
      </c>
      <c r="AD91">
        <v>4</v>
      </c>
      <c r="AE91">
        <v>173500</v>
      </c>
      <c r="AF91">
        <v>87500</v>
      </c>
      <c r="AG91">
        <v>0</v>
      </c>
      <c r="AH91">
        <f t="shared" si="1"/>
        <v>7</v>
      </c>
    </row>
    <row r="92" spans="1:34" x14ac:dyDescent="0.3">
      <c r="A92" t="s">
        <v>33</v>
      </c>
      <c r="B92" t="s">
        <v>69</v>
      </c>
      <c r="C92">
        <v>1035</v>
      </c>
      <c r="D92">
        <v>655</v>
      </c>
      <c r="E92" t="s">
        <v>78</v>
      </c>
      <c r="G92">
        <v>268</v>
      </c>
      <c r="H92">
        <v>0</v>
      </c>
      <c r="I92">
        <v>190000</v>
      </c>
      <c r="J92">
        <v>115000</v>
      </c>
      <c r="K92">
        <v>0</v>
      </c>
      <c r="L92">
        <v>0</v>
      </c>
      <c r="M92">
        <v>0</v>
      </c>
      <c r="N92">
        <v>0</v>
      </c>
      <c r="O92">
        <v>0</v>
      </c>
      <c r="P92">
        <v>0</v>
      </c>
      <c r="Q92">
        <v>0</v>
      </c>
      <c r="R92">
        <v>0</v>
      </c>
      <c r="S92">
        <v>0</v>
      </c>
      <c r="T92">
        <v>80000</v>
      </c>
      <c r="X92">
        <v>5</v>
      </c>
      <c r="Y92">
        <v>128</v>
      </c>
      <c r="Z92" t="s">
        <v>54</v>
      </c>
      <c r="AA92">
        <v>0</v>
      </c>
      <c r="AC92">
        <v>0</v>
      </c>
      <c r="AD92">
        <v>0</v>
      </c>
      <c r="AE92">
        <v>115000</v>
      </c>
      <c r="AF92">
        <v>80000</v>
      </c>
      <c r="AG92">
        <v>0</v>
      </c>
      <c r="AH92">
        <f t="shared" si="1"/>
        <v>0</v>
      </c>
    </row>
    <row r="93" spans="1:34" x14ac:dyDescent="0.3">
      <c r="A93" t="s">
        <v>33</v>
      </c>
      <c r="B93" t="s">
        <v>69</v>
      </c>
      <c r="C93">
        <v>1063</v>
      </c>
      <c r="D93">
        <v>655</v>
      </c>
      <c r="E93" t="s">
        <v>78</v>
      </c>
      <c r="F93" t="s">
        <v>51</v>
      </c>
      <c r="G93">
        <v>272</v>
      </c>
      <c r="H93">
        <v>1</v>
      </c>
      <c r="I93">
        <v>190000</v>
      </c>
      <c r="J93">
        <v>115000</v>
      </c>
      <c r="K93">
        <v>0</v>
      </c>
      <c r="L93">
        <v>0</v>
      </c>
      <c r="M93">
        <v>0</v>
      </c>
      <c r="N93">
        <v>20000</v>
      </c>
      <c r="O93">
        <v>30000</v>
      </c>
      <c r="P93">
        <v>10000</v>
      </c>
      <c r="Q93">
        <v>21000</v>
      </c>
      <c r="R93">
        <v>0</v>
      </c>
      <c r="S93">
        <v>4000</v>
      </c>
      <c r="T93">
        <v>70000</v>
      </c>
      <c r="U93">
        <v>21000</v>
      </c>
      <c r="X93">
        <v>6</v>
      </c>
      <c r="Y93">
        <v>128</v>
      </c>
      <c r="Z93" t="s">
        <v>54</v>
      </c>
      <c r="AA93">
        <v>4000</v>
      </c>
      <c r="AB93" t="s">
        <v>52</v>
      </c>
      <c r="AC93">
        <v>1</v>
      </c>
      <c r="AD93">
        <v>1</v>
      </c>
      <c r="AE93">
        <v>200000</v>
      </c>
      <c r="AF93">
        <v>70000</v>
      </c>
      <c r="AG93">
        <v>0</v>
      </c>
      <c r="AH93">
        <f t="shared" si="1"/>
        <v>2</v>
      </c>
    </row>
    <row r="94" spans="1:34" x14ac:dyDescent="0.3">
      <c r="A94" t="s">
        <v>33</v>
      </c>
      <c r="B94" t="s">
        <v>69</v>
      </c>
      <c r="C94">
        <v>1085</v>
      </c>
      <c r="D94">
        <v>655</v>
      </c>
      <c r="E94" t="s">
        <v>78</v>
      </c>
      <c r="F94" t="s">
        <v>51</v>
      </c>
      <c r="G94">
        <v>275</v>
      </c>
      <c r="H94">
        <v>2</v>
      </c>
      <c r="I94">
        <v>190000</v>
      </c>
      <c r="J94">
        <v>115000</v>
      </c>
      <c r="K94">
        <v>0</v>
      </c>
      <c r="L94">
        <v>0</v>
      </c>
      <c r="M94">
        <v>0</v>
      </c>
      <c r="N94">
        <v>20000</v>
      </c>
      <c r="O94">
        <v>30000</v>
      </c>
      <c r="P94">
        <v>9000</v>
      </c>
      <c r="Q94">
        <v>0</v>
      </c>
      <c r="R94">
        <v>0</v>
      </c>
      <c r="S94">
        <v>4000</v>
      </c>
      <c r="T94">
        <v>82000</v>
      </c>
      <c r="X94">
        <v>6</v>
      </c>
      <c r="Y94">
        <v>128</v>
      </c>
      <c r="Z94" t="s">
        <v>54</v>
      </c>
      <c r="AA94">
        <v>4000</v>
      </c>
      <c r="AB94" t="s">
        <v>52</v>
      </c>
      <c r="AC94">
        <v>1</v>
      </c>
      <c r="AD94">
        <v>1</v>
      </c>
      <c r="AE94">
        <v>178000</v>
      </c>
      <c r="AF94">
        <v>82000</v>
      </c>
      <c r="AG94">
        <v>0</v>
      </c>
      <c r="AH94">
        <f t="shared" si="1"/>
        <v>2</v>
      </c>
    </row>
    <row r="95" spans="1:34" x14ac:dyDescent="0.3">
      <c r="A95" t="s">
        <v>33</v>
      </c>
      <c r="B95" t="s">
        <v>69</v>
      </c>
      <c r="C95">
        <v>1106</v>
      </c>
      <c r="D95">
        <v>655</v>
      </c>
      <c r="E95" t="s">
        <v>78</v>
      </c>
      <c r="F95" t="s">
        <v>51</v>
      </c>
      <c r="G95">
        <v>279</v>
      </c>
      <c r="H95">
        <v>3</v>
      </c>
      <c r="I95">
        <v>190000</v>
      </c>
      <c r="J95">
        <v>115000</v>
      </c>
      <c r="K95">
        <v>0</v>
      </c>
      <c r="L95">
        <v>0</v>
      </c>
      <c r="M95">
        <v>0</v>
      </c>
      <c r="N95">
        <v>20000</v>
      </c>
      <c r="O95">
        <v>30000</v>
      </c>
      <c r="P95">
        <v>14000</v>
      </c>
      <c r="Q95">
        <v>0</v>
      </c>
      <c r="R95">
        <v>12000</v>
      </c>
      <c r="S95">
        <v>0</v>
      </c>
      <c r="T95">
        <v>81000</v>
      </c>
      <c r="X95">
        <v>4</v>
      </c>
      <c r="Y95">
        <v>128</v>
      </c>
      <c r="Z95" t="s">
        <v>54</v>
      </c>
      <c r="AA95">
        <v>12000</v>
      </c>
      <c r="AB95" t="s">
        <v>52</v>
      </c>
      <c r="AC95">
        <v>1</v>
      </c>
      <c r="AD95">
        <v>2</v>
      </c>
      <c r="AE95">
        <v>191000</v>
      </c>
      <c r="AF95">
        <v>81000</v>
      </c>
      <c r="AG95">
        <v>0</v>
      </c>
      <c r="AH95">
        <f t="shared" si="1"/>
        <v>3</v>
      </c>
    </row>
    <row r="96" spans="1:34" x14ac:dyDescent="0.3">
      <c r="A96" t="s">
        <v>33</v>
      </c>
      <c r="B96" t="s">
        <v>69</v>
      </c>
      <c r="C96">
        <v>1136</v>
      </c>
      <c r="D96">
        <v>655</v>
      </c>
      <c r="E96" t="s">
        <v>78</v>
      </c>
      <c r="F96" t="s">
        <v>56</v>
      </c>
      <c r="G96">
        <v>283</v>
      </c>
      <c r="H96">
        <v>4</v>
      </c>
      <c r="I96">
        <v>190000</v>
      </c>
      <c r="J96">
        <v>115000</v>
      </c>
      <c r="K96">
        <v>0</v>
      </c>
      <c r="L96">
        <v>90000</v>
      </c>
      <c r="M96">
        <v>125000</v>
      </c>
      <c r="N96">
        <v>30000</v>
      </c>
      <c r="O96">
        <v>30000</v>
      </c>
      <c r="P96">
        <v>15000</v>
      </c>
      <c r="Q96">
        <v>20125</v>
      </c>
      <c r="R96">
        <v>0</v>
      </c>
      <c r="S96">
        <v>0</v>
      </c>
      <c r="T96">
        <v>25875</v>
      </c>
      <c r="U96">
        <v>17000</v>
      </c>
      <c r="V96">
        <v>33000</v>
      </c>
      <c r="W96">
        <v>-14875</v>
      </c>
      <c r="X96">
        <v>7</v>
      </c>
      <c r="Y96">
        <v>128</v>
      </c>
      <c r="Z96" t="s">
        <v>54</v>
      </c>
      <c r="AA96">
        <v>0</v>
      </c>
      <c r="AB96" t="s">
        <v>42</v>
      </c>
      <c r="AC96">
        <v>3</v>
      </c>
      <c r="AD96">
        <v>4</v>
      </c>
      <c r="AE96">
        <v>335125</v>
      </c>
      <c r="AF96">
        <v>25875</v>
      </c>
      <c r="AG96">
        <v>0</v>
      </c>
      <c r="AH96">
        <f t="shared" si="1"/>
        <v>7</v>
      </c>
    </row>
    <row r="97" spans="1:34" x14ac:dyDescent="0.3">
      <c r="A97" t="s">
        <v>33</v>
      </c>
      <c r="B97" t="s">
        <v>79</v>
      </c>
      <c r="C97">
        <v>1069</v>
      </c>
      <c r="D97">
        <v>658</v>
      </c>
      <c r="E97" t="s">
        <v>80</v>
      </c>
      <c r="G97">
        <v>266</v>
      </c>
      <c r="H97">
        <v>0</v>
      </c>
      <c r="I97">
        <v>75000</v>
      </c>
      <c r="J97">
        <v>40000</v>
      </c>
      <c r="K97">
        <v>0</v>
      </c>
      <c r="L97">
        <v>0</v>
      </c>
      <c r="M97">
        <v>0</v>
      </c>
      <c r="N97">
        <v>0</v>
      </c>
      <c r="O97">
        <v>0</v>
      </c>
      <c r="P97">
        <v>0</v>
      </c>
      <c r="Q97">
        <v>0</v>
      </c>
      <c r="R97">
        <v>0</v>
      </c>
      <c r="S97">
        <v>0</v>
      </c>
      <c r="T97">
        <v>5000</v>
      </c>
      <c r="X97">
        <v>5</v>
      </c>
      <c r="Y97">
        <v>124</v>
      </c>
      <c r="Z97" t="s">
        <v>36</v>
      </c>
      <c r="AA97">
        <v>0</v>
      </c>
      <c r="AC97">
        <v>0</v>
      </c>
      <c r="AD97">
        <v>0</v>
      </c>
      <c r="AE97">
        <v>40000</v>
      </c>
      <c r="AF97">
        <v>5000</v>
      </c>
      <c r="AG97">
        <v>0</v>
      </c>
      <c r="AH97">
        <f t="shared" si="1"/>
        <v>0</v>
      </c>
    </row>
    <row r="98" spans="1:34" x14ac:dyDescent="0.3">
      <c r="A98" t="s">
        <v>33</v>
      </c>
      <c r="B98" t="s">
        <v>79</v>
      </c>
      <c r="C98">
        <v>1073</v>
      </c>
      <c r="D98">
        <v>658</v>
      </c>
      <c r="E98" t="s">
        <v>80</v>
      </c>
      <c r="G98">
        <v>273</v>
      </c>
      <c r="H98">
        <v>1</v>
      </c>
      <c r="I98">
        <v>75000</v>
      </c>
      <c r="J98">
        <v>40000</v>
      </c>
      <c r="K98">
        <v>0</v>
      </c>
      <c r="L98">
        <v>0</v>
      </c>
      <c r="M98">
        <v>0</v>
      </c>
      <c r="N98">
        <v>0</v>
      </c>
      <c r="O98">
        <v>0</v>
      </c>
      <c r="P98">
        <v>0</v>
      </c>
      <c r="Q98">
        <v>0</v>
      </c>
      <c r="R98">
        <v>0</v>
      </c>
      <c r="S98">
        <v>0</v>
      </c>
      <c r="T98">
        <v>40000</v>
      </c>
      <c r="X98">
        <v>5</v>
      </c>
      <c r="Y98">
        <v>124</v>
      </c>
      <c r="Z98" t="s">
        <v>36</v>
      </c>
      <c r="AA98">
        <v>0</v>
      </c>
      <c r="AC98">
        <v>0</v>
      </c>
      <c r="AD98">
        <v>0</v>
      </c>
      <c r="AE98">
        <v>40000</v>
      </c>
      <c r="AF98">
        <v>40000</v>
      </c>
      <c r="AG98">
        <v>0</v>
      </c>
      <c r="AH98">
        <f t="shared" si="1"/>
        <v>0</v>
      </c>
    </row>
    <row r="99" spans="1:34" x14ac:dyDescent="0.3">
      <c r="A99" t="s">
        <v>33</v>
      </c>
      <c r="B99" t="s">
        <v>79</v>
      </c>
      <c r="C99">
        <v>1057</v>
      </c>
      <c r="D99">
        <v>659</v>
      </c>
      <c r="E99" t="s">
        <v>81</v>
      </c>
      <c r="G99">
        <v>266</v>
      </c>
      <c r="H99">
        <v>0</v>
      </c>
      <c r="I99">
        <v>110000</v>
      </c>
      <c r="J99">
        <v>60000</v>
      </c>
      <c r="K99">
        <v>0</v>
      </c>
      <c r="L99">
        <v>0</v>
      </c>
      <c r="M99">
        <v>0</v>
      </c>
      <c r="N99">
        <v>0</v>
      </c>
      <c r="O99">
        <v>0</v>
      </c>
      <c r="P99">
        <v>0</v>
      </c>
      <c r="Q99">
        <v>0</v>
      </c>
      <c r="R99">
        <v>0</v>
      </c>
      <c r="S99">
        <v>0</v>
      </c>
      <c r="T99">
        <v>30000</v>
      </c>
      <c r="X99">
        <v>5</v>
      </c>
      <c r="Y99">
        <v>126</v>
      </c>
      <c r="Z99" t="s">
        <v>40</v>
      </c>
      <c r="AA99">
        <v>0</v>
      </c>
      <c r="AC99">
        <v>0</v>
      </c>
      <c r="AD99">
        <v>0</v>
      </c>
      <c r="AE99">
        <v>60000</v>
      </c>
      <c r="AF99">
        <v>30000</v>
      </c>
      <c r="AG99">
        <v>0</v>
      </c>
      <c r="AH99">
        <f t="shared" si="1"/>
        <v>0</v>
      </c>
    </row>
    <row r="100" spans="1:34" x14ac:dyDescent="0.3">
      <c r="A100" t="s">
        <v>33</v>
      </c>
      <c r="B100" t="s">
        <v>79</v>
      </c>
      <c r="C100">
        <v>1074</v>
      </c>
      <c r="D100">
        <v>659</v>
      </c>
      <c r="E100" t="s">
        <v>81</v>
      </c>
      <c r="F100" t="s">
        <v>66</v>
      </c>
      <c r="G100">
        <v>273</v>
      </c>
      <c r="H100">
        <v>1</v>
      </c>
      <c r="I100">
        <v>110000</v>
      </c>
      <c r="J100">
        <v>60000</v>
      </c>
      <c r="K100">
        <v>0</v>
      </c>
      <c r="L100">
        <v>0</v>
      </c>
      <c r="M100">
        <v>0</v>
      </c>
      <c r="N100">
        <v>15000</v>
      </c>
      <c r="O100">
        <v>16000</v>
      </c>
      <c r="P100">
        <v>18000</v>
      </c>
      <c r="Q100">
        <v>8000</v>
      </c>
      <c r="R100">
        <v>0</v>
      </c>
      <c r="S100">
        <v>0</v>
      </c>
      <c r="T100">
        <v>23000</v>
      </c>
      <c r="U100">
        <v>8000</v>
      </c>
      <c r="X100">
        <v>7</v>
      </c>
      <c r="Y100">
        <v>126</v>
      </c>
      <c r="Z100" t="s">
        <v>40</v>
      </c>
      <c r="AA100">
        <v>0</v>
      </c>
      <c r="AB100" t="s">
        <v>52</v>
      </c>
      <c r="AC100">
        <v>2</v>
      </c>
      <c r="AD100">
        <v>2</v>
      </c>
      <c r="AE100">
        <v>117000</v>
      </c>
      <c r="AF100">
        <v>23000</v>
      </c>
      <c r="AG100">
        <v>0</v>
      </c>
      <c r="AH100">
        <f t="shared" si="1"/>
        <v>4</v>
      </c>
    </row>
    <row r="101" spans="1:34" x14ac:dyDescent="0.3">
      <c r="A101" t="s">
        <v>33</v>
      </c>
      <c r="B101" t="s">
        <v>79</v>
      </c>
      <c r="C101">
        <v>1117</v>
      </c>
      <c r="D101">
        <v>659</v>
      </c>
      <c r="E101" t="s">
        <v>81</v>
      </c>
      <c r="F101" t="s">
        <v>66</v>
      </c>
      <c r="G101">
        <v>280</v>
      </c>
      <c r="H101">
        <v>2</v>
      </c>
      <c r="I101">
        <v>110000</v>
      </c>
      <c r="J101">
        <v>60000</v>
      </c>
      <c r="K101">
        <v>0</v>
      </c>
      <c r="L101">
        <v>0</v>
      </c>
      <c r="M101">
        <v>0</v>
      </c>
      <c r="N101">
        <v>15000</v>
      </c>
      <c r="O101">
        <v>16000</v>
      </c>
      <c r="P101">
        <v>15000</v>
      </c>
      <c r="Q101">
        <v>9500</v>
      </c>
      <c r="R101">
        <v>0</v>
      </c>
      <c r="S101">
        <v>0</v>
      </c>
      <c r="T101">
        <v>17500</v>
      </c>
      <c r="U101">
        <v>9500</v>
      </c>
      <c r="X101">
        <v>11</v>
      </c>
      <c r="Y101">
        <v>126</v>
      </c>
      <c r="Z101" t="s">
        <v>40</v>
      </c>
      <c r="AA101">
        <v>0</v>
      </c>
      <c r="AB101" t="s">
        <v>52</v>
      </c>
      <c r="AC101">
        <v>1</v>
      </c>
      <c r="AD101">
        <v>2</v>
      </c>
      <c r="AE101">
        <v>115500</v>
      </c>
      <c r="AF101">
        <v>17500</v>
      </c>
      <c r="AG101">
        <v>0</v>
      </c>
      <c r="AH101">
        <f t="shared" si="1"/>
        <v>3</v>
      </c>
    </row>
    <row r="102" spans="1:34" x14ac:dyDescent="0.3">
      <c r="A102" t="s">
        <v>33</v>
      </c>
      <c r="B102" t="s">
        <v>79</v>
      </c>
      <c r="C102">
        <v>1142</v>
      </c>
      <c r="D102">
        <v>659</v>
      </c>
      <c r="E102" t="s">
        <v>81</v>
      </c>
      <c r="F102" t="s">
        <v>66</v>
      </c>
      <c r="G102">
        <v>284</v>
      </c>
      <c r="H102">
        <v>3</v>
      </c>
      <c r="I102">
        <v>110000</v>
      </c>
      <c r="J102">
        <v>60000</v>
      </c>
      <c r="K102">
        <v>0</v>
      </c>
      <c r="L102">
        <v>0</v>
      </c>
      <c r="M102">
        <v>0</v>
      </c>
      <c r="N102">
        <v>15000</v>
      </c>
      <c r="O102">
        <v>16000</v>
      </c>
      <c r="P102">
        <v>0</v>
      </c>
      <c r="Q102">
        <v>3200</v>
      </c>
      <c r="R102">
        <v>0</v>
      </c>
      <c r="S102">
        <v>4000</v>
      </c>
      <c r="T102">
        <v>29300</v>
      </c>
      <c r="U102">
        <v>3200</v>
      </c>
      <c r="X102">
        <v>10</v>
      </c>
      <c r="Y102">
        <v>126</v>
      </c>
      <c r="Z102" t="s">
        <v>40</v>
      </c>
      <c r="AA102">
        <v>4000</v>
      </c>
      <c r="AB102" t="s">
        <v>52</v>
      </c>
      <c r="AC102">
        <v>0</v>
      </c>
      <c r="AD102">
        <v>0</v>
      </c>
      <c r="AE102">
        <v>98200</v>
      </c>
      <c r="AF102">
        <v>29300</v>
      </c>
      <c r="AG102">
        <v>0</v>
      </c>
      <c r="AH102">
        <f t="shared" si="1"/>
        <v>0</v>
      </c>
    </row>
    <row r="103" spans="1:34" x14ac:dyDescent="0.3">
      <c r="A103" t="s">
        <v>33</v>
      </c>
      <c r="B103" t="s">
        <v>79</v>
      </c>
      <c r="C103">
        <v>1150</v>
      </c>
      <c r="D103">
        <v>659</v>
      </c>
      <c r="E103" t="s">
        <v>81</v>
      </c>
      <c r="F103" t="s">
        <v>77</v>
      </c>
      <c r="G103">
        <v>285</v>
      </c>
      <c r="H103">
        <v>4</v>
      </c>
      <c r="I103">
        <v>110000</v>
      </c>
      <c r="J103">
        <v>60000</v>
      </c>
      <c r="K103">
        <v>0</v>
      </c>
      <c r="L103">
        <v>88000</v>
      </c>
      <c r="M103">
        <v>30000</v>
      </c>
      <c r="N103">
        <v>30000</v>
      </c>
      <c r="O103">
        <v>17000</v>
      </c>
      <c r="P103">
        <v>0</v>
      </c>
      <c r="Q103">
        <v>0</v>
      </c>
      <c r="R103">
        <v>0</v>
      </c>
      <c r="S103">
        <v>0</v>
      </c>
      <c r="T103">
        <v>90300</v>
      </c>
      <c r="V103">
        <v>33000</v>
      </c>
      <c r="X103">
        <v>9</v>
      </c>
      <c r="Y103">
        <v>126</v>
      </c>
      <c r="Z103" t="s">
        <v>40</v>
      </c>
      <c r="AA103">
        <v>0</v>
      </c>
      <c r="AB103" t="s">
        <v>42</v>
      </c>
      <c r="AC103">
        <v>3</v>
      </c>
      <c r="AD103">
        <v>4</v>
      </c>
      <c r="AE103">
        <v>137000</v>
      </c>
      <c r="AF103">
        <v>90300</v>
      </c>
      <c r="AG103">
        <v>0</v>
      </c>
      <c r="AH103">
        <f t="shared" si="1"/>
        <v>7</v>
      </c>
    </row>
    <row r="104" spans="1:34" x14ac:dyDescent="0.3">
      <c r="A104" t="s">
        <v>33</v>
      </c>
      <c r="B104" t="s">
        <v>79</v>
      </c>
      <c r="C104">
        <v>1058</v>
      </c>
      <c r="D104">
        <v>660</v>
      </c>
      <c r="E104" t="s">
        <v>82</v>
      </c>
      <c r="G104">
        <v>266</v>
      </c>
      <c r="H104">
        <v>0</v>
      </c>
      <c r="I104">
        <v>60000</v>
      </c>
      <c r="J104">
        <v>30000</v>
      </c>
      <c r="K104">
        <v>0</v>
      </c>
      <c r="L104">
        <v>0</v>
      </c>
      <c r="M104">
        <v>0</v>
      </c>
      <c r="N104">
        <v>0</v>
      </c>
      <c r="O104">
        <v>0</v>
      </c>
      <c r="P104">
        <v>0</v>
      </c>
      <c r="Q104">
        <v>0</v>
      </c>
      <c r="R104">
        <v>0</v>
      </c>
      <c r="S104">
        <v>0</v>
      </c>
      <c r="T104">
        <v>0</v>
      </c>
      <c r="X104">
        <v>5</v>
      </c>
      <c r="Y104">
        <v>123</v>
      </c>
      <c r="Z104" t="s">
        <v>44</v>
      </c>
      <c r="AA104">
        <v>0</v>
      </c>
      <c r="AC104">
        <v>0</v>
      </c>
      <c r="AD104">
        <v>0</v>
      </c>
      <c r="AE104">
        <v>30000</v>
      </c>
      <c r="AF104">
        <v>0</v>
      </c>
      <c r="AG104">
        <v>0</v>
      </c>
      <c r="AH104">
        <f t="shared" si="1"/>
        <v>0</v>
      </c>
    </row>
    <row r="105" spans="1:34" x14ac:dyDescent="0.3">
      <c r="A105" t="s">
        <v>33</v>
      </c>
      <c r="B105" t="s">
        <v>79</v>
      </c>
      <c r="C105">
        <v>1072</v>
      </c>
      <c r="D105">
        <v>660</v>
      </c>
      <c r="E105" t="s">
        <v>82</v>
      </c>
      <c r="F105" t="s">
        <v>83</v>
      </c>
      <c r="G105">
        <v>273</v>
      </c>
      <c r="H105">
        <v>1</v>
      </c>
      <c r="I105">
        <v>60000</v>
      </c>
      <c r="J105">
        <v>30000</v>
      </c>
      <c r="K105">
        <v>0</v>
      </c>
      <c r="L105">
        <v>0</v>
      </c>
      <c r="M105">
        <v>0</v>
      </c>
      <c r="N105">
        <v>15000</v>
      </c>
      <c r="O105">
        <v>8000</v>
      </c>
      <c r="P105">
        <v>0</v>
      </c>
      <c r="Q105">
        <v>1600</v>
      </c>
      <c r="R105">
        <v>0</v>
      </c>
      <c r="S105">
        <v>0</v>
      </c>
      <c r="T105">
        <v>5400</v>
      </c>
      <c r="U105">
        <v>1600</v>
      </c>
      <c r="X105">
        <v>4</v>
      </c>
      <c r="Y105">
        <v>123</v>
      </c>
      <c r="Z105" t="s">
        <v>44</v>
      </c>
      <c r="AA105">
        <v>0</v>
      </c>
      <c r="AB105" t="s">
        <v>52</v>
      </c>
      <c r="AC105">
        <v>0</v>
      </c>
      <c r="AD105">
        <v>0</v>
      </c>
      <c r="AE105">
        <v>54600</v>
      </c>
      <c r="AF105">
        <v>5400</v>
      </c>
      <c r="AG105">
        <v>0</v>
      </c>
      <c r="AH105">
        <f t="shared" si="1"/>
        <v>0</v>
      </c>
    </row>
    <row r="106" spans="1:34" x14ac:dyDescent="0.3">
      <c r="A106" t="s">
        <v>33</v>
      </c>
      <c r="B106" t="s">
        <v>79</v>
      </c>
      <c r="C106">
        <v>1120</v>
      </c>
      <c r="D106">
        <v>660</v>
      </c>
      <c r="E106" t="s">
        <v>82</v>
      </c>
      <c r="F106" t="s">
        <v>83</v>
      </c>
      <c r="G106">
        <v>280</v>
      </c>
      <c r="H106">
        <v>2</v>
      </c>
      <c r="I106">
        <v>60000</v>
      </c>
      <c r="J106">
        <v>30000</v>
      </c>
      <c r="K106">
        <v>0</v>
      </c>
      <c r="L106">
        <v>0</v>
      </c>
      <c r="M106">
        <v>0</v>
      </c>
      <c r="N106">
        <v>15000</v>
      </c>
      <c r="O106">
        <v>8000</v>
      </c>
      <c r="P106">
        <v>8000</v>
      </c>
      <c r="Q106">
        <v>0</v>
      </c>
      <c r="R106">
        <v>0</v>
      </c>
      <c r="S106">
        <v>0</v>
      </c>
      <c r="T106">
        <v>4400</v>
      </c>
      <c r="V106">
        <v>8000</v>
      </c>
      <c r="X106">
        <v>5</v>
      </c>
      <c r="Y106">
        <v>123</v>
      </c>
      <c r="Z106" t="s">
        <v>44</v>
      </c>
      <c r="AA106">
        <v>0</v>
      </c>
      <c r="AB106" t="s">
        <v>52</v>
      </c>
      <c r="AC106">
        <v>1</v>
      </c>
      <c r="AD106">
        <v>1</v>
      </c>
      <c r="AE106">
        <v>61000</v>
      </c>
      <c r="AF106">
        <v>4400</v>
      </c>
      <c r="AG106">
        <v>0</v>
      </c>
      <c r="AH106">
        <f t="shared" si="1"/>
        <v>2</v>
      </c>
    </row>
    <row r="107" spans="1:34" x14ac:dyDescent="0.3">
      <c r="A107" t="s">
        <v>33</v>
      </c>
      <c r="B107" t="s">
        <v>79</v>
      </c>
      <c r="C107">
        <v>1144</v>
      </c>
      <c r="D107">
        <v>660</v>
      </c>
      <c r="E107" t="s">
        <v>82</v>
      </c>
      <c r="F107" t="s">
        <v>83</v>
      </c>
      <c r="G107">
        <v>284</v>
      </c>
      <c r="H107">
        <v>3</v>
      </c>
      <c r="I107">
        <v>60000</v>
      </c>
      <c r="J107">
        <v>30000</v>
      </c>
      <c r="K107">
        <v>0</v>
      </c>
      <c r="L107">
        <v>0</v>
      </c>
      <c r="M107">
        <v>0</v>
      </c>
      <c r="N107">
        <v>15000</v>
      </c>
      <c r="O107">
        <v>8000</v>
      </c>
      <c r="P107">
        <v>6000</v>
      </c>
      <c r="Q107">
        <v>0</v>
      </c>
      <c r="R107">
        <v>0</v>
      </c>
      <c r="S107">
        <v>4000</v>
      </c>
      <c r="T107">
        <v>1400</v>
      </c>
      <c r="V107">
        <v>6000</v>
      </c>
      <c r="X107">
        <v>5</v>
      </c>
      <c r="Y107">
        <v>123</v>
      </c>
      <c r="Z107" t="s">
        <v>44</v>
      </c>
      <c r="AA107">
        <v>4000</v>
      </c>
      <c r="AB107" t="s">
        <v>52</v>
      </c>
      <c r="AC107">
        <v>0</v>
      </c>
      <c r="AD107">
        <v>1</v>
      </c>
      <c r="AE107">
        <v>63000</v>
      </c>
      <c r="AF107">
        <v>1400</v>
      </c>
      <c r="AG107">
        <v>0</v>
      </c>
      <c r="AH107">
        <f t="shared" si="1"/>
        <v>1</v>
      </c>
    </row>
    <row r="108" spans="1:34" x14ac:dyDescent="0.3">
      <c r="A108" t="s">
        <v>33</v>
      </c>
      <c r="B108" t="s">
        <v>79</v>
      </c>
      <c r="C108">
        <v>1151</v>
      </c>
      <c r="D108">
        <v>660</v>
      </c>
      <c r="E108" t="s">
        <v>82</v>
      </c>
      <c r="F108" t="s">
        <v>83</v>
      </c>
      <c r="G108">
        <v>285</v>
      </c>
      <c r="H108">
        <v>4</v>
      </c>
      <c r="I108">
        <v>60000</v>
      </c>
      <c r="J108">
        <v>30000</v>
      </c>
      <c r="K108">
        <v>0</v>
      </c>
      <c r="L108">
        <v>0</v>
      </c>
      <c r="M108">
        <v>0</v>
      </c>
      <c r="N108">
        <v>20000</v>
      </c>
      <c r="O108">
        <v>8000</v>
      </c>
      <c r="P108">
        <v>0</v>
      </c>
      <c r="Q108">
        <v>2000</v>
      </c>
      <c r="R108">
        <v>0</v>
      </c>
      <c r="S108">
        <v>4000</v>
      </c>
      <c r="T108">
        <v>-2600</v>
      </c>
      <c r="U108">
        <v>2000</v>
      </c>
      <c r="X108">
        <v>5</v>
      </c>
      <c r="Y108">
        <v>123</v>
      </c>
      <c r="Z108" t="s">
        <v>44</v>
      </c>
      <c r="AA108">
        <v>4000</v>
      </c>
      <c r="AB108" t="s">
        <v>52</v>
      </c>
      <c r="AC108">
        <v>0</v>
      </c>
      <c r="AD108">
        <v>0</v>
      </c>
      <c r="AE108">
        <v>64000</v>
      </c>
      <c r="AF108">
        <v>-2600</v>
      </c>
      <c r="AG108">
        <v>0</v>
      </c>
      <c r="AH108">
        <f t="shared" si="1"/>
        <v>0</v>
      </c>
    </row>
    <row r="109" spans="1:34" x14ac:dyDescent="0.3">
      <c r="A109" t="s">
        <v>33</v>
      </c>
      <c r="B109" t="s">
        <v>79</v>
      </c>
      <c r="C109">
        <v>1059</v>
      </c>
      <c r="D109">
        <v>661</v>
      </c>
      <c r="E109" t="s">
        <v>84</v>
      </c>
      <c r="G109">
        <v>266</v>
      </c>
      <c r="H109">
        <v>0</v>
      </c>
      <c r="I109">
        <v>90000</v>
      </c>
      <c r="J109">
        <v>50000</v>
      </c>
      <c r="K109">
        <v>0</v>
      </c>
      <c r="L109">
        <v>0</v>
      </c>
      <c r="M109">
        <v>0</v>
      </c>
      <c r="N109">
        <v>0</v>
      </c>
      <c r="O109">
        <v>0</v>
      </c>
      <c r="P109">
        <v>0</v>
      </c>
      <c r="Q109">
        <v>0</v>
      </c>
      <c r="R109">
        <v>0</v>
      </c>
      <c r="S109">
        <v>0</v>
      </c>
      <c r="T109">
        <v>15000</v>
      </c>
      <c r="X109">
        <v>5</v>
      </c>
      <c r="Y109">
        <v>125</v>
      </c>
      <c r="Z109" t="s">
        <v>47</v>
      </c>
      <c r="AA109">
        <v>0</v>
      </c>
      <c r="AC109">
        <v>0</v>
      </c>
      <c r="AD109">
        <v>0</v>
      </c>
      <c r="AE109">
        <v>50000</v>
      </c>
      <c r="AF109">
        <v>15000</v>
      </c>
      <c r="AG109">
        <v>0</v>
      </c>
      <c r="AH109">
        <f t="shared" si="1"/>
        <v>0</v>
      </c>
    </row>
    <row r="110" spans="1:34" x14ac:dyDescent="0.3">
      <c r="A110" t="s">
        <v>33</v>
      </c>
      <c r="B110" t="s">
        <v>79</v>
      </c>
      <c r="C110">
        <v>1076</v>
      </c>
      <c r="D110">
        <v>661</v>
      </c>
      <c r="E110" t="s">
        <v>84</v>
      </c>
      <c r="F110" t="s">
        <v>48</v>
      </c>
      <c r="G110">
        <v>273</v>
      </c>
      <c r="H110">
        <v>1</v>
      </c>
      <c r="I110">
        <v>90000</v>
      </c>
      <c r="J110">
        <v>50000</v>
      </c>
      <c r="K110">
        <v>0</v>
      </c>
      <c r="L110">
        <v>0</v>
      </c>
      <c r="M110">
        <v>0</v>
      </c>
      <c r="N110">
        <v>15000</v>
      </c>
      <c r="O110">
        <v>10000</v>
      </c>
      <c r="P110">
        <v>6000</v>
      </c>
      <c r="Q110">
        <v>7000</v>
      </c>
      <c r="R110">
        <v>0</v>
      </c>
      <c r="S110">
        <v>0</v>
      </c>
      <c r="T110">
        <v>17000</v>
      </c>
      <c r="U110">
        <v>7000</v>
      </c>
      <c r="V110">
        <v>6000</v>
      </c>
      <c r="W110">
        <v>0</v>
      </c>
      <c r="X110">
        <v>6</v>
      </c>
      <c r="Y110">
        <v>125</v>
      </c>
      <c r="Z110" t="s">
        <v>47</v>
      </c>
      <c r="AA110">
        <v>0</v>
      </c>
      <c r="AB110" t="s">
        <v>42</v>
      </c>
      <c r="AC110">
        <v>0</v>
      </c>
      <c r="AD110">
        <v>1</v>
      </c>
      <c r="AE110">
        <v>88000</v>
      </c>
      <c r="AF110">
        <v>17000</v>
      </c>
      <c r="AG110">
        <v>0</v>
      </c>
      <c r="AH110">
        <f t="shared" si="1"/>
        <v>1</v>
      </c>
    </row>
    <row r="111" spans="1:34" x14ac:dyDescent="0.3">
      <c r="A111" t="s">
        <v>33</v>
      </c>
      <c r="B111" t="s">
        <v>79</v>
      </c>
      <c r="C111">
        <v>1118</v>
      </c>
      <c r="D111">
        <v>661</v>
      </c>
      <c r="E111" t="s">
        <v>84</v>
      </c>
      <c r="F111" t="s">
        <v>48</v>
      </c>
      <c r="G111">
        <v>280</v>
      </c>
      <c r="H111">
        <v>2</v>
      </c>
      <c r="I111">
        <v>90000</v>
      </c>
      <c r="J111">
        <v>50000</v>
      </c>
      <c r="K111">
        <v>0</v>
      </c>
      <c r="L111">
        <v>0</v>
      </c>
      <c r="M111">
        <v>0</v>
      </c>
      <c r="N111">
        <v>15000</v>
      </c>
      <c r="O111">
        <v>10000</v>
      </c>
      <c r="P111">
        <v>8000</v>
      </c>
      <c r="Q111">
        <v>7000</v>
      </c>
      <c r="R111">
        <v>0</v>
      </c>
      <c r="S111">
        <v>0</v>
      </c>
      <c r="T111">
        <v>17000</v>
      </c>
      <c r="U111">
        <v>7000</v>
      </c>
      <c r="V111">
        <v>8000</v>
      </c>
      <c r="W111">
        <v>0</v>
      </c>
      <c r="X111">
        <v>9</v>
      </c>
      <c r="Y111">
        <v>125</v>
      </c>
      <c r="Z111" t="s">
        <v>47</v>
      </c>
      <c r="AA111">
        <v>0</v>
      </c>
      <c r="AB111" t="s">
        <v>42</v>
      </c>
      <c r="AC111">
        <v>1</v>
      </c>
      <c r="AD111">
        <v>1</v>
      </c>
      <c r="AE111">
        <v>90000</v>
      </c>
      <c r="AF111">
        <v>17000</v>
      </c>
      <c r="AG111">
        <v>0</v>
      </c>
      <c r="AH111">
        <f t="shared" si="1"/>
        <v>2</v>
      </c>
    </row>
    <row r="112" spans="1:34" x14ac:dyDescent="0.3">
      <c r="A112" t="s">
        <v>33</v>
      </c>
      <c r="B112" t="s">
        <v>79</v>
      </c>
      <c r="C112">
        <v>1141</v>
      </c>
      <c r="D112">
        <v>661</v>
      </c>
      <c r="E112" t="s">
        <v>84</v>
      </c>
      <c r="F112" t="s">
        <v>48</v>
      </c>
      <c r="G112">
        <v>284</v>
      </c>
      <c r="H112">
        <v>3</v>
      </c>
      <c r="I112">
        <v>90000</v>
      </c>
      <c r="J112">
        <v>50000</v>
      </c>
      <c r="K112">
        <v>0</v>
      </c>
      <c r="L112">
        <v>0</v>
      </c>
      <c r="M112">
        <v>0</v>
      </c>
      <c r="N112">
        <v>15000</v>
      </c>
      <c r="O112">
        <v>10000</v>
      </c>
      <c r="P112">
        <v>0</v>
      </c>
      <c r="Q112">
        <v>0</v>
      </c>
      <c r="R112">
        <v>0</v>
      </c>
      <c r="S112">
        <v>4000</v>
      </c>
      <c r="T112">
        <v>28000</v>
      </c>
      <c r="X112">
        <v>8</v>
      </c>
      <c r="Y112">
        <v>125</v>
      </c>
      <c r="Z112" t="s">
        <v>47</v>
      </c>
      <c r="AA112">
        <v>4000</v>
      </c>
      <c r="AB112" t="s">
        <v>42</v>
      </c>
      <c r="AC112">
        <v>0</v>
      </c>
      <c r="AD112">
        <v>0</v>
      </c>
      <c r="AE112">
        <v>79000</v>
      </c>
      <c r="AF112">
        <v>28000</v>
      </c>
      <c r="AG112">
        <v>0</v>
      </c>
      <c r="AH112">
        <f t="shared" si="1"/>
        <v>0</v>
      </c>
    </row>
    <row r="113" spans="1:34" x14ac:dyDescent="0.3">
      <c r="A113" t="s">
        <v>33</v>
      </c>
      <c r="B113" t="s">
        <v>79</v>
      </c>
      <c r="C113">
        <v>1148</v>
      </c>
      <c r="D113">
        <v>661</v>
      </c>
      <c r="E113" t="s">
        <v>84</v>
      </c>
      <c r="F113" t="s">
        <v>48</v>
      </c>
      <c r="G113">
        <v>285</v>
      </c>
      <c r="H113">
        <v>4</v>
      </c>
      <c r="I113">
        <v>90000</v>
      </c>
      <c r="J113">
        <v>50000</v>
      </c>
      <c r="K113">
        <v>0</v>
      </c>
      <c r="L113">
        <v>0</v>
      </c>
      <c r="M113">
        <v>0</v>
      </c>
      <c r="N113">
        <v>30000</v>
      </c>
      <c r="O113">
        <v>10000</v>
      </c>
      <c r="P113">
        <v>8000</v>
      </c>
      <c r="Q113">
        <v>0</v>
      </c>
      <c r="R113">
        <v>0</v>
      </c>
      <c r="S113">
        <v>0</v>
      </c>
      <c r="T113">
        <v>20000</v>
      </c>
      <c r="V113">
        <v>8000</v>
      </c>
      <c r="X113">
        <v>9</v>
      </c>
      <c r="Y113">
        <v>125</v>
      </c>
      <c r="Z113" t="s">
        <v>47</v>
      </c>
      <c r="AA113">
        <v>0</v>
      </c>
      <c r="AB113" t="s">
        <v>42</v>
      </c>
      <c r="AC113">
        <v>0</v>
      </c>
      <c r="AD113">
        <v>1</v>
      </c>
      <c r="AE113">
        <v>98000</v>
      </c>
      <c r="AF113">
        <v>20000</v>
      </c>
      <c r="AG113">
        <v>0</v>
      </c>
      <c r="AH113">
        <f t="shared" si="1"/>
        <v>1</v>
      </c>
    </row>
    <row r="114" spans="1:34" x14ac:dyDescent="0.3">
      <c r="A114" t="s">
        <v>33</v>
      </c>
      <c r="B114" t="s">
        <v>79</v>
      </c>
      <c r="C114">
        <v>1068</v>
      </c>
      <c r="D114">
        <v>662</v>
      </c>
      <c r="E114" t="s">
        <v>85</v>
      </c>
      <c r="G114">
        <v>266</v>
      </c>
      <c r="H114">
        <v>0</v>
      </c>
      <c r="I114">
        <v>130000</v>
      </c>
      <c r="J114">
        <v>75000</v>
      </c>
      <c r="K114">
        <v>0</v>
      </c>
      <c r="L114">
        <v>0</v>
      </c>
      <c r="M114">
        <v>0</v>
      </c>
      <c r="N114">
        <v>0</v>
      </c>
      <c r="O114">
        <v>0</v>
      </c>
      <c r="P114">
        <v>0</v>
      </c>
      <c r="Q114">
        <v>0</v>
      </c>
      <c r="R114">
        <v>0</v>
      </c>
      <c r="S114">
        <v>0</v>
      </c>
      <c r="T114">
        <v>50000</v>
      </c>
      <c r="X114">
        <v>5</v>
      </c>
      <c r="Y114">
        <v>127</v>
      </c>
      <c r="Z114" t="s">
        <v>50</v>
      </c>
      <c r="AA114">
        <v>0</v>
      </c>
      <c r="AC114">
        <v>0</v>
      </c>
      <c r="AD114">
        <v>0</v>
      </c>
      <c r="AE114">
        <v>75000</v>
      </c>
      <c r="AF114">
        <v>50000</v>
      </c>
      <c r="AG114">
        <v>0</v>
      </c>
      <c r="AH114">
        <f t="shared" si="1"/>
        <v>0</v>
      </c>
    </row>
    <row r="115" spans="1:34" x14ac:dyDescent="0.3">
      <c r="A115" t="s">
        <v>33</v>
      </c>
      <c r="B115" t="s">
        <v>79</v>
      </c>
      <c r="C115">
        <v>1075</v>
      </c>
      <c r="D115">
        <v>662</v>
      </c>
      <c r="E115" t="s">
        <v>85</v>
      </c>
      <c r="F115" t="s">
        <v>41</v>
      </c>
      <c r="G115">
        <v>273</v>
      </c>
      <c r="H115">
        <v>1</v>
      </c>
      <c r="I115">
        <v>130000</v>
      </c>
      <c r="J115">
        <v>75000</v>
      </c>
      <c r="K115">
        <v>0</v>
      </c>
      <c r="L115">
        <v>0</v>
      </c>
      <c r="M115">
        <v>0</v>
      </c>
      <c r="N115">
        <v>15000</v>
      </c>
      <c r="O115">
        <v>20000</v>
      </c>
      <c r="P115">
        <v>24000</v>
      </c>
      <c r="Q115">
        <v>0</v>
      </c>
      <c r="R115">
        <v>0</v>
      </c>
      <c r="S115">
        <v>0</v>
      </c>
      <c r="T115">
        <v>46000</v>
      </c>
      <c r="V115">
        <v>24000</v>
      </c>
      <c r="X115">
        <v>6</v>
      </c>
      <c r="Y115">
        <v>127</v>
      </c>
      <c r="Z115" t="s">
        <v>50</v>
      </c>
      <c r="AA115">
        <v>0</v>
      </c>
      <c r="AB115" t="s">
        <v>42</v>
      </c>
      <c r="AC115">
        <v>2</v>
      </c>
      <c r="AD115">
        <v>3</v>
      </c>
      <c r="AE115">
        <v>134000</v>
      </c>
      <c r="AF115">
        <v>46000</v>
      </c>
      <c r="AG115">
        <v>0</v>
      </c>
      <c r="AH115">
        <f t="shared" si="1"/>
        <v>5</v>
      </c>
    </row>
    <row r="116" spans="1:34" x14ac:dyDescent="0.3">
      <c r="A116" t="s">
        <v>33</v>
      </c>
      <c r="B116" t="s">
        <v>79</v>
      </c>
      <c r="C116">
        <v>1116</v>
      </c>
      <c r="D116">
        <v>662</v>
      </c>
      <c r="E116" t="s">
        <v>85</v>
      </c>
      <c r="F116" t="s">
        <v>41</v>
      </c>
      <c r="G116">
        <v>280</v>
      </c>
      <c r="H116">
        <v>2</v>
      </c>
      <c r="I116">
        <v>130000</v>
      </c>
      <c r="J116">
        <v>75000</v>
      </c>
      <c r="K116">
        <v>0</v>
      </c>
      <c r="L116">
        <v>0</v>
      </c>
      <c r="M116">
        <v>0</v>
      </c>
      <c r="N116">
        <v>15000</v>
      </c>
      <c r="O116">
        <v>20000</v>
      </c>
      <c r="P116">
        <v>8000</v>
      </c>
      <c r="Q116">
        <v>10000</v>
      </c>
      <c r="R116">
        <v>0</v>
      </c>
      <c r="S116">
        <v>0</v>
      </c>
      <c r="T116">
        <v>48000</v>
      </c>
      <c r="U116">
        <v>10000</v>
      </c>
      <c r="V116">
        <v>8000</v>
      </c>
      <c r="W116">
        <v>0</v>
      </c>
      <c r="X116">
        <v>9</v>
      </c>
      <c r="Y116">
        <v>127</v>
      </c>
      <c r="Z116" t="s">
        <v>50</v>
      </c>
      <c r="AA116">
        <v>0</v>
      </c>
      <c r="AB116" t="s">
        <v>42</v>
      </c>
      <c r="AC116">
        <v>0</v>
      </c>
      <c r="AD116">
        <v>1</v>
      </c>
      <c r="AE116">
        <v>128000</v>
      </c>
      <c r="AF116">
        <v>48000</v>
      </c>
      <c r="AG116">
        <v>0</v>
      </c>
      <c r="AH116">
        <f t="shared" si="1"/>
        <v>1</v>
      </c>
    </row>
    <row r="117" spans="1:34" x14ac:dyDescent="0.3">
      <c r="A117" t="s">
        <v>33</v>
      </c>
      <c r="B117" t="s">
        <v>79</v>
      </c>
      <c r="C117">
        <v>1145</v>
      </c>
      <c r="D117">
        <v>662</v>
      </c>
      <c r="E117" t="s">
        <v>85</v>
      </c>
      <c r="F117" t="s">
        <v>41</v>
      </c>
      <c r="G117">
        <v>284</v>
      </c>
      <c r="H117">
        <v>3</v>
      </c>
      <c r="I117">
        <v>130000</v>
      </c>
      <c r="J117">
        <v>75000</v>
      </c>
      <c r="K117">
        <v>0</v>
      </c>
      <c r="L117">
        <v>0</v>
      </c>
      <c r="M117">
        <v>0</v>
      </c>
      <c r="N117">
        <v>15000</v>
      </c>
      <c r="O117">
        <v>20000</v>
      </c>
      <c r="P117">
        <v>1000</v>
      </c>
      <c r="Q117">
        <v>0</v>
      </c>
      <c r="R117">
        <v>0</v>
      </c>
      <c r="S117">
        <v>4000</v>
      </c>
      <c r="T117">
        <v>63000</v>
      </c>
      <c r="V117">
        <v>1000</v>
      </c>
      <c r="X117">
        <v>8</v>
      </c>
      <c r="Y117">
        <v>127</v>
      </c>
      <c r="Z117" t="s">
        <v>50</v>
      </c>
      <c r="AA117">
        <v>4000</v>
      </c>
      <c r="AB117" t="s">
        <v>42</v>
      </c>
      <c r="AC117">
        <v>1</v>
      </c>
      <c r="AD117">
        <v>0</v>
      </c>
      <c r="AE117">
        <v>115000</v>
      </c>
      <c r="AF117">
        <v>63000</v>
      </c>
      <c r="AG117">
        <v>0</v>
      </c>
      <c r="AH117">
        <f t="shared" si="1"/>
        <v>1</v>
      </c>
    </row>
    <row r="118" spans="1:34" x14ac:dyDescent="0.3">
      <c r="A118" t="s">
        <v>33</v>
      </c>
      <c r="B118" t="s">
        <v>79</v>
      </c>
      <c r="C118">
        <v>1149</v>
      </c>
      <c r="D118">
        <v>662</v>
      </c>
      <c r="E118" t="s">
        <v>85</v>
      </c>
      <c r="F118" t="s">
        <v>41</v>
      </c>
      <c r="G118">
        <v>285</v>
      </c>
      <c r="H118">
        <v>4</v>
      </c>
      <c r="I118">
        <v>130000</v>
      </c>
      <c r="J118">
        <v>75000</v>
      </c>
      <c r="K118">
        <v>0</v>
      </c>
      <c r="L118">
        <v>0</v>
      </c>
      <c r="M118">
        <v>0</v>
      </c>
      <c r="N118">
        <v>30000</v>
      </c>
      <c r="O118">
        <v>20000</v>
      </c>
      <c r="P118">
        <v>0</v>
      </c>
      <c r="Q118">
        <v>15500</v>
      </c>
      <c r="R118">
        <v>0</v>
      </c>
      <c r="S118">
        <v>0</v>
      </c>
      <c r="T118">
        <v>52500</v>
      </c>
      <c r="U118">
        <v>15500</v>
      </c>
      <c r="X118">
        <v>10</v>
      </c>
      <c r="Y118">
        <v>127</v>
      </c>
      <c r="Z118" t="s">
        <v>50</v>
      </c>
      <c r="AA118">
        <v>0</v>
      </c>
      <c r="AB118" t="s">
        <v>42</v>
      </c>
      <c r="AC118">
        <v>0</v>
      </c>
      <c r="AD118">
        <v>0</v>
      </c>
      <c r="AE118">
        <v>140500</v>
      </c>
      <c r="AF118">
        <v>52500</v>
      </c>
      <c r="AG118">
        <v>0</v>
      </c>
      <c r="AH118">
        <f t="shared" si="1"/>
        <v>0</v>
      </c>
    </row>
    <row r="119" spans="1:34" x14ac:dyDescent="0.3">
      <c r="A119" t="s">
        <v>33</v>
      </c>
      <c r="B119" t="s">
        <v>79</v>
      </c>
      <c r="C119">
        <v>1060</v>
      </c>
      <c r="D119">
        <v>663</v>
      </c>
      <c r="E119" t="s">
        <v>86</v>
      </c>
      <c r="G119">
        <v>266</v>
      </c>
      <c r="H119">
        <v>0</v>
      </c>
      <c r="I119">
        <v>190000</v>
      </c>
      <c r="J119">
        <v>115000</v>
      </c>
      <c r="K119">
        <v>0</v>
      </c>
      <c r="L119">
        <v>0</v>
      </c>
      <c r="M119">
        <v>0</v>
      </c>
      <c r="N119">
        <v>0</v>
      </c>
      <c r="O119">
        <v>0</v>
      </c>
      <c r="P119">
        <v>0</v>
      </c>
      <c r="Q119">
        <v>0</v>
      </c>
      <c r="R119">
        <v>0</v>
      </c>
      <c r="S119">
        <v>0</v>
      </c>
      <c r="T119">
        <v>80000</v>
      </c>
      <c r="X119">
        <v>5</v>
      </c>
      <c r="Y119">
        <v>128</v>
      </c>
      <c r="Z119" t="s">
        <v>54</v>
      </c>
      <c r="AA119">
        <v>0</v>
      </c>
      <c r="AC119">
        <v>0</v>
      </c>
      <c r="AD119">
        <v>0</v>
      </c>
      <c r="AE119">
        <v>115000</v>
      </c>
      <c r="AF119">
        <v>80000</v>
      </c>
      <c r="AG119">
        <v>0</v>
      </c>
      <c r="AH119">
        <f t="shared" si="1"/>
        <v>0</v>
      </c>
    </row>
    <row r="120" spans="1:34" x14ac:dyDescent="0.3">
      <c r="A120" t="s">
        <v>33</v>
      </c>
      <c r="B120" t="s">
        <v>79</v>
      </c>
      <c r="C120">
        <v>1071</v>
      </c>
      <c r="D120">
        <v>663</v>
      </c>
      <c r="E120" t="s">
        <v>86</v>
      </c>
      <c r="F120" t="s">
        <v>51</v>
      </c>
      <c r="G120">
        <v>273</v>
      </c>
      <c r="H120">
        <v>1</v>
      </c>
      <c r="I120">
        <v>190000</v>
      </c>
      <c r="J120">
        <v>115000</v>
      </c>
      <c r="K120">
        <v>0</v>
      </c>
      <c r="L120">
        <v>0</v>
      </c>
      <c r="M120">
        <v>0</v>
      </c>
      <c r="N120">
        <v>15000</v>
      </c>
      <c r="O120">
        <v>30000</v>
      </c>
      <c r="P120">
        <v>24000</v>
      </c>
      <c r="Q120">
        <v>21000</v>
      </c>
      <c r="R120">
        <v>0</v>
      </c>
      <c r="S120">
        <v>0</v>
      </c>
      <c r="T120">
        <v>65000</v>
      </c>
      <c r="U120">
        <v>21000</v>
      </c>
      <c r="X120">
        <v>9</v>
      </c>
      <c r="Y120">
        <v>128</v>
      </c>
      <c r="Z120" t="s">
        <v>54</v>
      </c>
      <c r="AA120">
        <v>0</v>
      </c>
      <c r="AB120" t="s">
        <v>52</v>
      </c>
      <c r="AC120">
        <v>2</v>
      </c>
      <c r="AD120">
        <v>4</v>
      </c>
      <c r="AE120">
        <v>205000</v>
      </c>
      <c r="AF120">
        <v>65000</v>
      </c>
      <c r="AG120">
        <v>0</v>
      </c>
      <c r="AH120">
        <f t="shared" si="1"/>
        <v>6</v>
      </c>
    </row>
    <row r="121" spans="1:34" x14ac:dyDescent="0.3">
      <c r="A121" t="s">
        <v>33</v>
      </c>
      <c r="B121" t="s">
        <v>79</v>
      </c>
      <c r="C121">
        <v>1119</v>
      </c>
      <c r="D121">
        <v>663</v>
      </c>
      <c r="E121" t="s">
        <v>86</v>
      </c>
      <c r="F121" t="s">
        <v>51</v>
      </c>
      <c r="G121">
        <v>280</v>
      </c>
      <c r="H121">
        <v>2</v>
      </c>
      <c r="I121">
        <v>190000</v>
      </c>
      <c r="J121">
        <v>115000</v>
      </c>
      <c r="K121">
        <v>0</v>
      </c>
      <c r="L121">
        <v>0</v>
      </c>
      <c r="M121">
        <v>0</v>
      </c>
      <c r="N121">
        <v>15000</v>
      </c>
      <c r="O121">
        <v>30000</v>
      </c>
      <c r="P121">
        <v>1000</v>
      </c>
      <c r="Q121">
        <v>17000</v>
      </c>
      <c r="R121">
        <v>0</v>
      </c>
      <c r="S121">
        <v>4000</v>
      </c>
      <c r="T121">
        <v>73000</v>
      </c>
      <c r="U121">
        <v>17000</v>
      </c>
      <c r="X121">
        <v>10</v>
      </c>
      <c r="Y121">
        <v>128</v>
      </c>
      <c r="Z121" t="s">
        <v>54</v>
      </c>
      <c r="AA121">
        <v>4000</v>
      </c>
      <c r="AB121" t="s">
        <v>52</v>
      </c>
      <c r="AC121">
        <v>1</v>
      </c>
      <c r="AD121">
        <v>0</v>
      </c>
      <c r="AE121">
        <v>182000</v>
      </c>
      <c r="AF121">
        <v>73000</v>
      </c>
      <c r="AG121">
        <v>0</v>
      </c>
      <c r="AH121">
        <f t="shared" si="1"/>
        <v>1</v>
      </c>
    </row>
    <row r="122" spans="1:34" x14ac:dyDescent="0.3">
      <c r="A122" t="s">
        <v>33</v>
      </c>
      <c r="B122" t="s">
        <v>79</v>
      </c>
      <c r="C122">
        <v>1143</v>
      </c>
      <c r="D122">
        <v>663</v>
      </c>
      <c r="E122" t="s">
        <v>86</v>
      </c>
      <c r="F122" t="s">
        <v>51</v>
      </c>
      <c r="G122">
        <v>284</v>
      </c>
      <c r="H122">
        <v>3</v>
      </c>
      <c r="I122">
        <v>190000</v>
      </c>
      <c r="J122">
        <v>115000</v>
      </c>
      <c r="K122">
        <v>0</v>
      </c>
      <c r="L122">
        <v>0</v>
      </c>
      <c r="M122">
        <v>0</v>
      </c>
      <c r="N122">
        <v>15000</v>
      </c>
      <c r="O122">
        <v>30000</v>
      </c>
      <c r="P122">
        <v>0</v>
      </c>
      <c r="Q122">
        <v>0</v>
      </c>
      <c r="R122">
        <v>0</v>
      </c>
      <c r="S122">
        <v>4000</v>
      </c>
      <c r="T122">
        <v>99000</v>
      </c>
      <c r="X122">
        <v>9</v>
      </c>
      <c r="Y122">
        <v>128</v>
      </c>
      <c r="Z122" t="s">
        <v>54</v>
      </c>
      <c r="AA122">
        <v>4000</v>
      </c>
      <c r="AB122" t="s">
        <v>52</v>
      </c>
      <c r="AC122">
        <v>0</v>
      </c>
      <c r="AD122">
        <v>0</v>
      </c>
      <c r="AE122">
        <v>164000</v>
      </c>
      <c r="AF122">
        <v>99000</v>
      </c>
      <c r="AG122">
        <v>0</v>
      </c>
      <c r="AH122">
        <f t="shared" si="1"/>
        <v>0</v>
      </c>
    </row>
    <row r="123" spans="1:34" x14ac:dyDescent="0.3">
      <c r="A123" t="s">
        <v>33</v>
      </c>
      <c r="B123" t="s">
        <v>79</v>
      </c>
      <c r="C123">
        <v>1147</v>
      </c>
      <c r="D123">
        <v>663</v>
      </c>
      <c r="E123" t="s">
        <v>86</v>
      </c>
      <c r="F123" t="s">
        <v>56</v>
      </c>
      <c r="G123">
        <v>285</v>
      </c>
      <c r="H123">
        <v>4</v>
      </c>
      <c r="I123">
        <v>190000</v>
      </c>
      <c r="J123">
        <v>115000</v>
      </c>
      <c r="K123">
        <v>0</v>
      </c>
      <c r="L123">
        <v>90000</v>
      </c>
      <c r="M123">
        <v>125000</v>
      </c>
      <c r="N123">
        <v>30000</v>
      </c>
      <c r="O123">
        <v>30000</v>
      </c>
      <c r="P123">
        <v>0</v>
      </c>
      <c r="Q123">
        <v>0</v>
      </c>
      <c r="R123">
        <v>0</v>
      </c>
      <c r="S123">
        <v>0</v>
      </c>
      <c r="T123">
        <v>79000</v>
      </c>
      <c r="V123">
        <v>32000</v>
      </c>
      <c r="X123">
        <v>9</v>
      </c>
      <c r="Y123">
        <v>128</v>
      </c>
      <c r="Z123" t="s">
        <v>54</v>
      </c>
      <c r="AA123">
        <v>0</v>
      </c>
      <c r="AB123" t="s">
        <v>42</v>
      </c>
      <c r="AC123">
        <v>2</v>
      </c>
      <c r="AD123">
        <v>4</v>
      </c>
      <c r="AE123">
        <v>300000</v>
      </c>
      <c r="AF123">
        <v>79000</v>
      </c>
      <c r="AG123">
        <v>0</v>
      </c>
      <c r="AH123">
        <f t="shared" si="1"/>
        <v>6</v>
      </c>
    </row>
    <row r="124" spans="1:34" x14ac:dyDescent="0.3">
      <c r="A124" t="s">
        <v>33</v>
      </c>
      <c r="B124" t="s">
        <v>79</v>
      </c>
      <c r="C124">
        <v>1056</v>
      </c>
      <c r="D124">
        <v>664</v>
      </c>
      <c r="E124" t="s">
        <v>87</v>
      </c>
      <c r="G124">
        <v>266</v>
      </c>
      <c r="H124">
        <v>0</v>
      </c>
      <c r="I124">
        <v>110000</v>
      </c>
      <c r="J124">
        <v>60000</v>
      </c>
      <c r="K124">
        <v>0</v>
      </c>
      <c r="L124">
        <v>0</v>
      </c>
      <c r="M124">
        <v>0</v>
      </c>
      <c r="N124">
        <v>0</v>
      </c>
      <c r="O124">
        <v>0</v>
      </c>
      <c r="P124">
        <v>0</v>
      </c>
      <c r="Q124">
        <v>0</v>
      </c>
      <c r="R124">
        <v>0</v>
      </c>
      <c r="S124">
        <v>0</v>
      </c>
      <c r="T124">
        <v>30000</v>
      </c>
      <c r="X124">
        <v>5</v>
      </c>
      <c r="Y124">
        <v>126</v>
      </c>
      <c r="Z124" t="s">
        <v>40</v>
      </c>
      <c r="AA124">
        <v>0</v>
      </c>
      <c r="AC124">
        <v>0</v>
      </c>
      <c r="AD124">
        <v>0</v>
      </c>
      <c r="AE124">
        <v>60000</v>
      </c>
      <c r="AF124">
        <v>30000</v>
      </c>
      <c r="AG124">
        <v>0</v>
      </c>
      <c r="AH124">
        <f t="shared" si="1"/>
        <v>0</v>
      </c>
    </row>
    <row r="125" spans="1:34" x14ac:dyDescent="0.3">
      <c r="A125" t="s">
        <v>33</v>
      </c>
      <c r="B125" t="s">
        <v>79</v>
      </c>
      <c r="C125">
        <v>1070</v>
      </c>
      <c r="D125">
        <v>664</v>
      </c>
      <c r="E125" t="s">
        <v>87</v>
      </c>
      <c r="F125" t="s">
        <v>58</v>
      </c>
      <c r="G125">
        <v>273</v>
      </c>
      <c r="H125">
        <v>1</v>
      </c>
      <c r="I125">
        <v>110000</v>
      </c>
      <c r="J125">
        <v>60000</v>
      </c>
      <c r="K125">
        <v>0</v>
      </c>
      <c r="L125">
        <v>0</v>
      </c>
      <c r="M125">
        <v>30000</v>
      </c>
      <c r="N125">
        <v>15000</v>
      </c>
      <c r="O125">
        <v>17000</v>
      </c>
      <c r="P125">
        <v>0</v>
      </c>
      <c r="Q125">
        <v>0</v>
      </c>
      <c r="R125">
        <v>0</v>
      </c>
      <c r="S125">
        <v>0</v>
      </c>
      <c r="T125">
        <v>18000</v>
      </c>
      <c r="V125">
        <v>32000</v>
      </c>
      <c r="X125">
        <v>5</v>
      </c>
      <c r="Y125">
        <v>126</v>
      </c>
      <c r="Z125" t="s">
        <v>40</v>
      </c>
      <c r="AA125">
        <v>0</v>
      </c>
      <c r="AB125" t="s">
        <v>42</v>
      </c>
      <c r="AC125">
        <v>1</v>
      </c>
      <c r="AD125">
        <v>1</v>
      </c>
      <c r="AE125">
        <v>122000</v>
      </c>
      <c r="AF125">
        <v>18000</v>
      </c>
      <c r="AG125">
        <v>0</v>
      </c>
      <c r="AH125">
        <f t="shared" si="1"/>
        <v>2</v>
      </c>
    </row>
    <row r="126" spans="1:34" x14ac:dyDescent="0.3">
      <c r="A126" t="s">
        <v>33</v>
      </c>
      <c r="B126" t="s">
        <v>79</v>
      </c>
      <c r="C126">
        <v>1115</v>
      </c>
      <c r="D126">
        <v>664</v>
      </c>
      <c r="E126" t="s">
        <v>87</v>
      </c>
      <c r="F126" t="s">
        <v>58</v>
      </c>
      <c r="G126">
        <v>280</v>
      </c>
      <c r="H126">
        <v>2</v>
      </c>
      <c r="I126">
        <v>110000</v>
      </c>
      <c r="J126">
        <v>60000</v>
      </c>
      <c r="K126">
        <v>0</v>
      </c>
      <c r="L126">
        <v>0</v>
      </c>
      <c r="M126">
        <v>0</v>
      </c>
      <c r="N126">
        <v>15000</v>
      </c>
      <c r="O126">
        <v>17000</v>
      </c>
      <c r="P126">
        <v>24000</v>
      </c>
      <c r="Q126">
        <v>0</v>
      </c>
      <c r="R126">
        <v>0</v>
      </c>
      <c r="S126">
        <v>0</v>
      </c>
      <c r="T126">
        <v>12000</v>
      </c>
      <c r="V126">
        <v>1000</v>
      </c>
      <c r="X126">
        <v>7</v>
      </c>
      <c r="Y126">
        <v>126</v>
      </c>
      <c r="Z126" t="s">
        <v>40</v>
      </c>
      <c r="AA126">
        <v>0</v>
      </c>
      <c r="AB126" t="s">
        <v>42</v>
      </c>
      <c r="AC126">
        <v>1</v>
      </c>
      <c r="AD126">
        <v>3</v>
      </c>
      <c r="AE126">
        <v>116000</v>
      </c>
      <c r="AF126">
        <v>12000</v>
      </c>
      <c r="AG126">
        <v>0</v>
      </c>
      <c r="AH126">
        <f t="shared" si="1"/>
        <v>4</v>
      </c>
    </row>
    <row r="127" spans="1:34" x14ac:dyDescent="0.3">
      <c r="A127" t="s">
        <v>33</v>
      </c>
      <c r="B127" t="s">
        <v>79</v>
      </c>
      <c r="C127">
        <v>1140</v>
      </c>
      <c r="D127">
        <v>664</v>
      </c>
      <c r="E127" t="s">
        <v>87</v>
      </c>
      <c r="F127" t="s">
        <v>58</v>
      </c>
      <c r="G127">
        <v>284</v>
      </c>
      <c r="H127">
        <v>3</v>
      </c>
      <c r="I127">
        <v>110000</v>
      </c>
      <c r="J127">
        <v>60000</v>
      </c>
      <c r="K127">
        <v>0</v>
      </c>
      <c r="L127">
        <v>0</v>
      </c>
      <c r="M127">
        <v>0</v>
      </c>
      <c r="N127">
        <v>15000</v>
      </c>
      <c r="O127">
        <v>17000</v>
      </c>
      <c r="P127">
        <v>1000</v>
      </c>
      <c r="Q127">
        <v>5000</v>
      </c>
      <c r="R127">
        <v>0</v>
      </c>
      <c r="S127">
        <v>4000</v>
      </c>
      <c r="T127">
        <v>20000</v>
      </c>
      <c r="U127">
        <v>4250</v>
      </c>
      <c r="X127">
        <v>7</v>
      </c>
      <c r="Y127">
        <v>126</v>
      </c>
      <c r="Z127" t="s">
        <v>40</v>
      </c>
      <c r="AA127">
        <v>4000</v>
      </c>
      <c r="AB127" t="s">
        <v>42</v>
      </c>
      <c r="AC127">
        <v>1</v>
      </c>
      <c r="AD127">
        <v>0</v>
      </c>
      <c r="AE127">
        <v>102000</v>
      </c>
      <c r="AF127">
        <v>20000</v>
      </c>
      <c r="AG127">
        <v>0</v>
      </c>
      <c r="AH127">
        <f t="shared" si="1"/>
        <v>1</v>
      </c>
    </row>
    <row r="128" spans="1:34" x14ac:dyDescent="0.3">
      <c r="A128" t="s">
        <v>33</v>
      </c>
      <c r="B128" t="s">
        <v>79</v>
      </c>
      <c r="C128">
        <v>1146</v>
      </c>
      <c r="D128">
        <v>664</v>
      </c>
      <c r="E128" t="s">
        <v>87</v>
      </c>
      <c r="F128" t="s">
        <v>51</v>
      </c>
      <c r="G128">
        <v>285</v>
      </c>
      <c r="H128">
        <v>4</v>
      </c>
      <c r="I128">
        <v>110000</v>
      </c>
      <c r="J128">
        <v>60000</v>
      </c>
      <c r="K128">
        <v>0</v>
      </c>
      <c r="L128">
        <v>121000</v>
      </c>
      <c r="M128">
        <v>130000</v>
      </c>
      <c r="N128">
        <v>20000</v>
      </c>
      <c r="O128">
        <v>17000</v>
      </c>
      <c r="P128">
        <v>0</v>
      </c>
      <c r="Q128">
        <v>5500</v>
      </c>
      <c r="R128">
        <v>0</v>
      </c>
      <c r="S128">
        <v>4000</v>
      </c>
      <c r="T128">
        <v>14500</v>
      </c>
      <c r="U128">
        <v>5500</v>
      </c>
      <c r="X128">
        <v>6</v>
      </c>
      <c r="Y128">
        <v>126</v>
      </c>
      <c r="Z128" t="s">
        <v>40</v>
      </c>
      <c r="AA128">
        <v>4000</v>
      </c>
      <c r="AB128" t="s">
        <v>52</v>
      </c>
      <c r="AC128">
        <v>0</v>
      </c>
      <c r="AD128">
        <v>0</v>
      </c>
      <c r="AE128">
        <v>236500</v>
      </c>
      <c r="AF128">
        <v>14500</v>
      </c>
      <c r="AG128">
        <v>0</v>
      </c>
      <c r="AH128">
        <f t="shared" si="1"/>
        <v>0</v>
      </c>
    </row>
    <row r="129" spans="1:34" x14ac:dyDescent="0.3">
      <c r="A129" t="s">
        <v>33</v>
      </c>
      <c r="B129" t="s">
        <v>88</v>
      </c>
      <c r="C129">
        <v>1153</v>
      </c>
      <c r="D129">
        <v>666</v>
      </c>
      <c r="E129" t="s">
        <v>89</v>
      </c>
      <c r="G129">
        <v>289</v>
      </c>
      <c r="H129">
        <v>0</v>
      </c>
      <c r="I129">
        <v>75000</v>
      </c>
      <c r="J129">
        <v>40000</v>
      </c>
      <c r="K129">
        <v>0</v>
      </c>
      <c r="L129">
        <v>0</v>
      </c>
      <c r="M129">
        <v>0</v>
      </c>
      <c r="N129">
        <v>0</v>
      </c>
      <c r="O129">
        <v>0</v>
      </c>
      <c r="P129">
        <v>0</v>
      </c>
      <c r="Q129">
        <v>0</v>
      </c>
      <c r="R129">
        <v>0</v>
      </c>
      <c r="S129">
        <v>0</v>
      </c>
      <c r="T129">
        <v>5000</v>
      </c>
      <c r="X129">
        <v>5</v>
      </c>
      <c r="Y129">
        <v>124</v>
      </c>
      <c r="Z129" t="s">
        <v>36</v>
      </c>
      <c r="AA129">
        <v>0</v>
      </c>
      <c r="AC129">
        <v>0</v>
      </c>
      <c r="AD129">
        <v>0</v>
      </c>
      <c r="AE129">
        <v>40000</v>
      </c>
      <c r="AF129">
        <v>5000</v>
      </c>
      <c r="AG129">
        <v>0</v>
      </c>
      <c r="AH129">
        <f t="shared" si="1"/>
        <v>0</v>
      </c>
    </row>
    <row r="130" spans="1:34" x14ac:dyDescent="0.3">
      <c r="A130" t="s">
        <v>33</v>
      </c>
      <c r="B130" t="s">
        <v>88</v>
      </c>
      <c r="C130">
        <v>1182</v>
      </c>
      <c r="D130">
        <v>666</v>
      </c>
      <c r="E130" t="s">
        <v>89</v>
      </c>
      <c r="F130" t="s">
        <v>71</v>
      </c>
      <c r="G130">
        <v>291</v>
      </c>
      <c r="H130">
        <v>1</v>
      </c>
      <c r="I130">
        <v>75000</v>
      </c>
      <c r="J130">
        <v>40000</v>
      </c>
      <c r="K130">
        <v>0</v>
      </c>
      <c r="L130">
        <v>0</v>
      </c>
      <c r="M130">
        <v>0</v>
      </c>
      <c r="N130">
        <v>20000</v>
      </c>
      <c r="O130">
        <v>7000</v>
      </c>
      <c r="P130">
        <v>1000</v>
      </c>
      <c r="Q130">
        <v>3500</v>
      </c>
      <c r="R130">
        <v>12000</v>
      </c>
      <c r="S130">
        <v>4000</v>
      </c>
      <c r="T130">
        <v>-7500</v>
      </c>
      <c r="U130">
        <v>3500</v>
      </c>
      <c r="V130">
        <v>1000</v>
      </c>
      <c r="W130">
        <v>0</v>
      </c>
      <c r="X130">
        <v>0</v>
      </c>
      <c r="Y130">
        <v>124</v>
      </c>
      <c r="Z130" t="s">
        <v>36</v>
      </c>
      <c r="AA130">
        <v>16000</v>
      </c>
      <c r="AB130" t="s">
        <v>38</v>
      </c>
      <c r="AC130">
        <v>1</v>
      </c>
      <c r="AD130">
        <v>0</v>
      </c>
      <c r="AE130">
        <v>87500</v>
      </c>
      <c r="AF130">
        <v>-7500</v>
      </c>
      <c r="AG130">
        <v>0</v>
      </c>
      <c r="AH130">
        <f t="shared" si="1"/>
        <v>1</v>
      </c>
    </row>
    <row r="131" spans="1:34" x14ac:dyDescent="0.3">
      <c r="A131" t="s">
        <v>33</v>
      </c>
      <c r="B131" t="s">
        <v>88</v>
      </c>
      <c r="C131">
        <v>1225</v>
      </c>
      <c r="D131">
        <v>666</v>
      </c>
      <c r="E131" t="s">
        <v>89</v>
      </c>
      <c r="F131" t="s">
        <v>71</v>
      </c>
      <c r="G131">
        <v>297</v>
      </c>
      <c r="H131">
        <v>2</v>
      </c>
      <c r="I131">
        <v>75000</v>
      </c>
      <c r="J131">
        <v>40000</v>
      </c>
      <c r="K131">
        <v>7500</v>
      </c>
      <c r="L131">
        <v>0</v>
      </c>
      <c r="M131">
        <v>0</v>
      </c>
      <c r="N131">
        <v>20000</v>
      </c>
      <c r="O131">
        <v>7000</v>
      </c>
      <c r="P131">
        <v>0</v>
      </c>
      <c r="Q131">
        <v>0</v>
      </c>
      <c r="R131">
        <v>24000</v>
      </c>
      <c r="S131">
        <v>4000</v>
      </c>
      <c r="T131">
        <v>-27500</v>
      </c>
      <c r="X131">
        <v>-9</v>
      </c>
      <c r="Y131">
        <v>124</v>
      </c>
      <c r="Z131" t="s">
        <v>36</v>
      </c>
      <c r="AA131">
        <v>28000</v>
      </c>
      <c r="AB131" t="s">
        <v>38</v>
      </c>
      <c r="AC131">
        <v>0</v>
      </c>
      <c r="AD131">
        <v>0</v>
      </c>
      <c r="AE131">
        <v>95000</v>
      </c>
      <c r="AF131">
        <v>-27500</v>
      </c>
      <c r="AG131">
        <v>0</v>
      </c>
      <c r="AH131">
        <f t="shared" ref="AH131:AH194" si="2">AC131+AD131</f>
        <v>0</v>
      </c>
    </row>
    <row r="132" spans="1:34" x14ac:dyDescent="0.3">
      <c r="A132" t="s">
        <v>33</v>
      </c>
      <c r="B132" t="s">
        <v>88</v>
      </c>
      <c r="C132">
        <v>1246</v>
      </c>
      <c r="D132">
        <v>666</v>
      </c>
      <c r="E132" t="s">
        <v>89</v>
      </c>
      <c r="F132" t="s">
        <v>71</v>
      </c>
      <c r="G132">
        <v>301</v>
      </c>
      <c r="H132">
        <v>3</v>
      </c>
      <c r="I132">
        <v>75000</v>
      </c>
      <c r="J132">
        <v>40000</v>
      </c>
      <c r="K132">
        <v>27500</v>
      </c>
      <c r="L132">
        <v>0</v>
      </c>
      <c r="M132">
        <v>0</v>
      </c>
      <c r="N132">
        <v>20000</v>
      </c>
      <c r="O132">
        <v>7000</v>
      </c>
      <c r="P132">
        <v>0</v>
      </c>
      <c r="Q132">
        <v>0</v>
      </c>
      <c r="R132">
        <v>12000</v>
      </c>
      <c r="S132">
        <v>4000</v>
      </c>
      <c r="T132">
        <v>-35500</v>
      </c>
      <c r="X132">
        <v>-15</v>
      </c>
      <c r="Y132">
        <v>124</v>
      </c>
      <c r="Z132" t="s">
        <v>36</v>
      </c>
      <c r="AA132">
        <v>16000</v>
      </c>
      <c r="AB132" t="s">
        <v>38</v>
      </c>
      <c r="AC132">
        <v>0</v>
      </c>
      <c r="AD132">
        <v>0</v>
      </c>
      <c r="AE132">
        <v>83000</v>
      </c>
      <c r="AF132">
        <v>-35500</v>
      </c>
      <c r="AG132">
        <v>0</v>
      </c>
      <c r="AH132">
        <f t="shared" si="2"/>
        <v>0</v>
      </c>
    </row>
    <row r="133" spans="1:34" x14ac:dyDescent="0.3">
      <c r="A133" t="s">
        <v>33</v>
      </c>
      <c r="B133" t="s">
        <v>88</v>
      </c>
      <c r="C133">
        <v>1268</v>
      </c>
      <c r="D133">
        <v>666</v>
      </c>
      <c r="E133" t="s">
        <v>89</v>
      </c>
      <c r="F133" t="s">
        <v>71</v>
      </c>
      <c r="G133">
        <v>304</v>
      </c>
      <c r="H133">
        <v>4</v>
      </c>
      <c r="I133">
        <v>75000</v>
      </c>
      <c r="J133">
        <v>40000</v>
      </c>
      <c r="K133">
        <v>35000</v>
      </c>
      <c r="L133">
        <v>0</v>
      </c>
      <c r="M133">
        <v>0</v>
      </c>
      <c r="N133">
        <v>20000</v>
      </c>
      <c r="O133">
        <v>7000</v>
      </c>
      <c r="P133">
        <v>0</v>
      </c>
      <c r="Q133">
        <v>0</v>
      </c>
      <c r="R133">
        <v>8000</v>
      </c>
      <c r="S133">
        <v>4000</v>
      </c>
      <c r="T133">
        <v>-39500</v>
      </c>
      <c r="X133">
        <v>-20</v>
      </c>
      <c r="Y133">
        <v>124</v>
      </c>
      <c r="Z133" t="s">
        <v>36</v>
      </c>
      <c r="AA133">
        <v>12000</v>
      </c>
      <c r="AB133" t="s">
        <v>38</v>
      </c>
      <c r="AC133">
        <v>0</v>
      </c>
      <c r="AD133">
        <v>0</v>
      </c>
      <c r="AE133">
        <v>79000</v>
      </c>
      <c r="AF133">
        <v>-39500</v>
      </c>
      <c r="AG133">
        <v>0</v>
      </c>
      <c r="AH133">
        <f t="shared" si="2"/>
        <v>0</v>
      </c>
    </row>
    <row r="134" spans="1:34" x14ac:dyDescent="0.3">
      <c r="A134" t="s">
        <v>33</v>
      </c>
      <c r="B134" t="s">
        <v>88</v>
      </c>
      <c r="C134">
        <v>1152</v>
      </c>
      <c r="D134">
        <v>667</v>
      </c>
      <c r="E134" t="s">
        <v>90</v>
      </c>
      <c r="G134">
        <v>289</v>
      </c>
      <c r="H134">
        <v>0</v>
      </c>
      <c r="I134">
        <v>110000</v>
      </c>
      <c r="J134">
        <v>60000</v>
      </c>
      <c r="K134">
        <v>0</v>
      </c>
      <c r="L134">
        <v>0</v>
      </c>
      <c r="M134">
        <v>0</v>
      </c>
      <c r="N134">
        <v>0</v>
      </c>
      <c r="O134">
        <v>0</v>
      </c>
      <c r="P134">
        <v>0</v>
      </c>
      <c r="Q134">
        <v>0</v>
      </c>
      <c r="R134">
        <v>0</v>
      </c>
      <c r="S134">
        <v>0</v>
      </c>
      <c r="T134">
        <v>30000</v>
      </c>
      <c r="X134">
        <v>5</v>
      </c>
      <c r="Y134">
        <v>126</v>
      </c>
      <c r="Z134" t="s">
        <v>40</v>
      </c>
      <c r="AA134">
        <v>0</v>
      </c>
      <c r="AC134">
        <v>0</v>
      </c>
      <c r="AD134">
        <v>0</v>
      </c>
      <c r="AE134">
        <v>60000</v>
      </c>
      <c r="AF134">
        <v>30000</v>
      </c>
      <c r="AG134">
        <v>0</v>
      </c>
      <c r="AH134">
        <f t="shared" si="2"/>
        <v>0</v>
      </c>
    </row>
    <row r="135" spans="1:34" x14ac:dyDescent="0.3">
      <c r="A135" t="s">
        <v>33</v>
      </c>
      <c r="B135" t="s">
        <v>88</v>
      </c>
      <c r="C135">
        <v>1201</v>
      </c>
      <c r="D135">
        <v>667</v>
      </c>
      <c r="E135" t="s">
        <v>90</v>
      </c>
      <c r="F135" t="s">
        <v>41</v>
      </c>
      <c r="G135">
        <v>291</v>
      </c>
      <c r="H135">
        <v>1</v>
      </c>
      <c r="I135">
        <v>110000</v>
      </c>
      <c r="J135">
        <v>60000</v>
      </c>
      <c r="K135">
        <v>0</v>
      </c>
      <c r="L135">
        <v>0</v>
      </c>
      <c r="M135">
        <v>30000</v>
      </c>
      <c r="N135">
        <v>15000</v>
      </c>
      <c r="O135">
        <v>17000</v>
      </c>
      <c r="P135">
        <v>0</v>
      </c>
      <c r="Q135">
        <v>10000</v>
      </c>
      <c r="R135">
        <v>4000</v>
      </c>
      <c r="S135">
        <v>4000</v>
      </c>
      <c r="T135">
        <v>0</v>
      </c>
      <c r="U135">
        <v>8500</v>
      </c>
      <c r="X135">
        <v>4</v>
      </c>
      <c r="Y135">
        <v>126</v>
      </c>
      <c r="Z135" t="s">
        <v>40</v>
      </c>
      <c r="AA135">
        <v>8000</v>
      </c>
      <c r="AB135" t="s">
        <v>42</v>
      </c>
      <c r="AC135">
        <v>0</v>
      </c>
      <c r="AD135">
        <v>0</v>
      </c>
      <c r="AE135">
        <v>140000</v>
      </c>
      <c r="AF135">
        <v>0</v>
      </c>
      <c r="AG135">
        <v>0</v>
      </c>
      <c r="AH135">
        <f t="shared" si="2"/>
        <v>0</v>
      </c>
    </row>
    <row r="136" spans="1:34" x14ac:dyDescent="0.3">
      <c r="A136" t="s">
        <v>33</v>
      </c>
      <c r="B136" t="s">
        <v>88</v>
      </c>
      <c r="C136">
        <v>1226</v>
      </c>
      <c r="D136">
        <v>667</v>
      </c>
      <c r="E136" t="s">
        <v>90</v>
      </c>
      <c r="F136" t="s">
        <v>41</v>
      </c>
      <c r="G136">
        <v>297</v>
      </c>
      <c r="H136">
        <v>2</v>
      </c>
      <c r="I136">
        <v>110000</v>
      </c>
      <c r="J136">
        <v>60000</v>
      </c>
      <c r="K136">
        <v>0</v>
      </c>
      <c r="L136">
        <v>0</v>
      </c>
      <c r="M136">
        <v>0</v>
      </c>
      <c r="N136">
        <v>15000</v>
      </c>
      <c r="O136">
        <v>17000</v>
      </c>
      <c r="P136">
        <v>8000</v>
      </c>
      <c r="Q136">
        <v>0</v>
      </c>
      <c r="R136">
        <v>8000</v>
      </c>
      <c r="S136">
        <v>4000</v>
      </c>
      <c r="T136">
        <v>-2000</v>
      </c>
      <c r="V136">
        <v>8000</v>
      </c>
      <c r="X136">
        <v>1</v>
      </c>
      <c r="Y136">
        <v>126</v>
      </c>
      <c r="Z136" t="s">
        <v>40</v>
      </c>
      <c r="AA136">
        <v>12000</v>
      </c>
      <c r="AB136" t="s">
        <v>42</v>
      </c>
      <c r="AC136">
        <v>1</v>
      </c>
      <c r="AD136">
        <v>1</v>
      </c>
      <c r="AE136">
        <v>112000</v>
      </c>
      <c r="AF136">
        <v>-2000</v>
      </c>
      <c r="AG136">
        <v>0</v>
      </c>
      <c r="AH136">
        <f t="shared" si="2"/>
        <v>2</v>
      </c>
    </row>
    <row r="137" spans="1:34" x14ac:dyDescent="0.3">
      <c r="A137" t="s">
        <v>33</v>
      </c>
      <c r="B137" t="s">
        <v>88</v>
      </c>
      <c r="C137">
        <v>1251</v>
      </c>
      <c r="D137">
        <v>667</v>
      </c>
      <c r="E137" t="s">
        <v>90</v>
      </c>
      <c r="F137" t="s">
        <v>41</v>
      </c>
      <c r="G137">
        <v>301</v>
      </c>
      <c r="H137">
        <v>3</v>
      </c>
      <c r="I137">
        <v>110000</v>
      </c>
      <c r="J137">
        <v>60000</v>
      </c>
      <c r="K137">
        <v>2000</v>
      </c>
      <c r="L137">
        <v>0</v>
      </c>
      <c r="M137">
        <v>0</v>
      </c>
      <c r="N137">
        <v>15000</v>
      </c>
      <c r="O137">
        <v>17000</v>
      </c>
      <c r="P137">
        <v>7000</v>
      </c>
      <c r="Q137">
        <v>0</v>
      </c>
      <c r="R137">
        <v>0</v>
      </c>
      <c r="S137">
        <v>4000</v>
      </c>
      <c r="T137">
        <v>5000</v>
      </c>
      <c r="V137">
        <v>7000</v>
      </c>
      <c r="X137">
        <v>0</v>
      </c>
      <c r="Y137">
        <v>126</v>
      </c>
      <c r="Z137" t="s">
        <v>40</v>
      </c>
      <c r="AA137">
        <v>4000</v>
      </c>
      <c r="AB137" t="s">
        <v>42</v>
      </c>
      <c r="AC137">
        <v>1</v>
      </c>
      <c r="AD137">
        <v>1</v>
      </c>
      <c r="AE137">
        <v>103000</v>
      </c>
      <c r="AF137">
        <v>5000</v>
      </c>
      <c r="AG137">
        <v>0</v>
      </c>
      <c r="AH137">
        <f t="shared" si="2"/>
        <v>2</v>
      </c>
    </row>
    <row r="138" spans="1:34" x14ac:dyDescent="0.3">
      <c r="A138" t="s">
        <v>33</v>
      </c>
      <c r="B138" t="s">
        <v>88</v>
      </c>
      <c r="C138">
        <v>1272</v>
      </c>
      <c r="D138">
        <v>667</v>
      </c>
      <c r="E138" t="s">
        <v>90</v>
      </c>
      <c r="F138" t="s">
        <v>41</v>
      </c>
      <c r="G138">
        <v>304</v>
      </c>
      <c r="H138">
        <v>4</v>
      </c>
      <c r="I138">
        <v>110000</v>
      </c>
      <c r="J138">
        <v>60000</v>
      </c>
      <c r="K138">
        <v>0</v>
      </c>
      <c r="L138">
        <v>0</v>
      </c>
      <c r="M138">
        <v>0</v>
      </c>
      <c r="N138">
        <v>30000</v>
      </c>
      <c r="O138">
        <v>17000</v>
      </c>
      <c r="P138">
        <v>0</v>
      </c>
      <c r="Q138">
        <v>0</v>
      </c>
      <c r="R138">
        <v>0</v>
      </c>
      <c r="S138">
        <v>4000</v>
      </c>
      <c r="T138">
        <v>4000</v>
      </c>
      <c r="X138">
        <v>-1</v>
      </c>
      <c r="Y138">
        <v>126</v>
      </c>
      <c r="Z138" t="s">
        <v>40</v>
      </c>
      <c r="AA138">
        <v>4000</v>
      </c>
      <c r="AB138" t="s">
        <v>42</v>
      </c>
      <c r="AC138">
        <v>0</v>
      </c>
      <c r="AD138">
        <v>0</v>
      </c>
      <c r="AE138">
        <v>111000</v>
      </c>
      <c r="AF138">
        <v>4000</v>
      </c>
      <c r="AG138">
        <v>0</v>
      </c>
      <c r="AH138">
        <f t="shared" si="2"/>
        <v>0</v>
      </c>
    </row>
    <row r="139" spans="1:34" x14ac:dyDescent="0.3">
      <c r="A139" t="s">
        <v>33</v>
      </c>
      <c r="B139" t="s">
        <v>88</v>
      </c>
      <c r="C139">
        <v>1186</v>
      </c>
      <c r="D139">
        <v>668</v>
      </c>
      <c r="E139" t="s">
        <v>91</v>
      </c>
      <c r="G139">
        <v>289</v>
      </c>
      <c r="H139">
        <v>0</v>
      </c>
      <c r="I139">
        <v>60000</v>
      </c>
      <c r="J139">
        <v>30000</v>
      </c>
      <c r="K139">
        <v>0</v>
      </c>
      <c r="L139">
        <v>0</v>
      </c>
      <c r="M139">
        <v>0</v>
      </c>
      <c r="N139">
        <v>0</v>
      </c>
      <c r="O139">
        <v>0</v>
      </c>
      <c r="P139">
        <v>0</v>
      </c>
      <c r="Q139">
        <v>0</v>
      </c>
      <c r="R139">
        <v>0</v>
      </c>
      <c r="S139">
        <v>0</v>
      </c>
      <c r="T139">
        <v>0</v>
      </c>
      <c r="X139">
        <v>5</v>
      </c>
      <c r="Y139">
        <v>123</v>
      </c>
      <c r="Z139" t="s">
        <v>44</v>
      </c>
      <c r="AA139">
        <v>0</v>
      </c>
      <c r="AC139">
        <v>0</v>
      </c>
      <c r="AD139">
        <v>0</v>
      </c>
      <c r="AE139">
        <v>30000</v>
      </c>
      <c r="AF139">
        <v>0</v>
      </c>
      <c r="AG139">
        <v>0</v>
      </c>
      <c r="AH139">
        <f t="shared" si="2"/>
        <v>0</v>
      </c>
    </row>
    <row r="140" spans="1:34" x14ac:dyDescent="0.3">
      <c r="A140" t="s">
        <v>33</v>
      </c>
      <c r="B140" t="s">
        <v>88</v>
      </c>
      <c r="C140">
        <v>1187</v>
      </c>
      <c r="D140">
        <v>668</v>
      </c>
      <c r="E140" t="s">
        <v>91</v>
      </c>
      <c r="F140" t="s">
        <v>45</v>
      </c>
      <c r="G140">
        <v>291</v>
      </c>
      <c r="H140">
        <v>1</v>
      </c>
      <c r="I140">
        <v>60000</v>
      </c>
      <c r="J140">
        <v>30000</v>
      </c>
      <c r="K140">
        <v>0</v>
      </c>
      <c r="L140">
        <v>0</v>
      </c>
      <c r="M140">
        <v>0</v>
      </c>
      <c r="N140">
        <v>20000</v>
      </c>
      <c r="O140">
        <v>7000</v>
      </c>
      <c r="P140">
        <v>0</v>
      </c>
      <c r="Q140">
        <v>0</v>
      </c>
      <c r="R140">
        <v>16000</v>
      </c>
      <c r="S140">
        <v>4000</v>
      </c>
      <c r="T140">
        <v>-17000</v>
      </c>
      <c r="X140">
        <v>-2</v>
      </c>
      <c r="Y140">
        <v>123</v>
      </c>
      <c r="Z140" t="s">
        <v>44</v>
      </c>
      <c r="AA140">
        <v>20000</v>
      </c>
      <c r="AB140" t="s">
        <v>38</v>
      </c>
      <c r="AC140">
        <v>0</v>
      </c>
      <c r="AD140">
        <v>0</v>
      </c>
      <c r="AE140">
        <v>77000</v>
      </c>
      <c r="AF140">
        <v>-17000</v>
      </c>
      <c r="AG140">
        <v>0</v>
      </c>
      <c r="AH140">
        <f t="shared" si="2"/>
        <v>0</v>
      </c>
    </row>
    <row r="141" spans="1:34" x14ac:dyDescent="0.3">
      <c r="A141" t="s">
        <v>33</v>
      </c>
      <c r="B141" t="s">
        <v>88</v>
      </c>
      <c r="C141">
        <v>1220</v>
      </c>
      <c r="D141">
        <v>668</v>
      </c>
      <c r="E141" t="s">
        <v>91</v>
      </c>
      <c r="F141" t="s">
        <v>45</v>
      </c>
      <c r="G141">
        <v>297</v>
      </c>
      <c r="H141">
        <v>2</v>
      </c>
      <c r="I141">
        <v>60000</v>
      </c>
      <c r="J141">
        <v>30000</v>
      </c>
      <c r="K141">
        <v>17000</v>
      </c>
      <c r="L141">
        <v>0</v>
      </c>
      <c r="M141">
        <v>0</v>
      </c>
      <c r="N141">
        <v>20000</v>
      </c>
      <c r="O141">
        <v>7000</v>
      </c>
      <c r="P141">
        <v>0</v>
      </c>
      <c r="Q141">
        <v>0</v>
      </c>
      <c r="R141">
        <v>24000</v>
      </c>
      <c r="S141">
        <v>4000</v>
      </c>
      <c r="T141">
        <v>-42000</v>
      </c>
      <c r="X141">
        <v>-11</v>
      </c>
      <c r="Y141">
        <v>123</v>
      </c>
      <c r="Z141" t="s">
        <v>44</v>
      </c>
      <c r="AA141">
        <v>28000</v>
      </c>
      <c r="AB141" t="s">
        <v>38</v>
      </c>
      <c r="AC141">
        <v>0</v>
      </c>
      <c r="AD141">
        <v>0</v>
      </c>
      <c r="AE141">
        <v>85000</v>
      </c>
      <c r="AF141">
        <v>-42000</v>
      </c>
      <c r="AG141">
        <v>0</v>
      </c>
      <c r="AH141">
        <f t="shared" si="2"/>
        <v>0</v>
      </c>
    </row>
    <row r="142" spans="1:34" x14ac:dyDescent="0.3">
      <c r="A142" t="s">
        <v>33</v>
      </c>
      <c r="B142" t="s">
        <v>88</v>
      </c>
      <c r="C142">
        <v>1250</v>
      </c>
      <c r="D142">
        <v>668</v>
      </c>
      <c r="E142" t="s">
        <v>91</v>
      </c>
      <c r="F142" t="s">
        <v>45</v>
      </c>
      <c r="G142">
        <v>301</v>
      </c>
      <c r="H142">
        <v>3</v>
      </c>
      <c r="I142">
        <v>60000</v>
      </c>
      <c r="J142">
        <v>30000</v>
      </c>
      <c r="K142">
        <v>30000</v>
      </c>
      <c r="L142">
        <v>0</v>
      </c>
      <c r="M142">
        <v>0</v>
      </c>
      <c r="N142">
        <v>20000</v>
      </c>
      <c r="O142">
        <v>7000</v>
      </c>
      <c r="P142">
        <v>0</v>
      </c>
      <c r="Q142">
        <v>0</v>
      </c>
      <c r="R142">
        <v>12000</v>
      </c>
      <c r="S142">
        <v>4000</v>
      </c>
      <c r="T142">
        <v>-55000</v>
      </c>
      <c r="X142">
        <v>-17</v>
      </c>
      <c r="Y142">
        <v>123</v>
      </c>
      <c r="Z142" t="s">
        <v>44</v>
      </c>
      <c r="AA142">
        <v>16000</v>
      </c>
      <c r="AB142" t="s">
        <v>38</v>
      </c>
      <c r="AC142">
        <v>0</v>
      </c>
      <c r="AD142">
        <v>0</v>
      </c>
      <c r="AE142">
        <v>73000</v>
      </c>
      <c r="AF142">
        <v>-55000</v>
      </c>
      <c r="AG142">
        <v>0</v>
      </c>
      <c r="AH142">
        <f t="shared" si="2"/>
        <v>0</v>
      </c>
    </row>
    <row r="143" spans="1:34" x14ac:dyDescent="0.3">
      <c r="A143" t="s">
        <v>33</v>
      </c>
      <c r="B143" t="s">
        <v>88</v>
      </c>
      <c r="C143">
        <v>1276</v>
      </c>
      <c r="D143">
        <v>668</v>
      </c>
      <c r="E143" t="s">
        <v>91</v>
      </c>
      <c r="F143" t="s">
        <v>45</v>
      </c>
      <c r="G143">
        <v>304</v>
      </c>
      <c r="H143">
        <v>4</v>
      </c>
      <c r="I143">
        <v>60000</v>
      </c>
      <c r="J143">
        <v>30000</v>
      </c>
      <c r="K143">
        <v>30000</v>
      </c>
      <c r="L143">
        <v>0</v>
      </c>
      <c r="M143">
        <v>0</v>
      </c>
      <c r="N143">
        <v>20000</v>
      </c>
      <c r="O143">
        <v>7000</v>
      </c>
      <c r="P143">
        <v>0</v>
      </c>
      <c r="Q143">
        <v>0</v>
      </c>
      <c r="R143">
        <v>8000</v>
      </c>
      <c r="S143">
        <v>4000</v>
      </c>
      <c r="T143">
        <v>-64000</v>
      </c>
      <c r="X143">
        <v>-22</v>
      </c>
      <c r="Y143">
        <v>123</v>
      </c>
      <c r="Z143" t="s">
        <v>44</v>
      </c>
      <c r="AA143">
        <v>12000</v>
      </c>
      <c r="AB143" t="s">
        <v>38</v>
      </c>
      <c r="AC143">
        <v>0</v>
      </c>
      <c r="AD143">
        <v>0</v>
      </c>
      <c r="AE143">
        <v>69000</v>
      </c>
      <c r="AF143">
        <v>-64000</v>
      </c>
      <c r="AG143">
        <v>0</v>
      </c>
      <c r="AH143">
        <f t="shared" si="2"/>
        <v>0</v>
      </c>
    </row>
    <row r="144" spans="1:34" x14ac:dyDescent="0.3">
      <c r="A144" t="s">
        <v>33</v>
      </c>
      <c r="B144" t="s">
        <v>88</v>
      </c>
      <c r="C144">
        <v>1159</v>
      </c>
      <c r="D144">
        <v>669</v>
      </c>
      <c r="E144" t="s">
        <v>92</v>
      </c>
      <c r="G144">
        <v>289</v>
      </c>
      <c r="H144">
        <v>0</v>
      </c>
      <c r="I144">
        <v>90000</v>
      </c>
      <c r="J144">
        <v>50000</v>
      </c>
      <c r="K144">
        <v>0</v>
      </c>
      <c r="L144">
        <v>0</v>
      </c>
      <c r="M144">
        <v>0</v>
      </c>
      <c r="N144">
        <v>0</v>
      </c>
      <c r="O144">
        <v>0</v>
      </c>
      <c r="P144">
        <v>0</v>
      </c>
      <c r="Q144">
        <v>0</v>
      </c>
      <c r="R144">
        <v>0</v>
      </c>
      <c r="S144">
        <v>0</v>
      </c>
      <c r="T144">
        <v>15000</v>
      </c>
      <c r="X144">
        <v>5</v>
      </c>
      <c r="Y144">
        <v>125</v>
      </c>
      <c r="Z144" t="s">
        <v>47</v>
      </c>
      <c r="AA144">
        <v>0</v>
      </c>
      <c r="AC144">
        <v>0</v>
      </c>
      <c r="AD144">
        <v>0</v>
      </c>
      <c r="AE144">
        <v>50000</v>
      </c>
      <c r="AF144">
        <v>15000</v>
      </c>
      <c r="AG144">
        <v>0</v>
      </c>
      <c r="AH144">
        <f t="shared" si="2"/>
        <v>0</v>
      </c>
    </row>
    <row r="145" spans="1:34" x14ac:dyDescent="0.3">
      <c r="A145" t="s">
        <v>33</v>
      </c>
      <c r="B145" t="s">
        <v>88</v>
      </c>
      <c r="C145">
        <v>1188</v>
      </c>
      <c r="D145">
        <v>669</v>
      </c>
      <c r="E145" t="s">
        <v>92</v>
      </c>
      <c r="F145" t="s">
        <v>48</v>
      </c>
      <c r="G145">
        <v>291</v>
      </c>
      <c r="H145">
        <v>1</v>
      </c>
      <c r="I145">
        <v>90000</v>
      </c>
      <c r="J145">
        <v>50000</v>
      </c>
      <c r="K145">
        <v>0</v>
      </c>
      <c r="L145">
        <v>0</v>
      </c>
      <c r="M145">
        <v>0</v>
      </c>
      <c r="N145">
        <v>15000</v>
      </c>
      <c r="O145">
        <v>10000</v>
      </c>
      <c r="P145">
        <v>6000</v>
      </c>
      <c r="Q145">
        <v>4500</v>
      </c>
      <c r="R145">
        <v>4000</v>
      </c>
      <c r="S145">
        <v>4000</v>
      </c>
      <c r="T145">
        <v>11500</v>
      </c>
      <c r="U145">
        <v>4500</v>
      </c>
      <c r="V145">
        <v>6000</v>
      </c>
      <c r="W145">
        <v>0</v>
      </c>
      <c r="X145">
        <v>2</v>
      </c>
      <c r="Y145">
        <v>125</v>
      </c>
      <c r="Z145" t="s">
        <v>47</v>
      </c>
      <c r="AA145">
        <v>8000</v>
      </c>
      <c r="AB145" t="s">
        <v>42</v>
      </c>
      <c r="AC145">
        <v>0</v>
      </c>
      <c r="AD145">
        <v>1</v>
      </c>
      <c r="AE145">
        <v>93500</v>
      </c>
      <c r="AF145">
        <v>11500</v>
      </c>
      <c r="AG145">
        <v>0</v>
      </c>
      <c r="AH145">
        <f t="shared" si="2"/>
        <v>1</v>
      </c>
    </row>
    <row r="146" spans="1:34" x14ac:dyDescent="0.3">
      <c r="A146" t="s">
        <v>33</v>
      </c>
      <c r="B146" t="s">
        <v>88</v>
      </c>
      <c r="C146">
        <v>1224</v>
      </c>
      <c r="D146">
        <v>669</v>
      </c>
      <c r="E146" t="s">
        <v>92</v>
      </c>
      <c r="F146" t="s">
        <v>48</v>
      </c>
      <c r="G146">
        <v>297</v>
      </c>
      <c r="H146">
        <v>2</v>
      </c>
      <c r="I146">
        <v>90000</v>
      </c>
      <c r="J146">
        <v>50000</v>
      </c>
      <c r="K146">
        <v>0</v>
      </c>
      <c r="L146">
        <v>0</v>
      </c>
      <c r="M146">
        <v>0</v>
      </c>
      <c r="N146">
        <v>15000</v>
      </c>
      <c r="O146">
        <v>10000</v>
      </c>
      <c r="P146">
        <v>8000</v>
      </c>
      <c r="Q146">
        <v>0</v>
      </c>
      <c r="R146">
        <v>12000</v>
      </c>
      <c r="S146">
        <v>4000</v>
      </c>
      <c r="T146">
        <v>2500</v>
      </c>
      <c r="V146">
        <v>8000</v>
      </c>
      <c r="X146">
        <v>-2</v>
      </c>
      <c r="Y146">
        <v>125</v>
      </c>
      <c r="Z146" t="s">
        <v>47</v>
      </c>
      <c r="AA146">
        <v>16000</v>
      </c>
      <c r="AB146" t="s">
        <v>42</v>
      </c>
      <c r="AC146">
        <v>0</v>
      </c>
      <c r="AD146">
        <v>1</v>
      </c>
      <c r="AE146">
        <v>99000</v>
      </c>
      <c r="AF146">
        <v>2500</v>
      </c>
      <c r="AG146">
        <v>0</v>
      </c>
      <c r="AH146">
        <f t="shared" si="2"/>
        <v>1</v>
      </c>
    </row>
    <row r="147" spans="1:34" x14ac:dyDescent="0.3">
      <c r="A147" t="s">
        <v>33</v>
      </c>
      <c r="B147" t="s">
        <v>88</v>
      </c>
      <c r="C147">
        <v>1247</v>
      </c>
      <c r="D147">
        <v>669</v>
      </c>
      <c r="E147" t="s">
        <v>92</v>
      </c>
      <c r="F147" t="s">
        <v>48</v>
      </c>
      <c r="G147">
        <v>301</v>
      </c>
      <c r="H147">
        <v>3</v>
      </c>
      <c r="I147">
        <v>90000</v>
      </c>
      <c r="J147">
        <v>50000</v>
      </c>
      <c r="K147">
        <v>0</v>
      </c>
      <c r="L147">
        <v>0</v>
      </c>
      <c r="M147">
        <v>0</v>
      </c>
      <c r="N147">
        <v>15000</v>
      </c>
      <c r="O147">
        <v>10000</v>
      </c>
      <c r="P147">
        <v>8000</v>
      </c>
      <c r="Q147">
        <v>0</v>
      </c>
      <c r="R147">
        <v>0</v>
      </c>
      <c r="S147">
        <v>4000</v>
      </c>
      <c r="T147">
        <v>5500</v>
      </c>
      <c r="V147">
        <v>8000</v>
      </c>
      <c r="X147">
        <v>-2</v>
      </c>
      <c r="Y147">
        <v>125</v>
      </c>
      <c r="Z147" t="s">
        <v>47</v>
      </c>
      <c r="AA147">
        <v>4000</v>
      </c>
      <c r="AB147" t="s">
        <v>42</v>
      </c>
      <c r="AC147">
        <v>1</v>
      </c>
      <c r="AD147">
        <v>1</v>
      </c>
      <c r="AE147">
        <v>87000</v>
      </c>
      <c r="AF147">
        <v>5500</v>
      </c>
      <c r="AG147">
        <v>0</v>
      </c>
      <c r="AH147">
        <f t="shared" si="2"/>
        <v>2</v>
      </c>
    </row>
    <row r="148" spans="1:34" x14ac:dyDescent="0.3">
      <c r="A148" t="s">
        <v>33</v>
      </c>
      <c r="B148" t="s">
        <v>88</v>
      </c>
      <c r="C148">
        <v>1265</v>
      </c>
      <c r="D148">
        <v>669</v>
      </c>
      <c r="E148" t="s">
        <v>92</v>
      </c>
      <c r="F148" t="s">
        <v>48</v>
      </c>
      <c r="G148">
        <v>304</v>
      </c>
      <c r="H148">
        <v>4</v>
      </c>
      <c r="I148">
        <v>90000</v>
      </c>
      <c r="J148">
        <v>50000</v>
      </c>
      <c r="K148">
        <v>0</v>
      </c>
      <c r="L148">
        <v>0</v>
      </c>
      <c r="M148">
        <v>0</v>
      </c>
      <c r="N148">
        <v>30000</v>
      </c>
      <c r="O148">
        <v>10000</v>
      </c>
      <c r="P148">
        <v>0</v>
      </c>
      <c r="Q148">
        <v>0</v>
      </c>
      <c r="R148">
        <v>0</v>
      </c>
      <c r="S148">
        <v>4000</v>
      </c>
      <c r="T148">
        <v>1500</v>
      </c>
      <c r="X148">
        <v>-3</v>
      </c>
      <c r="Y148">
        <v>125</v>
      </c>
      <c r="Z148" t="s">
        <v>47</v>
      </c>
      <c r="AA148">
        <v>4000</v>
      </c>
      <c r="AB148" t="s">
        <v>42</v>
      </c>
      <c r="AC148">
        <v>0</v>
      </c>
      <c r="AD148">
        <v>0</v>
      </c>
      <c r="AE148">
        <v>94000</v>
      </c>
      <c r="AF148">
        <v>1500</v>
      </c>
      <c r="AG148">
        <v>0</v>
      </c>
      <c r="AH148">
        <f t="shared" si="2"/>
        <v>0</v>
      </c>
    </row>
    <row r="149" spans="1:34" x14ac:dyDescent="0.3">
      <c r="A149" t="s">
        <v>33</v>
      </c>
      <c r="B149" t="s">
        <v>88</v>
      </c>
      <c r="C149">
        <v>1155</v>
      </c>
      <c r="D149">
        <v>670</v>
      </c>
      <c r="E149" t="s">
        <v>93</v>
      </c>
      <c r="G149">
        <v>289</v>
      </c>
      <c r="H149">
        <v>0</v>
      </c>
      <c r="I149">
        <v>130000</v>
      </c>
      <c r="J149">
        <v>75000</v>
      </c>
      <c r="K149">
        <v>0</v>
      </c>
      <c r="L149">
        <v>0</v>
      </c>
      <c r="M149">
        <v>0</v>
      </c>
      <c r="N149">
        <v>0</v>
      </c>
      <c r="O149">
        <v>0</v>
      </c>
      <c r="P149">
        <v>0</v>
      </c>
      <c r="Q149">
        <v>0</v>
      </c>
      <c r="R149">
        <v>0</v>
      </c>
      <c r="S149">
        <v>0</v>
      </c>
      <c r="T149">
        <v>50000</v>
      </c>
      <c r="X149">
        <v>5</v>
      </c>
      <c r="Y149">
        <v>127</v>
      </c>
      <c r="Z149" t="s">
        <v>50</v>
      </c>
      <c r="AA149">
        <v>0</v>
      </c>
      <c r="AC149">
        <v>0</v>
      </c>
      <c r="AD149">
        <v>0</v>
      </c>
      <c r="AE149">
        <v>75000</v>
      </c>
      <c r="AF149">
        <v>50000</v>
      </c>
      <c r="AG149">
        <v>0</v>
      </c>
      <c r="AH149">
        <f t="shared" si="2"/>
        <v>0</v>
      </c>
    </row>
    <row r="150" spans="1:34" x14ac:dyDescent="0.3">
      <c r="A150" t="s">
        <v>33</v>
      </c>
      <c r="B150" t="s">
        <v>88</v>
      </c>
      <c r="C150">
        <v>1185</v>
      </c>
      <c r="D150">
        <v>670</v>
      </c>
      <c r="E150" t="s">
        <v>93</v>
      </c>
      <c r="F150" t="s">
        <v>94</v>
      </c>
      <c r="G150">
        <v>291</v>
      </c>
      <c r="H150">
        <v>1</v>
      </c>
      <c r="I150">
        <v>130000</v>
      </c>
      <c r="J150">
        <v>75000</v>
      </c>
      <c r="K150">
        <v>0</v>
      </c>
      <c r="L150">
        <v>0</v>
      </c>
      <c r="M150">
        <v>0</v>
      </c>
      <c r="N150">
        <v>20000</v>
      </c>
      <c r="O150">
        <v>16000</v>
      </c>
      <c r="P150">
        <v>8000</v>
      </c>
      <c r="Q150">
        <v>8000</v>
      </c>
      <c r="R150">
        <v>0</v>
      </c>
      <c r="S150">
        <v>4000</v>
      </c>
      <c r="T150">
        <v>49000</v>
      </c>
      <c r="U150">
        <v>8000</v>
      </c>
      <c r="V150">
        <v>8000</v>
      </c>
      <c r="W150">
        <v>0</v>
      </c>
      <c r="X150">
        <v>4</v>
      </c>
      <c r="Y150">
        <v>127</v>
      </c>
      <c r="Z150" t="s">
        <v>50</v>
      </c>
      <c r="AA150">
        <v>4000</v>
      </c>
      <c r="AB150" t="s">
        <v>52</v>
      </c>
      <c r="AC150">
        <v>1</v>
      </c>
      <c r="AD150">
        <v>1</v>
      </c>
      <c r="AE150">
        <v>131000</v>
      </c>
      <c r="AF150">
        <v>49000</v>
      </c>
      <c r="AG150">
        <v>0</v>
      </c>
      <c r="AH150">
        <f t="shared" si="2"/>
        <v>2</v>
      </c>
    </row>
    <row r="151" spans="1:34" x14ac:dyDescent="0.3">
      <c r="A151" t="s">
        <v>33</v>
      </c>
      <c r="B151" t="s">
        <v>88</v>
      </c>
      <c r="C151">
        <v>1221</v>
      </c>
      <c r="D151">
        <v>670</v>
      </c>
      <c r="E151" t="s">
        <v>93</v>
      </c>
      <c r="F151" t="s">
        <v>94</v>
      </c>
      <c r="G151">
        <v>297</v>
      </c>
      <c r="H151">
        <v>2</v>
      </c>
      <c r="I151">
        <v>130000</v>
      </c>
      <c r="J151">
        <v>75000</v>
      </c>
      <c r="K151">
        <v>0</v>
      </c>
      <c r="L151">
        <v>0</v>
      </c>
      <c r="M151">
        <v>0</v>
      </c>
      <c r="N151">
        <v>20000</v>
      </c>
      <c r="O151">
        <v>16000</v>
      </c>
      <c r="P151">
        <v>14000</v>
      </c>
      <c r="Q151">
        <v>7200</v>
      </c>
      <c r="R151">
        <v>12000</v>
      </c>
      <c r="S151">
        <v>4000</v>
      </c>
      <c r="T151">
        <v>30800</v>
      </c>
      <c r="U151">
        <v>7200</v>
      </c>
      <c r="V151">
        <v>14000</v>
      </c>
      <c r="W151">
        <v>0</v>
      </c>
      <c r="X151">
        <v>2</v>
      </c>
      <c r="Y151">
        <v>127</v>
      </c>
      <c r="Z151" t="s">
        <v>50</v>
      </c>
      <c r="AA151">
        <v>16000</v>
      </c>
      <c r="AB151" t="s">
        <v>52</v>
      </c>
      <c r="AC151">
        <v>0</v>
      </c>
      <c r="AD151">
        <v>2</v>
      </c>
      <c r="AE151">
        <v>148200</v>
      </c>
      <c r="AF151">
        <v>30800</v>
      </c>
      <c r="AG151">
        <v>0</v>
      </c>
      <c r="AH151">
        <f t="shared" si="2"/>
        <v>2</v>
      </c>
    </row>
    <row r="152" spans="1:34" x14ac:dyDescent="0.3">
      <c r="A152" t="s">
        <v>33</v>
      </c>
      <c r="B152" t="s">
        <v>88</v>
      </c>
      <c r="C152">
        <v>1248</v>
      </c>
      <c r="D152">
        <v>670</v>
      </c>
      <c r="E152" t="s">
        <v>93</v>
      </c>
      <c r="F152" t="s">
        <v>94</v>
      </c>
      <c r="G152">
        <v>301</v>
      </c>
      <c r="H152">
        <v>3</v>
      </c>
      <c r="I152">
        <v>130000</v>
      </c>
      <c r="J152">
        <v>75000</v>
      </c>
      <c r="K152">
        <v>0</v>
      </c>
      <c r="L152">
        <v>0</v>
      </c>
      <c r="M152">
        <v>0</v>
      </c>
      <c r="N152">
        <v>20000</v>
      </c>
      <c r="O152">
        <v>16000</v>
      </c>
      <c r="P152">
        <v>11000</v>
      </c>
      <c r="Q152">
        <v>6500</v>
      </c>
      <c r="R152">
        <v>0</v>
      </c>
      <c r="S152">
        <v>4000</v>
      </c>
      <c r="T152">
        <v>28300</v>
      </c>
      <c r="U152">
        <v>6500</v>
      </c>
      <c r="V152">
        <v>11000</v>
      </c>
      <c r="W152">
        <v>0</v>
      </c>
      <c r="X152">
        <v>2</v>
      </c>
      <c r="Y152">
        <v>127</v>
      </c>
      <c r="Z152" t="s">
        <v>50</v>
      </c>
      <c r="AA152">
        <v>4000</v>
      </c>
      <c r="AB152" t="s">
        <v>52</v>
      </c>
      <c r="AC152">
        <v>2</v>
      </c>
      <c r="AD152">
        <v>1</v>
      </c>
      <c r="AE152">
        <v>132500</v>
      </c>
      <c r="AF152">
        <v>28300</v>
      </c>
      <c r="AG152">
        <v>0</v>
      </c>
      <c r="AH152">
        <f t="shared" si="2"/>
        <v>3</v>
      </c>
    </row>
    <row r="153" spans="1:34" x14ac:dyDescent="0.3">
      <c r="A153" t="s">
        <v>33</v>
      </c>
      <c r="B153" t="s">
        <v>88</v>
      </c>
      <c r="C153">
        <v>1267</v>
      </c>
      <c r="D153">
        <v>670</v>
      </c>
      <c r="E153" t="s">
        <v>93</v>
      </c>
      <c r="F153" t="s">
        <v>94</v>
      </c>
      <c r="G153">
        <v>304</v>
      </c>
      <c r="H153">
        <v>4</v>
      </c>
      <c r="I153">
        <v>130000</v>
      </c>
      <c r="J153">
        <v>75000</v>
      </c>
      <c r="K153">
        <v>0</v>
      </c>
      <c r="L153">
        <v>0</v>
      </c>
      <c r="M153">
        <v>0</v>
      </c>
      <c r="N153">
        <v>20000</v>
      </c>
      <c r="O153">
        <v>16000</v>
      </c>
      <c r="P153">
        <v>0</v>
      </c>
      <c r="Q153">
        <v>0</v>
      </c>
      <c r="R153">
        <v>0</v>
      </c>
      <c r="S153">
        <v>4000</v>
      </c>
      <c r="T153">
        <v>43300</v>
      </c>
      <c r="X153">
        <v>1</v>
      </c>
      <c r="Y153">
        <v>127</v>
      </c>
      <c r="Z153" t="s">
        <v>50</v>
      </c>
      <c r="AA153">
        <v>4000</v>
      </c>
      <c r="AB153" t="s">
        <v>52</v>
      </c>
      <c r="AC153">
        <v>0</v>
      </c>
      <c r="AD153">
        <v>0</v>
      </c>
      <c r="AE153">
        <v>115000</v>
      </c>
      <c r="AF153">
        <v>43300</v>
      </c>
      <c r="AG153">
        <v>0</v>
      </c>
      <c r="AH153">
        <f t="shared" si="2"/>
        <v>0</v>
      </c>
    </row>
    <row r="154" spans="1:34" x14ac:dyDescent="0.3">
      <c r="A154" t="s">
        <v>33</v>
      </c>
      <c r="B154" t="s">
        <v>88</v>
      </c>
      <c r="C154">
        <v>1171</v>
      </c>
      <c r="D154">
        <v>671</v>
      </c>
      <c r="E154" t="s">
        <v>95</v>
      </c>
      <c r="G154">
        <v>289</v>
      </c>
      <c r="H154">
        <v>0</v>
      </c>
      <c r="I154">
        <v>190000</v>
      </c>
      <c r="J154">
        <v>115000</v>
      </c>
      <c r="K154">
        <v>0</v>
      </c>
      <c r="L154">
        <v>0</v>
      </c>
      <c r="M154">
        <v>0</v>
      </c>
      <c r="N154">
        <v>0</v>
      </c>
      <c r="O154">
        <v>0</v>
      </c>
      <c r="P154">
        <v>0</v>
      </c>
      <c r="Q154">
        <v>0</v>
      </c>
      <c r="R154">
        <v>0</v>
      </c>
      <c r="S154">
        <v>0</v>
      </c>
      <c r="T154">
        <v>80000</v>
      </c>
      <c r="X154">
        <v>5</v>
      </c>
      <c r="Y154">
        <v>128</v>
      </c>
      <c r="Z154" t="s">
        <v>54</v>
      </c>
      <c r="AA154">
        <v>0</v>
      </c>
      <c r="AC154">
        <v>0</v>
      </c>
      <c r="AD154">
        <v>0</v>
      </c>
      <c r="AE154">
        <v>115000</v>
      </c>
      <c r="AF154">
        <v>80000</v>
      </c>
      <c r="AG154">
        <v>0</v>
      </c>
      <c r="AH154">
        <f t="shared" si="2"/>
        <v>0</v>
      </c>
    </row>
    <row r="155" spans="1:34" x14ac:dyDescent="0.3">
      <c r="A155" t="s">
        <v>33</v>
      </c>
      <c r="B155" t="s">
        <v>88</v>
      </c>
      <c r="C155">
        <v>1181</v>
      </c>
      <c r="D155">
        <v>671</v>
      </c>
      <c r="E155" t="s">
        <v>95</v>
      </c>
      <c r="F155" t="s">
        <v>51</v>
      </c>
      <c r="G155">
        <v>291</v>
      </c>
      <c r="H155">
        <v>1</v>
      </c>
      <c r="I155">
        <v>190000</v>
      </c>
      <c r="J155">
        <v>115000</v>
      </c>
      <c r="K155">
        <v>0</v>
      </c>
      <c r="L155">
        <v>0</v>
      </c>
      <c r="M155">
        <v>0</v>
      </c>
      <c r="N155">
        <v>20000</v>
      </c>
      <c r="O155">
        <v>30000</v>
      </c>
      <c r="P155">
        <v>32000</v>
      </c>
      <c r="Q155">
        <v>15500</v>
      </c>
      <c r="R155">
        <v>0</v>
      </c>
      <c r="S155">
        <v>4000</v>
      </c>
      <c r="T155">
        <v>53500</v>
      </c>
      <c r="U155">
        <v>15500</v>
      </c>
      <c r="X155">
        <v>7</v>
      </c>
      <c r="Y155">
        <v>128</v>
      </c>
      <c r="Z155" t="s">
        <v>54</v>
      </c>
      <c r="AA155">
        <v>4000</v>
      </c>
      <c r="AB155" t="s">
        <v>52</v>
      </c>
      <c r="AC155">
        <v>2</v>
      </c>
      <c r="AD155">
        <v>4</v>
      </c>
      <c r="AE155">
        <v>216500</v>
      </c>
      <c r="AF155">
        <v>53500</v>
      </c>
      <c r="AG155">
        <v>0</v>
      </c>
      <c r="AH155">
        <f t="shared" si="2"/>
        <v>6</v>
      </c>
    </row>
    <row r="156" spans="1:34" x14ac:dyDescent="0.3">
      <c r="A156" t="s">
        <v>33</v>
      </c>
      <c r="B156" t="s">
        <v>88</v>
      </c>
      <c r="C156">
        <v>1223</v>
      </c>
      <c r="D156">
        <v>671</v>
      </c>
      <c r="E156" t="s">
        <v>95</v>
      </c>
      <c r="F156" t="s">
        <v>51</v>
      </c>
      <c r="G156">
        <v>297</v>
      </c>
      <c r="H156">
        <v>2</v>
      </c>
      <c r="I156">
        <v>190000</v>
      </c>
      <c r="J156">
        <v>115000</v>
      </c>
      <c r="K156">
        <v>0</v>
      </c>
      <c r="L156">
        <v>0</v>
      </c>
      <c r="M156">
        <v>0</v>
      </c>
      <c r="N156">
        <v>20000</v>
      </c>
      <c r="O156">
        <v>30000</v>
      </c>
      <c r="P156">
        <v>0</v>
      </c>
      <c r="Q156">
        <v>15000</v>
      </c>
      <c r="R156">
        <v>12000</v>
      </c>
      <c r="S156">
        <v>4000</v>
      </c>
      <c r="T156">
        <v>47500</v>
      </c>
      <c r="U156">
        <v>15000</v>
      </c>
      <c r="X156">
        <v>4</v>
      </c>
      <c r="Y156">
        <v>128</v>
      </c>
      <c r="Z156" t="s">
        <v>54</v>
      </c>
      <c r="AA156">
        <v>16000</v>
      </c>
      <c r="AB156" t="s">
        <v>52</v>
      </c>
      <c r="AC156">
        <v>0</v>
      </c>
      <c r="AD156">
        <v>0</v>
      </c>
      <c r="AE156">
        <v>196000</v>
      </c>
      <c r="AF156">
        <v>47500</v>
      </c>
      <c r="AG156">
        <v>0</v>
      </c>
      <c r="AH156">
        <f t="shared" si="2"/>
        <v>0</v>
      </c>
    </row>
    <row r="157" spans="1:34" x14ac:dyDescent="0.3">
      <c r="A157" t="s">
        <v>33</v>
      </c>
      <c r="B157" t="s">
        <v>88</v>
      </c>
      <c r="C157">
        <v>1245</v>
      </c>
      <c r="D157">
        <v>671</v>
      </c>
      <c r="E157" t="s">
        <v>95</v>
      </c>
      <c r="F157" t="s">
        <v>51</v>
      </c>
      <c r="G157">
        <v>301</v>
      </c>
      <c r="H157">
        <v>3</v>
      </c>
      <c r="I157">
        <v>190000</v>
      </c>
      <c r="J157">
        <v>115000</v>
      </c>
      <c r="K157">
        <v>0</v>
      </c>
      <c r="L157">
        <v>0</v>
      </c>
      <c r="M157">
        <v>0</v>
      </c>
      <c r="N157">
        <v>20000</v>
      </c>
      <c r="O157">
        <v>30000</v>
      </c>
      <c r="P157">
        <v>1000</v>
      </c>
      <c r="Q157">
        <v>7500</v>
      </c>
      <c r="R157">
        <v>0</v>
      </c>
      <c r="S157">
        <v>4000</v>
      </c>
      <c r="T157">
        <v>60000</v>
      </c>
      <c r="U157">
        <v>7500</v>
      </c>
      <c r="X157">
        <v>4</v>
      </c>
      <c r="Y157">
        <v>128</v>
      </c>
      <c r="Z157" t="s">
        <v>54</v>
      </c>
      <c r="AA157">
        <v>4000</v>
      </c>
      <c r="AB157" t="s">
        <v>52</v>
      </c>
      <c r="AC157">
        <v>1</v>
      </c>
      <c r="AD157">
        <v>0</v>
      </c>
      <c r="AE157">
        <v>177500</v>
      </c>
      <c r="AF157">
        <v>60000</v>
      </c>
      <c r="AG157">
        <v>0</v>
      </c>
      <c r="AH157">
        <f t="shared" si="2"/>
        <v>1</v>
      </c>
    </row>
    <row r="158" spans="1:34" x14ac:dyDescent="0.3">
      <c r="A158" t="s">
        <v>33</v>
      </c>
      <c r="B158" t="s">
        <v>88</v>
      </c>
      <c r="C158">
        <v>1266</v>
      </c>
      <c r="D158">
        <v>671</v>
      </c>
      <c r="E158" t="s">
        <v>95</v>
      </c>
      <c r="F158" t="s">
        <v>56</v>
      </c>
      <c r="G158">
        <v>304</v>
      </c>
      <c r="H158">
        <v>4</v>
      </c>
      <c r="I158">
        <v>190000</v>
      </c>
      <c r="J158">
        <v>115000</v>
      </c>
      <c r="K158">
        <v>0</v>
      </c>
      <c r="L158">
        <v>90000</v>
      </c>
      <c r="M158">
        <v>125000</v>
      </c>
      <c r="N158">
        <v>30000</v>
      </c>
      <c r="O158">
        <v>30000</v>
      </c>
      <c r="P158">
        <v>14000</v>
      </c>
      <c r="Q158">
        <v>0</v>
      </c>
      <c r="R158">
        <v>0</v>
      </c>
      <c r="S158">
        <v>0</v>
      </c>
      <c r="T158">
        <v>26000</v>
      </c>
      <c r="V158">
        <v>32000</v>
      </c>
      <c r="X158">
        <v>6</v>
      </c>
      <c r="Y158">
        <v>128</v>
      </c>
      <c r="Z158" t="s">
        <v>54</v>
      </c>
      <c r="AA158">
        <v>0</v>
      </c>
      <c r="AB158" t="s">
        <v>42</v>
      </c>
      <c r="AC158">
        <v>2</v>
      </c>
      <c r="AD158">
        <v>4</v>
      </c>
      <c r="AE158">
        <v>314000</v>
      </c>
      <c r="AF158">
        <v>26000</v>
      </c>
      <c r="AG158">
        <v>0</v>
      </c>
      <c r="AH158">
        <f t="shared" si="2"/>
        <v>6</v>
      </c>
    </row>
    <row r="159" spans="1:34" x14ac:dyDescent="0.3">
      <c r="A159" t="s">
        <v>33</v>
      </c>
      <c r="B159" t="s">
        <v>88</v>
      </c>
      <c r="C159">
        <v>1156</v>
      </c>
      <c r="D159">
        <v>672</v>
      </c>
      <c r="E159" t="s">
        <v>96</v>
      </c>
      <c r="G159">
        <v>289</v>
      </c>
      <c r="H159">
        <v>0</v>
      </c>
      <c r="I159">
        <v>110000</v>
      </c>
      <c r="J159">
        <v>60000</v>
      </c>
      <c r="K159">
        <v>0</v>
      </c>
      <c r="L159">
        <v>0</v>
      </c>
      <c r="M159">
        <v>0</v>
      </c>
      <c r="N159">
        <v>0</v>
      </c>
      <c r="O159">
        <v>0</v>
      </c>
      <c r="P159">
        <v>0</v>
      </c>
      <c r="Q159">
        <v>0</v>
      </c>
      <c r="R159">
        <v>0</v>
      </c>
      <c r="S159">
        <v>0</v>
      </c>
      <c r="T159">
        <v>30000</v>
      </c>
      <c r="X159">
        <v>5</v>
      </c>
      <c r="Y159">
        <v>126</v>
      </c>
      <c r="Z159" t="s">
        <v>40</v>
      </c>
      <c r="AA159">
        <v>0</v>
      </c>
      <c r="AC159">
        <v>0</v>
      </c>
      <c r="AD159">
        <v>0</v>
      </c>
      <c r="AE159">
        <v>60000</v>
      </c>
      <c r="AF159">
        <v>30000</v>
      </c>
      <c r="AG159">
        <v>0</v>
      </c>
      <c r="AH159">
        <f t="shared" si="2"/>
        <v>0</v>
      </c>
    </row>
    <row r="160" spans="1:34" x14ac:dyDescent="0.3">
      <c r="A160" t="s">
        <v>33</v>
      </c>
      <c r="B160" t="s">
        <v>88</v>
      </c>
      <c r="C160">
        <v>1183</v>
      </c>
      <c r="D160">
        <v>672</v>
      </c>
      <c r="E160" t="s">
        <v>96</v>
      </c>
      <c r="F160" t="s">
        <v>58</v>
      </c>
      <c r="G160">
        <v>291</v>
      </c>
      <c r="H160">
        <v>1</v>
      </c>
      <c r="I160">
        <v>110000</v>
      </c>
      <c r="J160">
        <v>60000</v>
      </c>
      <c r="K160">
        <v>0</v>
      </c>
      <c r="L160">
        <v>0</v>
      </c>
      <c r="M160">
        <v>100000</v>
      </c>
      <c r="N160">
        <v>15000</v>
      </c>
      <c r="O160">
        <v>17000</v>
      </c>
      <c r="P160">
        <v>0</v>
      </c>
      <c r="Q160">
        <v>0</v>
      </c>
      <c r="R160">
        <v>4000</v>
      </c>
      <c r="S160">
        <v>4000</v>
      </c>
      <c r="T160">
        <v>-60000</v>
      </c>
      <c r="X160">
        <v>2</v>
      </c>
      <c r="Y160">
        <v>126</v>
      </c>
      <c r="Z160" t="s">
        <v>40</v>
      </c>
      <c r="AA160">
        <v>8000</v>
      </c>
      <c r="AB160" t="s">
        <v>42</v>
      </c>
      <c r="AC160">
        <v>0</v>
      </c>
      <c r="AD160">
        <v>0</v>
      </c>
      <c r="AE160">
        <v>200000</v>
      </c>
      <c r="AF160">
        <v>-60000</v>
      </c>
      <c r="AG160">
        <v>0</v>
      </c>
      <c r="AH160">
        <f t="shared" si="2"/>
        <v>0</v>
      </c>
    </row>
    <row r="161" spans="1:34" x14ac:dyDescent="0.3">
      <c r="A161" t="s">
        <v>33</v>
      </c>
      <c r="B161" t="s">
        <v>88</v>
      </c>
      <c r="C161">
        <v>1222</v>
      </c>
      <c r="D161">
        <v>672</v>
      </c>
      <c r="E161" t="s">
        <v>96</v>
      </c>
      <c r="F161" t="s">
        <v>58</v>
      </c>
      <c r="G161">
        <v>297</v>
      </c>
      <c r="H161">
        <v>2</v>
      </c>
      <c r="I161">
        <v>110000</v>
      </c>
      <c r="J161">
        <v>60000</v>
      </c>
      <c r="K161">
        <v>50000</v>
      </c>
      <c r="L161">
        <v>0</v>
      </c>
      <c r="M161">
        <v>0</v>
      </c>
      <c r="N161">
        <v>15000</v>
      </c>
      <c r="O161">
        <v>17000</v>
      </c>
      <c r="P161">
        <v>0</v>
      </c>
      <c r="Q161">
        <v>0</v>
      </c>
      <c r="R161">
        <v>12000</v>
      </c>
      <c r="S161">
        <v>4000</v>
      </c>
      <c r="T161">
        <v>-58000</v>
      </c>
      <c r="X161">
        <v>-4</v>
      </c>
      <c r="Y161">
        <v>126</v>
      </c>
      <c r="Z161" t="s">
        <v>40</v>
      </c>
      <c r="AA161">
        <v>16000</v>
      </c>
      <c r="AB161" t="s">
        <v>42</v>
      </c>
      <c r="AC161">
        <v>0</v>
      </c>
      <c r="AD161">
        <v>0</v>
      </c>
      <c r="AE161">
        <v>108000</v>
      </c>
      <c r="AF161">
        <v>-58000</v>
      </c>
      <c r="AG161">
        <v>0</v>
      </c>
      <c r="AH161">
        <f t="shared" si="2"/>
        <v>0</v>
      </c>
    </row>
    <row r="162" spans="1:34" x14ac:dyDescent="0.3">
      <c r="A162" t="s">
        <v>33</v>
      </c>
      <c r="B162" t="s">
        <v>88</v>
      </c>
      <c r="C162">
        <v>1249</v>
      </c>
      <c r="D162">
        <v>672</v>
      </c>
      <c r="E162" t="s">
        <v>96</v>
      </c>
      <c r="F162" t="s">
        <v>58</v>
      </c>
      <c r="G162">
        <v>301</v>
      </c>
      <c r="H162">
        <v>3</v>
      </c>
      <c r="I162">
        <v>110000</v>
      </c>
      <c r="J162">
        <v>60000</v>
      </c>
      <c r="K162">
        <v>50000</v>
      </c>
      <c r="L162">
        <v>0</v>
      </c>
      <c r="M162">
        <v>0</v>
      </c>
      <c r="N162">
        <v>15000</v>
      </c>
      <c r="O162">
        <v>17000</v>
      </c>
      <c r="P162">
        <v>0</v>
      </c>
      <c r="Q162">
        <v>0</v>
      </c>
      <c r="R162">
        <v>0</v>
      </c>
      <c r="S162">
        <v>4000</v>
      </c>
      <c r="T162">
        <v>-44000</v>
      </c>
      <c r="X162">
        <v>-6</v>
      </c>
      <c r="Y162">
        <v>126</v>
      </c>
      <c r="Z162" t="s">
        <v>40</v>
      </c>
      <c r="AA162">
        <v>4000</v>
      </c>
      <c r="AB162" t="s">
        <v>42</v>
      </c>
      <c r="AC162">
        <v>0</v>
      </c>
      <c r="AD162">
        <v>0</v>
      </c>
      <c r="AE162">
        <v>96000</v>
      </c>
      <c r="AF162">
        <v>-44000</v>
      </c>
      <c r="AG162">
        <v>0</v>
      </c>
      <c r="AH162">
        <f t="shared" si="2"/>
        <v>0</v>
      </c>
    </row>
    <row r="163" spans="1:34" x14ac:dyDescent="0.3">
      <c r="A163" t="s">
        <v>33</v>
      </c>
      <c r="B163" t="s">
        <v>88</v>
      </c>
      <c r="C163">
        <v>1264</v>
      </c>
      <c r="D163">
        <v>672</v>
      </c>
      <c r="E163" t="s">
        <v>96</v>
      </c>
      <c r="F163" t="s">
        <v>58</v>
      </c>
      <c r="G163">
        <v>304</v>
      </c>
      <c r="H163">
        <v>4</v>
      </c>
      <c r="I163">
        <v>110000</v>
      </c>
      <c r="J163">
        <v>60000</v>
      </c>
      <c r="K163">
        <v>44000</v>
      </c>
      <c r="L163">
        <v>0</v>
      </c>
      <c r="M163">
        <v>0</v>
      </c>
      <c r="N163">
        <v>30000</v>
      </c>
      <c r="O163">
        <v>17000</v>
      </c>
      <c r="P163">
        <v>0</v>
      </c>
      <c r="Q163">
        <v>0</v>
      </c>
      <c r="R163">
        <v>0</v>
      </c>
      <c r="S163">
        <v>4000</v>
      </c>
      <c r="T163">
        <v>-45000</v>
      </c>
      <c r="X163">
        <v>-8</v>
      </c>
      <c r="Y163">
        <v>126</v>
      </c>
      <c r="Z163" t="s">
        <v>40</v>
      </c>
      <c r="AA163">
        <v>4000</v>
      </c>
      <c r="AB163" t="s">
        <v>42</v>
      </c>
      <c r="AC163">
        <v>0</v>
      </c>
      <c r="AD163">
        <v>0</v>
      </c>
      <c r="AE163">
        <v>111000</v>
      </c>
      <c r="AF163">
        <v>-45000</v>
      </c>
      <c r="AG163">
        <v>0</v>
      </c>
      <c r="AH163">
        <f t="shared" si="2"/>
        <v>0</v>
      </c>
    </row>
    <row r="164" spans="1:34" x14ac:dyDescent="0.3">
      <c r="A164" t="s">
        <v>33</v>
      </c>
      <c r="B164" t="s">
        <v>97</v>
      </c>
      <c r="C164">
        <v>1162</v>
      </c>
      <c r="D164">
        <v>674</v>
      </c>
      <c r="E164" t="s">
        <v>98</v>
      </c>
      <c r="G164">
        <v>288</v>
      </c>
      <c r="H164">
        <v>0</v>
      </c>
      <c r="I164">
        <v>75000</v>
      </c>
      <c r="J164">
        <v>40000</v>
      </c>
      <c r="K164">
        <v>0</v>
      </c>
      <c r="L164">
        <v>0</v>
      </c>
      <c r="M164">
        <v>0</v>
      </c>
      <c r="N164">
        <v>0</v>
      </c>
      <c r="O164">
        <v>0</v>
      </c>
      <c r="P164">
        <v>0</v>
      </c>
      <c r="Q164">
        <v>0</v>
      </c>
      <c r="R164">
        <v>0</v>
      </c>
      <c r="S164">
        <v>0</v>
      </c>
      <c r="T164">
        <v>5000</v>
      </c>
      <c r="X164">
        <v>5</v>
      </c>
      <c r="Y164">
        <v>124</v>
      </c>
      <c r="Z164" t="s">
        <v>36</v>
      </c>
      <c r="AA164">
        <v>0</v>
      </c>
      <c r="AC164">
        <v>0</v>
      </c>
      <c r="AD164">
        <v>0</v>
      </c>
      <c r="AE164">
        <v>40000</v>
      </c>
      <c r="AF164">
        <v>5000</v>
      </c>
      <c r="AG164">
        <v>0</v>
      </c>
      <c r="AH164">
        <f t="shared" si="2"/>
        <v>0</v>
      </c>
    </row>
    <row r="165" spans="1:34" x14ac:dyDescent="0.3">
      <c r="A165" t="s">
        <v>33</v>
      </c>
      <c r="B165" t="s">
        <v>97</v>
      </c>
      <c r="C165">
        <v>1190</v>
      </c>
      <c r="D165">
        <v>674</v>
      </c>
      <c r="E165" t="s">
        <v>98</v>
      </c>
      <c r="F165" t="s">
        <v>48</v>
      </c>
      <c r="G165">
        <v>292</v>
      </c>
      <c r="H165">
        <v>1</v>
      </c>
      <c r="I165">
        <v>75000</v>
      </c>
      <c r="J165">
        <v>40000</v>
      </c>
      <c r="K165">
        <v>0</v>
      </c>
      <c r="L165">
        <v>0</v>
      </c>
      <c r="M165">
        <v>0</v>
      </c>
      <c r="N165">
        <v>15000</v>
      </c>
      <c r="O165">
        <v>10000</v>
      </c>
      <c r="P165">
        <v>0</v>
      </c>
      <c r="Q165">
        <v>7000</v>
      </c>
      <c r="R165">
        <v>0</v>
      </c>
      <c r="S165">
        <v>4000</v>
      </c>
      <c r="T165">
        <v>4000</v>
      </c>
      <c r="U165">
        <v>7000</v>
      </c>
      <c r="X165">
        <v>5</v>
      </c>
      <c r="Y165">
        <v>124</v>
      </c>
      <c r="Z165" t="s">
        <v>36</v>
      </c>
      <c r="AA165">
        <v>4000</v>
      </c>
      <c r="AB165" t="s">
        <v>42</v>
      </c>
      <c r="AC165">
        <v>0</v>
      </c>
      <c r="AD165">
        <v>0</v>
      </c>
      <c r="AE165">
        <v>76000</v>
      </c>
      <c r="AF165">
        <v>4000</v>
      </c>
      <c r="AG165">
        <v>0</v>
      </c>
      <c r="AH165">
        <f t="shared" si="2"/>
        <v>0</v>
      </c>
    </row>
    <row r="166" spans="1:34" x14ac:dyDescent="0.3">
      <c r="A166" t="s">
        <v>33</v>
      </c>
      <c r="B166" t="s">
        <v>97</v>
      </c>
      <c r="C166">
        <v>1206</v>
      </c>
      <c r="D166">
        <v>674</v>
      </c>
      <c r="E166" t="s">
        <v>98</v>
      </c>
      <c r="F166" t="s">
        <v>48</v>
      </c>
      <c r="G166">
        <v>294</v>
      </c>
      <c r="H166">
        <v>2</v>
      </c>
      <c r="I166">
        <v>75000</v>
      </c>
      <c r="J166">
        <v>40000</v>
      </c>
      <c r="K166">
        <v>0</v>
      </c>
      <c r="L166">
        <v>0</v>
      </c>
      <c r="M166">
        <v>0</v>
      </c>
      <c r="N166">
        <v>15000</v>
      </c>
      <c r="O166">
        <v>10000</v>
      </c>
      <c r="P166">
        <v>1000</v>
      </c>
      <c r="Q166">
        <v>0</v>
      </c>
      <c r="R166">
        <v>0</v>
      </c>
      <c r="S166">
        <v>0</v>
      </c>
      <c r="T166">
        <v>13000</v>
      </c>
      <c r="V166">
        <v>1000</v>
      </c>
      <c r="X166">
        <v>5</v>
      </c>
      <c r="Y166">
        <v>124</v>
      </c>
      <c r="Z166" t="s">
        <v>36</v>
      </c>
      <c r="AA166">
        <v>0</v>
      </c>
      <c r="AB166" t="s">
        <v>42</v>
      </c>
      <c r="AC166">
        <v>1</v>
      </c>
      <c r="AD166">
        <v>0</v>
      </c>
      <c r="AE166">
        <v>66000</v>
      </c>
      <c r="AF166">
        <v>13000</v>
      </c>
      <c r="AG166">
        <v>0</v>
      </c>
      <c r="AH166">
        <f t="shared" si="2"/>
        <v>1</v>
      </c>
    </row>
    <row r="167" spans="1:34" x14ac:dyDescent="0.3">
      <c r="A167" t="s">
        <v>33</v>
      </c>
      <c r="B167" t="s">
        <v>97</v>
      </c>
      <c r="C167">
        <v>1229</v>
      </c>
      <c r="D167">
        <v>674</v>
      </c>
      <c r="E167" t="s">
        <v>98</v>
      </c>
      <c r="F167" t="s">
        <v>48</v>
      </c>
      <c r="G167">
        <v>298</v>
      </c>
      <c r="H167">
        <v>3</v>
      </c>
      <c r="I167">
        <v>75000</v>
      </c>
      <c r="J167">
        <v>40000</v>
      </c>
      <c r="K167">
        <v>0</v>
      </c>
      <c r="L167">
        <v>0</v>
      </c>
      <c r="M167">
        <v>0</v>
      </c>
      <c r="N167">
        <v>15000</v>
      </c>
      <c r="O167">
        <v>10000</v>
      </c>
      <c r="P167">
        <v>14000</v>
      </c>
      <c r="Q167">
        <v>0</v>
      </c>
      <c r="R167">
        <v>8000</v>
      </c>
      <c r="S167">
        <v>0</v>
      </c>
      <c r="T167">
        <v>1000</v>
      </c>
      <c r="V167">
        <v>14000</v>
      </c>
      <c r="X167">
        <v>4</v>
      </c>
      <c r="Y167">
        <v>124</v>
      </c>
      <c r="Z167" t="s">
        <v>36</v>
      </c>
      <c r="AA167">
        <v>8000</v>
      </c>
      <c r="AB167" t="s">
        <v>42</v>
      </c>
      <c r="AC167">
        <v>0</v>
      </c>
      <c r="AD167">
        <v>2</v>
      </c>
      <c r="AE167">
        <v>87000</v>
      </c>
      <c r="AF167">
        <v>1000</v>
      </c>
      <c r="AG167">
        <v>0</v>
      </c>
      <c r="AH167">
        <f t="shared" si="2"/>
        <v>2</v>
      </c>
    </row>
    <row r="168" spans="1:34" x14ac:dyDescent="0.3">
      <c r="A168" t="s">
        <v>33</v>
      </c>
      <c r="B168" t="s">
        <v>97</v>
      </c>
      <c r="C168">
        <v>1270</v>
      </c>
      <c r="D168">
        <v>674</v>
      </c>
      <c r="E168" t="s">
        <v>98</v>
      </c>
      <c r="F168" t="s">
        <v>48</v>
      </c>
      <c r="G168">
        <v>305</v>
      </c>
      <c r="H168">
        <v>4</v>
      </c>
      <c r="I168">
        <v>75000</v>
      </c>
      <c r="J168">
        <v>40000</v>
      </c>
      <c r="K168">
        <v>0</v>
      </c>
      <c r="L168">
        <v>0</v>
      </c>
      <c r="M168">
        <v>0</v>
      </c>
      <c r="N168">
        <v>30000</v>
      </c>
      <c r="O168">
        <v>10000</v>
      </c>
      <c r="P168">
        <v>0</v>
      </c>
      <c r="Q168">
        <v>0</v>
      </c>
      <c r="R168">
        <v>0</v>
      </c>
      <c r="S168">
        <v>0</v>
      </c>
      <c r="T168">
        <v>-4000</v>
      </c>
      <c r="X168">
        <v>4</v>
      </c>
      <c r="Y168">
        <v>124</v>
      </c>
      <c r="Z168" t="s">
        <v>36</v>
      </c>
      <c r="AA168">
        <v>0</v>
      </c>
      <c r="AB168" t="s">
        <v>42</v>
      </c>
      <c r="AC168">
        <v>0</v>
      </c>
      <c r="AD168">
        <v>0</v>
      </c>
      <c r="AE168">
        <v>80000</v>
      </c>
      <c r="AF168">
        <v>-4000</v>
      </c>
      <c r="AG168">
        <v>0</v>
      </c>
      <c r="AH168">
        <f t="shared" si="2"/>
        <v>0</v>
      </c>
    </row>
    <row r="169" spans="1:34" x14ac:dyDescent="0.3">
      <c r="A169" t="s">
        <v>33</v>
      </c>
      <c r="B169" t="s">
        <v>97</v>
      </c>
      <c r="C169">
        <v>1163</v>
      </c>
      <c r="D169">
        <v>675</v>
      </c>
      <c r="E169" t="s">
        <v>99</v>
      </c>
      <c r="G169">
        <v>288</v>
      </c>
      <c r="H169">
        <v>0</v>
      </c>
      <c r="I169">
        <v>110000</v>
      </c>
      <c r="J169">
        <v>60000</v>
      </c>
      <c r="K169">
        <v>0</v>
      </c>
      <c r="L169">
        <v>0</v>
      </c>
      <c r="M169">
        <v>0</v>
      </c>
      <c r="N169">
        <v>0</v>
      </c>
      <c r="O169">
        <v>0</v>
      </c>
      <c r="P169">
        <v>0</v>
      </c>
      <c r="Q169">
        <v>0</v>
      </c>
      <c r="R169">
        <v>0</v>
      </c>
      <c r="S169">
        <v>0</v>
      </c>
      <c r="T169">
        <v>30000</v>
      </c>
      <c r="X169">
        <v>5</v>
      </c>
      <c r="Y169">
        <v>126</v>
      </c>
      <c r="Z169" t="s">
        <v>40</v>
      </c>
      <c r="AA169">
        <v>0</v>
      </c>
      <c r="AC169">
        <v>0</v>
      </c>
      <c r="AD169">
        <v>0</v>
      </c>
      <c r="AE169">
        <v>60000</v>
      </c>
      <c r="AF169">
        <v>30000</v>
      </c>
      <c r="AG169">
        <v>0</v>
      </c>
      <c r="AH169">
        <f t="shared" si="2"/>
        <v>0</v>
      </c>
    </row>
    <row r="170" spans="1:34" x14ac:dyDescent="0.3">
      <c r="A170" t="s">
        <v>33</v>
      </c>
      <c r="B170" t="s">
        <v>97</v>
      </c>
      <c r="C170">
        <v>1193</v>
      </c>
      <c r="D170">
        <v>675</v>
      </c>
      <c r="E170" t="s">
        <v>99</v>
      </c>
      <c r="F170" t="s">
        <v>41</v>
      </c>
      <c r="G170">
        <v>292</v>
      </c>
      <c r="H170">
        <v>1</v>
      </c>
      <c r="I170">
        <v>110000</v>
      </c>
      <c r="J170">
        <v>60000</v>
      </c>
      <c r="K170">
        <v>0</v>
      </c>
      <c r="L170">
        <v>0</v>
      </c>
      <c r="M170">
        <v>30000</v>
      </c>
      <c r="N170">
        <v>15000</v>
      </c>
      <c r="O170">
        <v>17000</v>
      </c>
      <c r="P170">
        <v>8000</v>
      </c>
      <c r="Q170">
        <v>4000</v>
      </c>
      <c r="R170">
        <v>0</v>
      </c>
      <c r="S170">
        <v>0</v>
      </c>
      <c r="T170">
        <v>6000</v>
      </c>
      <c r="U170">
        <v>3400</v>
      </c>
      <c r="V170">
        <v>8000</v>
      </c>
      <c r="W170">
        <v>600</v>
      </c>
      <c r="X170">
        <v>6</v>
      </c>
      <c r="Y170">
        <v>126</v>
      </c>
      <c r="Z170" t="s">
        <v>40</v>
      </c>
      <c r="AA170">
        <v>0</v>
      </c>
      <c r="AB170" t="s">
        <v>42</v>
      </c>
      <c r="AC170">
        <v>1</v>
      </c>
      <c r="AD170">
        <v>1</v>
      </c>
      <c r="AE170">
        <v>134000</v>
      </c>
      <c r="AF170">
        <v>6000</v>
      </c>
      <c r="AG170">
        <v>0</v>
      </c>
      <c r="AH170">
        <f t="shared" si="2"/>
        <v>2</v>
      </c>
    </row>
    <row r="171" spans="1:34" x14ac:dyDescent="0.3">
      <c r="A171" t="s">
        <v>33</v>
      </c>
      <c r="B171" t="s">
        <v>97</v>
      </c>
      <c r="C171">
        <v>1205</v>
      </c>
      <c r="D171">
        <v>675</v>
      </c>
      <c r="E171" t="s">
        <v>99</v>
      </c>
      <c r="F171" t="s">
        <v>41</v>
      </c>
      <c r="G171">
        <v>294</v>
      </c>
      <c r="H171">
        <v>2</v>
      </c>
      <c r="I171">
        <v>110000</v>
      </c>
      <c r="J171">
        <v>60000</v>
      </c>
      <c r="K171">
        <v>0</v>
      </c>
      <c r="L171">
        <v>0</v>
      </c>
      <c r="M171">
        <v>0</v>
      </c>
      <c r="N171">
        <v>15000</v>
      </c>
      <c r="O171">
        <v>17000</v>
      </c>
      <c r="P171">
        <v>7000</v>
      </c>
      <c r="Q171">
        <v>0</v>
      </c>
      <c r="R171">
        <v>0</v>
      </c>
      <c r="S171">
        <v>0</v>
      </c>
      <c r="T171">
        <v>17000</v>
      </c>
      <c r="V171">
        <v>7000</v>
      </c>
      <c r="X171">
        <v>7</v>
      </c>
      <c r="Y171">
        <v>126</v>
      </c>
      <c r="Z171" t="s">
        <v>40</v>
      </c>
      <c r="AA171">
        <v>0</v>
      </c>
      <c r="AB171" t="s">
        <v>42</v>
      </c>
      <c r="AC171">
        <v>1</v>
      </c>
      <c r="AD171">
        <v>1</v>
      </c>
      <c r="AE171">
        <v>99000</v>
      </c>
      <c r="AF171">
        <v>17000</v>
      </c>
      <c r="AG171">
        <v>0</v>
      </c>
      <c r="AH171">
        <f t="shared" si="2"/>
        <v>2</v>
      </c>
    </row>
    <row r="172" spans="1:34" x14ac:dyDescent="0.3">
      <c r="A172" t="s">
        <v>33</v>
      </c>
      <c r="B172" t="s">
        <v>97</v>
      </c>
      <c r="C172">
        <v>1230</v>
      </c>
      <c r="D172">
        <v>675</v>
      </c>
      <c r="E172" t="s">
        <v>99</v>
      </c>
      <c r="F172" t="s">
        <v>41</v>
      </c>
      <c r="G172">
        <v>298</v>
      </c>
      <c r="H172">
        <v>3</v>
      </c>
      <c r="I172">
        <v>110000</v>
      </c>
      <c r="J172">
        <v>60000</v>
      </c>
      <c r="K172">
        <v>0</v>
      </c>
      <c r="L172">
        <v>0</v>
      </c>
      <c r="M172">
        <v>0</v>
      </c>
      <c r="N172">
        <v>15000</v>
      </c>
      <c r="O172">
        <v>17000</v>
      </c>
      <c r="P172">
        <v>18000</v>
      </c>
      <c r="Q172">
        <v>0</v>
      </c>
      <c r="R172">
        <v>4000</v>
      </c>
      <c r="S172">
        <v>0</v>
      </c>
      <c r="T172">
        <v>13000</v>
      </c>
      <c r="V172">
        <v>18000</v>
      </c>
      <c r="X172">
        <v>6</v>
      </c>
      <c r="Y172">
        <v>126</v>
      </c>
      <c r="Z172" t="s">
        <v>40</v>
      </c>
      <c r="AA172">
        <v>4000</v>
      </c>
      <c r="AB172" t="s">
        <v>42</v>
      </c>
      <c r="AC172">
        <v>1</v>
      </c>
      <c r="AD172">
        <v>2</v>
      </c>
      <c r="AE172">
        <v>114000</v>
      </c>
      <c r="AF172">
        <v>13000</v>
      </c>
      <c r="AG172">
        <v>0</v>
      </c>
      <c r="AH172">
        <f t="shared" si="2"/>
        <v>3</v>
      </c>
    </row>
    <row r="173" spans="1:34" x14ac:dyDescent="0.3">
      <c r="A173" t="s">
        <v>33</v>
      </c>
      <c r="B173" t="s">
        <v>97</v>
      </c>
      <c r="C173">
        <v>1271</v>
      </c>
      <c r="D173">
        <v>675</v>
      </c>
      <c r="E173" t="s">
        <v>99</v>
      </c>
      <c r="F173" t="s">
        <v>41</v>
      </c>
      <c r="G173">
        <v>305</v>
      </c>
      <c r="H173">
        <v>4</v>
      </c>
      <c r="I173">
        <v>110000</v>
      </c>
      <c r="J173">
        <v>60000</v>
      </c>
      <c r="K173">
        <v>0</v>
      </c>
      <c r="L173">
        <v>0</v>
      </c>
      <c r="M173">
        <v>0</v>
      </c>
      <c r="N173">
        <v>30000</v>
      </c>
      <c r="O173">
        <v>17000</v>
      </c>
      <c r="P173">
        <v>0</v>
      </c>
      <c r="Q173">
        <v>10000</v>
      </c>
      <c r="R173">
        <v>0</v>
      </c>
      <c r="S173">
        <v>0</v>
      </c>
      <c r="T173">
        <v>6000</v>
      </c>
      <c r="U173">
        <v>8500</v>
      </c>
      <c r="X173">
        <v>8</v>
      </c>
      <c r="Y173">
        <v>126</v>
      </c>
      <c r="Z173" t="s">
        <v>40</v>
      </c>
      <c r="AA173">
        <v>0</v>
      </c>
      <c r="AB173" t="s">
        <v>42</v>
      </c>
      <c r="AC173">
        <v>0</v>
      </c>
      <c r="AD173">
        <v>0</v>
      </c>
      <c r="AE173">
        <v>117000</v>
      </c>
      <c r="AF173">
        <v>6000</v>
      </c>
      <c r="AG173">
        <v>0</v>
      </c>
      <c r="AH173">
        <f t="shared" si="2"/>
        <v>0</v>
      </c>
    </row>
    <row r="174" spans="1:34" x14ac:dyDescent="0.3">
      <c r="A174" t="s">
        <v>33</v>
      </c>
      <c r="B174" t="s">
        <v>97</v>
      </c>
      <c r="C174">
        <v>1160</v>
      </c>
      <c r="D174">
        <v>676</v>
      </c>
      <c r="E174" t="s">
        <v>100</v>
      </c>
      <c r="G174">
        <v>288</v>
      </c>
      <c r="H174">
        <v>0</v>
      </c>
      <c r="I174">
        <v>60000</v>
      </c>
      <c r="J174">
        <v>30000</v>
      </c>
      <c r="K174">
        <v>0</v>
      </c>
      <c r="L174">
        <v>0</v>
      </c>
      <c r="M174">
        <v>0</v>
      </c>
      <c r="N174">
        <v>0</v>
      </c>
      <c r="O174">
        <v>0</v>
      </c>
      <c r="P174">
        <v>0</v>
      </c>
      <c r="Q174">
        <v>0</v>
      </c>
      <c r="R174">
        <v>0</v>
      </c>
      <c r="S174">
        <v>0</v>
      </c>
      <c r="T174">
        <v>0</v>
      </c>
      <c r="X174">
        <v>5</v>
      </c>
      <c r="Y174">
        <v>123</v>
      </c>
      <c r="Z174" t="s">
        <v>44</v>
      </c>
      <c r="AA174">
        <v>0</v>
      </c>
      <c r="AC174">
        <v>0</v>
      </c>
      <c r="AD174">
        <v>0</v>
      </c>
      <c r="AE174">
        <v>30000</v>
      </c>
      <c r="AF174">
        <v>0</v>
      </c>
      <c r="AG174">
        <v>0</v>
      </c>
      <c r="AH174">
        <f t="shared" si="2"/>
        <v>0</v>
      </c>
    </row>
    <row r="175" spans="1:34" x14ac:dyDescent="0.3">
      <c r="A175" t="s">
        <v>33</v>
      </c>
      <c r="B175" t="s">
        <v>97</v>
      </c>
      <c r="C175">
        <v>1184</v>
      </c>
      <c r="D175">
        <v>676</v>
      </c>
      <c r="E175" t="s">
        <v>100</v>
      </c>
      <c r="F175" t="s">
        <v>83</v>
      </c>
      <c r="G175">
        <v>292</v>
      </c>
      <c r="H175">
        <v>1</v>
      </c>
      <c r="I175">
        <v>60000</v>
      </c>
      <c r="J175">
        <v>30000</v>
      </c>
      <c r="K175">
        <v>0</v>
      </c>
      <c r="L175">
        <v>0</v>
      </c>
      <c r="M175">
        <v>0</v>
      </c>
      <c r="N175">
        <v>20000</v>
      </c>
      <c r="O175">
        <v>8000</v>
      </c>
      <c r="P175">
        <v>0</v>
      </c>
      <c r="Q175">
        <v>1600</v>
      </c>
      <c r="R175">
        <v>0</v>
      </c>
      <c r="S175">
        <v>4000</v>
      </c>
      <c r="T175">
        <v>-3600</v>
      </c>
      <c r="U175">
        <v>1600</v>
      </c>
      <c r="X175">
        <v>3</v>
      </c>
      <c r="Y175">
        <v>123</v>
      </c>
      <c r="Z175" t="s">
        <v>44</v>
      </c>
      <c r="AA175">
        <v>4000</v>
      </c>
      <c r="AB175" t="s">
        <v>52</v>
      </c>
      <c r="AC175">
        <v>0</v>
      </c>
      <c r="AD175">
        <v>0</v>
      </c>
      <c r="AE175">
        <v>63600</v>
      </c>
      <c r="AF175">
        <v>-3600</v>
      </c>
      <c r="AG175">
        <v>0</v>
      </c>
      <c r="AH175">
        <f t="shared" si="2"/>
        <v>0</v>
      </c>
    </row>
    <row r="176" spans="1:34" x14ac:dyDescent="0.3">
      <c r="A176" t="s">
        <v>33</v>
      </c>
      <c r="B176" t="s">
        <v>97</v>
      </c>
      <c r="C176">
        <v>1207</v>
      </c>
      <c r="D176">
        <v>676</v>
      </c>
      <c r="E176" t="s">
        <v>100</v>
      </c>
      <c r="F176" t="s">
        <v>83</v>
      </c>
      <c r="G176">
        <v>294</v>
      </c>
      <c r="H176">
        <v>2</v>
      </c>
      <c r="I176">
        <v>60000</v>
      </c>
      <c r="J176">
        <v>30000</v>
      </c>
      <c r="K176">
        <v>3600</v>
      </c>
      <c r="L176">
        <v>0</v>
      </c>
      <c r="M176">
        <v>0</v>
      </c>
      <c r="N176">
        <v>20000</v>
      </c>
      <c r="O176">
        <v>8000</v>
      </c>
      <c r="P176">
        <v>0</v>
      </c>
      <c r="Q176">
        <v>0</v>
      </c>
      <c r="R176">
        <v>0</v>
      </c>
      <c r="S176">
        <v>4000</v>
      </c>
      <c r="T176">
        <v>-5600</v>
      </c>
      <c r="X176">
        <v>1</v>
      </c>
      <c r="Y176">
        <v>123</v>
      </c>
      <c r="Z176" t="s">
        <v>44</v>
      </c>
      <c r="AA176">
        <v>4000</v>
      </c>
      <c r="AB176" t="s">
        <v>52</v>
      </c>
      <c r="AC176">
        <v>0</v>
      </c>
      <c r="AD176">
        <v>0</v>
      </c>
      <c r="AE176">
        <v>62000</v>
      </c>
      <c r="AF176">
        <v>-5600</v>
      </c>
      <c r="AG176">
        <v>0</v>
      </c>
      <c r="AH176">
        <f t="shared" si="2"/>
        <v>0</v>
      </c>
    </row>
    <row r="177" spans="1:34" x14ac:dyDescent="0.3">
      <c r="A177" t="s">
        <v>33</v>
      </c>
      <c r="B177" t="s">
        <v>97</v>
      </c>
      <c r="C177">
        <v>1227</v>
      </c>
      <c r="D177">
        <v>676</v>
      </c>
      <c r="E177" t="s">
        <v>100</v>
      </c>
      <c r="F177" t="s">
        <v>83</v>
      </c>
      <c r="G177">
        <v>298</v>
      </c>
      <c r="H177">
        <v>3</v>
      </c>
      <c r="I177">
        <v>60000</v>
      </c>
      <c r="J177">
        <v>30000</v>
      </c>
      <c r="K177">
        <v>5600</v>
      </c>
      <c r="L177">
        <v>16000</v>
      </c>
      <c r="M177">
        <v>0</v>
      </c>
      <c r="N177">
        <v>20000</v>
      </c>
      <c r="O177">
        <v>8000</v>
      </c>
      <c r="P177">
        <v>6000</v>
      </c>
      <c r="Q177">
        <v>2000</v>
      </c>
      <c r="R177">
        <v>8000</v>
      </c>
      <c r="S177">
        <v>4000</v>
      </c>
      <c r="T177">
        <v>-7600</v>
      </c>
      <c r="U177">
        <v>2000</v>
      </c>
      <c r="V177">
        <v>6000</v>
      </c>
      <c r="W177">
        <v>0</v>
      </c>
      <c r="X177">
        <v>-4</v>
      </c>
      <c r="Y177">
        <v>123</v>
      </c>
      <c r="Z177" t="s">
        <v>44</v>
      </c>
      <c r="AA177">
        <v>12000</v>
      </c>
      <c r="AB177" t="s">
        <v>52</v>
      </c>
      <c r="AC177">
        <v>0</v>
      </c>
      <c r="AD177">
        <v>1</v>
      </c>
      <c r="AE177">
        <v>78000</v>
      </c>
      <c r="AF177">
        <v>-7600</v>
      </c>
      <c r="AG177">
        <v>0</v>
      </c>
      <c r="AH177">
        <f t="shared" si="2"/>
        <v>1</v>
      </c>
    </row>
    <row r="178" spans="1:34" x14ac:dyDescent="0.3">
      <c r="A178" t="s">
        <v>33</v>
      </c>
      <c r="B178" t="s">
        <v>97</v>
      </c>
      <c r="C178">
        <v>1275</v>
      </c>
      <c r="D178">
        <v>676</v>
      </c>
      <c r="E178" t="s">
        <v>100</v>
      </c>
      <c r="F178" t="s">
        <v>83</v>
      </c>
      <c r="G178">
        <v>305</v>
      </c>
      <c r="H178">
        <v>4</v>
      </c>
      <c r="I178">
        <v>60000</v>
      </c>
      <c r="J178">
        <v>30000</v>
      </c>
      <c r="K178">
        <v>7600</v>
      </c>
      <c r="L178">
        <v>20000</v>
      </c>
      <c r="M178">
        <v>0</v>
      </c>
      <c r="N178">
        <v>20000</v>
      </c>
      <c r="O178">
        <v>8000</v>
      </c>
      <c r="P178">
        <v>9000</v>
      </c>
      <c r="Q178">
        <v>0</v>
      </c>
      <c r="R178">
        <v>0</v>
      </c>
      <c r="S178">
        <v>0</v>
      </c>
      <c r="T178">
        <v>5400</v>
      </c>
      <c r="V178">
        <v>9000</v>
      </c>
      <c r="X178">
        <v>-6</v>
      </c>
      <c r="Y178">
        <v>123</v>
      </c>
      <c r="Z178" t="s">
        <v>44</v>
      </c>
      <c r="AA178">
        <v>0</v>
      </c>
      <c r="AB178" t="s">
        <v>52</v>
      </c>
      <c r="AC178">
        <v>1</v>
      </c>
      <c r="AD178">
        <v>1</v>
      </c>
      <c r="AE178">
        <v>67000</v>
      </c>
      <c r="AF178">
        <v>5400</v>
      </c>
      <c r="AG178">
        <v>0</v>
      </c>
      <c r="AH178">
        <f t="shared" si="2"/>
        <v>2</v>
      </c>
    </row>
    <row r="179" spans="1:34" x14ac:dyDescent="0.3">
      <c r="A179" t="s">
        <v>33</v>
      </c>
      <c r="B179" t="s">
        <v>97</v>
      </c>
      <c r="C179">
        <v>1161</v>
      </c>
      <c r="D179">
        <v>677</v>
      </c>
      <c r="E179" t="s">
        <v>101</v>
      </c>
      <c r="G179">
        <v>288</v>
      </c>
      <c r="H179">
        <v>0</v>
      </c>
      <c r="I179">
        <v>90000</v>
      </c>
      <c r="J179">
        <v>50000</v>
      </c>
      <c r="K179">
        <v>0</v>
      </c>
      <c r="L179">
        <v>0</v>
      </c>
      <c r="M179">
        <v>0</v>
      </c>
      <c r="N179">
        <v>0</v>
      </c>
      <c r="O179">
        <v>0</v>
      </c>
      <c r="P179">
        <v>0</v>
      </c>
      <c r="Q179">
        <v>0</v>
      </c>
      <c r="R179">
        <v>0</v>
      </c>
      <c r="S179">
        <v>0</v>
      </c>
      <c r="T179">
        <v>15000</v>
      </c>
      <c r="X179">
        <v>5</v>
      </c>
      <c r="Y179">
        <v>125</v>
      </c>
      <c r="Z179" t="s">
        <v>47</v>
      </c>
      <c r="AA179">
        <v>0</v>
      </c>
      <c r="AC179">
        <v>0</v>
      </c>
      <c r="AD179">
        <v>0</v>
      </c>
      <c r="AE179">
        <v>50000</v>
      </c>
      <c r="AF179">
        <v>15000</v>
      </c>
      <c r="AG179">
        <v>0</v>
      </c>
      <c r="AH179">
        <f t="shared" si="2"/>
        <v>0</v>
      </c>
    </row>
    <row r="180" spans="1:34" x14ac:dyDescent="0.3">
      <c r="A180" t="s">
        <v>33</v>
      </c>
      <c r="B180" t="s">
        <v>97</v>
      </c>
      <c r="C180">
        <v>1192</v>
      </c>
      <c r="D180">
        <v>677</v>
      </c>
      <c r="E180" t="s">
        <v>101</v>
      </c>
      <c r="F180" t="s">
        <v>75</v>
      </c>
      <c r="G180">
        <v>292</v>
      </c>
      <c r="H180">
        <v>1</v>
      </c>
      <c r="I180">
        <v>90000</v>
      </c>
      <c r="J180">
        <v>50000</v>
      </c>
      <c r="K180">
        <v>0</v>
      </c>
      <c r="L180">
        <v>0</v>
      </c>
      <c r="M180">
        <v>0</v>
      </c>
      <c r="N180">
        <v>20000</v>
      </c>
      <c r="O180">
        <v>12500</v>
      </c>
      <c r="P180">
        <v>9000</v>
      </c>
      <c r="Q180">
        <v>2500</v>
      </c>
      <c r="R180">
        <v>0</v>
      </c>
      <c r="S180">
        <v>0</v>
      </c>
      <c r="T180">
        <v>11000</v>
      </c>
      <c r="U180">
        <v>2500</v>
      </c>
      <c r="X180">
        <v>4</v>
      </c>
      <c r="Y180">
        <v>125</v>
      </c>
      <c r="Z180" t="s">
        <v>47</v>
      </c>
      <c r="AA180">
        <v>0</v>
      </c>
      <c r="AB180" t="s">
        <v>38</v>
      </c>
      <c r="AC180">
        <v>2</v>
      </c>
      <c r="AD180">
        <v>1</v>
      </c>
      <c r="AE180">
        <v>94000</v>
      </c>
      <c r="AF180">
        <v>11000</v>
      </c>
      <c r="AG180">
        <v>0</v>
      </c>
      <c r="AH180">
        <f t="shared" si="2"/>
        <v>3</v>
      </c>
    </row>
    <row r="181" spans="1:34" x14ac:dyDescent="0.3">
      <c r="A181" t="s">
        <v>33</v>
      </c>
      <c r="B181" t="s">
        <v>97</v>
      </c>
      <c r="C181">
        <v>1203</v>
      </c>
      <c r="D181">
        <v>677</v>
      </c>
      <c r="E181" t="s">
        <v>101</v>
      </c>
      <c r="F181" t="s">
        <v>75</v>
      </c>
      <c r="G181">
        <v>294</v>
      </c>
      <c r="H181">
        <v>2</v>
      </c>
      <c r="I181">
        <v>90000</v>
      </c>
      <c r="J181">
        <v>50000</v>
      </c>
      <c r="K181">
        <v>0</v>
      </c>
      <c r="L181">
        <v>0</v>
      </c>
      <c r="M181">
        <v>0</v>
      </c>
      <c r="N181">
        <v>20000</v>
      </c>
      <c r="O181">
        <v>12500</v>
      </c>
      <c r="P181">
        <v>0</v>
      </c>
      <c r="Q181">
        <v>4500</v>
      </c>
      <c r="R181">
        <v>12000</v>
      </c>
      <c r="S181">
        <v>0</v>
      </c>
      <c r="T181">
        <v>2000</v>
      </c>
      <c r="U181">
        <v>4500</v>
      </c>
      <c r="X181">
        <v>1</v>
      </c>
      <c r="Y181">
        <v>125</v>
      </c>
      <c r="Z181" t="s">
        <v>47</v>
      </c>
      <c r="AA181">
        <v>12000</v>
      </c>
      <c r="AB181" t="s">
        <v>38</v>
      </c>
      <c r="AC181">
        <v>0</v>
      </c>
      <c r="AD181">
        <v>0</v>
      </c>
      <c r="AE181">
        <v>99000</v>
      </c>
      <c r="AF181">
        <v>2000</v>
      </c>
      <c r="AG181">
        <v>0</v>
      </c>
      <c r="AH181">
        <f t="shared" si="2"/>
        <v>0</v>
      </c>
    </row>
    <row r="182" spans="1:34" x14ac:dyDescent="0.3">
      <c r="A182" t="s">
        <v>33</v>
      </c>
      <c r="B182" t="s">
        <v>97</v>
      </c>
      <c r="C182">
        <v>1232</v>
      </c>
      <c r="D182">
        <v>677</v>
      </c>
      <c r="E182" t="s">
        <v>101</v>
      </c>
      <c r="F182" t="s">
        <v>75</v>
      </c>
      <c r="G182">
        <v>298</v>
      </c>
      <c r="H182">
        <v>3</v>
      </c>
      <c r="I182">
        <v>90000</v>
      </c>
      <c r="J182">
        <v>50000</v>
      </c>
      <c r="K182">
        <v>0</v>
      </c>
      <c r="L182">
        <v>0</v>
      </c>
      <c r="M182">
        <v>0</v>
      </c>
      <c r="N182">
        <v>20000</v>
      </c>
      <c r="O182">
        <v>12500</v>
      </c>
      <c r="P182">
        <v>0</v>
      </c>
      <c r="Q182">
        <v>0</v>
      </c>
      <c r="R182">
        <v>20000</v>
      </c>
      <c r="S182">
        <v>4000</v>
      </c>
      <c r="T182">
        <v>-14500</v>
      </c>
      <c r="X182">
        <v>-6</v>
      </c>
      <c r="Y182">
        <v>125</v>
      </c>
      <c r="Z182" t="s">
        <v>47</v>
      </c>
      <c r="AA182">
        <v>24000</v>
      </c>
      <c r="AB182" t="s">
        <v>38</v>
      </c>
      <c r="AC182">
        <v>0</v>
      </c>
      <c r="AD182">
        <v>0</v>
      </c>
      <c r="AE182">
        <v>106500</v>
      </c>
      <c r="AF182">
        <v>-14500</v>
      </c>
      <c r="AG182">
        <v>0</v>
      </c>
      <c r="AH182">
        <f t="shared" si="2"/>
        <v>0</v>
      </c>
    </row>
    <row r="183" spans="1:34" x14ac:dyDescent="0.3">
      <c r="A183" t="s">
        <v>33</v>
      </c>
      <c r="B183" t="s">
        <v>97</v>
      </c>
      <c r="C183">
        <v>1274</v>
      </c>
      <c r="D183">
        <v>677</v>
      </c>
      <c r="E183" t="s">
        <v>101</v>
      </c>
      <c r="F183" t="s">
        <v>102</v>
      </c>
      <c r="G183">
        <v>305</v>
      </c>
      <c r="H183">
        <v>4</v>
      </c>
      <c r="I183">
        <v>90000</v>
      </c>
      <c r="J183">
        <v>50000</v>
      </c>
      <c r="K183">
        <v>14500</v>
      </c>
      <c r="L183">
        <v>37500</v>
      </c>
      <c r="M183">
        <v>0</v>
      </c>
      <c r="N183">
        <v>30000</v>
      </c>
      <c r="O183">
        <v>11100</v>
      </c>
      <c r="P183">
        <v>14000</v>
      </c>
      <c r="Q183">
        <v>2500</v>
      </c>
      <c r="R183">
        <v>0</v>
      </c>
      <c r="S183">
        <v>0</v>
      </c>
      <c r="T183">
        <v>5400</v>
      </c>
      <c r="U183">
        <v>2775</v>
      </c>
      <c r="V183">
        <v>15000</v>
      </c>
      <c r="W183">
        <v>-1275</v>
      </c>
      <c r="X183">
        <v>-7</v>
      </c>
      <c r="Y183">
        <v>125</v>
      </c>
      <c r="Z183" t="s">
        <v>47</v>
      </c>
      <c r="AA183">
        <v>0</v>
      </c>
      <c r="AB183" t="s">
        <v>42</v>
      </c>
      <c r="AC183">
        <v>2</v>
      </c>
      <c r="AD183">
        <v>2</v>
      </c>
      <c r="AE183">
        <v>107600</v>
      </c>
      <c r="AF183">
        <v>5400</v>
      </c>
      <c r="AG183">
        <v>0</v>
      </c>
      <c r="AH183">
        <f t="shared" si="2"/>
        <v>4</v>
      </c>
    </row>
    <row r="184" spans="1:34" x14ac:dyDescent="0.3">
      <c r="A184" t="s">
        <v>33</v>
      </c>
      <c r="B184" t="s">
        <v>97</v>
      </c>
      <c r="C184">
        <v>1157</v>
      </c>
      <c r="D184">
        <v>678</v>
      </c>
      <c r="E184" t="s">
        <v>103</v>
      </c>
      <c r="G184">
        <v>288</v>
      </c>
      <c r="H184">
        <v>0</v>
      </c>
      <c r="I184">
        <v>130000</v>
      </c>
      <c r="J184">
        <v>75000</v>
      </c>
      <c r="K184">
        <v>0</v>
      </c>
      <c r="L184">
        <v>0</v>
      </c>
      <c r="M184">
        <v>0</v>
      </c>
      <c r="N184">
        <v>0</v>
      </c>
      <c r="O184">
        <v>0</v>
      </c>
      <c r="P184">
        <v>0</v>
      </c>
      <c r="Q184">
        <v>0</v>
      </c>
      <c r="R184">
        <v>0</v>
      </c>
      <c r="S184">
        <v>0</v>
      </c>
      <c r="T184">
        <v>50000</v>
      </c>
      <c r="X184">
        <v>5</v>
      </c>
      <c r="Y184">
        <v>127</v>
      </c>
      <c r="Z184" t="s">
        <v>50</v>
      </c>
      <c r="AA184">
        <v>0</v>
      </c>
      <c r="AC184">
        <v>0</v>
      </c>
      <c r="AD184">
        <v>0</v>
      </c>
      <c r="AE184">
        <v>75000</v>
      </c>
      <c r="AF184">
        <v>50000</v>
      </c>
      <c r="AG184">
        <v>0</v>
      </c>
      <c r="AH184">
        <f t="shared" si="2"/>
        <v>0</v>
      </c>
    </row>
    <row r="185" spans="1:34" x14ac:dyDescent="0.3">
      <c r="A185" t="s">
        <v>33</v>
      </c>
      <c r="B185" t="s">
        <v>97</v>
      </c>
      <c r="C185">
        <v>1191</v>
      </c>
      <c r="D185">
        <v>678</v>
      </c>
      <c r="E185" t="s">
        <v>103</v>
      </c>
      <c r="F185" t="s">
        <v>58</v>
      </c>
      <c r="G185">
        <v>292</v>
      </c>
      <c r="H185">
        <v>1</v>
      </c>
      <c r="I185">
        <v>130000</v>
      </c>
      <c r="J185">
        <v>75000</v>
      </c>
      <c r="K185">
        <v>0</v>
      </c>
      <c r="L185">
        <v>0</v>
      </c>
      <c r="M185">
        <v>0</v>
      </c>
      <c r="N185">
        <v>15000</v>
      </c>
      <c r="O185">
        <v>20000</v>
      </c>
      <c r="P185">
        <v>33000</v>
      </c>
      <c r="Q185">
        <v>25500</v>
      </c>
      <c r="R185">
        <v>0</v>
      </c>
      <c r="S185">
        <v>0</v>
      </c>
      <c r="T185">
        <v>11500</v>
      </c>
      <c r="U185">
        <v>25500</v>
      </c>
      <c r="V185">
        <v>33000</v>
      </c>
      <c r="W185">
        <v>0</v>
      </c>
      <c r="X185">
        <v>11</v>
      </c>
      <c r="Y185">
        <v>127</v>
      </c>
      <c r="Z185" t="s">
        <v>50</v>
      </c>
      <c r="AA185">
        <v>0</v>
      </c>
      <c r="AB185" t="s">
        <v>42</v>
      </c>
      <c r="AC185">
        <v>3</v>
      </c>
      <c r="AD185">
        <v>4</v>
      </c>
      <c r="AE185">
        <v>168500</v>
      </c>
      <c r="AF185">
        <v>11500</v>
      </c>
      <c r="AG185">
        <v>0</v>
      </c>
      <c r="AH185">
        <f t="shared" si="2"/>
        <v>7</v>
      </c>
    </row>
    <row r="186" spans="1:34" x14ac:dyDescent="0.3">
      <c r="A186" t="s">
        <v>33</v>
      </c>
      <c r="B186" t="s">
        <v>97</v>
      </c>
      <c r="C186">
        <v>1204</v>
      </c>
      <c r="D186">
        <v>678</v>
      </c>
      <c r="E186" t="s">
        <v>103</v>
      </c>
      <c r="F186" t="s">
        <v>58</v>
      </c>
      <c r="G186">
        <v>294</v>
      </c>
      <c r="H186">
        <v>2</v>
      </c>
      <c r="I186">
        <v>130000</v>
      </c>
      <c r="J186">
        <v>75000</v>
      </c>
      <c r="K186">
        <v>0</v>
      </c>
      <c r="L186">
        <v>0</v>
      </c>
      <c r="M186">
        <v>0</v>
      </c>
      <c r="N186">
        <v>15000</v>
      </c>
      <c r="O186">
        <v>20000</v>
      </c>
      <c r="P186">
        <v>0</v>
      </c>
      <c r="Q186">
        <v>0</v>
      </c>
      <c r="R186">
        <v>0</v>
      </c>
      <c r="S186">
        <v>0</v>
      </c>
      <c r="T186">
        <v>31500</v>
      </c>
      <c r="X186">
        <v>11</v>
      </c>
      <c r="Y186">
        <v>127</v>
      </c>
      <c r="Z186" t="s">
        <v>50</v>
      </c>
      <c r="AA186">
        <v>0</v>
      </c>
      <c r="AB186" t="s">
        <v>42</v>
      </c>
      <c r="AC186">
        <v>0</v>
      </c>
      <c r="AD186">
        <v>0</v>
      </c>
      <c r="AE186">
        <v>110000</v>
      </c>
      <c r="AF186">
        <v>31500</v>
      </c>
      <c r="AG186">
        <v>0</v>
      </c>
      <c r="AH186">
        <f t="shared" si="2"/>
        <v>0</v>
      </c>
    </row>
    <row r="187" spans="1:34" x14ac:dyDescent="0.3">
      <c r="A187" t="s">
        <v>33</v>
      </c>
      <c r="B187" t="s">
        <v>97</v>
      </c>
      <c r="C187">
        <v>1231</v>
      </c>
      <c r="D187">
        <v>678</v>
      </c>
      <c r="E187" t="s">
        <v>103</v>
      </c>
      <c r="F187" t="s">
        <v>58</v>
      </c>
      <c r="G187">
        <v>298</v>
      </c>
      <c r="H187">
        <v>3</v>
      </c>
      <c r="I187">
        <v>130000</v>
      </c>
      <c r="J187">
        <v>75000</v>
      </c>
      <c r="K187">
        <v>0</v>
      </c>
      <c r="L187">
        <v>0</v>
      </c>
      <c r="M187">
        <v>0</v>
      </c>
      <c r="N187">
        <v>15000</v>
      </c>
      <c r="O187">
        <v>20000</v>
      </c>
      <c r="P187">
        <v>0</v>
      </c>
      <c r="Q187">
        <v>0</v>
      </c>
      <c r="R187">
        <v>8000</v>
      </c>
      <c r="S187">
        <v>4000</v>
      </c>
      <c r="T187">
        <v>39500</v>
      </c>
      <c r="X187">
        <v>7</v>
      </c>
      <c r="Y187">
        <v>127</v>
      </c>
      <c r="Z187" t="s">
        <v>50</v>
      </c>
      <c r="AA187">
        <v>12000</v>
      </c>
      <c r="AB187" t="s">
        <v>42</v>
      </c>
      <c r="AC187">
        <v>0</v>
      </c>
      <c r="AD187">
        <v>0</v>
      </c>
      <c r="AE187">
        <v>122000</v>
      </c>
      <c r="AF187">
        <v>39500</v>
      </c>
      <c r="AG187">
        <v>0</v>
      </c>
      <c r="AH187">
        <f t="shared" si="2"/>
        <v>0</v>
      </c>
    </row>
    <row r="188" spans="1:34" x14ac:dyDescent="0.3">
      <c r="A188" t="s">
        <v>33</v>
      </c>
      <c r="B188" t="s">
        <v>97</v>
      </c>
      <c r="C188">
        <v>1273</v>
      </c>
      <c r="D188">
        <v>678</v>
      </c>
      <c r="E188" t="s">
        <v>103</v>
      </c>
      <c r="F188" t="s">
        <v>58</v>
      </c>
      <c r="G188">
        <v>305</v>
      </c>
      <c r="H188">
        <v>4</v>
      </c>
      <c r="I188">
        <v>130000</v>
      </c>
      <c r="J188">
        <v>75000</v>
      </c>
      <c r="K188">
        <v>0</v>
      </c>
      <c r="L188">
        <v>0</v>
      </c>
      <c r="M188">
        <v>0</v>
      </c>
      <c r="N188">
        <v>30000</v>
      </c>
      <c r="O188">
        <v>20000</v>
      </c>
      <c r="P188">
        <v>0</v>
      </c>
      <c r="Q188">
        <v>0</v>
      </c>
      <c r="R188">
        <v>0</v>
      </c>
      <c r="S188">
        <v>0</v>
      </c>
      <c r="T188">
        <v>44500</v>
      </c>
      <c r="X188">
        <v>7</v>
      </c>
      <c r="Y188">
        <v>127</v>
      </c>
      <c r="Z188" t="s">
        <v>50</v>
      </c>
      <c r="AA188">
        <v>0</v>
      </c>
      <c r="AB188" t="s">
        <v>42</v>
      </c>
      <c r="AC188">
        <v>0</v>
      </c>
      <c r="AD188">
        <v>0</v>
      </c>
      <c r="AE188">
        <v>125000</v>
      </c>
      <c r="AF188">
        <v>44500</v>
      </c>
      <c r="AG188">
        <v>0</v>
      </c>
      <c r="AH188">
        <f t="shared" si="2"/>
        <v>0</v>
      </c>
    </row>
    <row r="189" spans="1:34" x14ac:dyDescent="0.3">
      <c r="A189" t="s">
        <v>33</v>
      </c>
      <c r="B189" t="s">
        <v>97</v>
      </c>
      <c r="C189">
        <v>1178</v>
      </c>
      <c r="D189">
        <v>679</v>
      </c>
      <c r="E189" t="s">
        <v>104</v>
      </c>
      <c r="G189">
        <v>288</v>
      </c>
      <c r="H189">
        <v>0</v>
      </c>
      <c r="I189">
        <v>190000</v>
      </c>
      <c r="J189">
        <v>115000</v>
      </c>
      <c r="K189">
        <v>0</v>
      </c>
      <c r="L189">
        <v>0</v>
      </c>
      <c r="M189">
        <v>0</v>
      </c>
      <c r="N189">
        <v>0</v>
      </c>
      <c r="O189">
        <v>0</v>
      </c>
      <c r="P189">
        <v>0</v>
      </c>
      <c r="Q189">
        <v>0</v>
      </c>
      <c r="R189">
        <v>0</v>
      </c>
      <c r="S189">
        <v>0</v>
      </c>
      <c r="T189">
        <v>80000</v>
      </c>
      <c r="X189">
        <v>5</v>
      </c>
      <c r="Y189">
        <v>128</v>
      </c>
      <c r="Z189" t="s">
        <v>54</v>
      </c>
      <c r="AA189">
        <v>0</v>
      </c>
      <c r="AC189">
        <v>0</v>
      </c>
      <c r="AD189">
        <v>0</v>
      </c>
      <c r="AE189">
        <v>115000</v>
      </c>
      <c r="AF189">
        <v>80000</v>
      </c>
      <c r="AG189">
        <v>0</v>
      </c>
      <c r="AH189">
        <f t="shared" si="2"/>
        <v>0</v>
      </c>
    </row>
    <row r="190" spans="1:34" x14ac:dyDescent="0.3">
      <c r="A190" t="s">
        <v>33</v>
      </c>
      <c r="B190" t="s">
        <v>97</v>
      </c>
      <c r="C190">
        <v>1189</v>
      </c>
      <c r="D190">
        <v>679</v>
      </c>
      <c r="E190" t="s">
        <v>104</v>
      </c>
      <c r="F190" t="s">
        <v>55</v>
      </c>
      <c r="G190">
        <v>292</v>
      </c>
      <c r="H190">
        <v>1</v>
      </c>
      <c r="I190">
        <v>190000</v>
      </c>
      <c r="J190">
        <v>115000</v>
      </c>
      <c r="K190">
        <v>0</v>
      </c>
      <c r="L190">
        <v>0</v>
      </c>
      <c r="M190">
        <v>0</v>
      </c>
      <c r="N190">
        <v>20000</v>
      </c>
      <c r="O190">
        <v>30000</v>
      </c>
      <c r="P190">
        <v>33000</v>
      </c>
      <c r="Q190">
        <v>38000</v>
      </c>
      <c r="R190">
        <v>0</v>
      </c>
      <c r="S190">
        <v>0</v>
      </c>
      <c r="T190">
        <v>34000</v>
      </c>
      <c r="U190">
        <v>38000</v>
      </c>
      <c r="X190">
        <v>12</v>
      </c>
      <c r="Y190">
        <v>128</v>
      </c>
      <c r="Z190" t="s">
        <v>54</v>
      </c>
      <c r="AA190">
        <v>0</v>
      </c>
      <c r="AB190" t="s">
        <v>52</v>
      </c>
      <c r="AC190">
        <v>3</v>
      </c>
      <c r="AD190">
        <v>4</v>
      </c>
      <c r="AE190">
        <v>236000</v>
      </c>
      <c r="AF190">
        <v>34000</v>
      </c>
      <c r="AG190">
        <v>0</v>
      </c>
      <c r="AH190">
        <f t="shared" si="2"/>
        <v>7</v>
      </c>
    </row>
    <row r="191" spans="1:34" x14ac:dyDescent="0.3">
      <c r="A191" t="s">
        <v>33</v>
      </c>
      <c r="B191" t="s">
        <v>97</v>
      </c>
      <c r="C191">
        <v>1202</v>
      </c>
      <c r="D191">
        <v>679</v>
      </c>
      <c r="E191" t="s">
        <v>104</v>
      </c>
      <c r="F191" t="s">
        <v>55</v>
      </c>
      <c r="G191">
        <v>294</v>
      </c>
      <c r="H191">
        <v>2</v>
      </c>
      <c r="I191">
        <v>190000</v>
      </c>
      <c r="J191">
        <v>115000</v>
      </c>
      <c r="K191">
        <v>0</v>
      </c>
      <c r="L191">
        <v>0</v>
      </c>
      <c r="M191">
        <v>0</v>
      </c>
      <c r="N191">
        <v>20000</v>
      </c>
      <c r="O191">
        <v>30000</v>
      </c>
      <c r="P191">
        <v>0</v>
      </c>
      <c r="Q191">
        <v>0</v>
      </c>
      <c r="R191">
        <v>0</v>
      </c>
      <c r="S191">
        <v>4000</v>
      </c>
      <c r="T191">
        <v>55000</v>
      </c>
      <c r="X191">
        <v>11</v>
      </c>
      <c r="Y191">
        <v>128</v>
      </c>
      <c r="Z191" t="s">
        <v>54</v>
      </c>
      <c r="AA191">
        <v>4000</v>
      </c>
      <c r="AB191" t="s">
        <v>52</v>
      </c>
      <c r="AC191">
        <v>0</v>
      </c>
      <c r="AD191">
        <v>0</v>
      </c>
      <c r="AE191">
        <v>169000</v>
      </c>
      <c r="AF191">
        <v>55000</v>
      </c>
      <c r="AG191">
        <v>0</v>
      </c>
      <c r="AH191">
        <f t="shared" si="2"/>
        <v>0</v>
      </c>
    </row>
    <row r="192" spans="1:34" x14ac:dyDescent="0.3">
      <c r="A192" t="s">
        <v>33</v>
      </c>
      <c r="B192" t="s">
        <v>97</v>
      </c>
      <c r="C192">
        <v>1228</v>
      </c>
      <c r="D192">
        <v>679</v>
      </c>
      <c r="E192" t="s">
        <v>104</v>
      </c>
      <c r="F192" t="s">
        <v>55</v>
      </c>
      <c r="G192">
        <v>298</v>
      </c>
      <c r="H192">
        <v>3</v>
      </c>
      <c r="I192">
        <v>190000</v>
      </c>
      <c r="J192">
        <v>115000</v>
      </c>
      <c r="K192">
        <v>0</v>
      </c>
      <c r="L192">
        <v>0</v>
      </c>
      <c r="M192">
        <v>0</v>
      </c>
      <c r="N192">
        <v>20000</v>
      </c>
      <c r="O192">
        <v>30000</v>
      </c>
      <c r="P192">
        <v>0</v>
      </c>
      <c r="Q192">
        <v>0</v>
      </c>
      <c r="R192">
        <v>8000</v>
      </c>
      <c r="S192">
        <v>4000</v>
      </c>
      <c r="T192">
        <v>68000</v>
      </c>
      <c r="X192">
        <v>7</v>
      </c>
      <c r="Y192">
        <v>128</v>
      </c>
      <c r="Z192" t="s">
        <v>54</v>
      </c>
      <c r="AA192">
        <v>12000</v>
      </c>
      <c r="AB192" t="s">
        <v>52</v>
      </c>
      <c r="AC192">
        <v>0</v>
      </c>
      <c r="AD192">
        <v>0</v>
      </c>
      <c r="AE192">
        <v>177000</v>
      </c>
      <c r="AF192">
        <v>68000</v>
      </c>
      <c r="AG192">
        <v>0</v>
      </c>
      <c r="AH192">
        <f t="shared" si="2"/>
        <v>0</v>
      </c>
    </row>
    <row r="193" spans="1:34" x14ac:dyDescent="0.3">
      <c r="A193" t="s">
        <v>33</v>
      </c>
      <c r="B193" t="s">
        <v>97</v>
      </c>
      <c r="C193">
        <v>1269</v>
      </c>
      <c r="D193">
        <v>679</v>
      </c>
      <c r="E193" t="s">
        <v>104</v>
      </c>
      <c r="F193" t="s">
        <v>56</v>
      </c>
      <c r="G193">
        <v>305</v>
      </c>
      <c r="H193">
        <v>4</v>
      </c>
      <c r="I193">
        <v>190000</v>
      </c>
      <c r="J193">
        <v>115000</v>
      </c>
      <c r="K193">
        <v>0</v>
      </c>
      <c r="L193">
        <v>140000</v>
      </c>
      <c r="M193">
        <v>125000</v>
      </c>
      <c r="N193">
        <v>30000</v>
      </c>
      <c r="O193">
        <v>30000</v>
      </c>
      <c r="P193">
        <v>15000</v>
      </c>
      <c r="Q193">
        <v>0</v>
      </c>
      <c r="R193">
        <v>0</v>
      </c>
      <c r="S193">
        <v>0</v>
      </c>
      <c r="T193">
        <v>83000</v>
      </c>
      <c r="V193">
        <v>33000</v>
      </c>
      <c r="X193">
        <v>9</v>
      </c>
      <c r="Y193">
        <v>128</v>
      </c>
      <c r="Z193" t="s">
        <v>54</v>
      </c>
      <c r="AA193">
        <v>0</v>
      </c>
      <c r="AB193" t="s">
        <v>42</v>
      </c>
      <c r="AC193">
        <v>3</v>
      </c>
      <c r="AD193">
        <v>4</v>
      </c>
      <c r="AE193">
        <v>315000</v>
      </c>
      <c r="AF193">
        <v>83000</v>
      </c>
      <c r="AG193">
        <v>0</v>
      </c>
      <c r="AH193">
        <f t="shared" si="2"/>
        <v>7</v>
      </c>
    </row>
    <row r="194" spans="1:34" x14ac:dyDescent="0.3">
      <c r="A194" t="s">
        <v>33</v>
      </c>
      <c r="B194" t="s">
        <v>105</v>
      </c>
      <c r="C194">
        <v>1164</v>
      </c>
      <c r="D194">
        <v>682</v>
      </c>
      <c r="E194" t="s">
        <v>106</v>
      </c>
      <c r="G194">
        <v>286</v>
      </c>
      <c r="H194">
        <v>0</v>
      </c>
      <c r="I194">
        <v>75000</v>
      </c>
      <c r="J194">
        <v>40000</v>
      </c>
      <c r="K194">
        <v>0</v>
      </c>
      <c r="L194">
        <v>0</v>
      </c>
      <c r="M194">
        <v>0</v>
      </c>
      <c r="N194">
        <v>0</v>
      </c>
      <c r="O194">
        <v>0</v>
      </c>
      <c r="P194">
        <v>0</v>
      </c>
      <c r="Q194">
        <v>0</v>
      </c>
      <c r="R194">
        <v>0</v>
      </c>
      <c r="S194">
        <v>0</v>
      </c>
      <c r="T194">
        <v>5000</v>
      </c>
      <c r="X194">
        <v>5</v>
      </c>
      <c r="Y194">
        <v>124</v>
      </c>
      <c r="Z194" t="s">
        <v>36</v>
      </c>
      <c r="AA194">
        <v>0</v>
      </c>
      <c r="AC194">
        <v>0</v>
      </c>
      <c r="AD194">
        <v>0</v>
      </c>
      <c r="AE194">
        <v>40000</v>
      </c>
      <c r="AF194">
        <v>5000</v>
      </c>
      <c r="AG194">
        <v>0</v>
      </c>
      <c r="AH194">
        <f t="shared" si="2"/>
        <v>0</v>
      </c>
    </row>
    <row r="195" spans="1:34" x14ac:dyDescent="0.3">
      <c r="A195" t="s">
        <v>33</v>
      </c>
      <c r="B195" t="s">
        <v>105</v>
      </c>
      <c r="C195">
        <v>1176</v>
      </c>
      <c r="D195">
        <v>682</v>
      </c>
      <c r="E195" t="s">
        <v>106</v>
      </c>
      <c r="F195" t="s">
        <v>75</v>
      </c>
      <c r="G195">
        <v>290</v>
      </c>
      <c r="H195">
        <v>1</v>
      </c>
      <c r="I195">
        <v>75000</v>
      </c>
      <c r="J195">
        <v>40000</v>
      </c>
      <c r="K195">
        <v>0</v>
      </c>
      <c r="L195">
        <v>0</v>
      </c>
      <c r="M195">
        <v>15000</v>
      </c>
      <c r="N195">
        <v>15000</v>
      </c>
      <c r="O195">
        <v>11000</v>
      </c>
      <c r="P195">
        <v>0</v>
      </c>
      <c r="Q195">
        <v>0</v>
      </c>
      <c r="R195">
        <v>8000</v>
      </c>
      <c r="S195">
        <v>0</v>
      </c>
      <c r="T195">
        <v>-9000</v>
      </c>
      <c r="X195">
        <v>2</v>
      </c>
      <c r="Y195">
        <v>124</v>
      </c>
      <c r="Z195" t="s">
        <v>36</v>
      </c>
      <c r="AA195">
        <v>8000</v>
      </c>
      <c r="AB195" t="s">
        <v>38</v>
      </c>
      <c r="AC195">
        <v>0</v>
      </c>
      <c r="AD195">
        <v>0</v>
      </c>
      <c r="AE195">
        <v>89000</v>
      </c>
      <c r="AF195">
        <v>-9000</v>
      </c>
      <c r="AG195">
        <v>0</v>
      </c>
      <c r="AH195">
        <f t="shared" ref="AH195:AH253" si="3">AC195+AD195</f>
        <v>0</v>
      </c>
    </row>
    <row r="196" spans="1:34" x14ac:dyDescent="0.3">
      <c r="A196" t="s">
        <v>33</v>
      </c>
      <c r="B196" t="s">
        <v>105</v>
      </c>
      <c r="C196">
        <v>1215</v>
      </c>
      <c r="D196">
        <v>682</v>
      </c>
      <c r="E196" t="s">
        <v>106</v>
      </c>
      <c r="F196" t="s">
        <v>75</v>
      </c>
      <c r="G196">
        <v>296</v>
      </c>
      <c r="H196">
        <v>2</v>
      </c>
      <c r="I196">
        <v>75000</v>
      </c>
      <c r="J196">
        <v>40000</v>
      </c>
      <c r="K196">
        <v>9000</v>
      </c>
      <c r="L196">
        <v>0</v>
      </c>
      <c r="M196">
        <v>0</v>
      </c>
      <c r="N196">
        <v>15000</v>
      </c>
      <c r="O196">
        <v>11000</v>
      </c>
      <c r="P196">
        <v>0</v>
      </c>
      <c r="Q196">
        <v>0</v>
      </c>
      <c r="R196">
        <v>0</v>
      </c>
      <c r="S196">
        <v>4000</v>
      </c>
      <c r="T196">
        <v>-4000</v>
      </c>
      <c r="X196">
        <v>0</v>
      </c>
      <c r="Y196">
        <v>124</v>
      </c>
      <c r="Z196" t="s">
        <v>36</v>
      </c>
      <c r="AA196">
        <v>4000</v>
      </c>
      <c r="AB196" t="s">
        <v>38</v>
      </c>
      <c r="AC196">
        <v>0</v>
      </c>
      <c r="AD196">
        <v>0</v>
      </c>
      <c r="AE196">
        <v>70000</v>
      </c>
      <c r="AF196">
        <v>-4000</v>
      </c>
      <c r="AG196">
        <v>0</v>
      </c>
      <c r="AH196">
        <f t="shared" si="3"/>
        <v>0</v>
      </c>
    </row>
    <row r="197" spans="1:34" x14ac:dyDescent="0.3">
      <c r="A197" t="s">
        <v>33</v>
      </c>
      <c r="B197" t="s">
        <v>105</v>
      </c>
      <c r="C197">
        <v>1233</v>
      </c>
      <c r="D197">
        <v>682</v>
      </c>
      <c r="E197" t="s">
        <v>106</v>
      </c>
      <c r="F197" t="s">
        <v>75</v>
      </c>
      <c r="G197">
        <v>299</v>
      </c>
      <c r="H197">
        <v>3</v>
      </c>
      <c r="I197">
        <v>75000</v>
      </c>
      <c r="J197">
        <v>40000</v>
      </c>
      <c r="K197">
        <v>4000</v>
      </c>
      <c r="L197">
        <v>0</v>
      </c>
      <c r="M197">
        <v>0</v>
      </c>
      <c r="N197">
        <v>15000</v>
      </c>
      <c r="O197">
        <v>11000</v>
      </c>
      <c r="P197">
        <v>1000</v>
      </c>
      <c r="Q197">
        <v>3750</v>
      </c>
      <c r="R197">
        <v>20000</v>
      </c>
      <c r="S197">
        <v>0</v>
      </c>
      <c r="T197">
        <v>-19750</v>
      </c>
      <c r="U197">
        <v>3750</v>
      </c>
      <c r="V197">
        <v>1000</v>
      </c>
      <c r="W197">
        <v>0</v>
      </c>
      <c r="X197">
        <v>-6</v>
      </c>
      <c r="Y197">
        <v>124</v>
      </c>
      <c r="Z197" t="s">
        <v>36</v>
      </c>
      <c r="AA197">
        <v>20000</v>
      </c>
      <c r="AB197" t="s">
        <v>38</v>
      </c>
      <c r="AC197">
        <v>1</v>
      </c>
      <c r="AD197">
        <v>0</v>
      </c>
      <c r="AE197">
        <v>90750</v>
      </c>
      <c r="AF197">
        <v>-19750</v>
      </c>
      <c r="AG197">
        <v>0</v>
      </c>
      <c r="AH197">
        <f t="shared" si="3"/>
        <v>1</v>
      </c>
    </row>
    <row r="198" spans="1:34" x14ac:dyDescent="0.3">
      <c r="A198" t="s">
        <v>33</v>
      </c>
      <c r="B198" t="s">
        <v>105</v>
      </c>
      <c r="C198">
        <v>1252</v>
      </c>
      <c r="D198">
        <v>682</v>
      </c>
      <c r="E198" t="s">
        <v>106</v>
      </c>
      <c r="F198" t="s">
        <v>75</v>
      </c>
      <c r="G198">
        <v>302</v>
      </c>
      <c r="H198">
        <v>4</v>
      </c>
      <c r="I198">
        <v>75000</v>
      </c>
      <c r="J198">
        <v>40000</v>
      </c>
      <c r="K198">
        <v>19750</v>
      </c>
      <c r="L198">
        <v>0</v>
      </c>
      <c r="M198">
        <v>0</v>
      </c>
      <c r="N198">
        <v>15000</v>
      </c>
      <c r="O198">
        <v>11000</v>
      </c>
      <c r="P198">
        <v>0</v>
      </c>
      <c r="Q198">
        <v>0</v>
      </c>
      <c r="R198">
        <v>16000</v>
      </c>
      <c r="S198">
        <v>4000</v>
      </c>
      <c r="T198">
        <v>-30750</v>
      </c>
      <c r="X198">
        <v>-13</v>
      </c>
      <c r="Y198">
        <v>124</v>
      </c>
      <c r="Z198" t="s">
        <v>36</v>
      </c>
      <c r="AA198">
        <v>20000</v>
      </c>
      <c r="AB198" t="s">
        <v>38</v>
      </c>
      <c r="AC198">
        <v>0</v>
      </c>
      <c r="AD198">
        <v>0</v>
      </c>
      <c r="AE198">
        <v>86000</v>
      </c>
      <c r="AF198">
        <v>-30750</v>
      </c>
      <c r="AG198">
        <v>0</v>
      </c>
      <c r="AH198">
        <f t="shared" si="3"/>
        <v>0</v>
      </c>
    </row>
    <row r="199" spans="1:34" x14ac:dyDescent="0.3">
      <c r="A199" t="s">
        <v>33</v>
      </c>
      <c r="B199" t="s">
        <v>105</v>
      </c>
      <c r="C199">
        <v>1167</v>
      </c>
      <c r="D199">
        <v>683</v>
      </c>
      <c r="E199" t="s">
        <v>107</v>
      </c>
      <c r="G199">
        <v>286</v>
      </c>
      <c r="H199">
        <v>0</v>
      </c>
      <c r="I199">
        <v>110000</v>
      </c>
      <c r="J199">
        <v>60000</v>
      </c>
      <c r="K199">
        <v>0</v>
      </c>
      <c r="L199">
        <v>0</v>
      </c>
      <c r="M199">
        <v>0</v>
      </c>
      <c r="N199">
        <v>0</v>
      </c>
      <c r="O199">
        <v>0</v>
      </c>
      <c r="P199">
        <v>0</v>
      </c>
      <c r="Q199">
        <v>0</v>
      </c>
      <c r="R199">
        <v>0</v>
      </c>
      <c r="S199">
        <v>0</v>
      </c>
      <c r="T199">
        <v>30000</v>
      </c>
      <c r="X199">
        <v>5</v>
      </c>
      <c r="Y199">
        <v>126</v>
      </c>
      <c r="Z199" t="s">
        <v>40</v>
      </c>
      <c r="AA199">
        <v>0</v>
      </c>
      <c r="AC199">
        <v>0</v>
      </c>
      <c r="AD199">
        <v>0</v>
      </c>
      <c r="AE199">
        <v>60000</v>
      </c>
      <c r="AF199">
        <v>30000</v>
      </c>
      <c r="AG199">
        <v>0</v>
      </c>
      <c r="AH199">
        <f t="shared" si="3"/>
        <v>0</v>
      </c>
    </row>
    <row r="200" spans="1:34" x14ac:dyDescent="0.3">
      <c r="A200" t="s">
        <v>33</v>
      </c>
      <c r="B200" t="s">
        <v>105</v>
      </c>
      <c r="C200">
        <v>1179</v>
      </c>
      <c r="D200">
        <v>683</v>
      </c>
      <c r="E200" t="s">
        <v>107</v>
      </c>
      <c r="F200" t="s">
        <v>37</v>
      </c>
      <c r="G200">
        <v>290</v>
      </c>
      <c r="H200">
        <v>1</v>
      </c>
      <c r="I200">
        <v>110000</v>
      </c>
      <c r="J200">
        <v>60000</v>
      </c>
      <c r="K200">
        <v>0</v>
      </c>
      <c r="L200">
        <v>0</v>
      </c>
      <c r="M200">
        <v>0</v>
      </c>
      <c r="N200">
        <v>15000</v>
      </c>
      <c r="O200">
        <v>12500</v>
      </c>
      <c r="P200">
        <v>8000</v>
      </c>
      <c r="Q200">
        <v>8000</v>
      </c>
      <c r="R200">
        <v>4000</v>
      </c>
      <c r="S200">
        <v>0</v>
      </c>
      <c r="T200">
        <v>32500</v>
      </c>
      <c r="U200">
        <v>8000</v>
      </c>
      <c r="V200">
        <v>8000</v>
      </c>
      <c r="W200">
        <v>0</v>
      </c>
      <c r="X200">
        <v>3</v>
      </c>
      <c r="Y200">
        <v>126</v>
      </c>
      <c r="Z200" t="s">
        <v>40</v>
      </c>
      <c r="AA200">
        <v>4000</v>
      </c>
      <c r="AB200" t="s">
        <v>38</v>
      </c>
      <c r="AC200">
        <v>1</v>
      </c>
      <c r="AD200">
        <v>1</v>
      </c>
      <c r="AE200">
        <v>107500</v>
      </c>
      <c r="AF200">
        <v>32500</v>
      </c>
      <c r="AG200">
        <v>0</v>
      </c>
      <c r="AH200">
        <f t="shared" si="3"/>
        <v>2</v>
      </c>
    </row>
    <row r="201" spans="1:34" x14ac:dyDescent="0.3">
      <c r="A201" t="s">
        <v>33</v>
      </c>
      <c r="B201" t="s">
        <v>105</v>
      </c>
      <c r="C201">
        <v>1219</v>
      </c>
      <c r="D201">
        <v>683</v>
      </c>
      <c r="E201" t="s">
        <v>107</v>
      </c>
      <c r="F201" t="s">
        <v>37</v>
      </c>
      <c r="G201">
        <v>296</v>
      </c>
      <c r="H201">
        <v>2</v>
      </c>
      <c r="I201">
        <v>110000</v>
      </c>
      <c r="J201">
        <v>60000</v>
      </c>
      <c r="K201">
        <v>0</v>
      </c>
      <c r="L201">
        <v>0</v>
      </c>
      <c r="M201">
        <v>0</v>
      </c>
      <c r="N201">
        <v>15000</v>
      </c>
      <c r="O201">
        <v>12500</v>
      </c>
      <c r="P201">
        <v>10000</v>
      </c>
      <c r="Q201">
        <v>0</v>
      </c>
      <c r="R201">
        <v>0</v>
      </c>
      <c r="S201">
        <v>4000</v>
      </c>
      <c r="T201">
        <v>41000</v>
      </c>
      <c r="V201">
        <v>10000</v>
      </c>
      <c r="X201">
        <v>2</v>
      </c>
      <c r="Y201">
        <v>126</v>
      </c>
      <c r="Z201" t="s">
        <v>40</v>
      </c>
      <c r="AA201">
        <v>4000</v>
      </c>
      <c r="AB201" t="s">
        <v>38</v>
      </c>
      <c r="AC201">
        <v>1</v>
      </c>
      <c r="AD201">
        <v>1</v>
      </c>
      <c r="AE201">
        <v>101500</v>
      </c>
      <c r="AF201">
        <v>41000</v>
      </c>
      <c r="AG201">
        <v>0</v>
      </c>
      <c r="AH201">
        <f t="shared" si="3"/>
        <v>2</v>
      </c>
    </row>
    <row r="202" spans="1:34" x14ac:dyDescent="0.3">
      <c r="A202" t="s">
        <v>33</v>
      </c>
      <c r="B202" t="s">
        <v>105</v>
      </c>
      <c r="C202">
        <v>1238</v>
      </c>
      <c r="D202">
        <v>683</v>
      </c>
      <c r="E202" t="s">
        <v>107</v>
      </c>
      <c r="F202" t="s">
        <v>37</v>
      </c>
      <c r="G202">
        <v>299</v>
      </c>
      <c r="H202">
        <v>3</v>
      </c>
      <c r="I202">
        <v>110000</v>
      </c>
      <c r="J202">
        <v>60000</v>
      </c>
      <c r="K202">
        <v>0</v>
      </c>
      <c r="L202">
        <v>0</v>
      </c>
      <c r="M202">
        <v>0</v>
      </c>
      <c r="N202">
        <v>15000</v>
      </c>
      <c r="O202">
        <v>12500</v>
      </c>
      <c r="P202">
        <v>8000</v>
      </c>
      <c r="Q202">
        <v>6250</v>
      </c>
      <c r="R202">
        <v>24000</v>
      </c>
      <c r="S202">
        <v>0</v>
      </c>
      <c r="T202">
        <v>25250</v>
      </c>
      <c r="U202">
        <v>6250</v>
      </c>
      <c r="V202">
        <v>8000</v>
      </c>
      <c r="W202">
        <v>0</v>
      </c>
      <c r="X202">
        <v>-2</v>
      </c>
      <c r="Y202">
        <v>126</v>
      </c>
      <c r="Z202" t="s">
        <v>40</v>
      </c>
      <c r="AA202">
        <v>24000</v>
      </c>
      <c r="AB202" t="s">
        <v>38</v>
      </c>
      <c r="AC202">
        <v>0</v>
      </c>
      <c r="AD202">
        <v>1</v>
      </c>
      <c r="AE202">
        <v>125750</v>
      </c>
      <c r="AF202">
        <v>25250</v>
      </c>
      <c r="AG202">
        <v>0</v>
      </c>
      <c r="AH202">
        <f t="shared" si="3"/>
        <v>1</v>
      </c>
    </row>
    <row r="203" spans="1:34" x14ac:dyDescent="0.3">
      <c r="A203" t="s">
        <v>33</v>
      </c>
      <c r="B203" t="s">
        <v>105</v>
      </c>
      <c r="C203">
        <v>1257</v>
      </c>
      <c r="D203">
        <v>683</v>
      </c>
      <c r="E203" t="s">
        <v>107</v>
      </c>
      <c r="F203" t="s">
        <v>37</v>
      </c>
      <c r="G203">
        <v>302</v>
      </c>
      <c r="H203">
        <v>4</v>
      </c>
      <c r="I203">
        <v>110000</v>
      </c>
      <c r="J203">
        <v>60000</v>
      </c>
      <c r="K203">
        <v>0</v>
      </c>
      <c r="L203">
        <v>0</v>
      </c>
      <c r="M203">
        <v>0</v>
      </c>
      <c r="N203">
        <v>15000</v>
      </c>
      <c r="O203">
        <v>12500</v>
      </c>
      <c r="P203">
        <v>6000</v>
      </c>
      <c r="Q203">
        <v>0</v>
      </c>
      <c r="R203">
        <v>16000</v>
      </c>
      <c r="S203">
        <v>4000</v>
      </c>
      <c r="T203">
        <v>21750</v>
      </c>
      <c r="V203">
        <v>6000</v>
      </c>
      <c r="X203">
        <v>-7</v>
      </c>
      <c r="Y203">
        <v>126</v>
      </c>
      <c r="Z203" t="s">
        <v>40</v>
      </c>
      <c r="AA203">
        <v>20000</v>
      </c>
      <c r="AB203" t="s">
        <v>38</v>
      </c>
      <c r="AC203">
        <v>0</v>
      </c>
      <c r="AD203">
        <v>1</v>
      </c>
      <c r="AE203">
        <v>113500</v>
      </c>
      <c r="AF203">
        <v>21750</v>
      </c>
      <c r="AG203">
        <v>0</v>
      </c>
      <c r="AH203">
        <f t="shared" si="3"/>
        <v>1</v>
      </c>
    </row>
    <row r="204" spans="1:34" x14ac:dyDescent="0.3">
      <c r="A204" t="s">
        <v>33</v>
      </c>
      <c r="B204" t="s">
        <v>105</v>
      </c>
      <c r="C204">
        <v>1165</v>
      </c>
      <c r="D204">
        <v>684</v>
      </c>
      <c r="E204" t="s">
        <v>108</v>
      </c>
      <c r="G204">
        <v>286</v>
      </c>
      <c r="H204">
        <v>0</v>
      </c>
      <c r="I204">
        <v>60000</v>
      </c>
      <c r="J204">
        <v>30000</v>
      </c>
      <c r="K204">
        <v>0</v>
      </c>
      <c r="L204">
        <v>0</v>
      </c>
      <c r="M204">
        <v>0</v>
      </c>
      <c r="N204">
        <v>0</v>
      </c>
      <c r="O204">
        <v>0</v>
      </c>
      <c r="P204">
        <v>0</v>
      </c>
      <c r="Q204">
        <v>0</v>
      </c>
      <c r="R204">
        <v>0</v>
      </c>
      <c r="S204">
        <v>0</v>
      </c>
      <c r="T204">
        <v>0</v>
      </c>
      <c r="X204">
        <v>5</v>
      </c>
      <c r="Y204">
        <v>123</v>
      </c>
      <c r="Z204" t="s">
        <v>44</v>
      </c>
      <c r="AA204">
        <v>0</v>
      </c>
      <c r="AC204">
        <v>0</v>
      </c>
      <c r="AD204">
        <v>0</v>
      </c>
      <c r="AE204">
        <v>30000</v>
      </c>
      <c r="AF204">
        <v>0</v>
      </c>
      <c r="AG204">
        <v>0</v>
      </c>
      <c r="AH204">
        <f t="shared" si="3"/>
        <v>0</v>
      </c>
    </row>
    <row r="205" spans="1:34" x14ac:dyDescent="0.3">
      <c r="A205" t="s">
        <v>33</v>
      </c>
      <c r="B205" t="s">
        <v>105</v>
      </c>
      <c r="C205">
        <v>1173</v>
      </c>
      <c r="D205">
        <v>684</v>
      </c>
      <c r="E205" t="s">
        <v>108</v>
      </c>
      <c r="F205" t="s">
        <v>71</v>
      </c>
      <c r="G205">
        <v>290</v>
      </c>
      <c r="H205">
        <v>1</v>
      </c>
      <c r="I205">
        <v>60000</v>
      </c>
      <c r="J205">
        <v>30000</v>
      </c>
      <c r="K205">
        <v>0</v>
      </c>
      <c r="L205">
        <v>0</v>
      </c>
      <c r="M205">
        <v>0</v>
      </c>
      <c r="N205">
        <v>15000</v>
      </c>
      <c r="O205">
        <v>7000</v>
      </c>
      <c r="P205">
        <v>1000</v>
      </c>
      <c r="Q205">
        <v>1400</v>
      </c>
      <c r="R205">
        <v>4000</v>
      </c>
      <c r="S205">
        <v>0</v>
      </c>
      <c r="T205">
        <v>1600</v>
      </c>
      <c r="U205">
        <v>1400</v>
      </c>
      <c r="V205">
        <v>1000</v>
      </c>
      <c r="W205">
        <v>0</v>
      </c>
      <c r="X205">
        <v>2</v>
      </c>
      <c r="Y205">
        <v>123</v>
      </c>
      <c r="Z205" t="s">
        <v>44</v>
      </c>
      <c r="AA205">
        <v>4000</v>
      </c>
      <c r="AB205" t="s">
        <v>38</v>
      </c>
      <c r="AC205">
        <v>1</v>
      </c>
      <c r="AD205">
        <v>0</v>
      </c>
      <c r="AE205">
        <v>58400</v>
      </c>
      <c r="AF205">
        <v>1600</v>
      </c>
      <c r="AG205">
        <v>0</v>
      </c>
      <c r="AH205">
        <f t="shared" si="3"/>
        <v>1</v>
      </c>
    </row>
    <row r="206" spans="1:34" x14ac:dyDescent="0.3">
      <c r="A206" t="s">
        <v>33</v>
      </c>
      <c r="B206" t="s">
        <v>105</v>
      </c>
      <c r="C206">
        <v>1213</v>
      </c>
      <c r="D206">
        <v>684</v>
      </c>
      <c r="E206" t="s">
        <v>108</v>
      </c>
      <c r="F206" t="s">
        <v>71</v>
      </c>
      <c r="G206">
        <v>296</v>
      </c>
      <c r="H206">
        <v>2</v>
      </c>
      <c r="I206">
        <v>60000</v>
      </c>
      <c r="J206">
        <v>30000</v>
      </c>
      <c r="K206">
        <v>0</v>
      </c>
      <c r="L206">
        <v>0</v>
      </c>
      <c r="M206">
        <v>0</v>
      </c>
      <c r="N206">
        <v>15000</v>
      </c>
      <c r="O206">
        <v>7000</v>
      </c>
      <c r="P206">
        <v>0</v>
      </c>
      <c r="Q206">
        <v>3500</v>
      </c>
      <c r="R206">
        <v>0</v>
      </c>
      <c r="S206">
        <v>4000</v>
      </c>
      <c r="T206">
        <v>2100</v>
      </c>
      <c r="U206">
        <v>3500</v>
      </c>
      <c r="X206">
        <v>3</v>
      </c>
      <c r="Y206">
        <v>123</v>
      </c>
      <c r="Z206" t="s">
        <v>44</v>
      </c>
      <c r="AA206">
        <v>4000</v>
      </c>
      <c r="AB206" t="s">
        <v>38</v>
      </c>
      <c r="AC206">
        <v>0</v>
      </c>
      <c r="AD206">
        <v>0</v>
      </c>
      <c r="AE206">
        <v>59500</v>
      </c>
      <c r="AF206">
        <v>2100</v>
      </c>
      <c r="AG206">
        <v>0</v>
      </c>
      <c r="AH206">
        <f t="shared" si="3"/>
        <v>0</v>
      </c>
    </row>
    <row r="207" spans="1:34" x14ac:dyDescent="0.3">
      <c r="A207" t="s">
        <v>33</v>
      </c>
      <c r="B207" t="s">
        <v>105</v>
      </c>
      <c r="C207">
        <v>1235</v>
      </c>
      <c r="D207">
        <v>684</v>
      </c>
      <c r="E207" t="s">
        <v>108</v>
      </c>
      <c r="F207" t="s">
        <v>71</v>
      </c>
      <c r="G207">
        <v>299</v>
      </c>
      <c r="H207">
        <v>3</v>
      </c>
      <c r="I207">
        <v>60000</v>
      </c>
      <c r="J207">
        <v>30000</v>
      </c>
      <c r="K207">
        <v>0</v>
      </c>
      <c r="L207">
        <v>0</v>
      </c>
      <c r="M207">
        <v>0</v>
      </c>
      <c r="N207">
        <v>15000</v>
      </c>
      <c r="O207">
        <v>7000</v>
      </c>
      <c r="P207">
        <v>0</v>
      </c>
      <c r="Q207">
        <v>1750</v>
      </c>
      <c r="R207">
        <v>24000</v>
      </c>
      <c r="S207">
        <v>0</v>
      </c>
      <c r="T207">
        <v>-15650</v>
      </c>
      <c r="U207">
        <v>1750</v>
      </c>
      <c r="X207">
        <v>-3</v>
      </c>
      <c r="Y207">
        <v>123</v>
      </c>
      <c r="Z207" t="s">
        <v>44</v>
      </c>
      <c r="AA207">
        <v>24000</v>
      </c>
      <c r="AB207" t="s">
        <v>38</v>
      </c>
      <c r="AC207">
        <v>0</v>
      </c>
      <c r="AD207">
        <v>0</v>
      </c>
      <c r="AE207">
        <v>77750</v>
      </c>
      <c r="AF207">
        <v>-15650</v>
      </c>
      <c r="AG207">
        <v>0</v>
      </c>
      <c r="AH207">
        <f t="shared" si="3"/>
        <v>0</v>
      </c>
    </row>
    <row r="208" spans="1:34" x14ac:dyDescent="0.3">
      <c r="A208" t="s">
        <v>33</v>
      </c>
      <c r="B208" t="s">
        <v>105</v>
      </c>
      <c r="C208">
        <v>1255</v>
      </c>
      <c r="D208">
        <v>684</v>
      </c>
      <c r="E208" t="s">
        <v>108</v>
      </c>
      <c r="F208" t="s">
        <v>71</v>
      </c>
      <c r="G208">
        <v>302</v>
      </c>
      <c r="H208">
        <v>4</v>
      </c>
      <c r="I208">
        <v>60000</v>
      </c>
      <c r="J208">
        <v>30000</v>
      </c>
      <c r="K208">
        <v>15650</v>
      </c>
      <c r="L208">
        <v>0</v>
      </c>
      <c r="M208">
        <v>0</v>
      </c>
      <c r="N208">
        <v>15000</v>
      </c>
      <c r="O208">
        <v>0</v>
      </c>
      <c r="P208">
        <v>0</v>
      </c>
      <c r="Q208">
        <v>0</v>
      </c>
      <c r="R208">
        <v>16000</v>
      </c>
      <c r="S208">
        <v>4000</v>
      </c>
      <c r="T208">
        <v>-20650</v>
      </c>
      <c r="X208">
        <v>-10</v>
      </c>
      <c r="Y208">
        <v>123</v>
      </c>
      <c r="Z208" t="s">
        <v>44</v>
      </c>
      <c r="AA208">
        <v>20000</v>
      </c>
      <c r="AB208" t="s">
        <v>38</v>
      </c>
      <c r="AC208">
        <v>0</v>
      </c>
      <c r="AD208">
        <v>0</v>
      </c>
      <c r="AE208">
        <v>65000</v>
      </c>
      <c r="AF208">
        <v>-20650</v>
      </c>
      <c r="AG208">
        <v>0</v>
      </c>
      <c r="AH208">
        <f t="shared" si="3"/>
        <v>0</v>
      </c>
    </row>
    <row r="209" spans="1:34" x14ac:dyDescent="0.3">
      <c r="A209" t="s">
        <v>33</v>
      </c>
      <c r="B209" t="s">
        <v>105</v>
      </c>
      <c r="C209">
        <v>1154</v>
      </c>
      <c r="D209">
        <v>685</v>
      </c>
      <c r="E209" t="s">
        <v>109</v>
      </c>
      <c r="G209">
        <v>286</v>
      </c>
      <c r="H209">
        <v>0</v>
      </c>
      <c r="I209">
        <v>90000</v>
      </c>
      <c r="J209">
        <v>50000</v>
      </c>
      <c r="K209">
        <v>0</v>
      </c>
      <c r="L209">
        <v>0</v>
      </c>
      <c r="M209">
        <v>0</v>
      </c>
      <c r="N209">
        <v>0</v>
      </c>
      <c r="O209">
        <v>0</v>
      </c>
      <c r="P209">
        <v>0</v>
      </c>
      <c r="Q209">
        <v>0</v>
      </c>
      <c r="R209">
        <v>0</v>
      </c>
      <c r="S209">
        <v>0</v>
      </c>
      <c r="T209">
        <v>15000</v>
      </c>
      <c r="X209">
        <v>5</v>
      </c>
      <c r="Y209">
        <v>125</v>
      </c>
      <c r="Z209" t="s">
        <v>47</v>
      </c>
      <c r="AA209">
        <v>0</v>
      </c>
      <c r="AC209">
        <v>0</v>
      </c>
      <c r="AD209">
        <v>0</v>
      </c>
      <c r="AE209">
        <v>50000</v>
      </c>
      <c r="AF209">
        <v>15000</v>
      </c>
      <c r="AG209">
        <v>0</v>
      </c>
      <c r="AH209">
        <f t="shared" si="3"/>
        <v>0</v>
      </c>
    </row>
    <row r="210" spans="1:34" x14ac:dyDescent="0.3">
      <c r="A210" t="s">
        <v>33</v>
      </c>
      <c r="B210" t="s">
        <v>105</v>
      </c>
      <c r="C210">
        <v>1175</v>
      </c>
      <c r="D210">
        <v>685</v>
      </c>
      <c r="E210" t="s">
        <v>109</v>
      </c>
      <c r="F210" t="s">
        <v>45</v>
      </c>
      <c r="G210">
        <v>290</v>
      </c>
      <c r="H210">
        <v>1</v>
      </c>
      <c r="I210">
        <v>90000</v>
      </c>
      <c r="J210">
        <v>50000</v>
      </c>
      <c r="K210">
        <v>0</v>
      </c>
      <c r="L210">
        <v>0</v>
      </c>
      <c r="M210">
        <v>0</v>
      </c>
      <c r="N210">
        <v>15000</v>
      </c>
      <c r="O210">
        <v>7000</v>
      </c>
      <c r="P210">
        <v>6000</v>
      </c>
      <c r="Q210">
        <v>3500</v>
      </c>
      <c r="R210">
        <v>8000</v>
      </c>
      <c r="S210">
        <v>0</v>
      </c>
      <c r="T210">
        <v>15500</v>
      </c>
      <c r="U210">
        <v>3500</v>
      </c>
      <c r="X210">
        <v>2</v>
      </c>
      <c r="Y210">
        <v>125</v>
      </c>
      <c r="Z210" t="s">
        <v>47</v>
      </c>
      <c r="AA210">
        <v>8000</v>
      </c>
      <c r="AB210" t="s">
        <v>38</v>
      </c>
      <c r="AC210">
        <v>0</v>
      </c>
      <c r="AD210">
        <v>1</v>
      </c>
      <c r="AE210">
        <v>89500</v>
      </c>
      <c r="AF210">
        <v>15500</v>
      </c>
      <c r="AG210">
        <v>0</v>
      </c>
      <c r="AH210">
        <f t="shared" si="3"/>
        <v>1</v>
      </c>
    </row>
    <row r="211" spans="1:34" x14ac:dyDescent="0.3">
      <c r="A211" t="s">
        <v>33</v>
      </c>
      <c r="B211" t="s">
        <v>105</v>
      </c>
      <c r="C211">
        <v>1214</v>
      </c>
      <c r="D211">
        <v>685</v>
      </c>
      <c r="E211" t="s">
        <v>109</v>
      </c>
      <c r="F211" t="s">
        <v>45</v>
      </c>
      <c r="G211">
        <v>296</v>
      </c>
      <c r="H211">
        <v>2</v>
      </c>
      <c r="I211">
        <v>90000</v>
      </c>
      <c r="J211">
        <v>50000</v>
      </c>
      <c r="K211">
        <v>0</v>
      </c>
      <c r="L211">
        <v>0</v>
      </c>
      <c r="M211">
        <v>0</v>
      </c>
      <c r="N211">
        <v>15000</v>
      </c>
      <c r="O211">
        <v>7000</v>
      </c>
      <c r="P211">
        <v>11000</v>
      </c>
      <c r="Q211">
        <v>1400</v>
      </c>
      <c r="R211">
        <v>0</v>
      </c>
      <c r="S211">
        <v>4000</v>
      </c>
      <c r="T211">
        <v>17100</v>
      </c>
      <c r="U211">
        <v>1400</v>
      </c>
      <c r="X211">
        <v>1</v>
      </c>
      <c r="Y211">
        <v>125</v>
      </c>
      <c r="Z211" t="s">
        <v>47</v>
      </c>
      <c r="AA211">
        <v>4000</v>
      </c>
      <c r="AB211" t="s">
        <v>38</v>
      </c>
      <c r="AC211">
        <v>2</v>
      </c>
      <c r="AD211">
        <v>1</v>
      </c>
      <c r="AE211">
        <v>88400</v>
      </c>
      <c r="AF211">
        <v>17100</v>
      </c>
      <c r="AG211">
        <v>0</v>
      </c>
      <c r="AH211">
        <f t="shared" si="3"/>
        <v>3</v>
      </c>
    </row>
    <row r="212" spans="1:34" x14ac:dyDescent="0.3">
      <c r="A212" t="s">
        <v>33</v>
      </c>
      <c r="B212" t="s">
        <v>105</v>
      </c>
      <c r="C212">
        <v>1236</v>
      </c>
      <c r="D212">
        <v>685</v>
      </c>
      <c r="E212" t="s">
        <v>109</v>
      </c>
      <c r="F212" t="s">
        <v>45</v>
      </c>
      <c r="G212">
        <v>299</v>
      </c>
      <c r="H212">
        <v>3</v>
      </c>
      <c r="I212">
        <v>90000</v>
      </c>
      <c r="J212">
        <v>50000</v>
      </c>
      <c r="K212">
        <v>0</v>
      </c>
      <c r="L212">
        <v>0</v>
      </c>
      <c r="M212">
        <v>0</v>
      </c>
      <c r="N212">
        <v>15000</v>
      </c>
      <c r="O212">
        <v>7000</v>
      </c>
      <c r="P212">
        <v>16000</v>
      </c>
      <c r="Q212">
        <v>1750</v>
      </c>
      <c r="R212">
        <v>20000</v>
      </c>
      <c r="S212">
        <v>0</v>
      </c>
      <c r="T212">
        <v>-2650</v>
      </c>
      <c r="U212">
        <v>1750</v>
      </c>
      <c r="X212">
        <v>-2</v>
      </c>
      <c r="Y212">
        <v>125</v>
      </c>
      <c r="Z212" t="s">
        <v>47</v>
      </c>
      <c r="AA212">
        <v>20000</v>
      </c>
      <c r="AB212" t="s">
        <v>38</v>
      </c>
      <c r="AC212">
        <v>1</v>
      </c>
      <c r="AD212">
        <v>2</v>
      </c>
      <c r="AE212">
        <v>109750</v>
      </c>
      <c r="AF212">
        <v>-2650</v>
      </c>
      <c r="AG212">
        <v>0</v>
      </c>
      <c r="AH212">
        <f t="shared" si="3"/>
        <v>3</v>
      </c>
    </row>
    <row r="213" spans="1:34" x14ac:dyDescent="0.3">
      <c r="A213" t="s">
        <v>33</v>
      </c>
      <c r="B213" t="s">
        <v>105</v>
      </c>
      <c r="C213">
        <v>1253</v>
      </c>
      <c r="D213">
        <v>685</v>
      </c>
      <c r="E213" t="s">
        <v>109</v>
      </c>
      <c r="F213" t="s">
        <v>102</v>
      </c>
      <c r="G213">
        <v>302</v>
      </c>
      <c r="H213">
        <v>4</v>
      </c>
      <c r="I213">
        <v>90000</v>
      </c>
      <c r="J213">
        <v>50000</v>
      </c>
      <c r="K213">
        <v>2650</v>
      </c>
      <c r="L213">
        <v>21000</v>
      </c>
      <c r="M213">
        <v>0</v>
      </c>
      <c r="N213">
        <v>25000</v>
      </c>
      <c r="O213">
        <v>10000</v>
      </c>
      <c r="P213">
        <v>6000</v>
      </c>
      <c r="Q213">
        <v>0</v>
      </c>
      <c r="R213">
        <v>0</v>
      </c>
      <c r="S213">
        <v>4000</v>
      </c>
      <c r="T213">
        <v>13350</v>
      </c>
      <c r="V213">
        <v>7000</v>
      </c>
      <c r="X213">
        <v>-7</v>
      </c>
      <c r="Y213">
        <v>125</v>
      </c>
      <c r="Z213" t="s">
        <v>47</v>
      </c>
      <c r="AA213">
        <v>4000</v>
      </c>
      <c r="AB213" t="s">
        <v>42</v>
      </c>
      <c r="AC213">
        <v>1</v>
      </c>
      <c r="AD213">
        <v>1</v>
      </c>
      <c r="AE213">
        <v>95000</v>
      </c>
      <c r="AF213">
        <v>13350</v>
      </c>
      <c r="AG213">
        <v>0</v>
      </c>
      <c r="AH213">
        <f t="shared" si="3"/>
        <v>2</v>
      </c>
    </row>
    <row r="214" spans="1:34" x14ac:dyDescent="0.3">
      <c r="A214" t="s">
        <v>33</v>
      </c>
      <c r="B214" t="s">
        <v>105</v>
      </c>
      <c r="C214">
        <v>1158</v>
      </c>
      <c r="D214">
        <v>686</v>
      </c>
      <c r="E214" t="s">
        <v>110</v>
      </c>
      <c r="G214">
        <v>286</v>
      </c>
      <c r="H214">
        <v>0</v>
      </c>
      <c r="I214">
        <v>130000</v>
      </c>
      <c r="J214">
        <v>75000</v>
      </c>
      <c r="K214">
        <v>0</v>
      </c>
      <c r="L214">
        <v>0</v>
      </c>
      <c r="M214">
        <v>0</v>
      </c>
      <c r="N214">
        <v>0</v>
      </c>
      <c r="O214">
        <v>0</v>
      </c>
      <c r="P214">
        <v>0</v>
      </c>
      <c r="Q214">
        <v>0</v>
      </c>
      <c r="R214">
        <v>0</v>
      </c>
      <c r="S214">
        <v>0</v>
      </c>
      <c r="T214">
        <v>50000</v>
      </c>
      <c r="X214">
        <v>5</v>
      </c>
      <c r="Y214">
        <v>127</v>
      </c>
      <c r="Z214" t="s">
        <v>50</v>
      </c>
      <c r="AA214">
        <v>0</v>
      </c>
      <c r="AC214">
        <v>0</v>
      </c>
      <c r="AD214">
        <v>0</v>
      </c>
      <c r="AE214">
        <v>75000</v>
      </c>
      <c r="AF214">
        <v>50000</v>
      </c>
      <c r="AG214">
        <v>0</v>
      </c>
      <c r="AH214">
        <f t="shared" si="3"/>
        <v>0</v>
      </c>
    </row>
    <row r="215" spans="1:34" x14ac:dyDescent="0.3">
      <c r="A215" t="s">
        <v>33</v>
      </c>
      <c r="B215" t="s">
        <v>105</v>
      </c>
      <c r="C215">
        <v>1174</v>
      </c>
      <c r="D215">
        <v>686</v>
      </c>
      <c r="E215" t="s">
        <v>110</v>
      </c>
      <c r="F215" t="s">
        <v>83</v>
      </c>
      <c r="G215">
        <v>290</v>
      </c>
      <c r="H215">
        <v>1</v>
      </c>
      <c r="I215">
        <v>130000</v>
      </c>
      <c r="J215">
        <v>75000</v>
      </c>
      <c r="K215">
        <v>0</v>
      </c>
      <c r="L215">
        <v>0</v>
      </c>
      <c r="M215">
        <v>0</v>
      </c>
      <c r="N215">
        <v>20000</v>
      </c>
      <c r="O215">
        <v>8000</v>
      </c>
      <c r="P215">
        <v>14000</v>
      </c>
      <c r="Q215">
        <v>7600</v>
      </c>
      <c r="R215">
        <v>0</v>
      </c>
      <c r="S215">
        <v>0</v>
      </c>
      <c r="T215">
        <v>55400</v>
      </c>
      <c r="U215">
        <v>7600</v>
      </c>
      <c r="V215">
        <v>14000</v>
      </c>
      <c r="W215">
        <v>0</v>
      </c>
      <c r="X215">
        <v>5</v>
      </c>
      <c r="Y215">
        <v>127</v>
      </c>
      <c r="Z215" t="s">
        <v>50</v>
      </c>
      <c r="AA215">
        <v>0</v>
      </c>
      <c r="AB215" t="s">
        <v>52</v>
      </c>
      <c r="AC215">
        <v>0</v>
      </c>
      <c r="AD215">
        <v>2</v>
      </c>
      <c r="AE215">
        <v>124600</v>
      </c>
      <c r="AF215">
        <v>55400</v>
      </c>
      <c r="AG215">
        <v>0</v>
      </c>
      <c r="AH215">
        <f t="shared" si="3"/>
        <v>2</v>
      </c>
    </row>
    <row r="216" spans="1:34" x14ac:dyDescent="0.3">
      <c r="A216" t="s">
        <v>33</v>
      </c>
      <c r="B216" t="s">
        <v>105</v>
      </c>
      <c r="C216">
        <v>1217</v>
      </c>
      <c r="D216">
        <v>686</v>
      </c>
      <c r="E216" t="s">
        <v>110</v>
      </c>
      <c r="F216" t="s">
        <v>83</v>
      </c>
      <c r="G216">
        <v>296</v>
      </c>
      <c r="H216">
        <v>2</v>
      </c>
      <c r="I216">
        <v>130000</v>
      </c>
      <c r="J216">
        <v>75000</v>
      </c>
      <c r="K216">
        <v>0</v>
      </c>
      <c r="L216">
        <v>0</v>
      </c>
      <c r="M216">
        <v>0</v>
      </c>
      <c r="N216">
        <v>20000</v>
      </c>
      <c r="O216">
        <v>8000</v>
      </c>
      <c r="P216">
        <v>18000</v>
      </c>
      <c r="Q216">
        <v>0</v>
      </c>
      <c r="R216">
        <v>0</v>
      </c>
      <c r="S216">
        <v>4000</v>
      </c>
      <c r="T216">
        <v>60400</v>
      </c>
      <c r="V216">
        <v>18000</v>
      </c>
      <c r="X216">
        <v>5</v>
      </c>
      <c r="Y216">
        <v>127</v>
      </c>
      <c r="Z216" t="s">
        <v>50</v>
      </c>
      <c r="AA216">
        <v>4000</v>
      </c>
      <c r="AB216" t="s">
        <v>52</v>
      </c>
      <c r="AC216">
        <v>2</v>
      </c>
      <c r="AD216">
        <v>2</v>
      </c>
      <c r="AE216">
        <v>125000</v>
      </c>
      <c r="AF216">
        <v>60400</v>
      </c>
      <c r="AG216">
        <v>0</v>
      </c>
      <c r="AH216">
        <f t="shared" si="3"/>
        <v>4</v>
      </c>
    </row>
    <row r="217" spans="1:34" x14ac:dyDescent="0.3">
      <c r="A217" t="s">
        <v>33</v>
      </c>
      <c r="B217" t="s">
        <v>105</v>
      </c>
      <c r="C217">
        <v>1237</v>
      </c>
      <c r="D217">
        <v>686</v>
      </c>
      <c r="E217" t="s">
        <v>110</v>
      </c>
      <c r="F217" t="s">
        <v>83</v>
      </c>
      <c r="G217">
        <v>299</v>
      </c>
      <c r="H217">
        <v>3</v>
      </c>
      <c r="I217">
        <v>130000</v>
      </c>
      <c r="J217">
        <v>75000</v>
      </c>
      <c r="K217">
        <v>0</v>
      </c>
      <c r="L217">
        <v>0</v>
      </c>
      <c r="M217">
        <v>0</v>
      </c>
      <c r="N217">
        <v>20000</v>
      </c>
      <c r="O217">
        <v>8000</v>
      </c>
      <c r="P217">
        <v>1000</v>
      </c>
      <c r="Q217">
        <v>6500</v>
      </c>
      <c r="R217">
        <v>8000</v>
      </c>
      <c r="S217">
        <v>4000</v>
      </c>
      <c r="T217">
        <v>67900</v>
      </c>
      <c r="U217">
        <v>6500</v>
      </c>
      <c r="V217">
        <v>1000</v>
      </c>
      <c r="W217">
        <v>0</v>
      </c>
      <c r="X217">
        <v>2</v>
      </c>
      <c r="Y217">
        <v>127</v>
      </c>
      <c r="Z217" t="s">
        <v>50</v>
      </c>
      <c r="AA217">
        <v>12000</v>
      </c>
      <c r="AB217" t="s">
        <v>52</v>
      </c>
      <c r="AC217">
        <v>1</v>
      </c>
      <c r="AD217">
        <v>0</v>
      </c>
      <c r="AE217">
        <v>122500</v>
      </c>
      <c r="AF217">
        <v>67900</v>
      </c>
      <c r="AG217">
        <v>0</v>
      </c>
      <c r="AH217">
        <f t="shared" si="3"/>
        <v>1</v>
      </c>
    </row>
    <row r="218" spans="1:34" x14ac:dyDescent="0.3">
      <c r="A218" t="s">
        <v>33</v>
      </c>
      <c r="B218" t="s">
        <v>105</v>
      </c>
      <c r="C218">
        <v>1256</v>
      </c>
      <c r="D218">
        <v>686</v>
      </c>
      <c r="E218" t="s">
        <v>110</v>
      </c>
      <c r="F218" t="s">
        <v>83</v>
      </c>
      <c r="G218">
        <v>302</v>
      </c>
      <c r="H218">
        <v>4</v>
      </c>
      <c r="I218">
        <v>130000</v>
      </c>
      <c r="J218">
        <v>75000</v>
      </c>
      <c r="K218">
        <v>0</v>
      </c>
      <c r="L218">
        <v>0</v>
      </c>
      <c r="M218">
        <v>0</v>
      </c>
      <c r="N218">
        <v>20000</v>
      </c>
      <c r="O218">
        <v>0</v>
      </c>
      <c r="P218">
        <v>0</v>
      </c>
      <c r="Q218">
        <v>0</v>
      </c>
      <c r="R218">
        <v>4000</v>
      </c>
      <c r="S218">
        <v>4000</v>
      </c>
      <c r="T218">
        <v>94900</v>
      </c>
      <c r="X218">
        <v>-1</v>
      </c>
      <c r="Y218">
        <v>127</v>
      </c>
      <c r="Z218" t="s">
        <v>50</v>
      </c>
      <c r="AA218">
        <v>8000</v>
      </c>
      <c r="AB218" t="s">
        <v>52</v>
      </c>
      <c r="AC218">
        <v>0</v>
      </c>
      <c r="AD218">
        <v>0</v>
      </c>
      <c r="AE218">
        <v>103000</v>
      </c>
      <c r="AF218">
        <v>94900</v>
      </c>
      <c r="AG218">
        <v>0</v>
      </c>
      <c r="AH218">
        <f t="shared" si="3"/>
        <v>0</v>
      </c>
    </row>
    <row r="219" spans="1:34" x14ac:dyDescent="0.3">
      <c r="A219" t="s">
        <v>33</v>
      </c>
      <c r="B219" t="s">
        <v>105</v>
      </c>
      <c r="C219">
        <v>1177</v>
      </c>
      <c r="D219">
        <v>687</v>
      </c>
      <c r="E219" t="s">
        <v>111</v>
      </c>
      <c r="G219">
        <v>286</v>
      </c>
      <c r="H219">
        <v>0</v>
      </c>
      <c r="I219">
        <v>190000</v>
      </c>
      <c r="J219">
        <v>115000</v>
      </c>
      <c r="K219">
        <v>0</v>
      </c>
      <c r="L219">
        <v>0</v>
      </c>
      <c r="M219">
        <v>0</v>
      </c>
      <c r="N219">
        <v>0</v>
      </c>
      <c r="O219">
        <v>0</v>
      </c>
      <c r="P219">
        <v>0</v>
      </c>
      <c r="Q219">
        <v>0</v>
      </c>
      <c r="R219">
        <v>0</v>
      </c>
      <c r="S219">
        <v>0</v>
      </c>
      <c r="T219">
        <v>80000</v>
      </c>
      <c r="X219">
        <v>5</v>
      </c>
      <c r="Y219">
        <v>128</v>
      </c>
      <c r="Z219" t="s">
        <v>54</v>
      </c>
      <c r="AA219">
        <v>0</v>
      </c>
      <c r="AC219">
        <v>0</v>
      </c>
      <c r="AD219">
        <v>0</v>
      </c>
      <c r="AE219">
        <v>115000</v>
      </c>
      <c r="AF219">
        <v>80000</v>
      </c>
      <c r="AG219">
        <v>0</v>
      </c>
      <c r="AH219">
        <f t="shared" si="3"/>
        <v>0</v>
      </c>
    </row>
    <row r="220" spans="1:34" x14ac:dyDescent="0.3">
      <c r="A220" t="s">
        <v>33</v>
      </c>
      <c r="B220" t="s">
        <v>105</v>
      </c>
      <c r="C220">
        <v>1180</v>
      </c>
      <c r="D220">
        <v>687</v>
      </c>
      <c r="E220" t="s">
        <v>111</v>
      </c>
      <c r="F220" t="s">
        <v>41</v>
      </c>
      <c r="G220">
        <v>290</v>
      </c>
      <c r="H220">
        <v>1</v>
      </c>
      <c r="I220">
        <v>190000</v>
      </c>
      <c r="J220">
        <v>115000</v>
      </c>
      <c r="K220">
        <v>0</v>
      </c>
      <c r="L220">
        <v>0</v>
      </c>
      <c r="M220">
        <v>0</v>
      </c>
      <c r="N220">
        <v>20000</v>
      </c>
      <c r="O220">
        <v>20000</v>
      </c>
      <c r="P220">
        <v>33000</v>
      </c>
      <c r="Q220">
        <v>14000</v>
      </c>
      <c r="R220">
        <v>0</v>
      </c>
      <c r="S220">
        <v>0</v>
      </c>
      <c r="T220">
        <v>68000</v>
      </c>
      <c r="U220">
        <v>14000</v>
      </c>
      <c r="V220">
        <v>33000</v>
      </c>
      <c r="W220">
        <v>0</v>
      </c>
      <c r="X220">
        <v>8</v>
      </c>
      <c r="Y220">
        <v>128</v>
      </c>
      <c r="Z220" t="s">
        <v>54</v>
      </c>
      <c r="AA220">
        <v>0</v>
      </c>
      <c r="AB220" t="s">
        <v>42</v>
      </c>
      <c r="AC220">
        <v>3</v>
      </c>
      <c r="AD220">
        <v>4</v>
      </c>
      <c r="AE220">
        <v>202000</v>
      </c>
      <c r="AF220">
        <v>68000</v>
      </c>
      <c r="AG220">
        <v>0</v>
      </c>
      <c r="AH220">
        <f t="shared" si="3"/>
        <v>7</v>
      </c>
    </row>
    <row r="221" spans="1:34" x14ac:dyDescent="0.3">
      <c r="A221" t="s">
        <v>33</v>
      </c>
      <c r="B221" t="s">
        <v>105</v>
      </c>
      <c r="C221">
        <v>1218</v>
      </c>
      <c r="D221">
        <v>687</v>
      </c>
      <c r="E221" t="s">
        <v>111</v>
      </c>
      <c r="F221" t="s">
        <v>41</v>
      </c>
      <c r="G221">
        <v>296</v>
      </c>
      <c r="H221">
        <v>2</v>
      </c>
      <c r="I221">
        <v>190000</v>
      </c>
      <c r="J221">
        <v>115000</v>
      </c>
      <c r="K221">
        <v>0</v>
      </c>
      <c r="L221">
        <v>0</v>
      </c>
      <c r="M221">
        <v>0</v>
      </c>
      <c r="N221">
        <v>20000</v>
      </c>
      <c r="O221">
        <v>20000</v>
      </c>
      <c r="P221">
        <v>0</v>
      </c>
      <c r="Q221">
        <v>14500</v>
      </c>
      <c r="R221">
        <v>0</v>
      </c>
      <c r="S221">
        <v>4000</v>
      </c>
      <c r="T221">
        <v>84500</v>
      </c>
      <c r="U221">
        <v>14500</v>
      </c>
      <c r="X221">
        <v>9</v>
      </c>
      <c r="Y221">
        <v>128</v>
      </c>
      <c r="Z221" t="s">
        <v>54</v>
      </c>
      <c r="AA221">
        <v>4000</v>
      </c>
      <c r="AB221" t="s">
        <v>42</v>
      </c>
      <c r="AC221">
        <v>0</v>
      </c>
      <c r="AD221">
        <v>0</v>
      </c>
      <c r="AE221">
        <v>173500</v>
      </c>
      <c r="AF221">
        <v>84500</v>
      </c>
      <c r="AG221">
        <v>0</v>
      </c>
      <c r="AH221">
        <f t="shared" si="3"/>
        <v>0</v>
      </c>
    </row>
    <row r="222" spans="1:34" x14ac:dyDescent="0.3">
      <c r="A222" t="s">
        <v>33</v>
      </c>
      <c r="B222" t="s">
        <v>105</v>
      </c>
      <c r="C222">
        <v>1234</v>
      </c>
      <c r="D222">
        <v>687</v>
      </c>
      <c r="E222" t="s">
        <v>111</v>
      </c>
      <c r="F222" t="s">
        <v>41</v>
      </c>
      <c r="G222">
        <v>299</v>
      </c>
      <c r="H222">
        <v>3</v>
      </c>
      <c r="I222">
        <v>190000</v>
      </c>
      <c r="J222">
        <v>115000</v>
      </c>
      <c r="K222">
        <v>0</v>
      </c>
      <c r="L222">
        <v>0</v>
      </c>
      <c r="M222">
        <v>0</v>
      </c>
      <c r="N222">
        <v>20000</v>
      </c>
      <c r="O222">
        <v>20000</v>
      </c>
      <c r="P222">
        <v>0</v>
      </c>
      <c r="Q222">
        <v>0</v>
      </c>
      <c r="R222">
        <v>12000</v>
      </c>
      <c r="S222">
        <v>0</v>
      </c>
      <c r="T222">
        <v>107500</v>
      </c>
      <c r="X222">
        <v>5</v>
      </c>
      <c r="Y222">
        <v>128</v>
      </c>
      <c r="Z222" t="s">
        <v>54</v>
      </c>
      <c r="AA222">
        <v>12000</v>
      </c>
      <c r="AB222" t="s">
        <v>42</v>
      </c>
      <c r="AC222">
        <v>0</v>
      </c>
      <c r="AD222">
        <v>0</v>
      </c>
      <c r="AE222">
        <v>167000</v>
      </c>
      <c r="AF222">
        <v>107500</v>
      </c>
      <c r="AG222">
        <v>0</v>
      </c>
      <c r="AH222">
        <f t="shared" si="3"/>
        <v>0</v>
      </c>
    </row>
    <row r="223" spans="1:34" x14ac:dyDescent="0.3">
      <c r="A223" t="s">
        <v>33</v>
      </c>
      <c r="B223" t="s">
        <v>105</v>
      </c>
      <c r="C223">
        <v>1254</v>
      </c>
      <c r="D223">
        <v>687</v>
      </c>
      <c r="E223" t="s">
        <v>111</v>
      </c>
      <c r="F223" t="s">
        <v>41</v>
      </c>
      <c r="G223">
        <v>302</v>
      </c>
      <c r="H223">
        <v>4</v>
      </c>
      <c r="I223">
        <v>190000</v>
      </c>
      <c r="J223">
        <v>115000</v>
      </c>
      <c r="K223">
        <v>0</v>
      </c>
      <c r="L223">
        <v>0</v>
      </c>
      <c r="M223">
        <v>0</v>
      </c>
      <c r="N223">
        <v>25000</v>
      </c>
      <c r="O223">
        <v>20000</v>
      </c>
      <c r="P223">
        <v>0</v>
      </c>
      <c r="Q223">
        <v>0</v>
      </c>
      <c r="R223">
        <v>4000</v>
      </c>
      <c r="S223">
        <v>4000</v>
      </c>
      <c r="T223">
        <v>129500</v>
      </c>
      <c r="X223">
        <v>2</v>
      </c>
      <c r="Y223">
        <v>128</v>
      </c>
      <c r="Z223" t="s">
        <v>54</v>
      </c>
      <c r="AA223">
        <v>8000</v>
      </c>
      <c r="AB223" t="s">
        <v>42</v>
      </c>
      <c r="AC223">
        <v>0</v>
      </c>
      <c r="AD223">
        <v>0</v>
      </c>
      <c r="AE223">
        <v>168000</v>
      </c>
      <c r="AF223">
        <v>129500</v>
      </c>
      <c r="AG223">
        <v>0</v>
      </c>
      <c r="AH223">
        <f t="shared" si="3"/>
        <v>0</v>
      </c>
    </row>
    <row r="224" spans="1:34" x14ac:dyDescent="0.3">
      <c r="A224" t="s">
        <v>33</v>
      </c>
      <c r="B224" t="s">
        <v>112</v>
      </c>
      <c r="C224">
        <v>1168</v>
      </c>
      <c r="D224">
        <v>690</v>
      </c>
      <c r="E224" t="s">
        <v>113</v>
      </c>
      <c r="G224">
        <v>287</v>
      </c>
      <c r="H224">
        <v>0</v>
      </c>
      <c r="I224">
        <v>75000</v>
      </c>
      <c r="J224">
        <v>40000</v>
      </c>
      <c r="K224">
        <v>0</v>
      </c>
      <c r="L224">
        <v>0</v>
      </c>
      <c r="M224">
        <v>0</v>
      </c>
      <c r="N224">
        <v>0</v>
      </c>
      <c r="O224">
        <v>0</v>
      </c>
      <c r="P224">
        <v>0</v>
      </c>
      <c r="Q224">
        <v>0</v>
      </c>
      <c r="R224">
        <v>0</v>
      </c>
      <c r="S224">
        <v>0</v>
      </c>
      <c r="T224">
        <v>5000</v>
      </c>
      <c r="X224">
        <v>5</v>
      </c>
      <c r="Y224">
        <v>124</v>
      </c>
      <c r="Z224" t="s">
        <v>36</v>
      </c>
      <c r="AA224">
        <v>0</v>
      </c>
      <c r="AC224">
        <v>0</v>
      </c>
      <c r="AD224">
        <v>0</v>
      </c>
      <c r="AE224">
        <v>40000</v>
      </c>
      <c r="AF224">
        <v>5000</v>
      </c>
      <c r="AG224">
        <v>0</v>
      </c>
      <c r="AH224">
        <f t="shared" si="3"/>
        <v>0</v>
      </c>
    </row>
    <row r="225" spans="1:34" x14ac:dyDescent="0.3">
      <c r="A225" t="s">
        <v>33</v>
      </c>
      <c r="B225" t="s">
        <v>112</v>
      </c>
      <c r="C225">
        <v>1200</v>
      </c>
      <c r="D225">
        <v>690</v>
      </c>
      <c r="E225" t="s">
        <v>113</v>
      </c>
      <c r="F225" t="s">
        <v>48</v>
      </c>
      <c r="G225">
        <v>293</v>
      </c>
      <c r="H225">
        <v>1</v>
      </c>
      <c r="I225">
        <v>75000</v>
      </c>
      <c r="J225">
        <v>40000</v>
      </c>
      <c r="K225">
        <v>0</v>
      </c>
      <c r="L225">
        <v>0</v>
      </c>
      <c r="M225">
        <v>0</v>
      </c>
      <c r="N225">
        <v>15000</v>
      </c>
      <c r="O225">
        <v>10000</v>
      </c>
      <c r="P225">
        <v>6000</v>
      </c>
      <c r="Q225">
        <v>0</v>
      </c>
      <c r="R225">
        <v>0</v>
      </c>
      <c r="S225">
        <v>4000</v>
      </c>
      <c r="T225">
        <v>5000</v>
      </c>
      <c r="V225">
        <v>6000</v>
      </c>
      <c r="X225">
        <v>4</v>
      </c>
      <c r="Y225">
        <v>124</v>
      </c>
      <c r="Z225" t="s">
        <v>36</v>
      </c>
      <c r="AA225">
        <v>4000</v>
      </c>
      <c r="AB225" t="s">
        <v>42</v>
      </c>
      <c r="AC225">
        <v>0</v>
      </c>
      <c r="AD225">
        <v>1</v>
      </c>
      <c r="AE225">
        <v>75000</v>
      </c>
      <c r="AF225">
        <v>5000</v>
      </c>
      <c r="AG225">
        <v>0</v>
      </c>
      <c r="AH225">
        <f t="shared" si="3"/>
        <v>1</v>
      </c>
    </row>
    <row r="226" spans="1:34" x14ac:dyDescent="0.3">
      <c r="A226" t="s">
        <v>33</v>
      </c>
      <c r="B226" t="s">
        <v>112</v>
      </c>
      <c r="C226">
        <v>1216</v>
      </c>
      <c r="D226">
        <v>690</v>
      </c>
      <c r="E226" t="s">
        <v>113</v>
      </c>
      <c r="F226" t="s">
        <v>48</v>
      </c>
      <c r="G226">
        <v>295</v>
      </c>
      <c r="H226">
        <v>2</v>
      </c>
      <c r="I226">
        <v>75000</v>
      </c>
      <c r="J226">
        <v>40000</v>
      </c>
      <c r="K226">
        <v>0</v>
      </c>
      <c r="L226">
        <v>0</v>
      </c>
      <c r="M226">
        <v>0</v>
      </c>
      <c r="N226">
        <v>15000</v>
      </c>
      <c r="O226">
        <v>10000</v>
      </c>
      <c r="P226">
        <v>0</v>
      </c>
      <c r="Q226">
        <v>7000</v>
      </c>
      <c r="R226">
        <v>0</v>
      </c>
      <c r="S226">
        <v>0</v>
      </c>
      <c r="T226">
        <v>8000</v>
      </c>
      <c r="U226">
        <v>7000</v>
      </c>
      <c r="X226">
        <v>6</v>
      </c>
      <c r="Y226">
        <v>124</v>
      </c>
      <c r="Z226" t="s">
        <v>36</v>
      </c>
      <c r="AA226">
        <v>0</v>
      </c>
      <c r="AB226" t="s">
        <v>42</v>
      </c>
      <c r="AC226">
        <v>0</v>
      </c>
      <c r="AD226">
        <v>0</v>
      </c>
      <c r="AE226">
        <v>72000</v>
      </c>
      <c r="AF226">
        <v>8000</v>
      </c>
      <c r="AG226">
        <v>0</v>
      </c>
      <c r="AH226">
        <f t="shared" si="3"/>
        <v>0</v>
      </c>
    </row>
    <row r="227" spans="1:34" x14ac:dyDescent="0.3">
      <c r="A227" t="s">
        <v>33</v>
      </c>
      <c r="B227" t="s">
        <v>112</v>
      </c>
      <c r="C227">
        <v>1244</v>
      </c>
      <c r="D227">
        <v>690</v>
      </c>
      <c r="E227" t="s">
        <v>113</v>
      </c>
      <c r="F227" t="s">
        <v>48</v>
      </c>
      <c r="G227">
        <v>300</v>
      </c>
      <c r="H227">
        <v>3</v>
      </c>
      <c r="I227">
        <v>75000</v>
      </c>
      <c r="J227">
        <v>40000</v>
      </c>
      <c r="K227">
        <v>0</v>
      </c>
      <c r="L227">
        <v>0</v>
      </c>
      <c r="M227">
        <v>0</v>
      </c>
      <c r="N227">
        <v>15000</v>
      </c>
      <c r="O227">
        <v>10000</v>
      </c>
      <c r="P227">
        <v>10000</v>
      </c>
      <c r="Q227">
        <v>0</v>
      </c>
      <c r="R227">
        <v>0</v>
      </c>
      <c r="S227">
        <v>0</v>
      </c>
      <c r="T227">
        <v>8000</v>
      </c>
      <c r="V227">
        <v>10000</v>
      </c>
      <c r="X227">
        <v>6</v>
      </c>
      <c r="Y227">
        <v>124</v>
      </c>
      <c r="Z227" t="s">
        <v>36</v>
      </c>
      <c r="AA227">
        <v>0</v>
      </c>
      <c r="AB227" t="s">
        <v>42</v>
      </c>
      <c r="AC227">
        <v>1</v>
      </c>
      <c r="AD227">
        <v>1</v>
      </c>
      <c r="AE227">
        <v>75000</v>
      </c>
      <c r="AF227">
        <v>8000</v>
      </c>
      <c r="AG227">
        <v>0</v>
      </c>
      <c r="AH227">
        <f t="shared" si="3"/>
        <v>2</v>
      </c>
    </row>
    <row r="228" spans="1:34" x14ac:dyDescent="0.3">
      <c r="A228" t="s">
        <v>33</v>
      </c>
      <c r="B228" t="s">
        <v>112</v>
      </c>
      <c r="C228">
        <v>1263</v>
      </c>
      <c r="D228">
        <v>690</v>
      </c>
      <c r="E228" t="s">
        <v>113</v>
      </c>
      <c r="F228" t="s">
        <v>48</v>
      </c>
      <c r="G228">
        <v>303</v>
      </c>
      <c r="H228">
        <v>4</v>
      </c>
      <c r="I228">
        <v>75000</v>
      </c>
      <c r="J228">
        <v>40000</v>
      </c>
      <c r="K228">
        <v>0</v>
      </c>
      <c r="L228">
        <v>0</v>
      </c>
      <c r="M228">
        <v>0</v>
      </c>
      <c r="N228">
        <v>30000</v>
      </c>
      <c r="O228">
        <v>10000</v>
      </c>
      <c r="P228">
        <v>0</v>
      </c>
      <c r="Q228">
        <v>0</v>
      </c>
      <c r="R228">
        <v>0</v>
      </c>
      <c r="S228">
        <v>0</v>
      </c>
      <c r="T228">
        <v>3000</v>
      </c>
      <c r="X228">
        <v>6</v>
      </c>
      <c r="Y228">
        <v>124</v>
      </c>
      <c r="Z228" t="s">
        <v>36</v>
      </c>
      <c r="AA228">
        <v>0</v>
      </c>
      <c r="AB228" t="s">
        <v>42</v>
      </c>
      <c r="AC228">
        <v>0</v>
      </c>
      <c r="AD228">
        <v>0</v>
      </c>
      <c r="AE228">
        <v>80000</v>
      </c>
      <c r="AF228">
        <v>3000</v>
      </c>
      <c r="AG228">
        <v>0</v>
      </c>
      <c r="AH228">
        <f t="shared" si="3"/>
        <v>0</v>
      </c>
    </row>
    <row r="229" spans="1:34" x14ac:dyDescent="0.3">
      <c r="A229" t="s">
        <v>33</v>
      </c>
      <c r="B229" t="s">
        <v>112</v>
      </c>
      <c r="C229">
        <v>1194</v>
      </c>
      <c r="D229">
        <v>691</v>
      </c>
      <c r="E229" t="s">
        <v>114</v>
      </c>
      <c r="G229">
        <v>287</v>
      </c>
      <c r="H229">
        <v>0</v>
      </c>
      <c r="I229">
        <v>110000</v>
      </c>
      <c r="J229">
        <v>60000</v>
      </c>
      <c r="K229">
        <v>0</v>
      </c>
      <c r="L229">
        <v>0</v>
      </c>
      <c r="M229">
        <v>0</v>
      </c>
      <c r="N229">
        <v>0</v>
      </c>
      <c r="O229">
        <v>0</v>
      </c>
      <c r="P229">
        <v>0</v>
      </c>
      <c r="Q229">
        <v>0</v>
      </c>
      <c r="R229">
        <v>0</v>
      </c>
      <c r="S229">
        <v>0</v>
      </c>
      <c r="T229">
        <v>30000</v>
      </c>
      <c r="X229">
        <v>5</v>
      </c>
      <c r="Y229">
        <v>126</v>
      </c>
      <c r="Z229" t="s">
        <v>40</v>
      </c>
      <c r="AA229">
        <v>0</v>
      </c>
      <c r="AC229">
        <v>0</v>
      </c>
      <c r="AD229">
        <v>0</v>
      </c>
      <c r="AE229">
        <v>60000</v>
      </c>
      <c r="AF229">
        <v>30000</v>
      </c>
      <c r="AG229">
        <v>0</v>
      </c>
      <c r="AH229">
        <f t="shared" si="3"/>
        <v>0</v>
      </c>
    </row>
    <row r="230" spans="1:34" x14ac:dyDescent="0.3">
      <c r="A230" t="s">
        <v>33</v>
      </c>
      <c r="B230" t="s">
        <v>112</v>
      </c>
      <c r="C230">
        <v>1199</v>
      </c>
      <c r="D230">
        <v>691</v>
      </c>
      <c r="E230" t="s">
        <v>114</v>
      </c>
      <c r="F230" t="s">
        <v>58</v>
      </c>
      <c r="G230">
        <v>293</v>
      </c>
      <c r="H230">
        <v>1</v>
      </c>
      <c r="I230">
        <v>110000</v>
      </c>
      <c r="J230">
        <v>60000</v>
      </c>
      <c r="K230">
        <v>0</v>
      </c>
      <c r="L230">
        <v>0</v>
      </c>
      <c r="M230">
        <v>30000</v>
      </c>
      <c r="N230">
        <v>15000</v>
      </c>
      <c r="O230">
        <v>17000</v>
      </c>
      <c r="P230">
        <v>8000</v>
      </c>
      <c r="Q230">
        <v>0</v>
      </c>
      <c r="R230">
        <v>0</v>
      </c>
      <c r="S230">
        <v>4000</v>
      </c>
      <c r="T230">
        <v>6000</v>
      </c>
      <c r="V230">
        <v>8000</v>
      </c>
      <c r="X230">
        <v>5</v>
      </c>
      <c r="Y230">
        <v>126</v>
      </c>
      <c r="Z230" t="s">
        <v>40</v>
      </c>
      <c r="AA230">
        <v>4000</v>
      </c>
      <c r="AB230" t="s">
        <v>42</v>
      </c>
      <c r="AC230">
        <v>1</v>
      </c>
      <c r="AD230">
        <v>1</v>
      </c>
      <c r="AE230">
        <v>134000</v>
      </c>
      <c r="AF230">
        <v>6000</v>
      </c>
      <c r="AG230">
        <v>0</v>
      </c>
      <c r="AH230">
        <f t="shared" si="3"/>
        <v>2</v>
      </c>
    </row>
    <row r="231" spans="1:34" x14ac:dyDescent="0.3">
      <c r="A231" t="s">
        <v>33</v>
      </c>
      <c r="B231" t="s">
        <v>112</v>
      </c>
      <c r="C231">
        <v>1212</v>
      </c>
      <c r="D231">
        <v>691</v>
      </c>
      <c r="E231" t="s">
        <v>114</v>
      </c>
      <c r="F231" t="s">
        <v>58</v>
      </c>
      <c r="G231">
        <v>295</v>
      </c>
      <c r="H231">
        <v>2</v>
      </c>
      <c r="I231">
        <v>110000</v>
      </c>
      <c r="J231">
        <v>60000</v>
      </c>
      <c r="K231">
        <v>0</v>
      </c>
      <c r="L231">
        <v>0</v>
      </c>
      <c r="M231">
        <v>0</v>
      </c>
      <c r="N231">
        <v>15000</v>
      </c>
      <c r="O231">
        <v>17000</v>
      </c>
      <c r="P231">
        <v>14000</v>
      </c>
      <c r="Q231">
        <v>0</v>
      </c>
      <c r="R231">
        <v>0</v>
      </c>
      <c r="S231">
        <v>0</v>
      </c>
      <c r="T231">
        <v>10000</v>
      </c>
      <c r="V231">
        <v>14000</v>
      </c>
      <c r="X231">
        <v>7</v>
      </c>
      <c r="Y231">
        <v>126</v>
      </c>
      <c r="Z231" t="s">
        <v>40</v>
      </c>
      <c r="AA231">
        <v>0</v>
      </c>
      <c r="AB231" t="s">
        <v>42</v>
      </c>
      <c r="AC231">
        <v>0</v>
      </c>
      <c r="AD231">
        <v>2</v>
      </c>
      <c r="AE231">
        <v>106000</v>
      </c>
      <c r="AF231">
        <v>10000</v>
      </c>
      <c r="AG231">
        <v>0</v>
      </c>
      <c r="AH231">
        <f t="shared" si="3"/>
        <v>2</v>
      </c>
    </row>
    <row r="232" spans="1:34" x14ac:dyDescent="0.3">
      <c r="A232" t="s">
        <v>33</v>
      </c>
      <c r="B232" t="s">
        <v>112</v>
      </c>
      <c r="C232">
        <v>1241</v>
      </c>
      <c r="D232">
        <v>691</v>
      </c>
      <c r="E232" t="s">
        <v>114</v>
      </c>
      <c r="F232" t="s">
        <v>58</v>
      </c>
      <c r="G232">
        <v>300</v>
      </c>
      <c r="H232">
        <v>3</v>
      </c>
      <c r="I232">
        <v>110000</v>
      </c>
      <c r="J232">
        <v>60000</v>
      </c>
      <c r="K232">
        <v>0</v>
      </c>
      <c r="L232">
        <v>0</v>
      </c>
      <c r="M232">
        <v>0</v>
      </c>
      <c r="N232">
        <v>15000</v>
      </c>
      <c r="O232">
        <v>17000</v>
      </c>
      <c r="P232">
        <v>11000</v>
      </c>
      <c r="Q232">
        <v>4000</v>
      </c>
      <c r="R232">
        <v>0</v>
      </c>
      <c r="S232">
        <v>0</v>
      </c>
      <c r="T232">
        <v>13000</v>
      </c>
      <c r="U232">
        <v>3400</v>
      </c>
      <c r="V232">
        <v>11000</v>
      </c>
      <c r="W232">
        <v>600</v>
      </c>
      <c r="X232">
        <v>7</v>
      </c>
      <c r="Y232">
        <v>126</v>
      </c>
      <c r="Z232" t="s">
        <v>40</v>
      </c>
      <c r="AA232">
        <v>0</v>
      </c>
      <c r="AB232" t="s">
        <v>42</v>
      </c>
      <c r="AC232">
        <v>2</v>
      </c>
      <c r="AD232">
        <v>1</v>
      </c>
      <c r="AE232">
        <v>107000</v>
      </c>
      <c r="AF232">
        <v>13000</v>
      </c>
      <c r="AG232">
        <v>0</v>
      </c>
      <c r="AH232">
        <f t="shared" si="3"/>
        <v>3</v>
      </c>
    </row>
    <row r="233" spans="1:34" x14ac:dyDescent="0.3">
      <c r="A233" t="s">
        <v>33</v>
      </c>
      <c r="B233" t="s">
        <v>112</v>
      </c>
      <c r="C233">
        <v>1259</v>
      </c>
      <c r="D233">
        <v>691</v>
      </c>
      <c r="E233" t="s">
        <v>114</v>
      </c>
      <c r="F233" t="s">
        <v>58</v>
      </c>
      <c r="G233">
        <v>303</v>
      </c>
      <c r="H233">
        <v>4</v>
      </c>
      <c r="I233">
        <v>110000</v>
      </c>
      <c r="J233">
        <v>60000</v>
      </c>
      <c r="K233">
        <v>0</v>
      </c>
      <c r="L233">
        <v>0</v>
      </c>
      <c r="M233">
        <v>0</v>
      </c>
      <c r="N233">
        <v>30000</v>
      </c>
      <c r="O233">
        <v>17000</v>
      </c>
      <c r="P233">
        <v>0</v>
      </c>
      <c r="Q233">
        <v>5000</v>
      </c>
      <c r="R233">
        <v>0</v>
      </c>
      <c r="S233">
        <v>0</v>
      </c>
      <c r="T233">
        <v>11000</v>
      </c>
      <c r="U233">
        <v>4250</v>
      </c>
      <c r="X233">
        <v>8</v>
      </c>
      <c r="Y233">
        <v>126</v>
      </c>
      <c r="Z233" t="s">
        <v>40</v>
      </c>
      <c r="AA233">
        <v>0</v>
      </c>
      <c r="AB233" t="s">
        <v>42</v>
      </c>
      <c r="AC233">
        <v>0</v>
      </c>
      <c r="AD233">
        <v>0</v>
      </c>
      <c r="AE233">
        <v>112000</v>
      </c>
      <c r="AF233">
        <v>11000</v>
      </c>
      <c r="AG233">
        <v>0</v>
      </c>
      <c r="AH233">
        <f t="shared" si="3"/>
        <v>0</v>
      </c>
    </row>
    <row r="234" spans="1:34" x14ac:dyDescent="0.3">
      <c r="A234" t="s">
        <v>33</v>
      </c>
      <c r="B234" t="s">
        <v>112</v>
      </c>
      <c r="C234">
        <v>1170</v>
      </c>
      <c r="D234">
        <v>693</v>
      </c>
      <c r="E234" t="s">
        <v>115</v>
      </c>
      <c r="G234">
        <v>287</v>
      </c>
      <c r="H234">
        <v>0</v>
      </c>
      <c r="I234">
        <v>90000</v>
      </c>
      <c r="J234">
        <v>50000</v>
      </c>
      <c r="K234">
        <v>0</v>
      </c>
      <c r="L234">
        <v>0</v>
      </c>
      <c r="M234">
        <v>0</v>
      </c>
      <c r="N234">
        <v>0</v>
      </c>
      <c r="O234">
        <v>0</v>
      </c>
      <c r="P234">
        <v>0</v>
      </c>
      <c r="Q234">
        <v>0</v>
      </c>
      <c r="R234">
        <v>0</v>
      </c>
      <c r="S234">
        <v>0</v>
      </c>
      <c r="T234">
        <v>15000</v>
      </c>
      <c r="X234">
        <v>5</v>
      </c>
      <c r="Y234">
        <v>125</v>
      </c>
      <c r="Z234" t="s">
        <v>47</v>
      </c>
      <c r="AA234">
        <v>0</v>
      </c>
      <c r="AC234">
        <v>0</v>
      </c>
      <c r="AD234">
        <v>0</v>
      </c>
      <c r="AE234">
        <v>50000</v>
      </c>
      <c r="AF234">
        <v>15000</v>
      </c>
      <c r="AG234">
        <v>0</v>
      </c>
      <c r="AH234">
        <f t="shared" si="3"/>
        <v>0</v>
      </c>
    </row>
    <row r="235" spans="1:34" x14ac:dyDescent="0.3">
      <c r="A235" t="s">
        <v>33</v>
      </c>
      <c r="B235" t="s">
        <v>112</v>
      </c>
      <c r="C235">
        <v>1198</v>
      </c>
      <c r="D235">
        <v>693</v>
      </c>
      <c r="E235" t="s">
        <v>115</v>
      </c>
      <c r="F235" t="s">
        <v>71</v>
      </c>
      <c r="G235">
        <v>293</v>
      </c>
      <c r="H235">
        <v>1</v>
      </c>
      <c r="I235">
        <v>90000</v>
      </c>
      <c r="J235">
        <v>50000</v>
      </c>
      <c r="K235">
        <v>0</v>
      </c>
      <c r="L235">
        <v>0</v>
      </c>
      <c r="M235">
        <v>0</v>
      </c>
      <c r="N235">
        <v>20000</v>
      </c>
      <c r="O235">
        <v>7000</v>
      </c>
      <c r="P235">
        <v>9000</v>
      </c>
      <c r="Q235">
        <v>1400</v>
      </c>
      <c r="R235">
        <v>0</v>
      </c>
      <c r="S235">
        <v>4000</v>
      </c>
      <c r="T235">
        <v>13600</v>
      </c>
      <c r="U235">
        <v>1400</v>
      </c>
      <c r="X235">
        <v>1</v>
      </c>
      <c r="Y235">
        <v>125</v>
      </c>
      <c r="Z235" t="s">
        <v>47</v>
      </c>
      <c r="AA235">
        <v>4000</v>
      </c>
      <c r="AB235" t="s">
        <v>38</v>
      </c>
      <c r="AC235">
        <v>1</v>
      </c>
      <c r="AD235">
        <v>1</v>
      </c>
      <c r="AE235">
        <v>91400</v>
      </c>
      <c r="AF235">
        <v>13600</v>
      </c>
      <c r="AG235">
        <v>0</v>
      </c>
      <c r="AH235">
        <f t="shared" si="3"/>
        <v>2</v>
      </c>
    </row>
    <row r="236" spans="1:34" x14ac:dyDescent="0.3">
      <c r="A236" t="s">
        <v>33</v>
      </c>
      <c r="B236" t="s">
        <v>112</v>
      </c>
      <c r="C236">
        <v>1210</v>
      </c>
      <c r="D236">
        <v>693</v>
      </c>
      <c r="E236" t="s">
        <v>115</v>
      </c>
      <c r="F236" t="s">
        <v>71</v>
      </c>
      <c r="G236">
        <v>295</v>
      </c>
      <c r="H236">
        <v>2</v>
      </c>
      <c r="I236">
        <v>90000</v>
      </c>
      <c r="J236">
        <v>50000</v>
      </c>
      <c r="K236">
        <v>0</v>
      </c>
      <c r="L236">
        <v>0</v>
      </c>
      <c r="M236">
        <v>0</v>
      </c>
      <c r="N236">
        <v>20000</v>
      </c>
      <c r="O236">
        <v>7000</v>
      </c>
      <c r="P236">
        <v>0</v>
      </c>
      <c r="Q236">
        <v>5250</v>
      </c>
      <c r="R236">
        <v>8000</v>
      </c>
      <c r="S236">
        <v>0</v>
      </c>
      <c r="T236">
        <v>13350</v>
      </c>
      <c r="U236">
        <v>5250</v>
      </c>
      <c r="X236">
        <v>1</v>
      </c>
      <c r="Y236">
        <v>125</v>
      </c>
      <c r="Z236" t="s">
        <v>47</v>
      </c>
      <c r="AA236">
        <v>8000</v>
      </c>
      <c r="AB236" t="s">
        <v>38</v>
      </c>
      <c r="AC236">
        <v>0</v>
      </c>
      <c r="AD236">
        <v>0</v>
      </c>
      <c r="AE236">
        <v>90250</v>
      </c>
      <c r="AF236">
        <v>13350</v>
      </c>
      <c r="AG236">
        <v>0</v>
      </c>
      <c r="AH236">
        <f t="shared" si="3"/>
        <v>0</v>
      </c>
    </row>
    <row r="237" spans="1:34" x14ac:dyDescent="0.3">
      <c r="A237" t="s">
        <v>33</v>
      </c>
      <c r="B237" t="s">
        <v>112</v>
      </c>
      <c r="C237">
        <v>1239</v>
      </c>
      <c r="D237">
        <v>693</v>
      </c>
      <c r="E237" t="s">
        <v>115</v>
      </c>
      <c r="F237" t="s">
        <v>71</v>
      </c>
      <c r="G237">
        <v>300</v>
      </c>
      <c r="H237">
        <v>3</v>
      </c>
      <c r="I237">
        <v>90000</v>
      </c>
      <c r="J237">
        <v>50000</v>
      </c>
      <c r="K237">
        <v>0</v>
      </c>
      <c r="L237">
        <v>0</v>
      </c>
      <c r="M237">
        <v>0</v>
      </c>
      <c r="N237">
        <v>20000</v>
      </c>
      <c r="O237">
        <v>7000</v>
      </c>
      <c r="P237">
        <v>8000</v>
      </c>
      <c r="Q237">
        <v>0</v>
      </c>
      <c r="R237">
        <v>8000</v>
      </c>
      <c r="S237">
        <v>0</v>
      </c>
      <c r="T237">
        <v>10350</v>
      </c>
      <c r="X237">
        <v>-1</v>
      </c>
      <c r="Y237">
        <v>125</v>
      </c>
      <c r="Z237" t="s">
        <v>47</v>
      </c>
      <c r="AA237">
        <v>8000</v>
      </c>
      <c r="AB237" t="s">
        <v>38</v>
      </c>
      <c r="AC237">
        <v>1</v>
      </c>
      <c r="AD237">
        <v>1</v>
      </c>
      <c r="AE237">
        <v>93000</v>
      </c>
      <c r="AF237">
        <v>10350</v>
      </c>
      <c r="AG237">
        <v>0</v>
      </c>
      <c r="AH237">
        <f t="shared" si="3"/>
        <v>2</v>
      </c>
    </row>
    <row r="238" spans="1:34" x14ac:dyDescent="0.3">
      <c r="A238" t="s">
        <v>33</v>
      </c>
      <c r="B238" t="s">
        <v>112</v>
      </c>
      <c r="C238">
        <v>1258</v>
      </c>
      <c r="D238">
        <v>693</v>
      </c>
      <c r="E238" t="s">
        <v>115</v>
      </c>
      <c r="F238" t="s">
        <v>102</v>
      </c>
      <c r="G238">
        <v>303</v>
      </c>
      <c r="H238">
        <v>4</v>
      </c>
      <c r="I238">
        <v>90000</v>
      </c>
      <c r="J238">
        <v>50000</v>
      </c>
      <c r="K238">
        <v>0</v>
      </c>
      <c r="L238">
        <v>21000</v>
      </c>
      <c r="M238">
        <v>0</v>
      </c>
      <c r="N238">
        <v>30000</v>
      </c>
      <c r="O238">
        <v>10000</v>
      </c>
      <c r="P238">
        <v>6000</v>
      </c>
      <c r="Q238">
        <v>4500</v>
      </c>
      <c r="R238">
        <v>0</v>
      </c>
      <c r="S238">
        <v>0</v>
      </c>
      <c r="T238">
        <v>20850</v>
      </c>
      <c r="U238">
        <v>4500</v>
      </c>
      <c r="V238">
        <v>7000</v>
      </c>
      <c r="W238">
        <v>-1000</v>
      </c>
      <c r="X238">
        <v>-2</v>
      </c>
      <c r="Y238">
        <v>125</v>
      </c>
      <c r="Z238" t="s">
        <v>47</v>
      </c>
      <c r="AA238">
        <v>0</v>
      </c>
      <c r="AB238" t="s">
        <v>42</v>
      </c>
      <c r="AC238">
        <v>1</v>
      </c>
      <c r="AD238">
        <v>1</v>
      </c>
      <c r="AE238">
        <v>100500</v>
      </c>
      <c r="AF238">
        <v>20850</v>
      </c>
      <c r="AG238">
        <v>0</v>
      </c>
      <c r="AH238">
        <f t="shared" si="3"/>
        <v>2</v>
      </c>
    </row>
    <row r="239" spans="1:34" x14ac:dyDescent="0.3">
      <c r="A239" t="s">
        <v>33</v>
      </c>
      <c r="B239" t="s">
        <v>112</v>
      </c>
      <c r="C239">
        <v>1172</v>
      </c>
      <c r="D239">
        <v>694</v>
      </c>
      <c r="E239" t="s">
        <v>116</v>
      </c>
      <c r="G239">
        <v>287</v>
      </c>
      <c r="H239">
        <v>0</v>
      </c>
      <c r="I239">
        <v>130000</v>
      </c>
      <c r="J239">
        <v>75000</v>
      </c>
      <c r="K239">
        <v>0</v>
      </c>
      <c r="L239">
        <v>0</v>
      </c>
      <c r="M239">
        <v>0</v>
      </c>
      <c r="N239">
        <v>0</v>
      </c>
      <c r="O239">
        <v>0</v>
      </c>
      <c r="P239">
        <v>0</v>
      </c>
      <c r="Q239">
        <v>0</v>
      </c>
      <c r="R239">
        <v>0</v>
      </c>
      <c r="S239">
        <v>0</v>
      </c>
      <c r="T239">
        <v>50000</v>
      </c>
      <c r="X239">
        <v>5</v>
      </c>
      <c r="Y239">
        <v>127</v>
      </c>
      <c r="Z239" t="s">
        <v>50</v>
      </c>
      <c r="AA239">
        <v>0</v>
      </c>
      <c r="AC239">
        <v>0</v>
      </c>
      <c r="AD239">
        <v>0</v>
      </c>
      <c r="AE239">
        <v>75000</v>
      </c>
      <c r="AF239">
        <v>50000</v>
      </c>
      <c r="AG239">
        <v>0</v>
      </c>
      <c r="AH239">
        <f t="shared" si="3"/>
        <v>0</v>
      </c>
    </row>
    <row r="240" spans="1:34" x14ac:dyDescent="0.3">
      <c r="A240" t="s">
        <v>33</v>
      </c>
      <c r="B240" t="s">
        <v>112</v>
      </c>
      <c r="C240">
        <v>1197</v>
      </c>
      <c r="D240">
        <v>694</v>
      </c>
      <c r="E240" t="s">
        <v>116</v>
      </c>
      <c r="F240" t="s">
        <v>117</v>
      </c>
      <c r="G240">
        <v>293</v>
      </c>
      <c r="H240">
        <v>1</v>
      </c>
      <c r="I240">
        <v>130000</v>
      </c>
      <c r="J240">
        <v>75000</v>
      </c>
      <c r="K240">
        <v>0</v>
      </c>
      <c r="L240">
        <v>0</v>
      </c>
      <c r="M240">
        <v>0</v>
      </c>
      <c r="N240">
        <v>20000</v>
      </c>
      <c r="O240">
        <v>20000</v>
      </c>
      <c r="P240">
        <v>16000</v>
      </c>
      <c r="Q240">
        <v>4000</v>
      </c>
      <c r="R240">
        <v>0</v>
      </c>
      <c r="S240">
        <v>0</v>
      </c>
      <c r="T240">
        <v>45000</v>
      </c>
      <c r="U240">
        <v>4000</v>
      </c>
      <c r="X240">
        <v>5</v>
      </c>
      <c r="Y240">
        <v>127</v>
      </c>
      <c r="Z240" t="s">
        <v>50</v>
      </c>
      <c r="AA240">
        <v>0</v>
      </c>
      <c r="AB240" t="s">
        <v>38</v>
      </c>
      <c r="AC240">
        <v>1</v>
      </c>
      <c r="AD240">
        <v>2</v>
      </c>
      <c r="AE240">
        <v>135000</v>
      </c>
      <c r="AF240">
        <v>45000</v>
      </c>
      <c r="AG240">
        <v>0</v>
      </c>
      <c r="AH240">
        <f t="shared" si="3"/>
        <v>3</v>
      </c>
    </row>
    <row r="241" spans="1:34" x14ac:dyDescent="0.3">
      <c r="A241" t="s">
        <v>33</v>
      </c>
      <c r="B241" t="s">
        <v>112</v>
      </c>
      <c r="C241">
        <v>1211</v>
      </c>
      <c r="D241">
        <v>694</v>
      </c>
      <c r="E241" t="s">
        <v>116</v>
      </c>
      <c r="F241" t="s">
        <v>117</v>
      </c>
      <c r="G241">
        <v>295</v>
      </c>
      <c r="H241">
        <v>2</v>
      </c>
      <c r="I241">
        <v>130000</v>
      </c>
      <c r="J241">
        <v>75000</v>
      </c>
      <c r="K241">
        <v>0</v>
      </c>
      <c r="L241">
        <v>0</v>
      </c>
      <c r="M241">
        <v>0</v>
      </c>
      <c r="N241">
        <v>20000</v>
      </c>
      <c r="O241">
        <v>20000</v>
      </c>
      <c r="P241">
        <v>1000</v>
      </c>
      <c r="Q241">
        <v>10000</v>
      </c>
      <c r="R241">
        <v>4000</v>
      </c>
      <c r="S241">
        <v>0</v>
      </c>
      <c r="T241">
        <v>45000</v>
      </c>
      <c r="U241">
        <v>10000</v>
      </c>
      <c r="X241">
        <v>5</v>
      </c>
      <c r="Y241">
        <v>127</v>
      </c>
      <c r="Z241" t="s">
        <v>50</v>
      </c>
      <c r="AA241">
        <v>4000</v>
      </c>
      <c r="AB241" t="s">
        <v>38</v>
      </c>
      <c r="AC241">
        <v>1</v>
      </c>
      <c r="AD241">
        <v>0</v>
      </c>
      <c r="AE241">
        <v>130000</v>
      </c>
      <c r="AF241">
        <v>45000</v>
      </c>
      <c r="AG241">
        <v>0</v>
      </c>
      <c r="AH241">
        <f t="shared" si="3"/>
        <v>1</v>
      </c>
    </row>
    <row r="242" spans="1:34" x14ac:dyDescent="0.3">
      <c r="A242" t="s">
        <v>33</v>
      </c>
      <c r="B242" t="s">
        <v>112</v>
      </c>
      <c r="C242">
        <v>1243</v>
      </c>
      <c r="D242">
        <v>694</v>
      </c>
      <c r="E242" t="s">
        <v>116</v>
      </c>
      <c r="F242" t="s">
        <v>117</v>
      </c>
      <c r="G242">
        <v>300</v>
      </c>
      <c r="H242">
        <v>3</v>
      </c>
      <c r="I242">
        <v>130000</v>
      </c>
      <c r="J242">
        <v>75000</v>
      </c>
      <c r="K242">
        <v>0</v>
      </c>
      <c r="L242">
        <v>0</v>
      </c>
      <c r="M242">
        <v>0</v>
      </c>
      <c r="N242">
        <v>20000</v>
      </c>
      <c r="O242">
        <v>20000</v>
      </c>
      <c r="P242">
        <v>10000</v>
      </c>
      <c r="Q242">
        <v>11500</v>
      </c>
      <c r="R242">
        <v>8000</v>
      </c>
      <c r="S242">
        <v>0</v>
      </c>
      <c r="T242">
        <v>30500</v>
      </c>
      <c r="U242">
        <v>11500</v>
      </c>
      <c r="X242">
        <v>4</v>
      </c>
      <c r="Y242">
        <v>127</v>
      </c>
      <c r="Z242" t="s">
        <v>50</v>
      </c>
      <c r="AA242">
        <v>8000</v>
      </c>
      <c r="AB242" t="s">
        <v>38</v>
      </c>
      <c r="AC242">
        <v>1</v>
      </c>
      <c r="AD242">
        <v>1</v>
      </c>
      <c r="AE242">
        <v>144500</v>
      </c>
      <c r="AF242">
        <v>30500</v>
      </c>
      <c r="AG242">
        <v>0</v>
      </c>
      <c r="AH242">
        <f t="shared" si="3"/>
        <v>2</v>
      </c>
    </row>
    <row r="243" spans="1:34" x14ac:dyDescent="0.3">
      <c r="A243" t="s">
        <v>33</v>
      </c>
      <c r="B243" t="s">
        <v>112</v>
      </c>
      <c r="C243">
        <v>1260</v>
      </c>
      <c r="D243">
        <v>694</v>
      </c>
      <c r="E243" t="s">
        <v>116</v>
      </c>
      <c r="F243" t="s">
        <v>77</v>
      </c>
      <c r="G243">
        <v>303</v>
      </c>
      <c r="H243">
        <v>4</v>
      </c>
      <c r="I243">
        <v>130000</v>
      </c>
      <c r="J243">
        <v>75000</v>
      </c>
      <c r="K243">
        <v>0</v>
      </c>
      <c r="L243">
        <v>60000</v>
      </c>
      <c r="M243">
        <v>0</v>
      </c>
      <c r="N243">
        <v>30000</v>
      </c>
      <c r="O243">
        <v>0</v>
      </c>
      <c r="P243">
        <v>23000</v>
      </c>
      <c r="Q243">
        <v>0</v>
      </c>
      <c r="R243">
        <v>0</v>
      </c>
      <c r="S243">
        <v>0</v>
      </c>
      <c r="T243">
        <v>92500</v>
      </c>
      <c r="V243">
        <v>33000</v>
      </c>
      <c r="X243">
        <v>6</v>
      </c>
      <c r="Y243">
        <v>127</v>
      </c>
      <c r="Z243" t="s">
        <v>50</v>
      </c>
      <c r="AA243">
        <v>0</v>
      </c>
      <c r="AB243" t="s">
        <v>42</v>
      </c>
      <c r="AC243">
        <v>3</v>
      </c>
      <c r="AD243">
        <v>4</v>
      </c>
      <c r="AE243">
        <v>128000</v>
      </c>
      <c r="AF243">
        <v>92500</v>
      </c>
      <c r="AG243">
        <v>0</v>
      </c>
      <c r="AH243">
        <f t="shared" si="3"/>
        <v>7</v>
      </c>
    </row>
    <row r="244" spans="1:34" x14ac:dyDescent="0.3">
      <c r="A244" t="s">
        <v>33</v>
      </c>
      <c r="B244" t="s">
        <v>112</v>
      </c>
      <c r="C244">
        <v>1166</v>
      </c>
      <c r="D244">
        <v>695</v>
      </c>
      <c r="E244" t="s">
        <v>118</v>
      </c>
      <c r="G244">
        <v>287</v>
      </c>
      <c r="H244">
        <v>0</v>
      </c>
      <c r="I244">
        <v>190000</v>
      </c>
      <c r="J244">
        <v>115000</v>
      </c>
      <c r="K244">
        <v>0</v>
      </c>
      <c r="L244">
        <v>0</v>
      </c>
      <c r="M244">
        <v>0</v>
      </c>
      <c r="N244">
        <v>0</v>
      </c>
      <c r="O244">
        <v>0</v>
      </c>
      <c r="P244">
        <v>0</v>
      </c>
      <c r="Q244">
        <v>0</v>
      </c>
      <c r="R244">
        <v>0</v>
      </c>
      <c r="S244">
        <v>0</v>
      </c>
      <c r="T244">
        <v>80000</v>
      </c>
      <c r="X244">
        <v>5</v>
      </c>
      <c r="Y244">
        <v>128</v>
      </c>
      <c r="Z244" t="s">
        <v>54</v>
      </c>
      <c r="AA244">
        <v>0</v>
      </c>
      <c r="AC244">
        <v>0</v>
      </c>
      <c r="AD244">
        <v>0</v>
      </c>
      <c r="AE244">
        <v>115000</v>
      </c>
      <c r="AF244">
        <v>80000</v>
      </c>
      <c r="AG244">
        <v>0</v>
      </c>
      <c r="AH244">
        <f t="shared" si="3"/>
        <v>0</v>
      </c>
    </row>
    <row r="245" spans="1:34" x14ac:dyDescent="0.3">
      <c r="A245" t="s">
        <v>33</v>
      </c>
      <c r="B245" t="s">
        <v>112</v>
      </c>
      <c r="C245">
        <v>1195</v>
      </c>
      <c r="D245">
        <v>695</v>
      </c>
      <c r="E245" t="s">
        <v>118</v>
      </c>
      <c r="F245" t="s">
        <v>41</v>
      </c>
      <c r="G245">
        <v>293</v>
      </c>
      <c r="H245">
        <v>1</v>
      </c>
      <c r="I245">
        <v>190000</v>
      </c>
      <c r="J245">
        <v>115000</v>
      </c>
      <c r="K245">
        <v>0</v>
      </c>
      <c r="L245">
        <v>0</v>
      </c>
      <c r="M245">
        <v>0</v>
      </c>
      <c r="N245">
        <v>15000</v>
      </c>
      <c r="O245">
        <v>20000</v>
      </c>
      <c r="P245">
        <v>14000</v>
      </c>
      <c r="Q245">
        <v>19500</v>
      </c>
      <c r="R245">
        <v>0</v>
      </c>
      <c r="S245">
        <v>0</v>
      </c>
      <c r="T245">
        <v>86500</v>
      </c>
      <c r="U245">
        <v>19500</v>
      </c>
      <c r="X245">
        <v>8</v>
      </c>
      <c r="Y245">
        <v>128</v>
      </c>
      <c r="Z245" t="s">
        <v>54</v>
      </c>
      <c r="AA245">
        <v>0</v>
      </c>
      <c r="AB245" t="s">
        <v>42</v>
      </c>
      <c r="AC245">
        <v>0</v>
      </c>
      <c r="AD245">
        <v>2</v>
      </c>
      <c r="AE245">
        <v>183500</v>
      </c>
      <c r="AF245">
        <v>86500</v>
      </c>
      <c r="AG245">
        <v>0</v>
      </c>
      <c r="AH245">
        <f t="shared" si="3"/>
        <v>2</v>
      </c>
    </row>
    <row r="246" spans="1:34" x14ac:dyDescent="0.3">
      <c r="A246" t="s">
        <v>33</v>
      </c>
      <c r="B246" t="s">
        <v>112</v>
      </c>
      <c r="C246">
        <v>1209</v>
      </c>
      <c r="D246">
        <v>695</v>
      </c>
      <c r="E246" t="s">
        <v>118</v>
      </c>
      <c r="F246" t="s">
        <v>41</v>
      </c>
      <c r="G246">
        <v>295</v>
      </c>
      <c r="H246">
        <v>2</v>
      </c>
      <c r="I246">
        <v>190000</v>
      </c>
      <c r="J246">
        <v>115000</v>
      </c>
      <c r="K246">
        <v>0</v>
      </c>
      <c r="L246">
        <v>0</v>
      </c>
      <c r="M246">
        <v>0</v>
      </c>
      <c r="N246">
        <v>15000</v>
      </c>
      <c r="O246">
        <v>20000</v>
      </c>
      <c r="P246">
        <v>0</v>
      </c>
      <c r="Q246">
        <v>5000</v>
      </c>
      <c r="R246">
        <v>0</v>
      </c>
      <c r="S246">
        <v>0</v>
      </c>
      <c r="T246">
        <v>121500</v>
      </c>
      <c r="U246">
        <v>5000</v>
      </c>
      <c r="X246">
        <v>9</v>
      </c>
      <c r="Y246">
        <v>128</v>
      </c>
      <c r="Z246" t="s">
        <v>54</v>
      </c>
      <c r="AA246">
        <v>0</v>
      </c>
      <c r="AB246" t="s">
        <v>42</v>
      </c>
      <c r="AC246">
        <v>0</v>
      </c>
      <c r="AD246">
        <v>0</v>
      </c>
      <c r="AE246">
        <v>155000</v>
      </c>
      <c r="AF246">
        <v>121500</v>
      </c>
      <c r="AG246">
        <v>0</v>
      </c>
      <c r="AH246">
        <f t="shared" si="3"/>
        <v>0</v>
      </c>
    </row>
    <row r="247" spans="1:34" x14ac:dyDescent="0.3">
      <c r="A247" t="s">
        <v>33</v>
      </c>
      <c r="B247" t="s">
        <v>112</v>
      </c>
      <c r="C247">
        <v>1242</v>
      </c>
      <c r="D247">
        <v>695</v>
      </c>
      <c r="E247" t="s">
        <v>118</v>
      </c>
      <c r="F247" t="s">
        <v>41</v>
      </c>
      <c r="G247">
        <v>300</v>
      </c>
      <c r="H247">
        <v>3</v>
      </c>
      <c r="I247">
        <v>190000</v>
      </c>
      <c r="J247">
        <v>115000</v>
      </c>
      <c r="K247">
        <v>0</v>
      </c>
      <c r="L247">
        <v>0</v>
      </c>
      <c r="M247">
        <v>0</v>
      </c>
      <c r="N247">
        <v>15000</v>
      </c>
      <c r="O247">
        <v>20000</v>
      </c>
      <c r="P247">
        <v>8000</v>
      </c>
      <c r="Q247">
        <v>4000</v>
      </c>
      <c r="R247">
        <v>0</v>
      </c>
      <c r="S247">
        <v>0</v>
      </c>
      <c r="T247">
        <v>149500</v>
      </c>
      <c r="U247">
        <v>4000</v>
      </c>
      <c r="X247">
        <v>10</v>
      </c>
      <c r="Y247">
        <v>128</v>
      </c>
      <c r="Z247" t="s">
        <v>54</v>
      </c>
      <c r="AA247">
        <v>0</v>
      </c>
      <c r="AB247" t="s">
        <v>42</v>
      </c>
      <c r="AC247">
        <v>1</v>
      </c>
      <c r="AD247">
        <v>1</v>
      </c>
      <c r="AE247">
        <v>162000</v>
      </c>
      <c r="AF247">
        <v>149500</v>
      </c>
      <c r="AG247">
        <v>0</v>
      </c>
      <c r="AH247">
        <f t="shared" si="3"/>
        <v>2</v>
      </c>
    </row>
    <row r="248" spans="1:34" x14ac:dyDescent="0.3">
      <c r="A248" t="s">
        <v>33</v>
      </c>
      <c r="B248" t="s">
        <v>112</v>
      </c>
      <c r="C248">
        <v>1261</v>
      </c>
      <c r="D248">
        <v>695</v>
      </c>
      <c r="E248" t="s">
        <v>118</v>
      </c>
      <c r="F248" t="s">
        <v>56</v>
      </c>
      <c r="G248">
        <v>303</v>
      </c>
      <c r="H248">
        <v>4</v>
      </c>
      <c r="I248">
        <v>190000</v>
      </c>
      <c r="J248">
        <v>115000</v>
      </c>
      <c r="K248">
        <v>0</v>
      </c>
      <c r="L248">
        <v>110000</v>
      </c>
      <c r="M248">
        <v>125000</v>
      </c>
      <c r="N248">
        <v>30000</v>
      </c>
      <c r="O248">
        <v>30000</v>
      </c>
      <c r="P248">
        <v>15000</v>
      </c>
      <c r="Q248">
        <v>0</v>
      </c>
      <c r="R248">
        <v>0</v>
      </c>
      <c r="S248">
        <v>0</v>
      </c>
      <c r="T248">
        <v>134500</v>
      </c>
      <c r="V248">
        <v>33000</v>
      </c>
      <c r="X248">
        <v>10</v>
      </c>
      <c r="Y248">
        <v>128</v>
      </c>
      <c r="Z248" t="s">
        <v>54</v>
      </c>
      <c r="AA248">
        <v>0</v>
      </c>
      <c r="AB248" t="s">
        <v>42</v>
      </c>
      <c r="AC248">
        <v>3</v>
      </c>
      <c r="AD248">
        <v>4</v>
      </c>
      <c r="AE248">
        <v>315000</v>
      </c>
      <c r="AF248">
        <v>134500</v>
      </c>
      <c r="AG248">
        <v>0</v>
      </c>
      <c r="AH248">
        <f t="shared" si="3"/>
        <v>7</v>
      </c>
    </row>
    <row r="249" spans="1:34" x14ac:dyDescent="0.3">
      <c r="A249" t="s">
        <v>33</v>
      </c>
      <c r="B249" t="s">
        <v>112</v>
      </c>
      <c r="C249">
        <v>1169</v>
      </c>
      <c r="D249">
        <v>696</v>
      </c>
      <c r="E249" t="s">
        <v>119</v>
      </c>
      <c r="G249">
        <v>287</v>
      </c>
      <c r="H249">
        <v>0</v>
      </c>
      <c r="I249">
        <v>110000</v>
      </c>
      <c r="J249">
        <v>60000</v>
      </c>
      <c r="K249">
        <v>0</v>
      </c>
      <c r="L249">
        <v>0</v>
      </c>
      <c r="M249">
        <v>0</v>
      </c>
      <c r="N249">
        <v>0</v>
      </c>
      <c r="O249">
        <v>0</v>
      </c>
      <c r="P249">
        <v>0</v>
      </c>
      <c r="Q249">
        <v>0</v>
      </c>
      <c r="R249">
        <v>0</v>
      </c>
      <c r="S249">
        <v>0</v>
      </c>
      <c r="T249">
        <v>30000</v>
      </c>
      <c r="X249">
        <v>5</v>
      </c>
      <c r="Y249">
        <v>126</v>
      </c>
      <c r="Z249" t="s">
        <v>40</v>
      </c>
      <c r="AA249">
        <v>0</v>
      </c>
      <c r="AC249">
        <v>0</v>
      </c>
      <c r="AD249">
        <v>0</v>
      </c>
      <c r="AE249">
        <v>60000</v>
      </c>
      <c r="AF249">
        <v>30000</v>
      </c>
      <c r="AG249">
        <v>0</v>
      </c>
      <c r="AH249">
        <f t="shared" si="3"/>
        <v>0</v>
      </c>
    </row>
    <row r="250" spans="1:34" x14ac:dyDescent="0.3">
      <c r="A250" t="s">
        <v>33</v>
      </c>
      <c r="B250" t="s">
        <v>112</v>
      </c>
      <c r="C250">
        <v>1196</v>
      </c>
      <c r="D250">
        <v>696</v>
      </c>
      <c r="E250" t="s">
        <v>119</v>
      </c>
      <c r="F250" t="s">
        <v>94</v>
      </c>
      <c r="G250">
        <v>293</v>
      </c>
      <c r="H250">
        <v>1</v>
      </c>
      <c r="I250">
        <v>110000</v>
      </c>
      <c r="J250">
        <v>60000</v>
      </c>
      <c r="K250">
        <v>0</v>
      </c>
      <c r="L250">
        <v>0</v>
      </c>
      <c r="M250">
        <v>0</v>
      </c>
      <c r="N250">
        <v>20000</v>
      </c>
      <c r="O250">
        <v>16000</v>
      </c>
      <c r="P250">
        <v>23000</v>
      </c>
      <c r="Q250">
        <v>0</v>
      </c>
      <c r="R250">
        <v>0</v>
      </c>
      <c r="S250">
        <v>4000</v>
      </c>
      <c r="T250">
        <v>17000</v>
      </c>
      <c r="V250">
        <v>23000</v>
      </c>
      <c r="X250">
        <v>6</v>
      </c>
      <c r="Y250">
        <v>126</v>
      </c>
      <c r="Z250" t="s">
        <v>40</v>
      </c>
      <c r="AA250">
        <v>4000</v>
      </c>
      <c r="AB250" t="s">
        <v>52</v>
      </c>
      <c r="AC250">
        <v>2</v>
      </c>
      <c r="AD250">
        <v>3</v>
      </c>
      <c r="AE250">
        <v>123000</v>
      </c>
      <c r="AF250">
        <v>17000</v>
      </c>
      <c r="AG250">
        <v>0</v>
      </c>
      <c r="AH250">
        <f t="shared" si="3"/>
        <v>5</v>
      </c>
    </row>
    <row r="251" spans="1:34" x14ac:dyDescent="0.3">
      <c r="A251" t="s">
        <v>33</v>
      </c>
      <c r="B251" t="s">
        <v>112</v>
      </c>
      <c r="C251">
        <v>1208</v>
      </c>
      <c r="D251">
        <v>696</v>
      </c>
      <c r="E251" t="s">
        <v>119</v>
      </c>
      <c r="F251" t="s">
        <v>94</v>
      </c>
      <c r="G251">
        <v>295</v>
      </c>
      <c r="H251">
        <v>2</v>
      </c>
      <c r="I251">
        <v>110000</v>
      </c>
      <c r="J251">
        <v>60000</v>
      </c>
      <c r="K251">
        <v>0</v>
      </c>
      <c r="L251">
        <v>0</v>
      </c>
      <c r="M251">
        <v>0</v>
      </c>
      <c r="N251">
        <v>20000</v>
      </c>
      <c r="O251">
        <v>0</v>
      </c>
      <c r="P251">
        <v>10000</v>
      </c>
      <c r="Q251">
        <v>4000</v>
      </c>
      <c r="R251">
        <v>0</v>
      </c>
      <c r="S251">
        <v>0</v>
      </c>
      <c r="T251">
        <v>33000</v>
      </c>
      <c r="U251">
        <v>0</v>
      </c>
      <c r="V251">
        <v>10000</v>
      </c>
      <c r="W251">
        <v>4000</v>
      </c>
      <c r="X251">
        <v>7</v>
      </c>
      <c r="Y251">
        <v>126</v>
      </c>
      <c r="Z251" t="s">
        <v>40</v>
      </c>
      <c r="AA251">
        <v>0</v>
      </c>
      <c r="AB251" t="s">
        <v>52</v>
      </c>
      <c r="AC251">
        <v>1</v>
      </c>
      <c r="AD251">
        <v>1</v>
      </c>
      <c r="AE251">
        <v>94000</v>
      </c>
      <c r="AF251">
        <v>33000</v>
      </c>
      <c r="AG251">
        <v>0</v>
      </c>
      <c r="AH251">
        <f t="shared" si="3"/>
        <v>2</v>
      </c>
    </row>
    <row r="252" spans="1:34" x14ac:dyDescent="0.3">
      <c r="A252" t="s">
        <v>33</v>
      </c>
      <c r="B252" t="s">
        <v>112</v>
      </c>
      <c r="C252">
        <v>1240</v>
      </c>
      <c r="D252">
        <v>696</v>
      </c>
      <c r="E252" t="s">
        <v>119</v>
      </c>
      <c r="F252" t="s">
        <v>94</v>
      </c>
      <c r="G252">
        <v>300</v>
      </c>
      <c r="H252">
        <v>3</v>
      </c>
      <c r="I252">
        <v>110000</v>
      </c>
      <c r="J252">
        <v>60000</v>
      </c>
      <c r="K252">
        <v>0</v>
      </c>
      <c r="L252">
        <v>0</v>
      </c>
      <c r="M252">
        <v>0</v>
      </c>
      <c r="N252">
        <v>20000</v>
      </c>
      <c r="O252">
        <v>16000</v>
      </c>
      <c r="P252">
        <v>0</v>
      </c>
      <c r="Q252">
        <v>16700</v>
      </c>
      <c r="R252">
        <v>0</v>
      </c>
      <c r="S252">
        <v>0</v>
      </c>
      <c r="T252">
        <v>30300</v>
      </c>
      <c r="U252">
        <v>16700</v>
      </c>
      <c r="X252">
        <v>10</v>
      </c>
      <c r="Y252">
        <v>126</v>
      </c>
      <c r="Z252" t="s">
        <v>40</v>
      </c>
      <c r="AA252">
        <v>0</v>
      </c>
      <c r="AB252" t="s">
        <v>52</v>
      </c>
      <c r="AC252">
        <v>0</v>
      </c>
      <c r="AD252">
        <v>0</v>
      </c>
      <c r="AE252">
        <v>112700</v>
      </c>
      <c r="AF252">
        <v>30300</v>
      </c>
      <c r="AG252">
        <v>0</v>
      </c>
      <c r="AH252">
        <f t="shared" si="3"/>
        <v>0</v>
      </c>
    </row>
    <row r="253" spans="1:34" x14ac:dyDescent="0.3">
      <c r="A253" t="s">
        <v>33</v>
      </c>
      <c r="B253" t="s">
        <v>112</v>
      </c>
      <c r="C253">
        <v>1262</v>
      </c>
      <c r="D253">
        <v>696</v>
      </c>
      <c r="E253" t="s">
        <v>119</v>
      </c>
      <c r="F253" t="s">
        <v>94</v>
      </c>
      <c r="G253">
        <v>303</v>
      </c>
      <c r="H253">
        <v>4</v>
      </c>
      <c r="I253">
        <v>110000</v>
      </c>
      <c r="J253">
        <v>60000</v>
      </c>
      <c r="K253">
        <v>0</v>
      </c>
      <c r="L253">
        <v>0</v>
      </c>
      <c r="M253">
        <v>0</v>
      </c>
      <c r="N253">
        <v>20000</v>
      </c>
      <c r="O253">
        <v>16000</v>
      </c>
      <c r="P253">
        <v>0</v>
      </c>
      <c r="Q253">
        <v>0</v>
      </c>
      <c r="R253">
        <v>0</v>
      </c>
      <c r="S253">
        <v>0</v>
      </c>
      <c r="T253">
        <v>44300</v>
      </c>
      <c r="X253">
        <v>10</v>
      </c>
      <c r="Y253">
        <v>126</v>
      </c>
      <c r="Z253" t="s">
        <v>40</v>
      </c>
      <c r="AA253">
        <v>0</v>
      </c>
      <c r="AB253" t="s">
        <v>52</v>
      </c>
      <c r="AC253">
        <v>0</v>
      </c>
      <c r="AD253">
        <v>0</v>
      </c>
      <c r="AE253">
        <v>96000</v>
      </c>
      <c r="AF253">
        <v>44300</v>
      </c>
      <c r="AG253">
        <v>0</v>
      </c>
      <c r="AH253">
        <f t="shared" si="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253"/>
  <sheetViews>
    <sheetView workbookViewId="0"/>
  </sheetViews>
  <sheetFormatPr defaultRowHeight="14.4" x14ac:dyDescent="0.3"/>
  <cols>
    <col min="2" max="2" width="20.6640625" style="2" customWidth="1"/>
  </cols>
  <sheetData>
    <row r="1" spans="1:59" s="1" customFormat="1" x14ac:dyDescent="0.3">
      <c r="A1" s="1" t="s">
        <v>2</v>
      </c>
      <c r="B1" s="1" t="s">
        <v>120</v>
      </c>
      <c r="C1" s="1" t="s">
        <v>8</v>
      </c>
      <c r="D1" s="1" t="s">
        <v>9</v>
      </c>
      <c r="E1" s="1" t="s">
        <v>10</v>
      </c>
      <c r="F1" s="1" t="s">
        <v>14</v>
      </c>
      <c r="G1" s="1" t="s">
        <v>11</v>
      </c>
      <c r="H1" s="1" t="s">
        <v>12</v>
      </c>
      <c r="I1" s="1" t="s">
        <v>13</v>
      </c>
      <c r="J1" s="1" t="s">
        <v>15</v>
      </c>
      <c r="K1" s="1" t="s">
        <v>16</v>
      </c>
      <c r="L1" s="1" t="s">
        <v>17</v>
      </c>
      <c r="M1" s="1" t="s">
        <v>18</v>
      </c>
      <c r="N1" s="1" t="s">
        <v>19</v>
      </c>
      <c r="O1" s="1" t="s">
        <v>121</v>
      </c>
      <c r="P1" s="1" t="s">
        <v>122</v>
      </c>
      <c r="Q1" s="1" t="s">
        <v>123</v>
      </c>
      <c r="R1" s="1" t="s">
        <v>124</v>
      </c>
      <c r="S1" s="1" t="s">
        <v>125</v>
      </c>
      <c r="T1" s="1" t="s">
        <v>126</v>
      </c>
      <c r="U1" s="1" t="s">
        <v>127</v>
      </c>
      <c r="V1" s="1" t="s">
        <v>23</v>
      </c>
      <c r="W1" s="1" t="s">
        <v>128</v>
      </c>
      <c r="X1" s="1" t="s">
        <v>129</v>
      </c>
      <c r="Y1" s="1" t="s">
        <v>130</v>
      </c>
      <c r="Z1" s="1" t="s">
        <v>131</v>
      </c>
      <c r="AA1" s="1" t="s">
        <v>132</v>
      </c>
      <c r="AB1" s="1" t="s">
        <v>133</v>
      </c>
      <c r="AC1" s="1" t="s">
        <v>134</v>
      </c>
      <c r="AD1" s="1" t="s">
        <v>135</v>
      </c>
      <c r="AE1" s="1" t="s">
        <v>136</v>
      </c>
      <c r="AF1" s="1" t="s">
        <v>137</v>
      </c>
      <c r="AG1" s="1" t="s">
        <v>138</v>
      </c>
      <c r="AH1" s="1" t="s">
        <v>139</v>
      </c>
      <c r="AI1" s="1" t="s">
        <v>140</v>
      </c>
      <c r="AJ1" s="1" t="s">
        <v>141</v>
      </c>
      <c r="AK1" s="1" t="s">
        <v>29</v>
      </c>
      <c r="AL1" s="1" t="s">
        <v>28</v>
      </c>
      <c r="AM1" s="1" t="s">
        <v>142</v>
      </c>
      <c r="AN1" s="1" t="s">
        <v>3</v>
      </c>
      <c r="AO1" s="1" t="s">
        <v>6</v>
      </c>
      <c r="AP1" s="1" t="s">
        <v>143</v>
      </c>
      <c r="AQ1" s="1" t="s">
        <v>144</v>
      </c>
      <c r="AR1" s="1" t="s">
        <v>145</v>
      </c>
      <c r="AS1" s="1" t="s">
        <v>7</v>
      </c>
      <c r="AT1" s="1" t="s">
        <v>146</v>
      </c>
      <c r="AU1" s="1" t="s">
        <v>1</v>
      </c>
      <c r="AV1" s="1" t="s">
        <v>147</v>
      </c>
      <c r="AW1" s="1" t="s">
        <v>0</v>
      </c>
      <c r="AX1" s="1" t="s">
        <v>148</v>
      </c>
      <c r="AY1" s="1" t="s">
        <v>4</v>
      </c>
      <c r="AZ1" s="1" t="s">
        <v>24</v>
      </c>
      <c r="BA1" s="1" t="s">
        <v>5</v>
      </c>
      <c r="BB1" s="1" t="s">
        <v>27</v>
      </c>
      <c r="BC1" s="1" t="s">
        <v>25</v>
      </c>
      <c r="BD1" s="1" t="s">
        <v>21</v>
      </c>
      <c r="BE1" s="1" t="s">
        <v>20</v>
      </c>
      <c r="BF1" s="1" t="s">
        <v>26</v>
      </c>
      <c r="BG1" s="1" t="s">
        <v>22</v>
      </c>
    </row>
    <row r="2" spans="1:59" x14ac:dyDescent="0.3">
      <c r="A2">
        <v>1036</v>
      </c>
      <c r="B2" s="2">
        <v>45923.447962962957</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149</v>
      </c>
      <c r="AN2">
        <v>634</v>
      </c>
      <c r="AO2">
        <v>269</v>
      </c>
      <c r="AS2">
        <v>0</v>
      </c>
      <c r="AT2">
        <v>89</v>
      </c>
      <c r="AU2" t="s">
        <v>34</v>
      </c>
      <c r="AV2">
        <v>19</v>
      </c>
      <c r="AW2" t="s">
        <v>33</v>
      </c>
      <c r="AX2">
        <v>22</v>
      </c>
      <c r="AY2" t="s">
        <v>35</v>
      </c>
      <c r="AZ2">
        <v>124</v>
      </c>
      <c r="BC2" t="s">
        <v>36</v>
      </c>
      <c r="BF2">
        <v>0</v>
      </c>
    </row>
    <row r="3" spans="1:59" x14ac:dyDescent="0.3">
      <c r="A3">
        <v>1054</v>
      </c>
      <c r="B3" s="2">
        <v>45923.447962962957</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s">
        <v>150</v>
      </c>
      <c r="AN3">
        <v>634</v>
      </c>
      <c r="AO3">
        <v>271</v>
      </c>
      <c r="AQ3">
        <v>1307</v>
      </c>
      <c r="AS3">
        <v>1</v>
      </c>
      <c r="AT3">
        <v>89</v>
      </c>
      <c r="AU3" t="s">
        <v>34</v>
      </c>
      <c r="AV3">
        <v>19</v>
      </c>
      <c r="AW3" t="s">
        <v>33</v>
      </c>
      <c r="AX3">
        <v>22</v>
      </c>
      <c r="AY3" t="s">
        <v>35</v>
      </c>
      <c r="AZ3">
        <v>124</v>
      </c>
      <c r="BA3" t="s">
        <v>37</v>
      </c>
      <c r="BB3" t="s">
        <v>38</v>
      </c>
      <c r="BC3" t="s">
        <v>36</v>
      </c>
      <c r="BF3">
        <v>0</v>
      </c>
    </row>
    <row r="4" spans="1:59" x14ac:dyDescent="0.3">
      <c r="A4">
        <v>1092</v>
      </c>
      <c r="B4" s="2">
        <v>45923.447962962957</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s">
        <v>150</v>
      </c>
      <c r="AN4">
        <v>634</v>
      </c>
      <c r="AO4">
        <v>276</v>
      </c>
      <c r="AP4">
        <v>1307</v>
      </c>
      <c r="AQ4">
        <v>1307</v>
      </c>
      <c r="AS4">
        <v>2</v>
      </c>
      <c r="AT4">
        <v>89</v>
      </c>
      <c r="AU4" t="s">
        <v>34</v>
      </c>
      <c r="AV4">
        <v>19</v>
      </c>
      <c r="AW4" t="s">
        <v>33</v>
      </c>
      <c r="AX4">
        <v>22</v>
      </c>
      <c r="AY4" t="s">
        <v>35</v>
      </c>
      <c r="AZ4">
        <v>124</v>
      </c>
      <c r="BA4" t="s">
        <v>37</v>
      </c>
      <c r="BB4" t="s">
        <v>38</v>
      </c>
      <c r="BC4" t="s">
        <v>36</v>
      </c>
      <c r="BF4">
        <v>0</v>
      </c>
    </row>
    <row r="5" spans="1:59" x14ac:dyDescent="0.3">
      <c r="A5">
        <v>1105</v>
      </c>
      <c r="B5" s="2">
        <v>45923.447962962957</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s">
        <v>150</v>
      </c>
      <c r="AN5">
        <v>634</v>
      </c>
      <c r="AO5">
        <v>278</v>
      </c>
      <c r="AP5">
        <v>1307</v>
      </c>
      <c r="AQ5">
        <v>1307</v>
      </c>
      <c r="AS5">
        <v>3</v>
      </c>
      <c r="AT5">
        <v>89</v>
      </c>
      <c r="AU5" t="s">
        <v>34</v>
      </c>
      <c r="AV5">
        <v>19</v>
      </c>
      <c r="AW5" t="s">
        <v>33</v>
      </c>
      <c r="AX5">
        <v>22</v>
      </c>
      <c r="AY5" t="s">
        <v>35</v>
      </c>
      <c r="AZ5">
        <v>124</v>
      </c>
      <c r="BA5" t="s">
        <v>37</v>
      </c>
      <c r="BB5" t="s">
        <v>38</v>
      </c>
      <c r="BC5" t="s">
        <v>36</v>
      </c>
      <c r="BF5">
        <v>12000</v>
      </c>
    </row>
    <row r="6" spans="1:59" x14ac:dyDescent="0.3">
      <c r="A6">
        <v>1131</v>
      </c>
      <c r="B6" s="2">
        <v>45923.447962962957</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s">
        <v>150</v>
      </c>
      <c r="AN6">
        <v>634</v>
      </c>
      <c r="AO6">
        <v>282</v>
      </c>
      <c r="AP6">
        <v>1307</v>
      </c>
      <c r="AQ6">
        <v>1307</v>
      </c>
      <c r="AS6">
        <v>4</v>
      </c>
      <c r="AT6">
        <v>89</v>
      </c>
      <c r="AU6" t="s">
        <v>34</v>
      </c>
      <c r="AV6">
        <v>19</v>
      </c>
      <c r="AW6" t="s">
        <v>33</v>
      </c>
      <c r="AX6">
        <v>22</v>
      </c>
      <c r="AY6" t="s">
        <v>35</v>
      </c>
      <c r="AZ6">
        <v>124</v>
      </c>
      <c r="BA6" t="s">
        <v>37</v>
      </c>
      <c r="BB6" t="s">
        <v>38</v>
      </c>
      <c r="BC6" t="s">
        <v>36</v>
      </c>
      <c r="BF6">
        <v>12000</v>
      </c>
    </row>
    <row r="7" spans="1:59" x14ac:dyDescent="0.3">
      <c r="A7">
        <v>1030</v>
      </c>
      <c r="B7" s="2">
        <v>45923.436527777783</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s">
        <v>149</v>
      </c>
      <c r="AN7">
        <v>635</v>
      </c>
      <c r="AO7">
        <v>269</v>
      </c>
      <c r="AS7">
        <v>0</v>
      </c>
      <c r="AT7">
        <v>89</v>
      </c>
      <c r="AU7" t="s">
        <v>34</v>
      </c>
      <c r="AV7">
        <v>19</v>
      </c>
      <c r="AW7" t="s">
        <v>33</v>
      </c>
      <c r="AX7">
        <v>22</v>
      </c>
      <c r="AY7" t="s">
        <v>39</v>
      </c>
      <c r="AZ7">
        <v>126</v>
      </c>
      <c r="BC7" t="s">
        <v>40</v>
      </c>
      <c r="BF7">
        <v>0</v>
      </c>
    </row>
    <row r="8" spans="1:59" x14ac:dyDescent="0.3">
      <c r="A8">
        <v>1049</v>
      </c>
      <c r="B8" s="2">
        <v>45923.436527777783</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s">
        <v>150</v>
      </c>
      <c r="AN8">
        <v>635</v>
      </c>
      <c r="AO8">
        <v>271</v>
      </c>
      <c r="AQ8">
        <v>1296</v>
      </c>
      <c r="AS8">
        <v>1</v>
      </c>
      <c r="AT8">
        <v>89</v>
      </c>
      <c r="AU8" t="s">
        <v>34</v>
      </c>
      <c r="AV8">
        <v>19</v>
      </c>
      <c r="AW8" t="s">
        <v>33</v>
      </c>
      <c r="AX8">
        <v>22</v>
      </c>
      <c r="AY8" t="s">
        <v>39</v>
      </c>
      <c r="AZ8">
        <v>126</v>
      </c>
      <c r="BA8" t="s">
        <v>41</v>
      </c>
      <c r="BB8" t="s">
        <v>42</v>
      </c>
      <c r="BC8" t="s">
        <v>40</v>
      </c>
      <c r="BD8">
        <v>8000</v>
      </c>
      <c r="BF8">
        <v>0</v>
      </c>
    </row>
    <row r="9" spans="1:59" x14ac:dyDescent="0.3">
      <c r="A9">
        <v>1090</v>
      </c>
      <c r="B9" s="2">
        <v>45923.436527777783</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s">
        <v>150</v>
      </c>
      <c r="AN9">
        <v>635</v>
      </c>
      <c r="AO9">
        <v>276</v>
      </c>
      <c r="AP9">
        <v>1296</v>
      </c>
      <c r="AQ9">
        <v>1296</v>
      </c>
      <c r="AS9">
        <v>2</v>
      </c>
      <c r="AT9">
        <v>89</v>
      </c>
      <c r="AU9" t="s">
        <v>34</v>
      </c>
      <c r="AV9">
        <v>19</v>
      </c>
      <c r="AW9" t="s">
        <v>33</v>
      </c>
      <c r="AX9">
        <v>22</v>
      </c>
      <c r="AY9" t="s">
        <v>39</v>
      </c>
      <c r="AZ9">
        <v>126</v>
      </c>
      <c r="BA9" t="s">
        <v>41</v>
      </c>
      <c r="BB9" t="s">
        <v>42</v>
      </c>
      <c r="BC9" t="s">
        <v>40</v>
      </c>
      <c r="BE9">
        <v>7650</v>
      </c>
      <c r="BF9">
        <v>0</v>
      </c>
    </row>
    <row r="10" spans="1:59" x14ac:dyDescent="0.3">
      <c r="A10">
        <v>1102</v>
      </c>
      <c r="B10" s="2">
        <v>45923.436527777783</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s">
        <v>150</v>
      </c>
      <c r="AN10">
        <v>635</v>
      </c>
      <c r="AO10">
        <v>278</v>
      </c>
      <c r="AP10">
        <v>1296</v>
      </c>
      <c r="AQ10">
        <v>1296</v>
      </c>
      <c r="AS10">
        <v>3</v>
      </c>
      <c r="AT10">
        <v>89</v>
      </c>
      <c r="AU10" t="s">
        <v>34</v>
      </c>
      <c r="AV10">
        <v>19</v>
      </c>
      <c r="AW10" t="s">
        <v>33</v>
      </c>
      <c r="AX10">
        <v>22</v>
      </c>
      <c r="AY10" t="s">
        <v>39</v>
      </c>
      <c r="AZ10">
        <v>126</v>
      </c>
      <c r="BA10" t="s">
        <v>41</v>
      </c>
      <c r="BB10" t="s">
        <v>42</v>
      </c>
      <c r="BC10" t="s">
        <v>40</v>
      </c>
      <c r="BD10">
        <v>6000</v>
      </c>
      <c r="BE10">
        <v>14000</v>
      </c>
      <c r="BF10">
        <v>0</v>
      </c>
      <c r="BG10">
        <v>1500</v>
      </c>
    </row>
    <row r="11" spans="1:59" x14ac:dyDescent="0.3">
      <c r="A11">
        <v>1127</v>
      </c>
      <c r="B11" s="2">
        <v>45923.436527777783</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s">
        <v>150</v>
      </c>
      <c r="AN11">
        <v>635</v>
      </c>
      <c r="AO11">
        <v>282</v>
      </c>
      <c r="AP11">
        <v>1296</v>
      </c>
      <c r="AQ11">
        <v>1296</v>
      </c>
      <c r="AS11">
        <v>4</v>
      </c>
      <c r="AT11">
        <v>89</v>
      </c>
      <c r="AU11" t="s">
        <v>34</v>
      </c>
      <c r="AV11">
        <v>19</v>
      </c>
      <c r="AW11" t="s">
        <v>33</v>
      </c>
      <c r="AX11">
        <v>22</v>
      </c>
      <c r="AY11" t="s">
        <v>39</v>
      </c>
      <c r="AZ11">
        <v>126</v>
      </c>
      <c r="BA11" t="s">
        <v>41</v>
      </c>
      <c r="BB11" t="s">
        <v>42</v>
      </c>
      <c r="BC11" t="s">
        <v>40</v>
      </c>
      <c r="BD11">
        <v>1000</v>
      </c>
      <c r="BF11">
        <v>0</v>
      </c>
    </row>
    <row r="12" spans="1:59" x14ac:dyDescent="0.3">
      <c r="A12">
        <v>1025</v>
      </c>
      <c r="B12" s="2">
        <v>45923.434733796297</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s">
        <v>149</v>
      </c>
      <c r="AN12">
        <v>636</v>
      </c>
      <c r="AO12">
        <v>269</v>
      </c>
      <c r="AS12">
        <v>0</v>
      </c>
      <c r="AT12">
        <v>89</v>
      </c>
      <c r="AU12" t="s">
        <v>34</v>
      </c>
      <c r="AV12">
        <v>19</v>
      </c>
      <c r="AW12" t="s">
        <v>33</v>
      </c>
      <c r="AX12">
        <v>22</v>
      </c>
      <c r="AY12" t="s">
        <v>43</v>
      </c>
      <c r="AZ12">
        <v>123</v>
      </c>
      <c r="BC12" t="s">
        <v>44</v>
      </c>
      <c r="BF12">
        <v>0</v>
      </c>
    </row>
    <row r="13" spans="1:59" x14ac:dyDescent="0.3">
      <c r="A13">
        <v>1050</v>
      </c>
      <c r="B13" s="2">
        <v>45923.434733796297</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s">
        <v>150</v>
      </c>
      <c r="AN13">
        <v>636</v>
      </c>
      <c r="AO13">
        <v>271</v>
      </c>
      <c r="AQ13">
        <v>1308</v>
      </c>
      <c r="AS13">
        <v>1</v>
      </c>
      <c r="AT13">
        <v>89</v>
      </c>
      <c r="AU13" t="s">
        <v>34</v>
      </c>
      <c r="AV13">
        <v>19</v>
      </c>
      <c r="AW13" t="s">
        <v>33</v>
      </c>
      <c r="AX13">
        <v>22</v>
      </c>
      <c r="AY13" t="s">
        <v>43</v>
      </c>
      <c r="AZ13">
        <v>123</v>
      </c>
      <c r="BA13" t="s">
        <v>45</v>
      </c>
      <c r="BB13" t="s">
        <v>38</v>
      </c>
      <c r="BC13" t="s">
        <v>44</v>
      </c>
      <c r="BE13">
        <v>1750</v>
      </c>
      <c r="BF13">
        <v>0</v>
      </c>
    </row>
    <row r="14" spans="1:59" x14ac:dyDescent="0.3">
      <c r="A14">
        <v>1091</v>
      </c>
      <c r="B14" s="2">
        <v>45923.434733796297</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s">
        <v>150</v>
      </c>
      <c r="AN14">
        <v>636</v>
      </c>
      <c r="AO14">
        <v>276</v>
      </c>
      <c r="AP14">
        <v>1308</v>
      </c>
      <c r="AQ14">
        <v>1308</v>
      </c>
      <c r="AS14">
        <v>2</v>
      </c>
      <c r="AT14">
        <v>89</v>
      </c>
      <c r="AU14" t="s">
        <v>34</v>
      </c>
      <c r="AV14">
        <v>19</v>
      </c>
      <c r="AW14" t="s">
        <v>33</v>
      </c>
      <c r="AX14">
        <v>22</v>
      </c>
      <c r="AY14" t="s">
        <v>43</v>
      </c>
      <c r="AZ14">
        <v>123</v>
      </c>
      <c r="BA14" t="s">
        <v>45</v>
      </c>
      <c r="BB14" t="s">
        <v>38</v>
      </c>
      <c r="BC14" t="s">
        <v>44</v>
      </c>
      <c r="BD14">
        <v>1000</v>
      </c>
      <c r="BE14">
        <v>1400</v>
      </c>
      <c r="BF14">
        <v>0</v>
      </c>
      <c r="BG14">
        <v>0</v>
      </c>
    </row>
    <row r="15" spans="1:59" x14ac:dyDescent="0.3">
      <c r="A15">
        <v>1111</v>
      </c>
      <c r="B15" s="2">
        <v>45923.434733796297</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s">
        <v>150</v>
      </c>
      <c r="AN15">
        <v>636</v>
      </c>
      <c r="AO15">
        <v>278</v>
      </c>
      <c r="AP15">
        <v>1308</v>
      </c>
      <c r="AQ15">
        <v>1308</v>
      </c>
      <c r="AS15">
        <v>3</v>
      </c>
      <c r="AT15">
        <v>89</v>
      </c>
      <c r="AU15" t="s">
        <v>34</v>
      </c>
      <c r="AV15">
        <v>19</v>
      </c>
      <c r="AW15" t="s">
        <v>33</v>
      </c>
      <c r="AX15">
        <v>22</v>
      </c>
      <c r="AY15" t="s">
        <v>43</v>
      </c>
      <c r="AZ15">
        <v>123</v>
      </c>
      <c r="BA15" t="s">
        <v>45</v>
      </c>
      <c r="BB15" t="s">
        <v>38</v>
      </c>
      <c r="BC15" t="s">
        <v>44</v>
      </c>
      <c r="BF15">
        <v>12000</v>
      </c>
    </row>
    <row r="16" spans="1:59" x14ac:dyDescent="0.3">
      <c r="A16">
        <v>1128</v>
      </c>
      <c r="B16" s="2">
        <v>45923.434733796297</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s">
        <v>150</v>
      </c>
      <c r="AN16">
        <v>636</v>
      </c>
      <c r="AO16">
        <v>282</v>
      </c>
      <c r="AP16">
        <v>1308</v>
      </c>
      <c r="AQ16">
        <v>1308</v>
      </c>
      <c r="AS16">
        <v>4</v>
      </c>
      <c r="AT16">
        <v>89</v>
      </c>
      <c r="AU16" t="s">
        <v>34</v>
      </c>
      <c r="AV16">
        <v>19</v>
      </c>
      <c r="AW16" t="s">
        <v>33</v>
      </c>
      <c r="AX16">
        <v>22</v>
      </c>
      <c r="AY16" t="s">
        <v>43</v>
      </c>
      <c r="AZ16">
        <v>123</v>
      </c>
      <c r="BA16" t="s">
        <v>45</v>
      </c>
      <c r="BB16" t="s">
        <v>38</v>
      </c>
      <c r="BC16" t="s">
        <v>44</v>
      </c>
      <c r="BF16">
        <v>12000</v>
      </c>
    </row>
    <row r="17" spans="1:59" x14ac:dyDescent="0.3">
      <c r="A17">
        <v>1034</v>
      </c>
      <c r="B17" s="2">
        <v>45923.440081018518</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s">
        <v>149</v>
      </c>
      <c r="AN17">
        <v>637</v>
      </c>
      <c r="AO17">
        <v>269</v>
      </c>
      <c r="AS17">
        <v>0</v>
      </c>
      <c r="AT17">
        <v>89</v>
      </c>
      <c r="AU17" t="s">
        <v>34</v>
      </c>
      <c r="AV17">
        <v>19</v>
      </c>
      <c r="AW17" t="s">
        <v>33</v>
      </c>
      <c r="AX17">
        <v>22</v>
      </c>
      <c r="AY17" t="s">
        <v>46</v>
      </c>
      <c r="AZ17">
        <v>125</v>
      </c>
      <c r="BC17" t="s">
        <v>47</v>
      </c>
      <c r="BF17">
        <v>0</v>
      </c>
    </row>
    <row r="18" spans="1:59" x14ac:dyDescent="0.3">
      <c r="A18">
        <v>1052</v>
      </c>
      <c r="B18" s="2">
        <v>45923.440081018518</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s">
        <v>150</v>
      </c>
      <c r="AN18">
        <v>637</v>
      </c>
      <c r="AO18">
        <v>271</v>
      </c>
      <c r="AQ18">
        <v>1298</v>
      </c>
      <c r="AS18">
        <v>1</v>
      </c>
      <c r="AT18">
        <v>89</v>
      </c>
      <c r="AU18" t="s">
        <v>34</v>
      </c>
      <c r="AV18">
        <v>19</v>
      </c>
      <c r="AW18" t="s">
        <v>33</v>
      </c>
      <c r="AX18">
        <v>22</v>
      </c>
      <c r="AY18" t="s">
        <v>46</v>
      </c>
      <c r="AZ18">
        <v>125</v>
      </c>
      <c r="BA18" t="s">
        <v>48</v>
      </c>
      <c r="BB18" t="s">
        <v>42</v>
      </c>
      <c r="BC18" t="s">
        <v>47</v>
      </c>
      <c r="BD18">
        <v>6000</v>
      </c>
      <c r="BE18">
        <v>5000</v>
      </c>
      <c r="BF18">
        <v>0</v>
      </c>
      <c r="BG18">
        <v>0</v>
      </c>
    </row>
    <row r="19" spans="1:59" x14ac:dyDescent="0.3">
      <c r="A19">
        <v>1094</v>
      </c>
      <c r="B19" s="2">
        <v>45923.440081018518</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s">
        <v>150</v>
      </c>
      <c r="AN19">
        <v>637</v>
      </c>
      <c r="AO19">
        <v>276</v>
      </c>
      <c r="AP19">
        <v>1298</v>
      </c>
      <c r="AQ19">
        <v>1298</v>
      </c>
      <c r="AS19">
        <v>2</v>
      </c>
      <c r="AT19">
        <v>89</v>
      </c>
      <c r="AU19" t="s">
        <v>34</v>
      </c>
      <c r="AV19">
        <v>19</v>
      </c>
      <c r="AW19" t="s">
        <v>33</v>
      </c>
      <c r="AX19">
        <v>22</v>
      </c>
      <c r="AY19" t="s">
        <v>46</v>
      </c>
      <c r="AZ19">
        <v>125</v>
      </c>
      <c r="BA19" t="s">
        <v>48</v>
      </c>
      <c r="BB19" t="s">
        <v>42</v>
      </c>
      <c r="BC19" t="s">
        <v>47</v>
      </c>
      <c r="BD19">
        <v>10000</v>
      </c>
      <c r="BE19">
        <v>2500</v>
      </c>
      <c r="BF19">
        <v>0</v>
      </c>
      <c r="BG19">
        <v>0</v>
      </c>
    </row>
    <row r="20" spans="1:59" x14ac:dyDescent="0.3">
      <c r="A20">
        <v>1108</v>
      </c>
      <c r="B20" s="2">
        <v>45923.440081018518</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s">
        <v>150</v>
      </c>
      <c r="AN20">
        <v>637</v>
      </c>
      <c r="AO20">
        <v>278</v>
      </c>
      <c r="AP20">
        <v>1298</v>
      </c>
      <c r="AQ20">
        <v>1298</v>
      </c>
      <c r="AS20">
        <v>3</v>
      </c>
      <c r="AT20">
        <v>89</v>
      </c>
      <c r="AU20" t="s">
        <v>34</v>
      </c>
      <c r="AV20">
        <v>19</v>
      </c>
      <c r="AW20" t="s">
        <v>33</v>
      </c>
      <c r="AX20">
        <v>22</v>
      </c>
      <c r="AY20" t="s">
        <v>46</v>
      </c>
      <c r="AZ20">
        <v>125</v>
      </c>
      <c r="BA20" t="s">
        <v>48</v>
      </c>
      <c r="BB20" t="s">
        <v>42</v>
      </c>
      <c r="BC20" t="s">
        <v>47</v>
      </c>
      <c r="BD20">
        <v>8000</v>
      </c>
      <c r="BF20">
        <v>0</v>
      </c>
    </row>
    <row r="21" spans="1:59" x14ac:dyDescent="0.3">
      <c r="A21">
        <v>1133</v>
      </c>
      <c r="B21" s="2">
        <v>45923.440081018518</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s">
        <v>151</v>
      </c>
      <c r="AN21">
        <v>637</v>
      </c>
      <c r="AO21">
        <v>282</v>
      </c>
      <c r="AP21">
        <v>1298</v>
      </c>
      <c r="AQ21">
        <v>1298</v>
      </c>
      <c r="AS21">
        <v>4</v>
      </c>
      <c r="AT21">
        <v>89</v>
      </c>
      <c r="AU21" t="s">
        <v>34</v>
      </c>
      <c r="AV21">
        <v>19</v>
      </c>
      <c r="AW21" t="s">
        <v>33</v>
      </c>
      <c r="AX21">
        <v>22</v>
      </c>
      <c r="AY21" t="s">
        <v>46</v>
      </c>
      <c r="AZ21">
        <v>125</v>
      </c>
      <c r="BA21" t="s">
        <v>48</v>
      </c>
      <c r="BB21" t="s">
        <v>42</v>
      </c>
      <c r="BC21" t="s">
        <v>47</v>
      </c>
      <c r="BD21">
        <v>9000</v>
      </c>
      <c r="BE21">
        <v>6500</v>
      </c>
      <c r="BF21">
        <v>0</v>
      </c>
      <c r="BG21">
        <v>-6500</v>
      </c>
    </row>
    <row r="22" spans="1:59" x14ac:dyDescent="0.3">
      <c r="A22">
        <v>1033</v>
      </c>
      <c r="B22" s="2">
        <v>45923.439953703702</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s">
        <v>149</v>
      </c>
      <c r="AN22">
        <v>638</v>
      </c>
      <c r="AO22">
        <v>269</v>
      </c>
      <c r="AS22">
        <v>0</v>
      </c>
      <c r="AT22">
        <v>89</v>
      </c>
      <c r="AU22" t="s">
        <v>34</v>
      </c>
      <c r="AV22">
        <v>19</v>
      </c>
      <c r="AW22" t="s">
        <v>33</v>
      </c>
      <c r="AX22">
        <v>22</v>
      </c>
      <c r="AY22" t="s">
        <v>49</v>
      </c>
      <c r="AZ22">
        <v>127</v>
      </c>
      <c r="BC22" t="s">
        <v>50</v>
      </c>
      <c r="BF22">
        <v>0</v>
      </c>
    </row>
    <row r="23" spans="1:59" x14ac:dyDescent="0.3">
      <c r="A23">
        <v>1051</v>
      </c>
      <c r="B23" s="2">
        <v>45923.439953703702</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s">
        <v>150</v>
      </c>
      <c r="AN23">
        <v>638</v>
      </c>
      <c r="AO23">
        <v>271</v>
      </c>
      <c r="AQ23">
        <v>1299</v>
      </c>
      <c r="AS23">
        <v>1</v>
      </c>
      <c r="AT23">
        <v>89</v>
      </c>
      <c r="AU23" t="s">
        <v>34</v>
      </c>
      <c r="AV23">
        <v>19</v>
      </c>
      <c r="AW23" t="s">
        <v>33</v>
      </c>
      <c r="AX23">
        <v>22</v>
      </c>
      <c r="AY23" t="s">
        <v>49</v>
      </c>
      <c r="AZ23">
        <v>127</v>
      </c>
      <c r="BA23" t="s">
        <v>51</v>
      </c>
      <c r="BB23" t="s">
        <v>52</v>
      </c>
      <c r="BC23" t="s">
        <v>50</v>
      </c>
      <c r="BF23">
        <v>4000</v>
      </c>
    </row>
    <row r="24" spans="1:59" x14ac:dyDescent="0.3">
      <c r="A24">
        <v>1093</v>
      </c>
      <c r="B24" s="2">
        <v>45923.439953703702</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s">
        <v>150</v>
      </c>
      <c r="AN24">
        <v>638</v>
      </c>
      <c r="AO24">
        <v>276</v>
      </c>
      <c r="AP24">
        <v>1299</v>
      </c>
      <c r="AQ24">
        <v>1299</v>
      </c>
      <c r="AS24">
        <v>2</v>
      </c>
      <c r="AT24">
        <v>89</v>
      </c>
      <c r="AU24" t="s">
        <v>34</v>
      </c>
      <c r="AV24">
        <v>19</v>
      </c>
      <c r="AW24" t="s">
        <v>33</v>
      </c>
      <c r="AX24">
        <v>22</v>
      </c>
      <c r="AY24" t="s">
        <v>49</v>
      </c>
      <c r="AZ24">
        <v>127</v>
      </c>
      <c r="BA24" t="s">
        <v>51</v>
      </c>
      <c r="BB24" t="s">
        <v>52</v>
      </c>
      <c r="BC24" t="s">
        <v>50</v>
      </c>
      <c r="BF24">
        <v>0</v>
      </c>
    </row>
    <row r="25" spans="1:59" x14ac:dyDescent="0.3">
      <c r="A25">
        <v>1107</v>
      </c>
      <c r="B25" s="2">
        <v>45923.439953703702</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s">
        <v>150</v>
      </c>
      <c r="AN25">
        <v>638</v>
      </c>
      <c r="AO25">
        <v>278</v>
      </c>
      <c r="AP25">
        <v>1299</v>
      </c>
      <c r="AQ25">
        <v>1299</v>
      </c>
      <c r="AS25">
        <v>3</v>
      </c>
      <c r="AT25">
        <v>89</v>
      </c>
      <c r="AU25" t="s">
        <v>34</v>
      </c>
      <c r="AV25">
        <v>19</v>
      </c>
      <c r="AW25" t="s">
        <v>33</v>
      </c>
      <c r="AX25">
        <v>22</v>
      </c>
      <c r="AY25" t="s">
        <v>49</v>
      </c>
      <c r="AZ25">
        <v>127</v>
      </c>
      <c r="BA25" t="s">
        <v>51</v>
      </c>
      <c r="BB25" t="s">
        <v>52</v>
      </c>
      <c r="BC25" t="s">
        <v>50</v>
      </c>
      <c r="BF25">
        <v>0</v>
      </c>
    </row>
    <row r="26" spans="1:59" x14ac:dyDescent="0.3">
      <c r="A26">
        <v>1129</v>
      </c>
      <c r="B26" s="2">
        <v>45923.439953703702</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s">
        <v>150</v>
      </c>
      <c r="AN26">
        <v>638</v>
      </c>
      <c r="AO26">
        <v>282</v>
      </c>
      <c r="AP26">
        <v>1299</v>
      </c>
      <c r="AQ26">
        <v>1299</v>
      </c>
      <c r="AS26">
        <v>4</v>
      </c>
      <c r="AT26">
        <v>89</v>
      </c>
      <c r="AU26" t="s">
        <v>34</v>
      </c>
      <c r="AV26">
        <v>19</v>
      </c>
      <c r="AW26" t="s">
        <v>33</v>
      </c>
      <c r="AX26">
        <v>22</v>
      </c>
      <c r="AY26" t="s">
        <v>49</v>
      </c>
      <c r="AZ26">
        <v>127</v>
      </c>
      <c r="BA26" t="s">
        <v>51</v>
      </c>
      <c r="BB26" t="s">
        <v>52</v>
      </c>
      <c r="BC26" t="s">
        <v>50</v>
      </c>
      <c r="BD26">
        <v>6000</v>
      </c>
      <c r="BF26">
        <v>0</v>
      </c>
    </row>
    <row r="27" spans="1:59" x14ac:dyDescent="0.3">
      <c r="A27">
        <v>1043</v>
      </c>
      <c r="B27" s="2">
        <v>45923.448321759257</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s">
        <v>149</v>
      </c>
      <c r="AN27">
        <v>639</v>
      </c>
      <c r="AO27">
        <v>269</v>
      </c>
      <c r="AS27">
        <v>0</v>
      </c>
      <c r="AT27">
        <v>89</v>
      </c>
      <c r="AU27" t="s">
        <v>34</v>
      </c>
      <c r="AV27">
        <v>19</v>
      </c>
      <c r="AW27" t="s">
        <v>33</v>
      </c>
      <c r="AX27">
        <v>22</v>
      </c>
      <c r="AY27" t="s">
        <v>53</v>
      </c>
      <c r="AZ27">
        <v>128</v>
      </c>
      <c r="BC27" t="s">
        <v>54</v>
      </c>
      <c r="BF27">
        <v>0</v>
      </c>
    </row>
    <row r="28" spans="1:59" x14ac:dyDescent="0.3">
      <c r="A28">
        <v>1053</v>
      </c>
      <c r="B28" s="2">
        <v>45923.448321759257</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s">
        <v>150</v>
      </c>
      <c r="AN28">
        <v>639</v>
      </c>
      <c r="AO28">
        <v>271</v>
      </c>
      <c r="AQ28">
        <v>1300</v>
      </c>
      <c r="AS28">
        <v>1</v>
      </c>
      <c r="AT28">
        <v>89</v>
      </c>
      <c r="AU28" t="s">
        <v>34</v>
      </c>
      <c r="AV28">
        <v>19</v>
      </c>
      <c r="AW28" t="s">
        <v>33</v>
      </c>
      <c r="AX28">
        <v>22</v>
      </c>
      <c r="AY28" t="s">
        <v>53</v>
      </c>
      <c r="AZ28">
        <v>128</v>
      </c>
      <c r="BA28" t="s">
        <v>55</v>
      </c>
      <c r="BB28" t="s">
        <v>52</v>
      </c>
      <c r="BC28" t="s">
        <v>54</v>
      </c>
      <c r="BE28">
        <v>0</v>
      </c>
      <c r="BF28">
        <v>0</v>
      </c>
    </row>
    <row r="29" spans="1:59" x14ac:dyDescent="0.3">
      <c r="A29">
        <v>1095</v>
      </c>
      <c r="B29" s="2">
        <v>45923.448321759257</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s">
        <v>150</v>
      </c>
      <c r="AN29">
        <v>639</v>
      </c>
      <c r="AO29">
        <v>276</v>
      </c>
      <c r="AP29">
        <v>1300</v>
      </c>
      <c r="AQ29">
        <v>1300</v>
      </c>
      <c r="AS29">
        <v>2</v>
      </c>
      <c r="AT29">
        <v>89</v>
      </c>
      <c r="AU29" t="s">
        <v>34</v>
      </c>
      <c r="AV29">
        <v>19</v>
      </c>
      <c r="AW29" t="s">
        <v>33</v>
      </c>
      <c r="AX29">
        <v>22</v>
      </c>
      <c r="AY29" t="s">
        <v>53</v>
      </c>
      <c r="AZ29">
        <v>128</v>
      </c>
      <c r="BA29" t="s">
        <v>55</v>
      </c>
      <c r="BB29" t="s">
        <v>52</v>
      </c>
      <c r="BC29" t="s">
        <v>54</v>
      </c>
      <c r="BF29">
        <v>0</v>
      </c>
    </row>
    <row r="30" spans="1:59" x14ac:dyDescent="0.3">
      <c r="A30">
        <v>1114</v>
      </c>
      <c r="B30" s="2">
        <v>45923.448321759257</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s">
        <v>150</v>
      </c>
      <c r="AN30">
        <v>639</v>
      </c>
      <c r="AO30">
        <v>278</v>
      </c>
      <c r="AP30">
        <v>1300</v>
      </c>
      <c r="AQ30">
        <v>1300</v>
      </c>
      <c r="AS30">
        <v>3</v>
      </c>
      <c r="AT30">
        <v>89</v>
      </c>
      <c r="AU30" t="s">
        <v>34</v>
      </c>
      <c r="AV30">
        <v>19</v>
      </c>
      <c r="AW30" t="s">
        <v>33</v>
      </c>
      <c r="AX30">
        <v>22</v>
      </c>
      <c r="AY30" t="s">
        <v>53</v>
      </c>
      <c r="AZ30">
        <v>128</v>
      </c>
      <c r="BA30" t="s">
        <v>55</v>
      </c>
      <c r="BB30" t="s">
        <v>52</v>
      </c>
      <c r="BC30" t="s">
        <v>54</v>
      </c>
      <c r="BE30">
        <v>9500</v>
      </c>
      <c r="BF30">
        <v>0</v>
      </c>
    </row>
    <row r="31" spans="1:59" x14ac:dyDescent="0.3">
      <c r="A31">
        <v>1132</v>
      </c>
      <c r="B31" s="2">
        <v>45923.448321759257</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s">
        <v>152</v>
      </c>
      <c r="AG31">
        <v>6</v>
      </c>
      <c r="AH31">
        <v>9</v>
      </c>
      <c r="AI31">
        <v>-2</v>
      </c>
      <c r="AJ31">
        <v>-1</v>
      </c>
      <c r="AK31">
        <v>4</v>
      </c>
      <c r="AL31">
        <v>2</v>
      </c>
      <c r="AM31" t="s">
        <v>150</v>
      </c>
      <c r="AN31">
        <v>639</v>
      </c>
      <c r="AO31">
        <v>282</v>
      </c>
      <c r="AP31">
        <v>1300</v>
      </c>
      <c r="AQ31">
        <v>1357</v>
      </c>
      <c r="AS31">
        <v>4</v>
      </c>
      <c r="AT31">
        <v>89</v>
      </c>
      <c r="AU31" t="s">
        <v>34</v>
      </c>
      <c r="AV31">
        <v>19</v>
      </c>
      <c r="AW31" t="s">
        <v>33</v>
      </c>
      <c r="AX31">
        <v>22</v>
      </c>
      <c r="AY31" t="s">
        <v>53</v>
      </c>
      <c r="AZ31">
        <v>128</v>
      </c>
      <c r="BA31" t="s">
        <v>56</v>
      </c>
      <c r="BB31" t="s">
        <v>42</v>
      </c>
      <c r="BC31" t="s">
        <v>54</v>
      </c>
      <c r="BD31">
        <v>32000</v>
      </c>
      <c r="BF31">
        <v>0</v>
      </c>
    </row>
    <row r="32" spans="1:59" x14ac:dyDescent="0.3">
      <c r="A32">
        <v>1032</v>
      </c>
      <c r="B32" s="2">
        <v>45923.439791666657</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s">
        <v>149</v>
      </c>
      <c r="AN32">
        <v>640</v>
      </c>
      <c r="AO32">
        <v>269</v>
      </c>
      <c r="AS32">
        <v>0</v>
      </c>
      <c r="AT32">
        <v>89</v>
      </c>
      <c r="AU32" t="s">
        <v>34</v>
      </c>
      <c r="AV32">
        <v>19</v>
      </c>
      <c r="AW32" t="s">
        <v>33</v>
      </c>
      <c r="AX32">
        <v>22</v>
      </c>
      <c r="AY32" t="s">
        <v>57</v>
      </c>
      <c r="AZ32">
        <v>126</v>
      </c>
      <c r="BC32" t="s">
        <v>40</v>
      </c>
      <c r="BF32">
        <v>0</v>
      </c>
    </row>
    <row r="33" spans="1:58" x14ac:dyDescent="0.3">
      <c r="A33">
        <v>1061</v>
      </c>
      <c r="B33" s="2">
        <v>45923.439791666657</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s">
        <v>150</v>
      </c>
      <c r="AN33">
        <v>640</v>
      </c>
      <c r="AO33">
        <v>271</v>
      </c>
      <c r="AQ33">
        <v>1297</v>
      </c>
      <c r="AS33">
        <v>1</v>
      </c>
      <c r="AT33">
        <v>89</v>
      </c>
      <c r="AU33" t="s">
        <v>34</v>
      </c>
      <c r="AV33">
        <v>19</v>
      </c>
      <c r="AW33" t="s">
        <v>33</v>
      </c>
      <c r="AX33">
        <v>22</v>
      </c>
      <c r="AY33" t="s">
        <v>57</v>
      </c>
      <c r="AZ33">
        <v>126</v>
      </c>
      <c r="BA33" t="s">
        <v>58</v>
      </c>
      <c r="BB33" t="s">
        <v>42</v>
      </c>
      <c r="BC33" t="s">
        <v>40</v>
      </c>
      <c r="BF33">
        <v>0</v>
      </c>
    </row>
    <row r="34" spans="1:58" x14ac:dyDescent="0.3">
      <c r="A34">
        <v>1089</v>
      </c>
      <c r="B34" s="2">
        <v>45923.439791666657</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s">
        <v>150</v>
      </c>
      <c r="AN34">
        <v>640</v>
      </c>
      <c r="AO34">
        <v>276</v>
      </c>
      <c r="AP34">
        <v>1297</v>
      </c>
      <c r="AQ34">
        <v>1297</v>
      </c>
      <c r="AS34">
        <v>2</v>
      </c>
      <c r="AT34">
        <v>89</v>
      </c>
      <c r="AU34" t="s">
        <v>34</v>
      </c>
      <c r="AV34">
        <v>19</v>
      </c>
      <c r="AW34" t="s">
        <v>33</v>
      </c>
      <c r="AX34">
        <v>22</v>
      </c>
      <c r="AY34" t="s">
        <v>57</v>
      </c>
      <c r="AZ34">
        <v>126</v>
      </c>
      <c r="BA34" t="s">
        <v>58</v>
      </c>
      <c r="BB34" t="s">
        <v>42</v>
      </c>
      <c r="BC34" t="s">
        <v>40</v>
      </c>
      <c r="BF34">
        <v>0</v>
      </c>
    </row>
    <row r="35" spans="1:58" x14ac:dyDescent="0.3">
      <c r="A35">
        <v>1112</v>
      </c>
      <c r="B35" s="2">
        <v>45923.439791666657</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s">
        <v>150</v>
      </c>
      <c r="AN35">
        <v>640</v>
      </c>
      <c r="AO35">
        <v>278</v>
      </c>
      <c r="AP35">
        <v>1297</v>
      </c>
      <c r="AQ35">
        <v>1297</v>
      </c>
      <c r="AS35">
        <v>3</v>
      </c>
      <c r="AT35">
        <v>89</v>
      </c>
      <c r="AU35" t="s">
        <v>34</v>
      </c>
      <c r="AV35">
        <v>19</v>
      </c>
      <c r="AW35" t="s">
        <v>33</v>
      </c>
      <c r="AX35">
        <v>22</v>
      </c>
      <c r="AY35" t="s">
        <v>57</v>
      </c>
      <c r="AZ35">
        <v>126</v>
      </c>
      <c r="BA35" t="s">
        <v>58</v>
      </c>
      <c r="BB35" t="s">
        <v>42</v>
      </c>
      <c r="BC35" t="s">
        <v>40</v>
      </c>
      <c r="BD35">
        <v>7000</v>
      </c>
      <c r="BF35">
        <v>0</v>
      </c>
    </row>
    <row r="36" spans="1:58" x14ac:dyDescent="0.3">
      <c r="A36">
        <v>1130</v>
      </c>
      <c r="B36" s="2">
        <v>45923.439791666657</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s">
        <v>150</v>
      </c>
      <c r="AN36">
        <v>640</v>
      </c>
      <c r="AO36">
        <v>282</v>
      </c>
      <c r="AP36">
        <v>1297</v>
      </c>
      <c r="AQ36">
        <v>1297</v>
      </c>
      <c r="AS36">
        <v>4</v>
      </c>
      <c r="AT36">
        <v>89</v>
      </c>
      <c r="AU36" t="s">
        <v>34</v>
      </c>
      <c r="AV36">
        <v>19</v>
      </c>
      <c r="AW36" t="s">
        <v>33</v>
      </c>
      <c r="AX36">
        <v>22</v>
      </c>
      <c r="AY36" t="s">
        <v>57</v>
      </c>
      <c r="AZ36">
        <v>126</v>
      </c>
      <c r="BA36" t="s">
        <v>58</v>
      </c>
      <c r="BB36" t="s">
        <v>42</v>
      </c>
      <c r="BC36" t="s">
        <v>40</v>
      </c>
      <c r="BF36">
        <v>0</v>
      </c>
    </row>
    <row r="37" spans="1:58" x14ac:dyDescent="0.3">
      <c r="A37">
        <v>1026</v>
      </c>
      <c r="B37" s="2">
        <v>45923.435104166667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s">
        <v>149</v>
      </c>
      <c r="AN37">
        <v>642</v>
      </c>
      <c r="AO37">
        <v>267</v>
      </c>
      <c r="AS37">
        <v>0</v>
      </c>
      <c r="AT37">
        <v>90</v>
      </c>
      <c r="AU37" t="s">
        <v>59</v>
      </c>
      <c r="AV37">
        <v>19</v>
      </c>
      <c r="AW37" t="s">
        <v>33</v>
      </c>
      <c r="AX37">
        <v>22</v>
      </c>
      <c r="AY37" t="s">
        <v>60</v>
      </c>
      <c r="AZ37">
        <v>123</v>
      </c>
      <c r="BC37" t="s">
        <v>44</v>
      </c>
      <c r="BF37">
        <v>0</v>
      </c>
    </row>
    <row r="38" spans="1:58" x14ac:dyDescent="0.3">
      <c r="A38">
        <v>1038</v>
      </c>
      <c r="B38" s="2">
        <v>45923.435104166667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s">
        <v>150</v>
      </c>
      <c r="AN38">
        <v>642</v>
      </c>
      <c r="AO38">
        <v>270</v>
      </c>
      <c r="AQ38">
        <v>1283</v>
      </c>
      <c r="AS38">
        <v>1</v>
      </c>
      <c r="AT38">
        <v>90</v>
      </c>
      <c r="AU38" t="s">
        <v>59</v>
      </c>
      <c r="AV38">
        <v>19</v>
      </c>
      <c r="AW38" t="s">
        <v>33</v>
      </c>
      <c r="AX38">
        <v>22</v>
      </c>
      <c r="AY38" t="s">
        <v>60</v>
      </c>
      <c r="AZ38">
        <v>123</v>
      </c>
      <c r="BA38" t="s">
        <v>48</v>
      </c>
      <c r="BB38" t="s">
        <v>42</v>
      </c>
      <c r="BC38" t="s">
        <v>44</v>
      </c>
      <c r="BF38">
        <v>0</v>
      </c>
    </row>
    <row r="39" spans="1:58" x14ac:dyDescent="0.3">
      <c r="A39">
        <v>1078</v>
      </c>
      <c r="B39" s="2">
        <v>45923.435104166667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s">
        <v>150</v>
      </c>
      <c r="AN39">
        <v>642</v>
      </c>
      <c r="AO39">
        <v>274</v>
      </c>
      <c r="AP39">
        <v>1283</v>
      </c>
      <c r="AQ39">
        <v>1283</v>
      </c>
      <c r="AS39">
        <v>2</v>
      </c>
      <c r="AT39">
        <v>90</v>
      </c>
      <c r="AU39" t="s">
        <v>59</v>
      </c>
      <c r="AV39">
        <v>19</v>
      </c>
      <c r="AW39" t="s">
        <v>33</v>
      </c>
      <c r="AX39">
        <v>22</v>
      </c>
      <c r="AY39" t="s">
        <v>60</v>
      </c>
      <c r="AZ39">
        <v>123</v>
      </c>
      <c r="BA39" t="s">
        <v>48</v>
      </c>
      <c r="BB39" t="s">
        <v>42</v>
      </c>
      <c r="BC39" t="s">
        <v>44</v>
      </c>
      <c r="BF39">
        <v>4000</v>
      </c>
    </row>
    <row r="40" spans="1:58" x14ac:dyDescent="0.3">
      <c r="A40">
        <v>1096</v>
      </c>
      <c r="B40" s="2">
        <v>45923.435104166667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s">
        <v>150</v>
      </c>
      <c r="AN40">
        <v>642</v>
      </c>
      <c r="AO40">
        <v>277</v>
      </c>
      <c r="AP40">
        <v>1283</v>
      </c>
      <c r="AQ40">
        <v>1283</v>
      </c>
      <c r="AS40">
        <v>3</v>
      </c>
      <c r="AT40">
        <v>90</v>
      </c>
      <c r="AU40" t="s">
        <v>59</v>
      </c>
      <c r="AV40">
        <v>19</v>
      </c>
      <c r="AW40" t="s">
        <v>33</v>
      </c>
      <c r="AX40">
        <v>22</v>
      </c>
      <c r="AY40" t="s">
        <v>60</v>
      </c>
      <c r="AZ40">
        <v>123</v>
      </c>
      <c r="BA40" t="s">
        <v>48</v>
      </c>
      <c r="BB40" t="s">
        <v>42</v>
      </c>
      <c r="BC40" t="s">
        <v>44</v>
      </c>
      <c r="BF40">
        <v>16000</v>
      </c>
    </row>
    <row r="41" spans="1:58" x14ac:dyDescent="0.3">
      <c r="A41">
        <v>1123</v>
      </c>
      <c r="B41" s="2">
        <v>45923.435104166667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s">
        <v>150</v>
      </c>
      <c r="AN41">
        <v>642</v>
      </c>
      <c r="AO41">
        <v>281</v>
      </c>
      <c r="AP41">
        <v>1283</v>
      </c>
      <c r="AQ41">
        <v>1283</v>
      </c>
      <c r="AS41">
        <v>4</v>
      </c>
      <c r="AT41">
        <v>90</v>
      </c>
      <c r="AU41" t="s">
        <v>59</v>
      </c>
      <c r="AV41">
        <v>19</v>
      </c>
      <c r="AW41" t="s">
        <v>33</v>
      </c>
      <c r="AX41">
        <v>22</v>
      </c>
      <c r="AY41" t="s">
        <v>60</v>
      </c>
      <c r="AZ41">
        <v>123</v>
      </c>
      <c r="BA41" t="s">
        <v>48</v>
      </c>
      <c r="BB41" t="s">
        <v>42</v>
      </c>
      <c r="BC41" t="s">
        <v>44</v>
      </c>
      <c r="BF41">
        <v>4000</v>
      </c>
    </row>
    <row r="42" spans="1:58" x14ac:dyDescent="0.3">
      <c r="A42">
        <v>1027</v>
      </c>
      <c r="B42" s="2">
        <v>45923.435196759259</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s">
        <v>149</v>
      </c>
      <c r="AN42">
        <v>643</v>
      </c>
      <c r="AO42">
        <v>267</v>
      </c>
      <c r="AS42">
        <v>0</v>
      </c>
      <c r="AT42">
        <v>90</v>
      </c>
      <c r="AU42" t="s">
        <v>59</v>
      </c>
      <c r="AV42">
        <v>19</v>
      </c>
      <c r="AW42" t="s">
        <v>33</v>
      </c>
      <c r="AX42">
        <v>22</v>
      </c>
      <c r="AY42" t="s">
        <v>61</v>
      </c>
      <c r="AZ42">
        <v>126</v>
      </c>
      <c r="BC42" t="s">
        <v>40</v>
      </c>
      <c r="BF42">
        <v>0</v>
      </c>
    </row>
    <row r="43" spans="1:58" x14ac:dyDescent="0.3">
      <c r="A43">
        <v>1039</v>
      </c>
      <c r="B43" s="2">
        <v>45923.435196759259</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s">
        <v>150</v>
      </c>
      <c r="AN43">
        <v>643</v>
      </c>
      <c r="AO43">
        <v>270</v>
      </c>
      <c r="AQ43">
        <v>1281</v>
      </c>
      <c r="AS43">
        <v>1</v>
      </c>
      <c r="AT43">
        <v>90</v>
      </c>
      <c r="AU43" t="s">
        <v>59</v>
      </c>
      <c r="AV43">
        <v>19</v>
      </c>
      <c r="AW43" t="s">
        <v>33</v>
      </c>
      <c r="AX43">
        <v>22</v>
      </c>
      <c r="AY43" t="s">
        <v>61</v>
      </c>
      <c r="AZ43">
        <v>126</v>
      </c>
      <c r="BA43" t="s">
        <v>41</v>
      </c>
      <c r="BB43" t="s">
        <v>42</v>
      </c>
      <c r="BC43" t="s">
        <v>40</v>
      </c>
      <c r="BE43">
        <v>12750</v>
      </c>
      <c r="BF43">
        <v>0</v>
      </c>
    </row>
    <row r="44" spans="1:58" x14ac:dyDescent="0.3">
      <c r="A44">
        <v>1077</v>
      </c>
      <c r="B44" s="2">
        <v>45923.435196759259</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s">
        <v>150</v>
      </c>
      <c r="AN44">
        <v>643</v>
      </c>
      <c r="AO44">
        <v>274</v>
      </c>
      <c r="AP44">
        <v>1281</v>
      </c>
      <c r="AQ44">
        <v>1281</v>
      </c>
      <c r="AS44">
        <v>2</v>
      </c>
      <c r="AT44">
        <v>90</v>
      </c>
      <c r="AU44" t="s">
        <v>59</v>
      </c>
      <c r="AV44">
        <v>19</v>
      </c>
      <c r="AW44" t="s">
        <v>33</v>
      </c>
      <c r="AX44">
        <v>22</v>
      </c>
      <c r="AY44" t="s">
        <v>61</v>
      </c>
      <c r="AZ44">
        <v>126</v>
      </c>
      <c r="BA44" t="s">
        <v>41</v>
      </c>
      <c r="BB44" t="s">
        <v>42</v>
      </c>
      <c r="BC44" t="s">
        <v>40</v>
      </c>
      <c r="BF44">
        <v>4000</v>
      </c>
    </row>
    <row r="45" spans="1:58" x14ac:dyDescent="0.3">
      <c r="A45">
        <v>1097</v>
      </c>
      <c r="B45" s="2">
        <v>45923.435196759259</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s">
        <v>150</v>
      </c>
      <c r="AN45">
        <v>643</v>
      </c>
      <c r="AO45">
        <v>277</v>
      </c>
      <c r="AP45">
        <v>1281</v>
      </c>
      <c r="AQ45">
        <v>1281</v>
      </c>
      <c r="AS45">
        <v>3</v>
      </c>
      <c r="AT45">
        <v>90</v>
      </c>
      <c r="AU45" t="s">
        <v>59</v>
      </c>
      <c r="AV45">
        <v>19</v>
      </c>
      <c r="AW45" t="s">
        <v>33</v>
      </c>
      <c r="AX45">
        <v>22</v>
      </c>
      <c r="AY45" t="s">
        <v>61</v>
      </c>
      <c r="AZ45">
        <v>126</v>
      </c>
      <c r="BA45" t="s">
        <v>41</v>
      </c>
      <c r="BB45" t="s">
        <v>42</v>
      </c>
      <c r="BC45" t="s">
        <v>40</v>
      </c>
      <c r="BF45">
        <v>16000</v>
      </c>
    </row>
    <row r="46" spans="1:58" x14ac:dyDescent="0.3">
      <c r="A46">
        <v>1125</v>
      </c>
      <c r="B46" s="2">
        <v>45923.435196759259</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s">
        <v>150</v>
      </c>
      <c r="AN46">
        <v>643</v>
      </c>
      <c r="AO46">
        <v>281</v>
      </c>
      <c r="AP46">
        <v>1281</v>
      </c>
      <c r="AQ46">
        <v>1349</v>
      </c>
      <c r="AS46">
        <v>4</v>
      </c>
      <c r="AT46">
        <v>90</v>
      </c>
      <c r="AU46" t="s">
        <v>59</v>
      </c>
      <c r="AV46">
        <v>19</v>
      </c>
      <c r="AW46" t="s">
        <v>33</v>
      </c>
      <c r="AX46">
        <v>22</v>
      </c>
      <c r="AY46" t="s">
        <v>61</v>
      </c>
      <c r="AZ46">
        <v>126</v>
      </c>
      <c r="BA46" t="s">
        <v>62</v>
      </c>
      <c r="BB46" t="s">
        <v>52</v>
      </c>
      <c r="BC46" t="s">
        <v>40</v>
      </c>
      <c r="BF46">
        <v>4000</v>
      </c>
    </row>
    <row r="47" spans="1:58" x14ac:dyDescent="0.3">
      <c r="A47">
        <v>1028</v>
      </c>
      <c r="B47" s="2">
        <v>45923.435428240737</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s">
        <v>149</v>
      </c>
      <c r="AN47">
        <v>644</v>
      </c>
      <c r="AO47">
        <v>267</v>
      </c>
      <c r="AS47">
        <v>0</v>
      </c>
      <c r="AT47">
        <v>90</v>
      </c>
      <c r="AU47" t="s">
        <v>59</v>
      </c>
      <c r="AV47">
        <v>19</v>
      </c>
      <c r="AW47" t="s">
        <v>33</v>
      </c>
      <c r="AX47">
        <v>22</v>
      </c>
      <c r="AY47" t="s">
        <v>63</v>
      </c>
      <c r="AZ47">
        <v>123</v>
      </c>
      <c r="BC47" t="s">
        <v>44</v>
      </c>
      <c r="BF47">
        <v>0</v>
      </c>
    </row>
    <row r="48" spans="1:58" x14ac:dyDescent="0.3">
      <c r="A48">
        <v>1042</v>
      </c>
      <c r="B48" s="2">
        <v>45923.435428240737</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s">
        <v>150</v>
      </c>
      <c r="AN48">
        <v>644</v>
      </c>
      <c r="AO48">
        <v>270</v>
      </c>
      <c r="AQ48">
        <v>1288</v>
      </c>
      <c r="AS48">
        <v>1</v>
      </c>
      <c r="AT48">
        <v>90</v>
      </c>
      <c r="AU48" t="s">
        <v>59</v>
      </c>
      <c r="AV48">
        <v>19</v>
      </c>
      <c r="AW48" t="s">
        <v>33</v>
      </c>
      <c r="AX48">
        <v>22</v>
      </c>
      <c r="AY48" t="s">
        <v>63</v>
      </c>
      <c r="AZ48">
        <v>123</v>
      </c>
      <c r="BA48" t="s">
        <v>64</v>
      </c>
      <c r="BB48" t="s">
        <v>52</v>
      </c>
      <c r="BC48" t="s">
        <v>44</v>
      </c>
      <c r="BE48">
        <v>3600</v>
      </c>
      <c r="BF48">
        <v>0</v>
      </c>
    </row>
    <row r="49" spans="1:59" x14ac:dyDescent="0.3">
      <c r="A49">
        <v>1079</v>
      </c>
      <c r="B49" s="2">
        <v>45923.435428240737</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s">
        <v>150</v>
      </c>
      <c r="AN49">
        <v>644</v>
      </c>
      <c r="AO49">
        <v>274</v>
      </c>
      <c r="AP49">
        <v>1288</v>
      </c>
      <c r="AQ49">
        <v>1288</v>
      </c>
      <c r="AS49">
        <v>2</v>
      </c>
      <c r="AT49">
        <v>90</v>
      </c>
      <c r="AU49" t="s">
        <v>59</v>
      </c>
      <c r="AV49">
        <v>19</v>
      </c>
      <c r="AW49" t="s">
        <v>33</v>
      </c>
      <c r="AX49">
        <v>22</v>
      </c>
      <c r="AY49" t="s">
        <v>63</v>
      </c>
      <c r="AZ49">
        <v>123</v>
      </c>
      <c r="BA49" t="s">
        <v>64</v>
      </c>
      <c r="BB49" t="s">
        <v>52</v>
      </c>
      <c r="BC49" t="s">
        <v>44</v>
      </c>
      <c r="BD49">
        <v>8000</v>
      </c>
      <c r="BF49">
        <v>4000</v>
      </c>
    </row>
    <row r="50" spans="1:59" x14ac:dyDescent="0.3">
      <c r="A50">
        <v>1099</v>
      </c>
      <c r="B50" s="2">
        <v>45923.435428240737</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s">
        <v>150</v>
      </c>
      <c r="AN50">
        <v>644</v>
      </c>
      <c r="AO50">
        <v>277</v>
      </c>
      <c r="AP50">
        <v>1288</v>
      </c>
      <c r="AQ50">
        <v>1288</v>
      </c>
      <c r="AS50">
        <v>3</v>
      </c>
      <c r="AT50">
        <v>90</v>
      </c>
      <c r="AU50" t="s">
        <v>59</v>
      </c>
      <c r="AV50">
        <v>19</v>
      </c>
      <c r="AW50" t="s">
        <v>33</v>
      </c>
      <c r="AX50">
        <v>22</v>
      </c>
      <c r="AY50" t="s">
        <v>63</v>
      </c>
      <c r="AZ50">
        <v>123</v>
      </c>
      <c r="BA50" t="s">
        <v>64</v>
      </c>
      <c r="BB50" t="s">
        <v>52</v>
      </c>
      <c r="BC50" t="s">
        <v>44</v>
      </c>
      <c r="BF50">
        <v>20000</v>
      </c>
    </row>
    <row r="51" spans="1:59" x14ac:dyDescent="0.3">
      <c r="A51">
        <v>1122</v>
      </c>
      <c r="B51" s="2">
        <v>45923.435428240737</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s">
        <v>150</v>
      </c>
      <c r="AN51">
        <v>644</v>
      </c>
      <c r="AO51">
        <v>281</v>
      </c>
      <c r="AP51">
        <v>1288</v>
      </c>
      <c r="AQ51">
        <v>1288</v>
      </c>
      <c r="AS51">
        <v>4</v>
      </c>
      <c r="AT51">
        <v>90</v>
      </c>
      <c r="AU51" t="s">
        <v>59</v>
      </c>
      <c r="AV51">
        <v>19</v>
      </c>
      <c r="AW51" t="s">
        <v>33</v>
      </c>
      <c r="AX51">
        <v>22</v>
      </c>
      <c r="AY51" t="s">
        <v>63</v>
      </c>
      <c r="AZ51">
        <v>123</v>
      </c>
      <c r="BA51" t="s">
        <v>64</v>
      </c>
      <c r="BB51" t="s">
        <v>52</v>
      </c>
      <c r="BC51" t="s">
        <v>44</v>
      </c>
      <c r="BF51">
        <v>4000</v>
      </c>
    </row>
    <row r="52" spans="1:59" x14ac:dyDescent="0.3">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s">
        <v>149</v>
      </c>
      <c r="AN52">
        <v>645</v>
      </c>
      <c r="AO52">
        <v>267</v>
      </c>
      <c r="AS52">
        <v>0</v>
      </c>
      <c r="AT52">
        <v>90</v>
      </c>
      <c r="AU52" t="s">
        <v>59</v>
      </c>
      <c r="AV52">
        <v>19</v>
      </c>
      <c r="AW52" t="s">
        <v>33</v>
      </c>
      <c r="AX52">
        <v>22</v>
      </c>
      <c r="AY52" t="s">
        <v>65</v>
      </c>
      <c r="AZ52">
        <v>124</v>
      </c>
      <c r="BC52" t="s">
        <v>36</v>
      </c>
      <c r="BF52">
        <v>0</v>
      </c>
    </row>
    <row r="53" spans="1:59" x14ac:dyDescent="0.3">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s">
        <v>150</v>
      </c>
      <c r="AN53">
        <v>645</v>
      </c>
      <c r="AO53">
        <v>270</v>
      </c>
      <c r="AQ53">
        <v>1286</v>
      </c>
      <c r="AS53">
        <v>1</v>
      </c>
      <c r="AT53">
        <v>90</v>
      </c>
      <c r="AU53" t="s">
        <v>59</v>
      </c>
      <c r="AV53">
        <v>19</v>
      </c>
      <c r="AW53" t="s">
        <v>33</v>
      </c>
      <c r="AX53">
        <v>22</v>
      </c>
      <c r="AY53" t="s">
        <v>65</v>
      </c>
      <c r="AZ53">
        <v>124</v>
      </c>
      <c r="BA53" t="s">
        <v>66</v>
      </c>
      <c r="BB53" t="s">
        <v>52</v>
      </c>
      <c r="BC53" t="s">
        <v>36</v>
      </c>
      <c r="BF53">
        <v>0</v>
      </c>
    </row>
    <row r="54" spans="1:59" x14ac:dyDescent="0.3">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s">
        <v>150</v>
      </c>
      <c r="AN54">
        <v>645</v>
      </c>
      <c r="AO54">
        <v>274</v>
      </c>
      <c r="AP54">
        <v>1286</v>
      </c>
      <c r="AQ54">
        <v>1286</v>
      </c>
      <c r="AS54">
        <v>2</v>
      </c>
      <c r="AT54">
        <v>90</v>
      </c>
      <c r="AU54" t="s">
        <v>59</v>
      </c>
      <c r="AV54">
        <v>19</v>
      </c>
      <c r="AW54" t="s">
        <v>33</v>
      </c>
      <c r="AX54">
        <v>22</v>
      </c>
      <c r="AY54" t="s">
        <v>65</v>
      </c>
      <c r="AZ54">
        <v>124</v>
      </c>
      <c r="BA54" t="s">
        <v>66</v>
      </c>
      <c r="BB54" t="s">
        <v>52</v>
      </c>
      <c r="BC54" t="s">
        <v>36</v>
      </c>
      <c r="BD54">
        <v>6000</v>
      </c>
      <c r="BF54">
        <v>4000</v>
      </c>
    </row>
    <row r="55" spans="1:59" x14ac:dyDescent="0.3">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s">
        <v>150</v>
      </c>
      <c r="AN55">
        <v>645</v>
      </c>
      <c r="AO55">
        <v>277</v>
      </c>
      <c r="AP55">
        <v>1286</v>
      </c>
      <c r="AQ55">
        <v>1286</v>
      </c>
      <c r="AS55">
        <v>3</v>
      </c>
      <c r="AT55">
        <v>90</v>
      </c>
      <c r="AU55" t="s">
        <v>59</v>
      </c>
      <c r="AV55">
        <v>19</v>
      </c>
      <c r="AW55" t="s">
        <v>33</v>
      </c>
      <c r="AX55">
        <v>22</v>
      </c>
      <c r="AY55" t="s">
        <v>65</v>
      </c>
      <c r="AZ55">
        <v>124</v>
      </c>
      <c r="BA55" t="s">
        <v>66</v>
      </c>
      <c r="BB55" t="s">
        <v>52</v>
      </c>
      <c r="BC55" t="s">
        <v>36</v>
      </c>
      <c r="BD55">
        <v>8000</v>
      </c>
      <c r="BF55">
        <v>16000</v>
      </c>
    </row>
    <row r="56" spans="1:59" x14ac:dyDescent="0.3">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s">
        <v>150</v>
      </c>
      <c r="AN56">
        <v>645</v>
      </c>
      <c r="AO56">
        <v>281</v>
      </c>
      <c r="AP56">
        <v>1286</v>
      </c>
      <c r="AQ56">
        <v>1286</v>
      </c>
      <c r="AS56">
        <v>4</v>
      </c>
      <c r="AT56">
        <v>90</v>
      </c>
      <c r="AU56" t="s">
        <v>59</v>
      </c>
      <c r="AV56">
        <v>19</v>
      </c>
      <c r="AW56" t="s">
        <v>33</v>
      </c>
      <c r="AX56">
        <v>22</v>
      </c>
      <c r="AY56" t="s">
        <v>65</v>
      </c>
      <c r="AZ56">
        <v>124</v>
      </c>
      <c r="BA56" t="s">
        <v>66</v>
      </c>
      <c r="BB56" t="s">
        <v>52</v>
      </c>
      <c r="BC56" t="s">
        <v>36</v>
      </c>
      <c r="BF56">
        <v>4000</v>
      </c>
    </row>
    <row r="57" spans="1:59" x14ac:dyDescent="0.3">
      <c r="A57">
        <v>1037</v>
      </c>
      <c r="B57" s="2">
        <v>45923.447962962957</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s">
        <v>149</v>
      </c>
      <c r="AN57">
        <v>646</v>
      </c>
      <c r="AO57">
        <v>267</v>
      </c>
      <c r="AS57">
        <v>0</v>
      </c>
      <c r="AT57">
        <v>90</v>
      </c>
      <c r="AU57" t="s">
        <v>59</v>
      </c>
      <c r="AV57">
        <v>19</v>
      </c>
      <c r="AW57" t="s">
        <v>33</v>
      </c>
      <c r="AX57">
        <v>22</v>
      </c>
      <c r="AY57" t="s">
        <v>67</v>
      </c>
      <c r="AZ57">
        <v>127</v>
      </c>
      <c r="BC57" t="s">
        <v>50</v>
      </c>
      <c r="BF57">
        <v>0</v>
      </c>
    </row>
    <row r="58" spans="1:59" x14ac:dyDescent="0.3">
      <c r="A58">
        <v>1046</v>
      </c>
      <c r="B58" s="2">
        <v>45923.447962962957</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s">
        <v>150</v>
      </c>
      <c r="AN58">
        <v>646</v>
      </c>
      <c r="AO58">
        <v>270</v>
      </c>
      <c r="AQ58">
        <v>1282</v>
      </c>
      <c r="AS58">
        <v>1</v>
      </c>
      <c r="AT58">
        <v>90</v>
      </c>
      <c r="AU58" t="s">
        <v>59</v>
      </c>
      <c r="AV58">
        <v>19</v>
      </c>
      <c r="AW58" t="s">
        <v>33</v>
      </c>
      <c r="AX58">
        <v>22</v>
      </c>
      <c r="AY58" t="s">
        <v>67</v>
      </c>
      <c r="AZ58">
        <v>127</v>
      </c>
      <c r="BA58" t="s">
        <v>58</v>
      </c>
      <c r="BB58" t="s">
        <v>42</v>
      </c>
      <c r="BC58" t="s">
        <v>50</v>
      </c>
      <c r="BD58">
        <v>33000</v>
      </c>
      <c r="BE58">
        <v>25500</v>
      </c>
      <c r="BF58">
        <v>0</v>
      </c>
      <c r="BG58">
        <v>0</v>
      </c>
    </row>
    <row r="59" spans="1:59" x14ac:dyDescent="0.3">
      <c r="A59">
        <v>1080</v>
      </c>
      <c r="B59" s="2">
        <v>45923.447962962957</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s">
        <v>150</v>
      </c>
      <c r="AN59">
        <v>646</v>
      </c>
      <c r="AO59">
        <v>274</v>
      </c>
      <c r="AP59">
        <v>1282</v>
      </c>
      <c r="AQ59">
        <v>1282</v>
      </c>
      <c r="AS59">
        <v>2</v>
      </c>
      <c r="AT59">
        <v>90</v>
      </c>
      <c r="AU59" t="s">
        <v>59</v>
      </c>
      <c r="AV59">
        <v>19</v>
      </c>
      <c r="AW59" t="s">
        <v>33</v>
      </c>
      <c r="AX59">
        <v>22</v>
      </c>
      <c r="AY59" t="s">
        <v>67</v>
      </c>
      <c r="AZ59">
        <v>127</v>
      </c>
      <c r="BA59" t="s">
        <v>58</v>
      </c>
      <c r="BB59" t="s">
        <v>42</v>
      </c>
      <c r="BC59" t="s">
        <v>50</v>
      </c>
      <c r="BF59">
        <v>4000</v>
      </c>
    </row>
    <row r="60" spans="1:59" x14ac:dyDescent="0.3">
      <c r="A60">
        <v>1101</v>
      </c>
      <c r="B60" s="2">
        <v>45923.447962962957</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s">
        <v>150</v>
      </c>
      <c r="AN60">
        <v>646</v>
      </c>
      <c r="AO60">
        <v>277</v>
      </c>
      <c r="AP60">
        <v>1282</v>
      </c>
      <c r="AQ60">
        <v>1282</v>
      </c>
      <c r="AS60">
        <v>3</v>
      </c>
      <c r="AT60">
        <v>90</v>
      </c>
      <c r="AU60" t="s">
        <v>59</v>
      </c>
      <c r="AV60">
        <v>19</v>
      </c>
      <c r="AW60" t="s">
        <v>33</v>
      </c>
      <c r="AX60">
        <v>22</v>
      </c>
      <c r="AY60" t="s">
        <v>67</v>
      </c>
      <c r="AZ60">
        <v>127</v>
      </c>
      <c r="BA60" t="s">
        <v>58</v>
      </c>
      <c r="BB60" t="s">
        <v>42</v>
      </c>
      <c r="BC60" t="s">
        <v>50</v>
      </c>
      <c r="BF60">
        <v>16000</v>
      </c>
    </row>
    <row r="61" spans="1:59" x14ac:dyDescent="0.3">
      <c r="A61">
        <v>1121</v>
      </c>
      <c r="B61" s="2">
        <v>45923.447962962957</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s">
        <v>150</v>
      </c>
      <c r="AN61">
        <v>646</v>
      </c>
      <c r="AO61">
        <v>281</v>
      </c>
      <c r="AP61">
        <v>1282</v>
      </c>
      <c r="AQ61">
        <v>1282</v>
      </c>
      <c r="AS61">
        <v>4</v>
      </c>
      <c r="AT61">
        <v>90</v>
      </c>
      <c r="AU61" t="s">
        <v>59</v>
      </c>
      <c r="AV61">
        <v>19</v>
      </c>
      <c r="AW61" t="s">
        <v>33</v>
      </c>
      <c r="AX61">
        <v>22</v>
      </c>
      <c r="AY61" t="s">
        <v>67</v>
      </c>
      <c r="AZ61">
        <v>127</v>
      </c>
      <c r="BA61" t="s">
        <v>58</v>
      </c>
      <c r="BB61" t="s">
        <v>42</v>
      </c>
      <c r="BC61" t="s">
        <v>50</v>
      </c>
      <c r="BF61">
        <v>4000</v>
      </c>
    </row>
    <row r="62" spans="1:59" x14ac:dyDescent="0.3">
      <c r="A62">
        <v>1031</v>
      </c>
      <c r="B62" s="2">
        <v>45923.437662037039</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s">
        <v>149</v>
      </c>
      <c r="AN62">
        <v>647</v>
      </c>
      <c r="AO62">
        <v>267</v>
      </c>
      <c r="AS62">
        <v>0</v>
      </c>
      <c r="AT62">
        <v>90</v>
      </c>
      <c r="AU62" t="s">
        <v>59</v>
      </c>
      <c r="AV62">
        <v>19</v>
      </c>
      <c r="AW62" t="s">
        <v>33</v>
      </c>
      <c r="AX62">
        <v>22</v>
      </c>
      <c r="AY62" t="s">
        <v>68</v>
      </c>
      <c r="AZ62">
        <v>128</v>
      </c>
      <c r="BC62" t="s">
        <v>54</v>
      </c>
      <c r="BF62">
        <v>0</v>
      </c>
    </row>
    <row r="63" spans="1:59" x14ac:dyDescent="0.3">
      <c r="A63">
        <v>1047</v>
      </c>
      <c r="B63" s="2">
        <v>45923.437662037039</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s">
        <v>150</v>
      </c>
      <c r="AN63">
        <v>647</v>
      </c>
      <c r="AO63">
        <v>270</v>
      </c>
      <c r="AQ63">
        <v>1284</v>
      </c>
      <c r="AS63">
        <v>1</v>
      </c>
      <c r="AT63">
        <v>90</v>
      </c>
      <c r="AU63" t="s">
        <v>59</v>
      </c>
      <c r="AV63">
        <v>19</v>
      </c>
      <c r="AW63" t="s">
        <v>33</v>
      </c>
      <c r="AX63">
        <v>22</v>
      </c>
      <c r="AY63" t="s">
        <v>68</v>
      </c>
      <c r="AZ63">
        <v>128</v>
      </c>
      <c r="BA63" t="s">
        <v>51</v>
      </c>
      <c r="BB63" t="s">
        <v>52</v>
      </c>
      <c r="BC63" t="s">
        <v>54</v>
      </c>
      <c r="BE63">
        <v>21000</v>
      </c>
      <c r="BF63">
        <v>0</v>
      </c>
    </row>
    <row r="64" spans="1:59" x14ac:dyDescent="0.3">
      <c r="A64">
        <v>1082</v>
      </c>
      <c r="B64" s="2">
        <v>45923.437662037039</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s">
        <v>150</v>
      </c>
      <c r="AN64">
        <v>647</v>
      </c>
      <c r="AO64">
        <v>274</v>
      </c>
      <c r="AP64">
        <v>1284</v>
      </c>
      <c r="AQ64">
        <v>1284</v>
      </c>
      <c r="AS64">
        <v>2</v>
      </c>
      <c r="AT64">
        <v>90</v>
      </c>
      <c r="AU64" t="s">
        <v>59</v>
      </c>
      <c r="AV64">
        <v>19</v>
      </c>
      <c r="AW64" t="s">
        <v>33</v>
      </c>
      <c r="AX64">
        <v>22</v>
      </c>
      <c r="AY64" t="s">
        <v>68</v>
      </c>
      <c r="AZ64">
        <v>128</v>
      </c>
      <c r="BA64" t="s">
        <v>51</v>
      </c>
      <c r="BB64" t="s">
        <v>52</v>
      </c>
      <c r="BC64" t="s">
        <v>54</v>
      </c>
      <c r="BE64">
        <v>17000</v>
      </c>
      <c r="BF64">
        <v>4000</v>
      </c>
    </row>
    <row r="65" spans="1:59" x14ac:dyDescent="0.3">
      <c r="A65">
        <v>1100</v>
      </c>
      <c r="B65" s="2">
        <v>45923.437662037039</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s">
        <v>150</v>
      </c>
      <c r="AN65">
        <v>647</v>
      </c>
      <c r="AO65">
        <v>277</v>
      </c>
      <c r="AP65">
        <v>1284</v>
      </c>
      <c r="AQ65">
        <v>1284</v>
      </c>
      <c r="AS65">
        <v>3</v>
      </c>
      <c r="AT65">
        <v>90</v>
      </c>
      <c r="AU65" t="s">
        <v>59</v>
      </c>
      <c r="AV65">
        <v>19</v>
      </c>
      <c r="AW65" t="s">
        <v>33</v>
      </c>
      <c r="AX65">
        <v>22</v>
      </c>
      <c r="AY65" t="s">
        <v>68</v>
      </c>
      <c r="AZ65">
        <v>128</v>
      </c>
      <c r="BA65" t="s">
        <v>51</v>
      </c>
      <c r="BB65" t="s">
        <v>52</v>
      </c>
      <c r="BC65" t="s">
        <v>54</v>
      </c>
      <c r="BF65">
        <v>20000</v>
      </c>
    </row>
    <row r="66" spans="1:59" x14ac:dyDescent="0.3">
      <c r="A66">
        <v>1124</v>
      </c>
      <c r="B66" s="2">
        <v>45923.437662037039</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s">
        <v>150</v>
      </c>
      <c r="AN66">
        <v>647</v>
      </c>
      <c r="AO66">
        <v>281</v>
      </c>
      <c r="AP66">
        <v>1284</v>
      </c>
      <c r="AQ66">
        <v>1347</v>
      </c>
      <c r="AS66">
        <v>4</v>
      </c>
      <c r="AT66">
        <v>90</v>
      </c>
      <c r="AU66" t="s">
        <v>59</v>
      </c>
      <c r="AV66">
        <v>19</v>
      </c>
      <c r="AW66" t="s">
        <v>33</v>
      </c>
      <c r="AX66">
        <v>22</v>
      </c>
      <c r="AY66" t="s">
        <v>68</v>
      </c>
      <c r="AZ66">
        <v>128</v>
      </c>
      <c r="BA66" t="s">
        <v>56</v>
      </c>
      <c r="BB66" t="s">
        <v>42</v>
      </c>
      <c r="BC66" t="s">
        <v>54</v>
      </c>
      <c r="BD66">
        <v>33000</v>
      </c>
      <c r="BF66">
        <v>0</v>
      </c>
    </row>
    <row r="67" spans="1:59" x14ac:dyDescent="0.3">
      <c r="A67">
        <v>1055</v>
      </c>
      <c r="B67" s="2">
        <v>45923.449282407411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s">
        <v>149</v>
      </c>
      <c r="AN67">
        <v>650</v>
      </c>
      <c r="AO67">
        <v>268</v>
      </c>
      <c r="AS67">
        <v>0</v>
      </c>
      <c r="AT67">
        <v>91</v>
      </c>
      <c r="AU67" t="s">
        <v>69</v>
      </c>
      <c r="AV67">
        <v>19</v>
      </c>
      <c r="AW67" t="s">
        <v>33</v>
      </c>
      <c r="AX67">
        <v>22</v>
      </c>
      <c r="AY67" t="s">
        <v>70</v>
      </c>
      <c r="AZ67">
        <v>124</v>
      </c>
      <c r="BC67" t="s">
        <v>36</v>
      </c>
      <c r="BF67">
        <v>0</v>
      </c>
    </row>
    <row r="68" spans="1:59" x14ac:dyDescent="0.3">
      <c r="A68">
        <v>1064</v>
      </c>
      <c r="B68" s="2">
        <v>45923.449282407411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s">
        <v>150</v>
      </c>
      <c r="AN68">
        <v>650</v>
      </c>
      <c r="AO68">
        <v>272</v>
      </c>
      <c r="AQ68">
        <v>1324</v>
      </c>
      <c r="AS68">
        <v>1</v>
      </c>
      <c r="AT68">
        <v>91</v>
      </c>
      <c r="AU68" t="s">
        <v>69</v>
      </c>
      <c r="AV68">
        <v>19</v>
      </c>
      <c r="AW68" t="s">
        <v>33</v>
      </c>
      <c r="AX68">
        <v>22</v>
      </c>
      <c r="AY68" t="s">
        <v>70</v>
      </c>
      <c r="AZ68">
        <v>124</v>
      </c>
      <c r="BA68" t="s">
        <v>71</v>
      </c>
      <c r="BB68" t="s">
        <v>38</v>
      </c>
      <c r="BC68" t="s">
        <v>36</v>
      </c>
      <c r="BD68">
        <v>1000</v>
      </c>
      <c r="BE68">
        <v>3150</v>
      </c>
      <c r="BF68">
        <v>4000</v>
      </c>
      <c r="BG68">
        <v>0</v>
      </c>
    </row>
    <row r="69" spans="1:59" x14ac:dyDescent="0.3">
      <c r="A69">
        <v>1087</v>
      </c>
      <c r="B69" s="2">
        <v>45923.449282407411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s">
        <v>150</v>
      </c>
      <c r="AN69">
        <v>650</v>
      </c>
      <c r="AO69">
        <v>275</v>
      </c>
      <c r="AP69">
        <v>1324</v>
      </c>
      <c r="AQ69">
        <v>1324</v>
      </c>
      <c r="AS69">
        <v>2</v>
      </c>
      <c r="AT69">
        <v>91</v>
      </c>
      <c r="AU69" t="s">
        <v>69</v>
      </c>
      <c r="AV69">
        <v>19</v>
      </c>
      <c r="AW69" t="s">
        <v>33</v>
      </c>
      <c r="AX69">
        <v>22</v>
      </c>
      <c r="AY69" t="s">
        <v>70</v>
      </c>
      <c r="AZ69">
        <v>124</v>
      </c>
      <c r="BA69" t="s">
        <v>71</v>
      </c>
      <c r="BB69" t="s">
        <v>38</v>
      </c>
      <c r="BC69" t="s">
        <v>36</v>
      </c>
      <c r="BE69">
        <v>3500</v>
      </c>
      <c r="BF69">
        <v>4000</v>
      </c>
    </row>
    <row r="70" spans="1:59" x14ac:dyDescent="0.3">
      <c r="A70">
        <v>1113</v>
      </c>
      <c r="B70" s="2">
        <v>45923.449282407411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s">
        <v>150</v>
      </c>
      <c r="AN70">
        <v>650</v>
      </c>
      <c r="AO70">
        <v>279</v>
      </c>
      <c r="AP70">
        <v>1324</v>
      </c>
      <c r="AQ70">
        <v>1324</v>
      </c>
      <c r="AS70">
        <v>3</v>
      </c>
      <c r="AT70">
        <v>91</v>
      </c>
      <c r="AU70" t="s">
        <v>69</v>
      </c>
      <c r="AV70">
        <v>19</v>
      </c>
      <c r="AW70" t="s">
        <v>33</v>
      </c>
      <c r="AX70">
        <v>22</v>
      </c>
      <c r="AY70" t="s">
        <v>70</v>
      </c>
      <c r="AZ70">
        <v>124</v>
      </c>
      <c r="BA70" t="s">
        <v>71</v>
      </c>
      <c r="BB70" t="s">
        <v>38</v>
      </c>
      <c r="BC70" t="s">
        <v>36</v>
      </c>
      <c r="BD70">
        <v>8000</v>
      </c>
      <c r="BF70">
        <v>24000</v>
      </c>
    </row>
    <row r="71" spans="1:59" x14ac:dyDescent="0.3">
      <c r="A71">
        <v>1137</v>
      </c>
      <c r="B71" s="2">
        <v>45923.449282407411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s">
        <v>150</v>
      </c>
      <c r="AN71">
        <v>650</v>
      </c>
      <c r="AO71">
        <v>283</v>
      </c>
      <c r="AP71">
        <v>1324</v>
      </c>
      <c r="AQ71">
        <v>1324</v>
      </c>
      <c r="AS71">
        <v>4</v>
      </c>
      <c r="AT71">
        <v>91</v>
      </c>
      <c r="AU71" t="s">
        <v>69</v>
      </c>
      <c r="AV71">
        <v>19</v>
      </c>
      <c r="AW71" t="s">
        <v>33</v>
      </c>
      <c r="AX71">
        <v>22</v>
      </c>
      <c r="AY71" t="s">
        <v>70</v>
      </c>
      <c r="AZ71">
        <v>124</v>
      </c>
      <c r="BA71" t="s">
        <v>71</v>
      </c>
      <c r="BB71" t="s">
        <v>38</v>
      </c>
      <c r="BC71" t="s">
        <v>36</v>
      </c>
      <c r="BF71">
        <v>16000</v>
      </c>
    </row>
    <row r="72" spans="1:59" x14ac:dyDescent="0.3">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s">
        <v>149</v>
      </c>
      <c r="AN72">
        <v>651</v>
      </c>
      <c r="AO72">
        <v>268</v>
      </c>
      <c r="AS72">
        <v>0</v>
      </c>
      <c r="AT72">
        <v>91</v>
      </c>
      <c r="AU72" t="s">
        <v>69</v>
      </c>
      <c r="AV72">
        <v>19</v>
      </c>
      <c r="AW72" t="s">
        <v>33</v>
      </c>
      <c r="AX72">
        <v>22</v>
      </c>
      <c r="AY72" t="s">
        <v>72</v>
      </c>
      <c r="AZ72">
        <v>126</v>
      </c>
      <c r="BC72" t="s">
        <v>40</v>
      </c>
      <c r="BF72">
        <v>0</v>
      </c>
    </row>
    <row r="73" spans="1:59" x14ac:dyDescent="0.3">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s">
        <v>150</v>
      </c>
      <c r="AN73">
        <v>651</v>
      </c>
      <c r="AO73">
        <v>272</v>
      </c>
      <c r="AQ73">
        <v>1311</v>
      </c>
      <c r="AS73">
        <v>1</v>
      </c>
      <c r="AT73">
        <v>91</v>
      </c>
      <c r="AU73" t="s">
        <v>69</v>
      </c>
      <c r="AV73">
        <v>19</v>
      </c>
      <c r="AW73" t="s">
        <v>33</v>
      </c>
      <c r="AX73">
        <v>22</v>
      </c>
      <c r="AY73" t="s">
        <v>72</v>
      </c>
      <c r="AZ73">
        <v>126</v>
      </c>
      <c r="BA73" t="s">
        <v>41</v>
      </c>
      <c r="BB73" t="s">
        <v>42</v>
      </c>
      <c r="BC73" t="s">
        <v>40</v>
      </c>
      <c r="BD73">
        <v>9000</v>
      </c>
      <c r="BE73">
        <v>3400</v>
      </c>
      <c r="BF73">
        <v>4000</v>
      </c>
      <c r="BG73">
        <v>600</v>
      </c>
    </row>
    <row r="74" spans="1:59" x14ac:dyDescent="0.3">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s">
        <v>150</v>
      </c>
      <c r="AN74">
        <v>651</v>
      </c>
      <c r="AO74">
        <v>275</v>
      </c>
      <c r="AP74">
        <v>1311</v>
      </c>
      <c r="AQ74">
        <v>1311</v>
      </c>
      <c r="AS74">
        <v>2</v>
      </c>
      <c r="AT74">
        <v>91</v>
      </c>
      <c r="AU74" t="s">
        <v>69</v>
      </c>
      <c r="AV74">
        <v>19</v>
      </c>
      <c r="AW74" t="s">
        <v>33</v>
      </c>
      <c r="AX74">
        <v>22</v>
      </c>
      <c r="AY74" t="s">
        <v>72</v>
      </c>
      <c r="AZ74">
        <v>126</v>
      </c>
      <c r="BA74" t="s">
        <v>41</v>
      </c>
      <c r="BB74" t="s">
        <v>42</v>
      </c>
      <c r="BC74" t="s">
        <v>40</v>
      </c>
      <c r="BF74">
        <v>4000</v>
      </c>
    </row>
    <row r="75" spans="1:59" x14ac:dyDescent="0.3">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s">
        <v>150</v>
      </c>
      <c r="AN75">
        <v>651</v>
      </c>
      <c r="AO75">
        <v>279</v>
      </c>
      <c r="AP75">
        <v>1311</v>
      </c>
      <c r="AQ75">
        <v>1311</v>
      </c>
      <c r="AS75">
        <v>3</v>
      </c>
      <c r="AT75">
        <v>91</v>
      </c>
      <c r="AU75" t="s">
        <v>69</v>
      </c>
      <c r="AV75">
        <v>19</v>
      </c>
      <c r="AW75" t="s">
        <v>33</v>
      </c>
      <c r="AX75">
        <v>22</v>
      </c>
      <c r="AY75" t="s">
        <v>72</v>
      </c>
      <c r="AZ75">
        <v>126</v>
      </c>
      <c r="BA75" t="s">
        <v>41</v>
      </c>
      <c r="BB75" t="s">
        <v>42</v>
      </c>
      <c r="BC75" t="s">
        <v>40</v>
      </c>
      <c r="BD75">
        <v>6000</v>
      </c>
      <c r="BF75">
        <v>16000</v>
      </c>
    </row>
    <row r="76" spans="1:59" x14ac:dyDescent="0.3">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s">
        <v>150</v>
      </c>
      <c r="AN76">
        <v>651</v>
      </c>
      <c r="AO76">
        <v>283</v>
      </c>
      <c r="AP76">
        <v>1311</v>
      </c>
      <c r="AQ76">
        <v>1311</v>
      </c>
      <c r="AS76">
        <v>4</v>
      </c>
      <c r="AT76">
        <v>91</v>
      </c>
      <c r="AU76" t="s">
        <v>69</v>
      </c>
      <c r="AV76">
        <v>19</v>
      </c>
      <c r="AW76" t="s">
        <v>33</v>
      </c>
      <c r="AX76">
        <v>22</v>
      </c>
      <c r="AY76" t="s">
        <v>72</v>
      </c>
      <c r="AZ76">
        <v>126</v>
      </c>
      <c r="BA76" t="s">
        <v>41</v>
      </c>
      <c r="BB76" t="s">
        <v>42</v>
      </c>
      <c r="BC76" t="s">
        <v>40</v>
      </c>
      <c r="BF76">
        <v>4000</v>
      </c>
    </row>
    <row r="77" spans="1:59" x14ac:dyDescent="0.3">
      <c r="A77">
        <v>1041</v>
      </c>
      <c r="B77" s="2">
        <v>45923.448194444441</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s">
        <v>149</v>
      </c>
      <c r="AN77">
        <v>652</v>
      </c>
      <c r="AO77">
        <v>268</v>
      </c>
      <c r="AS77">
        <v>0</v>
      </c>
      <c r="AT77">
        <v>91</v>
      </c>
      <c r="AU77" t="s">
        <v>69</v>
      </c>
      <c r="AV77">
        <v>19</v>
      </c>
      <c r="AW77" t="s">
        <v>33</v>
      </c>
      <c r="AX77">
        <v>22</v>
      </c>
      <c r="AY77" t="s">
        <v>73</v>
      </c>
      <c r="AZ77">
        <v>123</v>
      </c>
      <c r="BC77" t="s">
        <v>44</v>
      </c>
      <c r="BF77">
        <v>0</v>
      </c>
    </row>
    <row r="78" spans="1:59" x14ac:dyDescent="0.3">
      <c r="A78">
        <v>1065</v>
      </c>
      <c r="B78" s="2">
        <v>45923.448194444441</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s">
        <v>150</v>
      </c>
      <c r="AN78">
        <v>652</v>
      </c>
      <c r="AO78">
        <v>272</v>
      </c>
      <c r="AQ78">
        <v>1313</v>
      </c>
      <c r="AS78">
        <v>1</v>
      </c>
      <c r="AT78">
        <v>91</v>
      </c>
      <c r="AU78" t="s">
        <v>69</v>
      </c>
      <c r="AV78">
        <v>19</v>
      </c>
      <c r="AW78" t="s">
        <v>33</v>
      </c>
      <c r="AX78">
        <v>22</v>
      </c>
      <c r="AY78" t="s">
        <v>73</v>
      </c>
      <c r="AZ78">
        <v>123</v>
      </c>
      <c r="BA78" t="s">
        <v>48</v>
      </c>
      <c r="BB78" t="s">
        <v>42</v>
      </c>
      <c r="BC78" t="s">
        <v>44</v>
      </c>
      <c r="BF78">
        <v>4000</v>
      </c>
    </row>
    <row r="79" spans="1:59" x14ac:dyDescent="0.3">
      <c r="A79">
        <v>1083</v>
      </c>
      <c r="B79" s="2">
        <v>45923.448194444441</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s">
        <v>150</v>
      </c>
      <c r="AN79">
        <v>652</v>
      </c>
      <c r="AO79">
        <v>275</v>
      </c>
      <c r="AP79">
        <v>1313</v>
      </c>
      <c r="AQ79">
        <v>1313</v>
      </c>
      <c r="AS79">
        <v>2</v>
      </c>
      <c r="AT79">
        <v>91</v>
      </c>
      <c r="AU79" t="s">
        <v>69</v>
      </c>
      <c r="AV79">
        <v>19</v>
      </c>
      <c r="AW79" t="s">
        <v>33</v>
      </c>
      <c r="AX79">
        <v>22</v>
      </c>
      <c r="AY79" t="s">
        <v>73</v>
      </c>
      <c r="AZ79">
        <v>123</v>
      </c>
      <c r="BA79" t="s">
        <v>48</v>
      </c>
      <c r="BB79" t="s">
        <v>42</v>
      </c>
      <c r="BC79" t="s">
        <v>44</v>
      </c>
      <c r="BF79">
        <v>4000</v>
      </c>
    </row>
    <row r="80" spans="1:59" x14ac:dyDescent="0.3">
      <c r="A80">
        <v>1109</v>
      </c>
      <c r="B80" s="2">
        <v>45923.448194444441</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s">
        <v>150</v>
      </c>
      <c r="AN80">
        <v>652</v>
      </c>
      <c r="AO80">
        <v>279</v>
      </c>
      <c r="AP80">
        <v>1313</v>
      </c>
      <c r="AQ80">
        <v>1313</v>
      </c>
      <c r="AS80">
        <v>3</v>
      </c>
      <c r="AT80">
        <v>91</v>
      </c>
      <c r="AU80" t="s">
        <v>69</v>
      </c>
      <c r="AV80">
        <v>19</v>
      </c>
      <c r="AW80" t="s">
        <v>33</v>
      </c>
      <c r="AX80">
        <v>22</v>
      </c>
      <c r="AY80" t="s">
        <v>73</v>
      </c>
      <c r="AZ80">
        <v>123</v>
      </c>
      <c r="BA80" t="s">
        <v>48</v>
      </c>
      <c r="BB80" t="s">
        <v>42</v>
      </c>
      <c r="BC80" t="s">
        <v>44</v>
      </c>
      <c r="BF80">
        <v>16000</v>
      </c>
    </row>
    <row r="81" spans="1:59" x14ac:dyDescent="0.3">
      <c r="A81">
        <v>1135</v>
      </c>
      <c r="B81" s="2">
        <v>45923.448194444441</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s">
        <v>150</v>
      </c>
      <c r="AN81">
        <v>652</v>
      </c>
      <c r="AO81">
        <v>283</v>
      </c>
      <c r="AP81">
        <v>1313</v>
      </c>
      <c r="AQ81">
        <v>1313</v>
      </c>
      <c r="AS81">
        <v>4</v>
      </c>
      <c r="AT81">
        <v>91</v>
      </c>
      <c r="AU81" t="s">
        <v>69</v>
      </c>
      <c r="AV81">
        <v>19</v>
      </c>
      <c r="AW81" t="s">
        <v>33</v>
      </c>
      <c r="AX81">
        <v>22</v>
      </c>
      <c r="AY81" t="s">
        <v>73</v>
      </c>
      <c r="AZ81">
        <v>123</v>
      </c>
      <c r="BA81" t="s">
        <v>48</v>
      </c>
      <c r="BB81" t="s">
        <v>42</v>
      </c>
      <c r="BC81" t="s">
        <v>44</v>
      </c>
      <c r="BF81">
        <v>4000</v>
      </c>
    </row>
    <row r="82" spans="1:59" x14ac:dyDescent="0.3">
      <c r="A82">
        <v>1044</v>
      </c>
      <c r="B82" s="2">
        <v>45923.448391203703</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s">
        <v>149</v>
      </c>
      <c r="AN82">
        <v>653</v>
      </c>
      <c r="AO82">
        <v>268</v>
      </c>
      <c r="AS82">
        <v>0</v>
      </c>
      <c r="AT82">
        <v>91</v>
      </c>
      <c r="AU82" t="s">
        <v>69</v>
      </c>
      <c r="AV82">
        <v>19</v>
      </c>
      <c r="AW82" t="s">
        <v>33</v>
      </c>
      <c r="AX82">
        <v>22</v>
      </c>
      <c r="AY82" t="s">
        <v>74</v>
      </c>
      <c r="AZ82">
        <v>125</v>
      </c>
      <c r="BC82" t="s">
        <v>47</v>
      </c>
      <c r="BF82">
        <v>0</v>
      </c>
    </row>
    <row r="83" spans="1:59" x14ac:dyDescent="0.3">
      <c r="A83">
        <v>1062</v>
      </c>
      <c r="B83" s="2">
        <v>45923.448391203703</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s">
        <v>150</v>
      </c>
      <c r="AN83">
        <v>653</v>
      </c>
      <c r="AO83">
        <v>272</v>
      </c>
      <c r="AQ83">
        <v>1321</v>
      </c>
      <c r="AS83">
        <v>1</v>
      </c>
      <c r="AT83">
        <v>91</v>
      </c>
      <c r="AU83" t="s">
        <v>69</v>
      </c>
      <c r="AV83">
        <v>19</v>
      </c>
      <c r="AW83" t="s">
        <v>33</v>
      </c>
      <c r="AX83">
        <v>22</v>
      </c>
      <c r="AY83" t="s">
        <v>74</v>
      </c>
      <c r="AZ83">
        <v>125</v>
      </c>
      <c r="BA83" t="s">
        <v>75</v>
      </c>
      <c r="BB83" t="s">
        <v>38</v>
      </c>
      <c r="BC83" t="s">
        <v>47</v>
      </c>
      <c r="BD83">
        <v>8000</v>
      </c>
      <c r="BE83">
        <v>3125</v>
      </c>
      <c r="BF83">
        <v>8000</v>
      </c>
      <c r="BG83">
        <v>0</v>
      </c>
    </row>
    <row r="84" spans="1:59" x14ac:dyDescent="0.3">
      <c r="A84">
        <v>1086</v>
      </c>
      <c r="B84" s="2">
        <v>45923.448391203703</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s">
        <v>150</v>
      </c>
      <c r="AN84">
        <v>653</v>
      </c>
      <c r="AO84">
        <v>275</v>
      </c>
      <c r="AP84">
        <v>1321</v>
      </c>
      <c r="AQ84">
        <v>1321</v>
      </c>
      <c r="AS84">
        <v>2</v>
      </c>
      <c r="AT84">
        <v>91</v>
      </c>
      <c r="AU84" t="s">
        <v>69</v>
      </c>
      <c r="AV84">
        <v>19</v>
      </c>
      <c r="AW84" t="s">
        <v>33</v>
      </c>
      <c r="AX84">
        <v>22</v>
      </c>
      <c r="AY84" t="s">
        <v>74</v>
      </c>
      <c r="AZ84">
        <v>125</v>
      </c>
      <c r="BA84" t="s">
        <v>75</v>
      </c>
      <c r="BB84" t="s">
        <v>38</v>
      </c>
      <c r="BC84" t="s">
        <v>47</v>
      </c>
      <c r="BD84">
        <v>8000</v>
      </c>
      <c r="BF84">
        <v>4000</v>
      </c>
    </row>
    <row r="85" spans="1:59" x14ac:dyDescent="0.3">
      <c r="A85">
        <v>1103</v>
      </c>
      <c r="B85" s="2">
        <v>45923.448391203703</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s">
        <v>150</v>
      </c>
      <c r="AN85">
        <v>653</v>
      </c>
      <c r="AO85">
        <v>279</v>
      </c>
      <c r="AP85">
        <v>1321</v>
      </c>
      <c r="AQ85">
        <v>1321</v>
      </c>
      <c r="AS85">
        <v>3</v>
      </c>
      <c r="AT85">
        <v>91</v>
      </c>
      <c r="AU85" t="s">
        <v>69</v>
      </c>
      <c r="AV85">
        <v>19</v>
      </c>
      <c r="AW85" t="s">
        <v>33</v>
      </c>
      <c r="AX85">
        <v>22</v>
      </c>
      <c r="AY85" t="s">
        <v>74</v>
      </c>
      <c r="AZ85">
        <v>125</v>
      </c>
      <c r="BA85" t="s">
        <v>75</v>
      </c>
      <c r="BB85" t="s">
        <v>38</v>
      </c>
      <c r="BC85" t="s">
        <v>47</v>
      </c>
      <c r="BF85">
        <v>28000</v>
      </c>
    </row>
    <row r="86" spans="1:59" x14ac:dyDescent="0.3">
      <c r="A86">
        <v>1134</v>
      </c>
      <c r="B86" s="2">
        <v>45923.448391203703</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s">
        <v>150</v>
      </c>
      <c r="AN86">
        <v>653</v>
      </c>
      <c r="AO86">
        <v>283</v>
      </c>
      <c r="AP86">
        <v>1321</v>
      </c>
      <c r="AQ86">
        <v>1321</v>
      </c>
      <c r="AS86">
        <v>4</v>
      </c>
      <c r="AT86">
        <v>91</v>
      </c>
      <c r="AU86" t="s">
        <v>69</v>
      </c>
      <c r="AV86">
        <v>19</v>
      </c>
      <c r="AW86" t="s">
        <v>33</v>
      </c>
      <c r="AX86">
        <v>22</v>
      </c>
      <c r="AY86" t="s">
        <v>74</v>
      </c>
      <c r="AZ86">
        <v>125</v>
      </c>
      <c r="BA86" t="s">
        <v>75</v>
      </c>
      <c r="BB86" t="s">
        <v>38</v>
      </c>
      <c r="BC86" t="s">
        <v>47</v>
      </c>
      <c r="BF86">
        <v>16000</v>
      </c>
    </row>
    <row r="87" spans="1:59" x14ac:dyDescent="0.3">
      <c r="A87">
        <v>1040</v>
      </c>
      <c r="B87" s="2">
        <v>45923.448182870372</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s">
        <v>149</v>
      </c>
      <c r="AN87">
        <v>654</v>
      </c>
      <c r="AO87">
        <v>268</v>
      </c>
      <c r="AS87">
        <v>0</v>
      </c>
      <c r="AT87">
        <v>91</v>
      </c>
      <c r="AU87" t="s">
        <v>69</v>
      </c>
      <c r="AV87">
        <v>19</v>
      </c>
      <c r="AW87" t="s">
        <v>33</v>
      </c>
      <c r="AX87">
        <v>22</v>
      </c>
      <c r="AY87" t="s">
        <v>76</v>
      </c>
      <c r="AZ87">
        <v>127</v>
      </c>
      <c r="BC87" t="s">
        <v>50</v>
      </c>
      <c r="BF87">
        <v>0</v>
      </c>
    </row>
    <row r="88" spans="1:59" x14ac:dyDescent="0.3">
      <c r="A88">
        <v>1067</v>
      </c>
      <c r="B88" s="2">
        <v>45923.448182870372</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s">
        <v>150</v>
      </c>
      <c r="AN88">
        <v>654</v>
      </c>
      <c r="AO88">
        <v>272</v>
      </c>
      <c r="AQ88">
        <v>1315</v>
      </c>
      <c r="AS88">
        <v>1</v>
      </c>
      <c r="AT88">
        <v>91</v>
      </c>
      <c r="AU88" t="s">
        <v>69</v>
      </c>
      <c r="AV88">
        <v>19</v>
      </c>
      <c r="AW88" t="s">
        <v>33</v>
      </c>
      <c r="AX88">
        <v>22</v>
      </c>
      <c r="AY88" t="s">
        <v>76</v>
      </c>
      <c r="AZ88">
        <v>127</v>
      </c>
      <c r="BA88" t="s">
        <v>55</v>
      </c>
      <c r="BB88" t="s">
        <v>52</v>
      </c>
      <c r="BC88" t="s">
        <v>50</v>
      </c>
      <c r="BF88">
        <v>4000</v>
      </c>
    </row>
    <row r="89" spans="1:59" x14ac:dyDescent="0.3">
      <c r="A89">
        <v>1084</v>
      </c>
      <c r="B89" s="2">
        <v>45923.448182870372</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s">
        <v>150</v>
      </c>
      <c r="AN89">
        <v>654</v>
      </c>
      <c r="AO89">
        <v>275</v>
      </c>
      <c r="AP89">
        <v>1315</v>
      </c>
      <c r="AQ89">
        <v>1315</v>
      </c>
      <c r="AS89">
        <v>2</v>
      </c>
      <c r="AT89">
        <v>91</v>
      </c>
      <c r="AU89" t="s">
        <v>69</v>
      </c>
      <c r="AV89">
        <v>19</v>
      </c>
      <c r="AW89" t="s">
        <v>33</v>
      </c>
      <c r="AX89">
        <v>22</v>
      </c>
      <c r="AY89" t="s">
        <v>76</v>
      </c>
      <c r="AZ89">
        <v>127</v>
      </c>
      <c r="BA89" t="s">
        <v>55</v>
      </c>
      <c r="BB89" t="s">
        <v>52</v>
      </c>
      <c r="BC89" t="s">
        <v>50</v>
      </c>
      <c r="BF89">
        <v>4000</v>
      </c>
    </row>
    <row r="90" spans="1:59" x14ac:dyDescent="0.3">
      <c r="A90">
        <v>1110</v>
      </c>
      <c r="B90" s="2">
        <v>45923.448182870372</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s">
        <v>150</v>
      </c>
      <c r="AN90">
        <v>654</v>
      </c>
      <c r="AO90">
        <v>279</v>
      </c>
      <c r="AP90">
        <v>1315</v>
      </c>
      <c r="AQ90">
        <v>1315</v>
      </c>
      <c r="AS90">
        <v>3</v>
      </c>
      <c r="AT90">
        <v>91</v>
      </c>
      <c r="AU90" t="s">
        <v>69</v>
      </c>
      <c r="AV90">
        <v>19</v>
      </c>
      <c r="AW90" t="s">
        <v>33</v>
      </c>
      <c r="AX90">
        <v>22</v>
      </c>
      <c r="AY90" t="s">
        <v>76</v>
      </c>
      <c r="AZ90">
        <v>127</v>
      </c>
      <c r="BA90" t="s">
        <v>55</v>
      </c>
      <c r="BB90" t="s">
        <v>52</v>
      </c>
      <c r="BC90" t="s">
        <v>50</v>
      </c>
      <c r="BF90">
        <v>16000</v>
      </c>
    </row>
    <row r="91" spans="1:59" x14ac:dyDescent="0.3">
      <c r="A91">
        <v>1139</v>
      </c>
      <c r="B91" s="2">
        <v>45923.448182870372</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s">
        <v>150</v>
      </c>
      <c r="AN91">
        <v>654</v>
      </c>
      <c r="AO91">
        <v>283</v>
      </c>
      <c r="AP91">
        <v>1315</v>
      </c>
      <c r="AQ91">
        <v>1366</v>
      </c>
      <c r="AS91">
        <v>4</v>
      </c>
      <c r="AT91">
        <v>91</v>
      </c>
      <c r="AU91" t="s">
        <v>69</v>
      </c>
      <c r="AV91">
        <v>19</v>
      </c>
      <c r="AW91" t="s">
        <v>33</v>
      </c>
      <c r="AX91">
        <v>22</v>
      </c>
      <c r="AY91" t="s">
        <v>76</v>
      </c>
      <c r="AZ91">
        <v>127</v>
      </c>
      <c r="BA91" t="s">
        <v>77</v>
      </c>
      <c r="BB91" t="s">
        <v>42</v>
      </c>
      <c r="BC91" t="s">
        <v>50</v>
      </c>
      <c r="BD91">
        <v>33000</v>
      </c>
      <c r="BE91">
        <v>25500</v>
      </c>
      <c r="BF91">
        <v>0</v>
      </c>
      <c r="BG91">
        <v>-10000</v>
      </c>
    </row>
    <row r="92" spans="1:59" x14ac:dyDescent="0.3">
      <c r="A92">
        <v>1035</v>
      </c>
      <c r="B92" s="2">
        <v>45923.445833333331</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s">
        <v>149</v>
      </c>
      <c r="AN92">
        <v>655</v>
      </c>
      <c r="AO92">
        <v>268</v>
      </c>
      <c r="AS92">
        <v>0</v>
      </c>
      <c r="AT92">
        <v>91</v>
      </c>
      <c r="AU92" t="s">
        <v>69</v>
      </c>
      <c r="AV92">
        <v>19</v>
      </c>
      <c r="AW92" t="s">
        <v>33</v>
      </c>
      <c r="AX92">
        <v>22</v>
      </c>
      <c r="AY92" t="s">
        <v>78</v>
      </c>
      <c r="AZ92">
        <v>128</v>
      </c>
      <c r="BC92" t="s">
        <v>54</v>
      </c>
      <c r="BF92">
        <v>0</v>
      </c>
    </row>
    <row r="93" spans="1:59" x14ac:dyDescent="0.3">
      <c r="A93">
        <v>1063</v>
      </c>
      <c r="B93" s="2">
        <v>45923.445833333331</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s">
        <v>150</v>
      </c>
      <c r="AN93">
        <v>655</v>
      </c>
      <c r="AO93">
        <v>272</v>
      </c>
      <c r="AQ93">
        <v>1314</v>
      </c>
      <c r="AS93">
        <v>1</v>
      </c>
      <c r="AT93">
        <v>91</v>
      </c>
      <c r="AU93" t="s">
        <v>69</v>
      </c>
      <c r="AV93">
        <v>19</v>
      </c>
      <c r="AW93" t="s">
        <v>33</v>
      </c>
      <c r="AX93">
        <v>22</v>
      </c>
      <c r="AY93" t="s">
        <v>78</v>
      </c>
      <c r="AZ93">
        <v>128</v>
      </c>
      <c r="BA93" t="s">
        <v>51</v>
      </c>
      <c r="BB93" t="s">
        <v>52</v>
      </c>
      <c r="BC93" t="s">
        <v>54</v>
      </c>
      <c r="BE93">
        <v>21000</v>
      </c>
      <c r="BF93">
        <v>4000</v>
      </c>
    </row>
    <row r="94" spans="1:59" x14ac:dyDescent="0.3">
      <c r="A94">
        <v>1085</v>
      </c>
      <c r="B94" s="2">
        <v>45923.445833333331</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s">
        <v>150</v>
      </c>
      <c r="AN94">
        <v>655</v>
      </c>
      <c r="AO94">
        <v>275</v>
      </c>
      <c r="AP94">
        <v>1314</v>
      </c>
      <c r="AQ94">
        <v>1314</v>
      </c>
      <c r="AS94">
        <v>2</v>
      </c>
      <c r="AT94">
        <v>91</v>
      </c>
      <c r="AU94" t="s">
        <v>69</v>
      </c>
      <c r="AV94">
        <v>19</v>
      </c>
      <c r="AW94" t="s">
        <v>33</v>
      </c>
      <c r="AX94">
        <v>22</v>
      </c>
      <c r="AY94" t="s">
        <v>78</v>
      </c>
      <c r="AZ94">
        <v>128</v>
      </c>
      <c r="BA94" t="s">
        <v>51</v>
      </c>
      <c r="BB94" t="s">
        <v>52</v>
      </c>
      <c r="BC94" t="s">
        <v>54</v>
      </c>
      <c r="BF94">
        <v>4000</v>
      </c>
    </row>
    <row r="95" spans="1:59" x14ac:dyDescent="0.3">
      <c r="A95">
        <v>1106</v>
      </c>
      <c r="B95" s="2">
        <v>45923.445833333331</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s">
        <v>150</v>
      </c>
      <c r="AN95">
        <v>655</v>
      </c>
      <c r="AO95">
        <v>279</v>
      </c>
      <c r="AP95">
        <v>1314</v>
      </c>
      <c r="AQ95">
        <v>1314</v>
      </c>
      <c r="AS95">
        <v>3</v>
      </c>
      <c r="AT95">
        <v>91</v>
      </c>
      <c r="AU95" t="s">
        <v>69</v>
      </c>
      <c r="AV95">
        <v>19</v>
      </c>
      <c r="AW95" t="s">
        <v>33</v>
      </c>
      <c r="AX95">
        <v>22</v>
      </c>
      <c r="AY95" t="s">
        <v>78</v>
      </c>
      <c r="AZ95">
        <v>128</v>
      </c>
      <c r="BA95" t="s">
        <v>51</v>
      </c>
      <c r="BB95" t="s">
        <v>52</v>
      </c>
      <c r="BC95" t="s">
        <v>54</v>
      </c>
      <c r="BF95">
        <v>12000</v>
      </c>
    </row>
    <row r="96" spans="1:59" x14ac:dyDescent="0.3">
      <c r="A96">
        <v>1136</v>
      </c>
      <c r="B96" s="2">
        <v>45923.445833333331</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s">
        <v>150</v>
      </c>
      <c r="AN96">
        <v>655</v>
      </c>
      <c r="AO96">
        <v>283</v>
      </c>
      <c r="AP96">
        <v>1314</v>
      </c>
      <c r="AQ96">
        <v>1367</v>
      </c>
      <c r="AS96">
        <v>4</v>
      </c>
      <c r="AT96">
        <v>91</v>
      </c>
      <c r="AU96" t="s">
        <v>69</v>
      </c>
      <c r="AV96">
        <v>19</v>
      </c>
      <c r="AW96" t="s">
        <v>33</v>
      </c>
      <c r="AX96">
        <v>22</v>
      </c>
      <c r="AY96" t="s">
        <v>78</v>
      </c>
      <c r="AZ96">
        <v>128</v>
      </c>
      <c r="BA96" t="s">
        <v>56</v>
      </c>
      <c r="BB96" t="s">
        <v>42</v>
      </c>
      <c r="BC96" t="s">
        <v>54</v>
      </c>
      <c r="BD96">
        <v>33000</v>
      </c>
      <c r="BE96">
        <v>17000</v>
      </c>
      <c r="BF96">
        <v>0</v>
      </c>
      <c r="BG96">
        <v>-14875</v>
      </c>
    </row>
    <row r="97" spans="1:59" x14ac:dyDescent="0.3">
      <c r="A97">
        <v>1069</v>
      </c>
      <c r="B97" s="2">
        <v>45923.450312499997</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s">
        <v>149</v>
      </c>
      <c r="AN97">
        <v>658</v>
      </c>
      <c r="AO97">
        <v>266</v>
      </c>
      <c r="AS97">
        <v>0</v>
      </c>
      <c r="AT97">
        <v>92</v>
      </c>
      <c r="AU97" t="s">
        <v>79</v>
      </c>
      <c r="AV97">
        <v>19</v>
      </c>
      <c r="AW97" t="s">
        <v>33</v>
      </c>
      <c r="AX97">
        <v>22</v>
      </c>
      <c r="AY97" t="s">
        <v>80</v>
      </c>
      <c r="AZ97">
        <v>124</v>
      </c>
      <c r="BC97" t="s">
        <v>36</v>
      </c>
      <c r="BF97">
        <v>0</v>
      </c>
    </row>
    <row r="98" spans="1:59" x14ac:dyDescent="0.3">
      <c r="A98">
        <v>1073</v>
      </c>
      <c r="B98" s="2">
        <v>45923.450312499997</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s">
        <v>153</v>
      </c>
      <c r="AN98">
        <v>658</v>
      </c>
      <c r="AO98">
        <v>273</v>
      </c>
      <c r="AS98">
        <v>1</v>
      </c>
      <c r="AT98">
        <v>92</v>
      </c>
      <c r="AU98" t="s">
        <v>79</v>
      </c>
      <c r="AV98">
        <v>19</v>
      </c>
      <c r="AW98" t="s">
        <v>33</v>
      </c>
      <c r="AX98">
        <v>22</v>
      </c>
      <c r="AY98" t="s">
        <v>80</v>
      </c>
      <c r="AZ98">
        <v>124</v>
      </c>
      <c r="BC98" t="s">
        <v>36</v>
      </c>
      <c r="BF98">
        <v>0</v>
      </c>
    </row>
    <row r="99" spans="1:59" x14ac:dyDescent="0.3">
      <c r="A99">
        <v>1057</v>
      </c>
      <c r="B99" s="2">
        <v>45923.449594907397</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s">
        <v>149</v>
      </c>
      <c r="AN99">
        <v>659</v>
      </c>
      <c r="AO99">
        <v>266</v>
      </c>
      <c r="AS99">
        <v>0</v>
      </c>
      <c r="AT99">
        <v>92</v>
      </c>
      <c r="AU99" t="s">
        <v>79</v>
      </c>
      <c r="AV99">
        <v>19</v>
      </c>
      <c r="AW99" t="s">
        <v>33</v>
      </c>
      <c r="AX99">
        <v>22</v>
      </c>
      <c r="AY99" t="s">
        <v>81</v>
      </c>
      <c r="AZ99">
        <v>126</v>
      </c>
      <c r="BC99" t="s">
        <v>40</v>
      </c>
      <c r="BF99">
        <v>0</v>
      </c>
    </row>
    <row r="100" spans="1:59" x14ac:dyDescent="0.3">
      <c r="A100">
        <v>1074</v>
      </c>
      <c r="B100" s="2">
        <v>45923.449594907397</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s">
        <v>150</v>
      </c>
      <c r="AN100">
        <v>659</v>
      </c>
      <c r="AO100">
        <v>273</v>
      </c>
      <c r="AQ100">
        <v>1331</v>
      </c>
      <c r="AS100">
        <v>1</v>
      </c>
      <c r="AT100">
        <v>92</v>
      </c>
      <c r="AU100" t="s">
        <v>79</v>
      </c>
      <c r="AV100">
        <v>19</v>
      </c>
      <c r="AW100" t="s">
        <v>33</v>
      </c>
      <c r="AX100">
        <v>22</v>
      </c>
      <c r="AY100" t="s">
        <v>81</v>
      </c>
      <c r="AZ100">
        <v>126</v>
      </c>
      <c r="BA100" t="s">
        <v>66</v>
      </c>
      <c r="BB100" t="s">
        <v>52</v>
      </c>
      <c r="BC100" t="s">
        <v>40</v>
      </c>
      <c r="BE100">
        <v>8000</v>
      </c>
      <c r="BF100">
        <v>0</v>
      </c>
    </row>
    <row r="101" spans="1:59" x14ac:dyDescent="0.3">
      <c r="A101">
        <v>1117</v>
      </c>
      <c r="B101" s="2">
        <v>45923.449594907397</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s">
        <v>150</v>
      </c>
      <c r="AN101">
        <v>659</v>
      </c>
      <c r="AO101">
        <v>280</v>
      </c>
      <c r="AP101">
        <v>1331</v>
      </c>
      <c r="AQ101">
        <v>1331</v>
      </c>
      <c r="AS101">
        <v>2</v>
      </c>
      <c r="AT101">
        <v>92</v>
      </c>
      <c r="AU101" t="s">
        <v>79</v>
      </c>
      <c r="AV101">
        <v>19</v>
      </c>
      <c r="AW101" t="s">
        <v>33</v>
      </c>
      <c r="AX101">
        <v>22</v>
      </c>
      <c r="AY101" t="s">
        <v>81</v>
      </c>
      <c r="AZ101">
        <v>126</v>
      </c>
      <c r="BA101" t="s">
        <v>66</v>
      </c>
      <c r="BB101" t="s">
        <v>52</v>
      </c>
      <c r="BC101" t="s">
        <v>40</v>
      </c>
      <c r="BE101">
        <v>9500</v>
      </c>
      <c r="BF101">
        <v>0</v>
      </c>
    </row>
    <row r="102" spans="1:59" x14ac:dyDescent="0.3">
      <c r="A102">
        <v>1142</v>
      </c>
      <c r="B102" s="2">
        <v>45923.449594907397</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s">
        <v>150</v>
      </c>
      <c r="AN102">
        <v>659</v>
      </c>
      <c r="AO102">
        <v>284</v>
      </c>
      <c r="AP102">
        <v>1331</v>
      </c>
      <c r="AQ102">
        <v>1331</v>
      </c>
      <c r="AS102">
        <v>3</v>
      </c>
      <c r="AT102">
        <v>92</v>
      </c>
      <c r="AU102" t="s">
        <v>79</v>
      </c>
      <c r="AV102">
        <v>19</v>
      </c>
      <c r="AW102" t="s">
        <v>33</v>
      </c>
      <c r="AX102">
        <v>22</v>
      </c>
      <c r="AY102" t="s">
        <v>81</v>
      </c>
      <c r="AZ102">
        <v>126</v>
      </c>
      <c r="BA102" t="s">
        <v>66</v>
      </c>
      <c r="BB102" t="s">
        <v>52</v>
      </c>
      <c r="BC102" t="s">
        <v>40</v>
      </c>
      <c r="BE102">
        <v>3200</v>
      </c>
      <c r="BF102">
        <v>4000</v>
      </c>
    </row>
    <row r="103" spans="1:59" x14ac:dyDescent="0.3">
      <c r="A103">
        <v>1150</v>
      </c>
      <c r="B103" s="2">
        <v>45923.449594907397</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s">
        <v>150</v>
      </c>
      <c r="AN103">
        <v>659</v>
      </c>
      <c r="AO103">
        <v>285</v>
      </c>
      <c r="AP103">
        <v>1331</v>
      </c>
      <c r="AQ103">
        <v>1378</v>
      </c>
      <c r="AS103">
        <v>4</v>
      </c>
      <c r="AT103">
        <v>92</v>
      </c>
      <c r="AU103" t="s">
        <v>79</v>
      </c>
      <c r="AV103">
        <v>19</v>
      </c>
      <c r="AW103" t="s">
        <v>33</v>
      </c>
      <c r="AX103">
        <v>22</v>
      </c>
      <c r="AY103" t="s">
        <v>81</v>
      </c>
      <c r="AZ103">
        <v>126</v>
      </c>
      <c r="BA103" t="s">
        <v>77</v>
      </c>
      <c r="BB103" t="s">
        <v>42</v>
      </c>
      <c r="BC103" t="s">
        <v>40</v>
      </c>
      <c r="BD103">
        <v>33000</v>
      </c>
      <c r="BF103">
        <v>0</v>
      </c>
    </row>
    <row r="104" spans="1:59" x14ac:dyDescent="0.3">
      <c r="A104">
        <v>1058</v>
      </c>
      <c r="B104" s="2">
        <v>45923.449641203697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s">
        <v>149</v>
      </c>
      <c r="AN104">
        <v>660</v>
      </c>
      <c r="AO104">
        <v>266</v>
      </c>
      <c r="AS104">
        <v>0</v>
      </c>
      <c r="AT104">
        <v>92</v>
      </c>
      <c r="AU104" t="s">
        <v>79</v>
      </c>
      <c r="AV104">
        <v>19</v>
      </c>
      <c r="AW104" t="s">
        <v>33</v>
      </c>
      <c r="AX104">
        <v>22</v>
      </c>
      <c r="AY104" t="s">
        <v>82</v>
      </c>
      <c r="AZ104">
        <v>123</v>
      </c>
      <c r="BC104" t="s">
        <v>44</v>
      </c>
      <c r="BF104">
        <v>0</v>
      </c>
    </row>
    <row r="105" spans="1:59" x14ac:dyDescent="0.3">
      <c r="A105">
        <v>1072</v>
      </c>
      <c r="B105" s="2">
        <v>45923.449641203697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s">
        <v>150</v>
      </c>
      <c r="AN105">
        <v>660</v>
      </c>
      <c r="AO105">
        <v>273</v>
      </c>
      <c r="AQ105">
        <v>1334</v>
      </c>
      <c r="AS105">
        <v>1</v>
      </c>
      <c r="AT105">
        <v>92</v>
      </c>
      <c r="AU105" t="s">
        <v>79</v>
      </c>
      <c r="AV105">
        <v>19</v>
      </c>
      <c r="AW105" t="s">
        <v>33</v>
      </c>
      <c r="AX105">
        <v>22</v>
      </c>
      <c r="AY105" t="s">
        <v>82</v>
      </c>
      <c r="AZ105">
        <v>123</v>
      </c>
      <c r="BA105" t="s">
        <v>83</v>
      </c>
      <c r="BB105" t="s">
        <v>52</v>
      </c>
      <c r="BC105" t="s">
        <v>44</v>
      </c>
      <c r="BE105">
        <v>1600</v>
      </c>
      <c r="BF105">
        <v>0</v>
      </c>
    </row>
    <row r="106" spans="1:59" x14ac:dyDescent="0.3">
      <c r="A106">
        <v>1120</v>
      </c>
      <c r="B106" s="2">
        <v>45923.449641203697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s">
        <v>150</v>
      </c>
      <c r="AN106">
        <v>660</v>
      </c>
      <c r="AO106">
        <v>280</v>
      </c>
      <c r="AP106">
        <v>1334</v>
      </c>
      <c r="AQ106">
        <v>1334</v>
      </c>
      <c r="AS106">
        <v>2</v>
      </c>
      <c r="AT106">
        <v>92</v>
      </c>
      <c r="AU106" t="s">
        <v>79</v>
      </c>
      <c r="AV106">
        <v>19</v>
      </c>
      <c r="AW106" t="s">
        <v>33</v>
      </c>
      <c r="AX106">
        <v>22</v>
      </c>
      <c r="AY106" t="s">
        <v>82</v>
      </c>
      <c r="AZ106">
        <v>123</v>
      </c>
      <c r="BA106" t="s">
        <v>83</v>
      </c>
      <c r="BB106" t="s">
        <v>52</v>
      </c>
      <c r="BC106" t="s">
        <v>44</v>
      </c>
      <c r="BD106">
        <v>8000</v>
      </c>
      <c r="BF106">
        <v>0</v>
      </c>
    </row>
    <row r="107" spans="1:59" x14ac:dyDescent="0.3">
      <c r="A107">
        <v>1144</v>
      </c>
      <c r="B107" s="2">
        <v>45923.449641203697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s">
        <v>150</v>
      </c>
      <c r="AN107">
        <v>660</v>
      </c>
      <c r="AO107">
        <v>284</v>
      </c>
      <c r="AP107">
        <v>1334</v>
      </c>
      <c r="AQ107">
        <v>1334</v>
      </c>
      <c r="AS107">
        <v>3</v>
      </c>
      <c r="AT107">
        <v>92</v>
      </c>
      <c r="AU107" t="s">
        <v>79</v>
      </c>
      <c r="AV107">
        <v>19</v>
      </c>
      <c r="AW107" t="s">
        <v>33</v>
      </c>
      <c r="AX107">
        <v>22</v>
      </c>
      <c r="AY107" t="s">
        <v>82</v>
      </c>
      <c r="AZ107">
        <v>123</v>
      </c>
      <c r="BA107" t="s">
        <v>83</v>
      </c>
      <c r="BB107" t="s">
        <v>52</v>
      </c>
      <c r="BC107" t="s">
        <v>44</v>
      </c>
      <c r="BD107">
        <v>6000</v>
      </c>
      <c r="BF107">
        <v>4000</v>
      </c>
    </row>
    <row r="108" spans="1:59" x14ac:dyDescent="0.3">
      <c r="A108">
        <v>1151</v>
      </c>
      <c r="B108" s="2">
        <v>45923.449641203697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s">
        <v>150</v>
      </c>
      <c r="AN108">
        <v>660</v>
      </c>
      <c r="AO108">
        <v>285</v>
      </c>
      <c r="AP108">
        <v>1334</v>
      </c>
      <c r="AQ108">
        <v>1334</v>
      </c>
      <c r="AS108">
        <v>4</v>
      </c>
      <c r="AT108">
        <v>92</v>
      </c>
      <c r="AU108" t="s">
        <v>79</v>
      </c>
      <c r="AV108">
        <v>19</v>
      </c>
      <c r="AW108" t="s">
        <v>33</v>
      </c>
      <c r="AX108">
        <v>22</v>
      </c>
      <c r="AY108" t="s">
        <v>82</v>
      </c>
      <c r="AZ108">
        <v>123</v>
      </c>
      <c r="BA108" t="s">
        <v>83</v>
      </c>
      <c r="BB108" t="s">
        <v>52</v>
      </c>
      <c r="BC108" t="s">
        <v>44</v>
      </c>
      <c r="BE108">
        <v>2000</v>
      </c>
      <c r="BF108">
        <v>4000</v>
      </c>
    </row>
    <row r="109" spans="1:59" x14ac:dyDescent="0.3">
      <c r="A109">
        <v>1059</v>
      </c>
      <c r="B109" s="2">
        <v>45923.449699074074</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s">
        <v>149</v>
      </c>
      <c r="AN109">
        <v>661</v>
      </c>
      <c r="AO109">
        <v>266</v>
      </c>
      <c r="AS109">
        <v>0</v>
      </c>
      <c r="AT109">
        <v>92</v>
      </c>
      <c r="AU109" t="s">
        <v>79</v>
      </c>
      <c r="AV109">
        <v>19</v>
      </c>
      <c r="AW109" t="s">
        <v>33</v>
      </c>
      <c r="AX109">
        <v>22</v>
      </c>
      <c r="AY109" t="s">
        <v>84</v>
      </c>
      <c r="AZ109">
        <v>125</v>
      </c>
      <c r="BC109" t="s">
        <v>47</v>
      </c>
      <c r="BF109">
        <v>0</v>
      </c>
    </row>
    <row r="110" spans="1:59" x14ac:dyDescent="0.3">
      <c r="A110">
        <v>1076</v>
      </c>
      <c r="B110" s="2">
        <v>45923.449699074074</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s">
        <v>150</v>
      </c>
      <c r="AN110">
        <v>661</v>
      </c>
      <c r="AO110">
        <v>273</v>
      </c>
      <c r="AQ110">
        <v>1328</v>
      </c>
      <c r="AS110">
        <v>1</v>
      </c>
      <c r="AT110">
        <v>92</v>
      </c>
      <c r="AU110" t="s">
        <v>79</v>
      </c>
      <c r="AV110">
        <v>19</v>
      </c>
      <c r="AW110" t="s">
        <v>33</v>
      </c>
      <c r="AX110">
        <v>22</v>
      </c>
      <c r="AY110" t="s">
        <v>84</v>
      </c>
      <c r="AZ110">
        <v>125</v>
      </c>
      <c r="BA110" t="s">
        <v>48</v>
      </c>
      <c r="BB110" t="s">
        <v>42</v>
      </c>
      <c r="BC110" t="s">
        <v>47</v>
      </c>
      <c r="BD110">
        <v>6000</v>
      </c>
      <c r="BE110">
        <v>7000</v>
      </c>
      <c r="BF110">
        <v>0</v>
      </c>
      <c r="BG110">
        <v>0</v>
      </c>
    </row>
    <row r="111" spans="1:59" x14ac:dyDescent="0.3">
      <c r="A111">
        <v>1118</v>
      </c>
      <c r="B111" s="2">
        <v>45923.449699074074</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s">
        <v>150</v>
      </c>
      <c r="AN111">
        <v>661</v>
      </c>
      <c r="AO111">
        <v>280</v>
      </c>
      <c r="AP111">
        <v>1328</v>
      </c>
      <c r="AQ111">
        <v>1328</v>
      </c>
      <c r="AS111">
        <v>2</v>
      </c>
      <c r="AT111">
        <v>92</v>
      </c>
      <c r="AU111" t="s">
        <v>79</v>
      </c>
      <c r="AV111">
        <v>19</v>
      </c>
      <c r="AW111" t="s">
        <v>33</v>
      </c>
      <c r="AX111">
        <v>22</v>
      </c>
      <c r="AY111" t="s">
        <v>84</v>
      </c>
      <c r="AZ111">
        <v>125</v>
      </c>
      <c r="BA111" t="s">
        <v>48</v>
      </c>
      <c r="BB111" t="s">
        <v>42</v>
      </c>
      <c r="BC111" t="s">
        <v>47</v>
      </c>
      <c r="BD111">
        <v>8000</v>
      </c>
      <c r="BE111">
        <v>7000</v>
      </c>
      <c r="BF111">
        <v>0</v>
      </c>
      <c r="BG111">
        <v>0</v>
      </c>
    </row>
    <row r="112" spans="1:59" x14ac:dyDescent="0.3">
      <c r="A112">
        <v>1141</v>
      </c>
      <c r="B112" s="2">
        <v>45923.449699074074</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s">
        <v>150</v>
      </c>
      <c r="AN112">
        <v>661</v>
      </c>
      <c r="AO112">
        <v>284</v>
      </c>
      <c r="AP112">
        <v>1328</v>
      </c>
      <c r="AQ112">
        <v>1328</v>
      </c>
      <c r="AS112">
        <v>3</v>
      </c>
      <c r="AT112">
        <v>92</v>
      </c>
      <c r="AU112" t="s">
        <v>79</v>
      </c>
      <c r="AV112">
        <v>19</v>
      </c>
      <c r="AW112" t="s">
        <v>33</v>
      </c>
      <c r="AX112">
        <v>22</v>
      </c>
      <c r="AY112" t="s">
        <v>84</v>
      </c>
      <c r="AZ112">
        <v>125</v>
      </c>
      <c r="BA112" t="s">
        <v>48</v>
      </c>
      <c r="BB112" t="s">
        <v>42</v>
      </c>
      <c r="BC112" t="s">
        <v>47</v>
      </c>
      <c r="BF112">
        <v>4000</v>
      </c>
    </row>
    <row r="113" spans="1:59" x14ac:dyDescent="0.3">
      <c r="A113">
        <v>1148</v>
      </c>
      <c r="B113" s="2">
        <v>45923.449699074074</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s">
        <v>150</v>
      </c>
      <c r="AN113">
        <v>661</v>
      </c>
      <c r="AO113">
        <v>285</v>
      </c>
      <c r="AP113">
        <v>1328</v>
      </c>
      <c r="AQ113">
        <v>1328</v>
      </c>
      <c r="AS113">
        <v>4</v>
      </c>
      <c r="AT113">
        <v>92</v>
      </c>
      <c r="AU113" t="s">
        <v>79</v>
      </c>
      <c r="AV113">
        <v>19</v>
      </c>
      <c r="AW113" t="s">
        <v>33</v>
      </c>
      <c r="AX113">
        <v>22</v>
      </c>
      <c r="AY113" t="s">
        <v>84</v>
      </c>
      <c r="AZ113">
        <v>125</v>
      </c>
      <c r="BA113" t="s">
        <v>48</v>
      </c>
      <c r="BB113" t="s">
        <v>42</v>
      </c>
      <c r="BC113" t="s">
        <v>47</v>
      </c>
      <c r="BD113">
        <v>8000</v>
      </c>
      <c r="BF113">
        <v>0</v>
      </c>
    </row>
    <row r="114" spans="1:59" x14ac:dyDescent="0.3">
      <c r="A114">
        <v>1068</v>
      </c>
      <c r="B114" s="2">
        <v>45923.450057870366</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s">
        <v>149</v>
      </c>
      <c r="AN114">
        <v>662</v>
      </c>
      <c r="AO114">
        <v>266</v>
      </c>
      <c r="AS114">
        <v>0</v>
      </c>
      <c r="AT114">
        <v>92</v>
      </c>
      <c r="AU114" t="s">
        <v>79</v>
      </c>
      <c r="AV114">
        <v>19</v>
      </c>
      <c r="AW114" t="s">
        <v>33</v>
      </c>
      <c r="AX114">
        <v>22</v>
      </c>
      <c r="AY114" t="s">
        <v>85</v>
      </c>
      <c r="AZ114">
        <v>127</v>
      </c>
      <c r="BC114" t="s">
        <v>50</v>
      </c>
      <c r="BF114">
        <v>0</v>
      </c>
    </row>
    <row r="115" spans="1:59" x14ac:dyDescent="0.3">
      <c r="A115">
        <v>1075</v>
      </c>
      <c r="B115" s="2">
        <v>45923.450057870366</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s">
        <v>150</v>
      </c>
      <c r="AN115">
        <v>662</v>
      </c>
      <c r="AO115">
        <v>273</v>
      </c>
      <c r="AQ115">
        <v>1326</v>
      </c>
      <c r="AS115">
        <v>1</v>
      </c>
      <c r="AT115">
        <v>92</v>
      </c>
      <c r="AU115" t="s">
        <v>79</v>
      </c>
      <c r="AV115">
        <v>19</v>
      </c>
      <c r="AW115" t="s">
        <v>33</v>
      </c>
      <c r="AX115">
        <v>22</v>
      </c>
      <c r="AY115" t="s">
        <v>85</v>
      </c>
      <c r="AZ115">
        <v>127</v>
      </c>
      <c r="BA115" t="s">
        <v>41</v>
      </c>
      <c r="BB115" t="s">
        <v>42</v>
      </c>
      <c r="BC115" t="s">
        <v>50</v>
      </c>
      <c r="BD115">
        <v>24000</v>
      </c>
      <c r="BF115">
        <v>0</v>
      </c>
    </row>
    <row r="116" spans="1:59" x14ac:dyDescent="0.3">
      <c r="A116">
        <v>1116</v>
      </c>
      <c r="B116" s="2">
        <v>45923.450057870366</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s">
        <v>150</v>
      </c>
      <c r="AN116">
        <v>662</v>
      </c>
      <c r="AO116">
        <v>280</v>
      </c>
      <c r="AP116">
        <v>1326</v>
      </c>
      <c r="AQ116">
        <v>1326</v>
      </c>
      <c r="AS116">
        <v>2</v>
      </c>
      <c r="AT116">
        <v>92</v>
      </c>
      <c r="AU116" t="s">
        <v>79</v>
      </c>
      <c r="AV116">
        <v>19</v>
      </c>
      <c r="AW116" t="s">
        <v>33</v>
      </c>
      <c r="AX116">
        <v>22</v>
      </c>
      <c r="AY116" t="s">
        <v>85</v>
      </c>
      <c r="AZ116">
        <v>127</v>
      </c>
      <c r="BA116" t="s">
        <v>41</v>
      </c>
      <c r="BB116" t="s">
        <v>42</v>
      </c>
      <c r="BC116" t="s">
        <v>50</v>
      </c>
      <c r="BD116">
        <v>8000</v>
      </c>
      <c r="BE116">
        <v>10000</v>
      </c>
      <c r="BF116">
        <v>0</v>
      </c>
      <c r="BG116">
        <v>0</v>
      </c>
    </row>
    <row r="117" spans="1:59" x14ac:dyDescent="0.3">
      <c r="A117">
        <v>1145</v>
      </c>
      <c r="B117" s="2">
        <v>45923.450057870366</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s">
        <v>150</v>
      </c>
      <c r="AN117">
        <v>662</v>
      </c>
      <c r="AO117">
        <v>284</v>
      </c>
      <c r="AP117">
        <v>1326</v>
      </c>
      <c r="AQ117">
        <v>1326</v>
      </c>
      <c r="AS117">
        <v>3</v>
      </c>
      <c r="AT117">
        <v>92</v>
      </c>
      <c r="AU117" t="s">
        <v>79</v>
      </c>
      <c r="AV117">
        <v>19</v>
      </c>
      <c r="AW117" t="s">
        <v>33</v>
      </c>
      <c r="AX117">
        <v>22</v>
      </c>
      <c r="AY117" t="s">
        <v>85</v>
      </c>
      <c r="AZ117">
        <v>127</v>
      </c>
      <c r="BA117" t="s">
        <v>41</v>
      </c>
      <c r="BB117" t="s">
        <v>42</v>
      </c>
      <c r="BC117" t="s">
        <v>50</v>
      </c>
      <c r="BD117">
        <v>1000</v>
      </c>
      <c r="BF117">
        <v>4000</v>
      </c>
    </row>
    <row r="118" spans="1:59" x14ac:dyDescent="0.3">
      <c r="A118">
        <v>1149</v>
      </c>
      <c r="B118" s="2">
        <v>45923.450057870366</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s">
        <v>150</v>
      </c>
      <c r="AN118">
        <v>662</v>
      </c>
      <c r="AO118">
        <v>285</v>
      </c>
      <c r="AP118">
        <v>1326</v>
      </c>
      <c r="AQ118">
        <v>1326</v>
      </c>
      <c r="AS118">
        <v>4</v>
      </c>
      <c r="AT118">
        <v>92</v>
      </c>
      <c r="AU118" t="s">
        <v>79</v>
      </c>
      <c r="AV118">
        <v>19</v>
      </c>
      <c r="AW118" t="s">
        <v>33</v>
      </c>
      <c r="AX118">
        <v>22</v>
      </c>
      <c r="AY118" t="s">
        <v>85</v>
      </c>
      <c r="AZ118">
        <v>127</v>
      </c>
      <c r="BA118" t="s">
        <v>41</v>
      </c>
      <c r="BB118" t="s">
        <v>42</v>
      </c>
      <c r="BC118" t="s">
        <v>50</v>
      </c>
      <c r="BE118">
        <v>15500</v>
      </c>
      <c r="BF118">
        <v>0</v>
      </c>
    </row>
    <row r="119" spans="1:59" x14ac:dyDescent="0.3">
      <c r="A119">
        <v>1060</v>
      </c>
      <c r="B119" s="2">
        <v>45923.449699074074</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s">
        <v>149</v>
      </c>
      <c r="AN119">
        <v>663</v>
      </c>
      <c r="AO119">
        <v>266</v>
      </c>
      <c r="AS119">
        <v>0</v>
      </c>
      <c r="AT119">
        <v>92</v>
      </c>
      <c r="AU119" t="s">
        <v>79</v>
      </c>
      <c r="AV119">
        <v>19</v>
      </c>
      <c r="AW119" t="s">
        <v>33</v>
      </c>
      <c r="AX119">
        <v>22</v>
      </c>
      <c r="AY119" t="s">
        <v>86</v>
      </c>
      <c r="AZ119">
        <v>128</v>
      </c>
      <c r="BC119" t="s">
        <v>54</v>
      </c>
      <c r="BF119">
        <v>0</v>
      </c>
    </row>
    <row r="120" spans="1:59" x14ac:dyDescent="0.3">
      <c r="A120">
        <v>1071</v>
      </c>
      <c r="B120" s="2">
        <v>45923.449699074074</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s">
        <v>150</v>
      </c>
      <c r="AN120">
        <v>663</v>
      </c>
      <c r="AO120">
        <v>273</v>
      </c>
      <c r="AQ120">
        <v>1329</v>
      </c>
      <c r="AS120">
        <v>1</v>
      </c>
      <c r="AT120">
        <v>92</v>
      </c>
      <c r="AU120" t="s">
        <v>79</v>
      </c>
      <c r="AV120">
        <v>19</v>
      </c>
      <c r="AW120" t="s">
        <v>33</v>
      </c>
      <c r="AX120">
        <v>22</v>
      </c>
      <c r="AY120" t="s">
        <v>86</v>
      </c>
      <c r="AZ120">
        <v>128</v>
      </c>
      <c r="BA120" t="s">
        <v>51</v>
      </c>
      <c r="BB120" t="s">
        <v>52</v>
      </c>
      <c r="BC120" t="s">
        <v>54</v>
      </c>
      <c r="BE120">
        <v>21000</v>
      </c>
      <c r="BF120">
        <v>0</v>
      </c>
    </row>
    <row r="121" spans="1:59" x14ac:dyDescent="0.3">
      <c r="A121">
        <v>1119</v>
      </c>
      <c r="B121" s="2">
        <v>45923.449699074074</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s">
        <v>150</v>
      </c>
      <c r="AN121">
        <v>663</v>
      </c>
      <c r="AO121">
        <v>280</v>
      </c>
      <c r="AP121">
        <v>1329</v>
      </c>
      <c r="AQ121">
        <v>1329</v>
      </c>
      <c r="AS121">
        <v>2</v>
      </c>
      <c r="AT121">
        <v>92</v>
      </c>
      <c r="AU121" t="s">
        <v>79</v>
      </c>
      <c r="AV121">
        <v>19</v>
      </c>
      <c r="AW121" t="s">
        <v>33</v>
      </c>
      <c r="AX121">
        <v>22</v>
      </c>
      <c r="AY121" t="s">
        <v>86</v>
      </c>
      <c r="AZ121">
        <v>128</v>
      </c>
      <c r="BA121" t="s">
        <v>51</v>
      </c>
      <c r="BB121" t="s">
        <v>52</v>
      </c>
      <c r="BC121" t="s">
        <v>54</v>
      </c>
      <c r="BE121">
        <v>17000</v>
      </c>
      <c r="BF121">
        <v>4000</v>
      </c>
    </row>
    <row r="122" spans="1:59" x14ac:dyDescent="0.3">
      <c r="A122">
        <v>1143</v>
      </c>
      <c r="B122" s="2">
        <v>45923.449699074074</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s">
        <v>150</v>
      </c>
      <c r="AN122">
        <v>663</v>
      </c>
      <c r="AO122">
        <v>284</v>
      </c>
      <c r="AP122">
        <v>1329</v>
      </c>
      <c r="AQ122">
        <v>1329</v>
      </c>
      <c r="AS122">
        <v>3</v>
      </c>
      <c r="AT122">
        <v>92</v>
      </c>
      <c r="AU122" t="s">
        <v>79</v>
      </c>
      <c r="AV122">
        <v>19</v>
      </c>
      <c r="AW122" t="s">
        <v>33</v>
      </c>
      <c r="AX122">
        <v>22</v>
      </c>
      <c r="AY122" t="s">
        <v>86</v>
      </c>
      <c r="AZ122">
        <v>128</v>
      </c>
      <c r="BA122" t="s">
        <v>51</v>
      </c>
      <c r="BB122" t="s">
        <v>52</v>
      </c>
      <c r="BC122" t="s">
        <v>54</v>
      </c>
      <c r="BF122">
        <v>4000</v>
      </c>
    </row>
    <row r="123" spans="1:59" x14ac:dyDescent="0.3">
      <c r="A123">
        <v>1147</v>
      </c>
      <c r="B123" s="2">
        <v>45923.449699074074</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s">
        <v>151</v>
      </c>
      <c r="AN123">
        <v>663</v>
      </c>
      <c r="AO123">
        <v>285</v>
      </c>
      <c r="AP123">
        <v>1329</v>
      </c>
      <c r="AQ123">
        <v>1379</v>
      </c>
      <c r="AS123">
        <v>4</v>
      </c>
      <c r="AT123">
        <v>92</v>
      </c>
      <c r="AU123" t="s">
        <v>79</v>
      </c>
      <c r="AV123">
        <v>19</v>
      </c>
      <c r="AW123" t="s">
        <v>33</v>
      </c>
      <c r="AX123">
        <v>22</v>
      </c>
      <c r="AY123" t="s">
        <v>86</v>
      </c>
      <c r="AZ123">
        <v>128</v>
      </c>
      <c r="BA123" t="s">
        <v>56</v>
      </c>
      <c r="BB123" t="s">
        <v>42</v>
      </c>
      <c r="BC123" t="s">
        <v>54</v>
      </c>
      <c r="BD123">
        <v>32000</v>
      </c>
      <c r="BF123">
        <v>0</v>
      </c>
    </row>
    <row r="124" spans="1:59" x14ac:dyDescent="0.3">
      <c r="A124">
        <v>1056</v>
      </c>
      <c r="B124" s="2">
        <v>45923.449583333328</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s">
        <v>149</v>
      </c>
      <c r="AN124">
        <v>664</v>
      </c>
      <c r="AO124">
        <v>266</v>
      </c>
      <c r="AS124">
        <v>0</v>
      </c>
      <c r="AT124">
        <v>92</v>
      </c>
      <c r="AU124" t="s">
        <v>79</v>
      </c>
      <c r="AV124">
        <v>19</v>
      </c>
      <c r="AW124" t="s">
        <v>33</v>
      </c>
      <c r="AX124">
        <v>22</v>
      </c>
      <c r="AY124" t="s">
        <v>87</v>
      </c>
      <c r="AZ124">
        <v>126</v>
      </c>
      <c r="BC124" t="s">
        <v>40</v>
      </c>
      <c r="BF124">
        <v>0</v>
      </c>
    </row>
    <row r="125" spans="1:59" x14ac:dyDescent="0.3">
      <c r="A125">
        <v>1070</v>
      </c>
      <c r="B125" s="2">
        <v>45923.449583333328</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s">
        <v>150</v>
      </c>
      <c r="AN125">
        <v>664</v>
      </c>
      <c r="AO125">
        <v>273</v>
      </c>
      <c r="AQ125">
        <v>1327</v>
      </c>
      <c r="AS125">
        <v>1</v>
      </c>
      <c r="AT125">
        <v>92</v>
      </c>
      <c r="AU125" t="s">
        <v>79</v>
      </c>
      <c r="AV125">
        <v>19</v>
      </c>
      <c r="AW125" t="s">
        <v>33</v>
      </c>
      <c r="AX125">
        <v>22</v>
      </c>
      <c r="AY125" t="s">
        <v>87</v>
      </c>
      <c r="AZ125">
        <v>126</v>
      </c>
      <c r="BA125" t="s">
        <v>58</v>
      </c>
      <c r="BB125" t="s">
        <v>42</v>
      </c>
      <c r="BC125" t="s">
        <v>40</v>
      </c>
      <c r="BD125">
        <v>32000</v>
      </c>
      <c r="BF125">
        <v>0</v>
      </c>
    </row>
    <row r="126" spans="1:59" x14ac:dyDescent="0.3">
      <c r="A126">
        <v>1115</v>
      </c>
      <c r="B126" s="2">
        <v>45923.449583333328</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s">
        <v>150</v>
      </c>
      <c r="AN126">
        <v>664</v>
      </c>
      <c r="AO126">
        <v>280</v>
      </c>
      <c r="AP126">
        <v>1327</v>
      </c>
      <c r="AQ126">
        <v>1327</v>
      </c>
      <c r="AS126">
        <v>2</v>
      </c>
      <c r="AT126">
        <v>92</v>
      </c>
      <c r="AU126" t="s">
        <v>79</v>
      </c>
      <c r="AV126">
        <v>19</v>
      </c>
      <c r="AW126" t="s">
        <v>33</v>
      </c>
      <c r="AX126">
        <v>22</v>
      </c>
      <c r="AY126" t="s">
        <v>87</v>
      </c>
      <c r="AZ126">
        <v>126</v>
      </c>
      <c r="BA126" t="s">
        <v>58</v>
      </c>
      <c r="BB126" t="s">
        <v>42</v>
      </c>
      <c r="BC126" t="s">
        <v>40</v>
      </c>
      <c r="BD126">
        <v>1000</v>
      </c>
      <c r="BF126">
        <v>0</v>
      </c>
    </row>
    <row r="127" spans="1:59" x14ac:dyDescent="0.3">
      <c r="A127">
        <v>1140</v>
      </c>
      <c r="B127" s="2">
        <v>45923.449583333328</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s">
        <v>150</v>
      </c>
      <c r="AN127">
        <v>664</v>
      </c>
      <c r="AO127">
        <v>284</v>
      </c>
      <c r="AP127">
        <v>1327</v>
      </c>
      <c r="AQ127">
        <v>1327</v>
      </c>
      <c r="AS127">
        <v>3</v>
      </c>
      <c r="AT127">
        <v>92</v>
      </c>
      <c r="AU127" t="s">
        <v>79</v>
      </c>
      <c r="AV127">
        <v>19</v>
      </c>
      <c r="AW127" t="s">
        <v>33</v>
      </c>
      <c r="AX127">
        <v>22</v>
      </c>
      <c r="AY127" t="s">
        <v>87</v>
      </c>
      <c r="AZ127">
        <v>126</v>
      </c>
      <c r="BA127" t="s">
        <v>58</v>
      </c>
      <c r="BB127" t="s">
        <v>42</v>
      </c>
      <c r="BC127" t="s">
        <v>40</v>
      </c>
      <c r="BE127">
        <v>4250</v>
      </c>
      <c r="BF127">
        <v>4000</v>
      </c>
    </row>
    <row r="128" spans="1:59" x14ac:dyDescent="0.3">
      <c r="A128">
        <v>1146</v>
      </c>
      <c r="B128" s="2">
        <v>45923.449583333328</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s">
        <v>150</v>
      </c>
      <c r="AN128">
        <v>664</v>
      </c>
      <c r="AO128">
        <v>285</v>
      </c>
      <c r="AP128">
        <v>1327</v>
      </c>
      <c r="AQ128">
        <v>1329</v>
      </c>
      <c r="AS128">
        <v>4</v>
      </c>
      <c r="AT128">
        <v>92</v>
      </c>
      <c r="AU128" t="s">
        <v>79</v>
      </c>
      <c r="AV128">
        <v>19</v>
      </c>
      <c r="AW128" t="s">
        <v>33</v>
      </c>
      <c r="AX128">
        <v>22</v>
      </c>
      <c r="AY128" t="s">
        <v>87</v>
      </c>
      <c r="AZ128">
        <v>126</v>
      </c>
      <c r="BA128" t="s">
        <v>51</v>
      </c>
      <c r="BB128" t="s">
        <v>52</v>
      </c>
      <c r="BC128" t="s">
        <v>40</v>
      </c>
      <c r="BE128">
        <v>5500</v>
      </c>
      <c r="BF128">
        <v>4000</v>
      </c>
    </row>
    <row r="129" spans="1:59" x14ac:dyDescent="0.3">
      <c r="A129">
        <v>1153</v>
      </c>
      <c r="B129" s="2">
        <v>45923.588761574079</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s">
        <v>149</v>
      </c>
      <c r="AN129">
        <v>666</v>
      </c>
      <c r="AO129">
        <v>289</v>
      </c>
      <c r="AS129">
        <v>0</v>
      </c>
      <c r="AT129">
        <v>93</v>
      </c>
      <c r="AU129" t="s">
        <v>88</v>
      </c>
      <c r="AV129">
        <v>19</v>
      </c>
      <c r="AW129" t="s">
        <v>33</v>
      </c>
      <c r="AX129">
        <v>22</v>
      </c>
      <c r="AY129" t="s">
        <v>89</v>
      </c>
      <c r="AZ129">
        <v>124</v>
      </c>
      <c r="BC129" t="s">
        <v>36</v>
      </c>
      <c r="BF129">
        <v>0</v>
      </c>
    </row>
    <row r="130" spans="1:59" x14ac:dyDescent="0.3">
      <c r="A130">
        <v>1182</v>
      </c>
      <c r="B130" s="2">
        <v>45923.588761574079</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s">
        <v>150</v>
      </c>
      <c r="AN130">
        <v>666</v>
      </c>
      <c r="AO130">
        <v>291</v>
      </c>
      <c r="AQ130">
        <v>1417</v>
      </c>
      <c r="AS130">
        <v>1</v>
      </c>
      <c r="AT130">
        <v>93</v>
      </c>
      <c r="AU130" t="s">
        <v>88</v>
      </c>
      <c r="AV130">
        <v>19</v>
      </c>
      <c r="AW130" t="s">
        <v>33</v>
      </c>
      <c r="AX130">
        <v>22</v>
      </c>
      <c r="AY130" t="s">
        <v>89</v>
      </c>
      <c r="AZ130">
        <v>124</v>
      </c>
      <c r="BA130" t="s">
        <v>71</v>
      </c>
      <c r="BB130" t="s">
        <v>38</v>
      </c>
      <c r="BC130" t="s">
        <v>36</v>
      </c>
      <c r="BD130">
        <v>1000</v>
      </c>
      <c r="BE130">
        <v>3500</v>
      </c>
      <c r="BF130">
        <v>16000</v>
      </c>
      <c r="BG130">
        <v>0</v>
      </c>
    </row>
    <row r="131" spans="1:59" x14ac:dyDescent="0.3">
      <c r="A131">
        <v>1225</v>
      </c>
      <c r="B131" s="2">
        <v>45923.588761574079</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s">
        <v>150</v>
      </c>
      <c r="AN131">
        <v>666</v>
      </c>
      <c r="AO131">
        <v>297</v>
      </c>
      <c r="AP131">
        <v>1417</v>
      </c>
      <c r="AQ131">
        <v>1417</v>
      </c>
      <c r="AS131">
        <v>2</v>
      </c>
      <c r="AT131">
        <v>93</v>
      </c>
      <c r="AU131" t="s">
        <v>88</v>
      </c>
      <c r="AV131">
        <v>19</v>
      </c>
      <c r="AW131" t="s">
        <v>33</v>
      </c>
      <c r="AX131">
        <v>22</v>
      </c>
      <c r="AY131" t="s">
        <v>89</v>
      </c>
      <c r="AZ131">
        <v>124</v>
      </c>
      <c r="BA131" t="s">
        <v>71</v>
      </c>
      <c r="BB131" t="s">
        <v>38</v>
      </c>
      <c r="BC131" t="s">
        <v>36</v>
      </c>
      <c r="BF131">
        <v>28000</v>
      </c>
    </row>
    <row r="132" spans="1:59" x14ac:dyDescent="0.3">
      <c r="A132">
        <v>1246</v>
      </c>
      <c r="B132" s="2">
        <v>45923.588761574079</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s">
        <v>150</v>
      </c>
      <c r="AN132">
        <v>666</v>
      </c>
      <c r="AO132">
        <v>301</v>
      </c>
      <c r="AP132">
        <v>1417</v>
      </c>
      <c r="AQ132">
        <v>1417</v>
      </c>
      <c r="AS132">
        <v>3</v>
      </c>
      <c r="AT132">
        <v>93</v>
      </c>
      <c r="AU132" t="s">
        <v>88</v>
      </c>
      <c r="AV132">
        <v>19</v>
      </c>
      <c r="AW132" t="s">
        <v>33</v>
      </c>
      <c r="AX132">
        <v>22</v>
      </c>
      <c r="AY132" t="s">
        <v>89</v>
      </c>
      <c r="AZ132">
        <v>124</v>
      </c>
      <c r="BA132" t="s">
        <v>71</v>
      </c>
      <c r="BB132" t="s">
        <v>38</v>
      </c>
      <c r="BC132" t="s">
        <v>36</v>
      </c>
      <c r="BF132">
        <v>16000</v>
      </c>
    </row>
    <row r="133" spans="1:59" x14ac:dyDescent="0.3">
      <c r="A133">
        <v>1268</v>
      </c>
      <c r="B133" s="2">
        <v>45923.588761574079</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s">
        <v>154</v>
      </c>
      <c r="AN133">
        <v>666</v>
      </c>
      <c r="AO133">
        <v>304</v>
      </c>
      <c r="AP133">
        <v>1417</v>
      </c>
      <c r="AQ133">
        <v>1417</v>
      </c>
      <c r="AS133">
        <v>4</v>
      </c>
      <c r="AT133">
        <v>93</v>
      </c>
      <c r="AU133" t="s">
        <v>88</v>
      </c>
      <c r="AV133">
        <v>19</v>
      </c>
      <c r="AW133" t="s">
        <v>33</v>
      </c>
      <c r="AX133">
        <v>22</v>
      </c>
      <c r="AY133" t="s">
        <v>89</v>
      </c>
      <c r="AZ133">
        <v>124</v>
      </c>
      <c r="BA133" t="s">
        <v>71</v>
      </c>
      <c r="BB133" t="s">
        <v>38</v>
      </c>
      <c r="BC133" t="s">
        <v>36</v>
      </c>
      <c r="BF133">
        <v>12000</v>
      </c>
    </row>
    <row r="134" spans="1:59" x14ac:dyDescent="0.3">
      <c r="A134">
        <v>1152</v>
      </c>
      <c r="B134" s="2">
        <v>45923.588333333333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s">
        <v>149</v>
      </c>
      <c r="AN134">
        <v>667</v>
      </c>
      <c r="AO134">
        <v>289</v>
      </c>
      <c r="AS134">
        <v>0</v>
      </c>
      <c r="AT134">
        <v>93</v>
      </c>
      <c r="AU134" t="s">
        <v>88</v>
      </c>
      <c r="AV134">
        <v>19</v>
      </c>
      <c r="AW134" t="s">
        <v>33</v>
      </c>
      <c r="AX134">
        <v>22</v>
      </c>
      <c r="AY134" t="s">
        <v>90</v>
      </c>
      <c r="AZ134">
        <v>126</v>
      </c>
      <c r="BC134" t="s">
        <v>40</v>
      </c>
      <c r="BF134">
        <v>0</v>
      </c>
    </row>
    <row r="135" spans="1:59" x14ac:dyDescent="0.3">
      <c r="A135">
        <v>1201</v>
      </c>
      <c r="B135" s="2">
        <v>45923.588333333333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s">
        <v>150</v>
      </c>
      <c r="AN135">
        <v>667</v>
      </c>
      <c r="AO135">
        <v>291</v>
      </c>
      <c r="AQ135">
        <v>1404</v>
      </c>
      <c r="AS135">
        <v>1</v>
      </c>
      <c r="AT135">
        <v>93</v>
      </c>
      <c r="AU135" t="s">
        <v>88</v>
      </c>
      <c r="AV135">
        <v>19</v>
      </c>
      <c r="AW135" t="s">
        <v>33</v>
      </c>
      <c r="AX135">
        <v>22</v>
      </c>
      <c r="AY135" t="s">
        <v>90</v>
      </c>
      <c r="AZ135">
        <v>126</v>
      </c>
      <c r="BA135" t="s">
        <v>41</v>
      </c>
      <c r="BB135" t="s">
        <v>42</v>
      </c>
      <c r="BC135" t="s">
        <v>40</v>
      </c>
      <c r="BE135">
        <v>8500</v>
      </c>
      <c r="BF135">
        <v>8000</v>
      </c>
    </row>
    <row r="136" spans="1:59" x14ac:dyDescent="0.3">
      <c r="A136">
        <v>1226</v>
      </c>
      <c r="B136" s="2">
        <v>45923.588333333333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s">
        <v>150</v>
      </c>
      <c r="AN136">
        <v>667</v>
      </c>
      <c r="AO136">
        <v>297</v>
      </c>
      <c r="AP136">
        <v>1404</v>
      </c>
      <c r="AQ136">
        <v>1404</v>
      </c>
      <c r="AS136">
        <v>2</v>
      </c>
      <c r="AT136">
        <v>93</v>
      </c>
      <c r="AU136" t="s">
        <v>88</v>
      </c>
      <c r="AV136">
        <v>19</v>
      </c>
      <c r="AW136" t="s">
        <v>33</v>
      </c>
      <c r="AX136">
        <v>22</v>
      </c>
      <c r="AY136" t="s">
        <v>90</v>
      </c>
      <c r="AZ136">
        <v>126</v>
      </c>
      <c r="BA136" t="s">
        <v>41</v>
      </c>
      <c r="BB136" t="s">
        <v>42</v>
      </c>
      <c r="BC136" t="s">
        <v>40</v>
      </c>
      <c r="BD136">
        <v>8000</v>
      </c>
      <c r="BF136">
        <v>12000</v>
      </c>
    </row>
    <row r="137" spans="1:59" x14ac:dyDescent="0.3">
      <c r="A137">
        <v>1251</v>
      </c>
      <c r="B137" s="2">
        <v>45923.588333333333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s">
        <v>150</v>
      </c>
      <c r="AN137">
        <v>667</v>
      </c>
      <c r="AO137">
        <v>301</v>
      </c>
      <c r="AP137">
        <v>1404</v>
      </c>
      <c r="AQ137">
        <v>1404</v>
      </c>
      <c r="AS137">
        <v>3</v>
      </c>
      <c r="AT137">
        <v>93</v>
      </c>
      <c r="AU137" t="s">
        <v>88</v>
      </c>
      <c r="AV137">
        <v>19</v>
      </c>
      <c r="AW137" t="s">
        <v>33</v>
      </c>
      <c r="AX137">
        <v>22</v>
      </c>
      <c r="AY137" t="s">
        <v>90</v>
      </c>
      <c r="AZ137">
        <v>126</v>
      </c>
      <c r="BA137" t="s">
        <v>41</v>
      </c>
      <c r="BB137" t="s">
        <v>42</v>
      </c>
      <c r="BC137" t="s">
        <v>40</v>
      </c>
      <c r="BD137">
        <v>7000</v>
      </c>
      <c r="BF137">
        <v>4000</v>
      </c>
    </row>
    <row r="138" spans="1:59" x14ac:dyDescent="0.3">
      <c r="A138">
        <v>1272</v>
      </c>
      <c r="B138" s="2">
        <v>45923.588333333333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s">
        <v>154</v>
      </c>
      <c r="AN138">
        <v>667</v>
      </c>
      <c r="AO138">
        <v>304</v>
      </c>
      <c r="AP138">
        <v>1404</v>
      </c>
      <c r="AQ138">
        <v>1404</v>
      </c>
      <c r="AS138">
        <v>4</v>
      </c>
      <c r="AT138">
        <v>93</v>
      </c>
      <c r="AU138" t="s">
        <v>88</v>
      </c>
      <c r="AV138">
        <v>19</v>
      </c>
      <c r="AW138" t="s">
        <v>33</v>
      </c>
      <c r="AX138">
        <v>22</v>
      </c>
      <c r="AY138" t="s">
        <v>90</v>
      </c>
      <c r="AZ138">
        <v>126</v>
      </c>
      <c r="BA138" t="s">
        <v>41</v>
      </c>
      <c r="BB138" t="s">
        <v>42</v>
      </c>
      <c r="BC138" t="s">
        <v>40</v>
      </c>
      <c r="BF138">
        <v>4000</v>
      </c>
    </row>
    <row r="139" spans="1:59" x14ac:dyDescent="0.3">
      <c r="A139">
        <v>1186</v>
      </c>
      <c r="B139" s="2">
        <v>45923.602164351847</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s">
        <v>149</v>
      </c>
      <c r="AN139">
        <v>668</v>
      </c>
      <c r="AO139">
        <v>289</v>
      </c>
      <c r="AS139">
        <v>0</v>
      </c>
      <c r="AT139">
        <v>93</v>
      </c>
      <c r="AU139" t="s">
        <v>88</v>
      </c>
      <c r="AV139">
        <v>19</v>
      </c>
      <c r="AW139" t="s">
        <v>33</v>
      </c>
      <c r="AX139">
        <v>22</v>
      </c>
      <c r="AY139" t="s">
        <v>91</v>
      </c>
      <c r="AZ139">
        <v>123</v>
      </c>
      <c r="BC139" t="s">
        <v>44</v>
      </c>
      <c r="BF139">
        <v>0</v>
      </c>
    </row>
    <row r="140" spans="1:59" x14ac:dyDescent="0.3">
      <c r="A140">
        <v>1187</v>
      </c>
      <c r="B140" s="2">
        <v>45923.602164351847</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s">
        <v>150</v>
      </c>
      <c r="AN140">
        <v>668</v>
      </c>
      <c r="AO140">
        <v>291</v>
      </c>
      <c r="AQ140">
        <v>1416</v>
      </c>
      <c r="AS140">
        <v>1</v>
      </c>
      <c r="AT140">
        <v>93</v>
      </c>
      <c r="AU140" t="s">
        <v>88</v>
      </c>
      <c r="AV140">
        <v>19</v>
      </c>
      <c r="AW140" t="s">
        <v>33</v>
      </c>
      <c r="AX140">
        <v>22</v>
      </c>
      <c r="AY140" t="s">
        <v>91</v>
      </c>
      <c r="AZ140">
        <v>123</v>
      </c>
      <c r="BA140" t="s">
        <v>45</v>
      </c>
      <c r="BB140" t="s">
        <v>38</v>
      </c>
      <c r="BC140" t="s">
        <v>44</v>
      </c>
      <c r="BF140">
        <v>20000</v>
      </c>
    </row>
    <row r="141" spans="1:59" x14ac:dyDescent="0.3">
      <c r="A141">
        <v>1220</v>
      </c>
      <c r="B141" s="2">
        <v>45923.602164351847</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s">
        <v>150</v>
      </c>
      <c r="AN141">
        <v>668</v>
      </c>
      <c r="AO141">
        <v>297</v>
      </c>
      <c r="AP141">
        <v>1416</v>
      </c>
      <c r="AQ141">
        <v>1416</v>
      </c>
      <c r="AS141">
        <v>2</v>
      </c>
      <c r="AT141">
        <v>93</v>
      </c>
      <c r="AU141" t="s">
        <v>88</v>
      </c>
      <c r="AV141">
        <v>19</v>
      </c>
      <c r="AW141" t="s">
        <v>33</v>
      </c>
      <c r="AX141">
        <v>22</v>
      </c>
      <c r="AY141" t="s">
        <v>91</v>
      </c>
      <c r="AZ141">
        <v>123</v>
      </c>
      <c r="BA141" t="s">
        <v>45</v>
      </c>
      <c r="BB141" t="s">
        <v>38</v>
      </c>
      <c r="BC141" t="s">
        <v>44</v>
      </c>
      <c r="BF141">
        <v>28000</v>
      </c>
    </row>
    <row r="142" spans="1:59" x14ac:dyDescent="0.3">
      <c r="A142">
        <v>1250</v>
      </c>
      <c r="B142" s="2">
        <v>45923.602164351847</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s">
        <v>150</v>
      </c>
      <c r="AN142">
        <v>668</v>
      </c>
      <c r="AO142">
        <v>301</v>
      </c>
      <c r="AP142">
        <v>1416</v>
      </c>
      <c r="AQ142">
        <v>1416</v>
      </c>
      <c r="AS142">
        <v>3</v>
      </c>
      <c r="AT142">
        <v>93</v>
      </c>
      <c r="AU142" t="s">
        <v>88</v>
      </c>
      <c r="AV142">
        <v>19</v>
      </c>
      <c r="AW142" t="s">
        <v>33</v>
      </c>
      <c r="AX142">
        <v>22</v>
      </c>
      <c r="AY142" t="s">
        <v>91</v>
      </c>
      <c r="AZ142">
        <v>123</v>
      </c>
      <c r="BA142" t="s">
        <v>45</v>
      </c>
      <c r="BB142" t="s">
        <v>38</v>
      </c>
      <c r="BC142" t="s">
        <v>44</v>
      </c>
      <c r="BF142">
        <v>16000</v>
      </c>
    </row>
    <row r="143" spans="1:59" x14ac:dyDescent="0.3">
      <c r="A143">
        <v>1276</v>
      </c>
      <c r="B143" s="2">
        <v>45923.602164351847</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s">
        <v>154</v>
      </c>
      <c r="AN143">
        <v>668</v>
      </c>
      <c r="AO143">
        <v>304</v>
      </c>
      <c r="AP143">
        <v>1416</v>
      </c>
      <c r="AQ143">
        <v>1416</v>
      </c>
      <c r="AS143">
        <v>4</v>
      </c>
      <c r="AT143">
        <v>93</v>
      </c>
      <c r="AU143" t="s">
        <v>88</v>
      </c>
      <c r="AV143">
        <v>19</v>
      </c>
      <c r="AW143" t="s">
        <v>33</v>
      </c>
      <c r="AX143">
        <v>22</v>
      </c>
      <c r="AY143" t="s">
        <v>91</v>
      </c>
      <c r="AZ143">
        <v>123</v>
      </c>
      <c r="BA143" t="s">
        <v>45</v>
      </c>
      <c r="BB143" t="s">
        <v>38</v>
      </c>
      <c r="BC143" t="s">
        <v>44</v>
      </c>
      <c r="BF143">
        <v>12000</v>
      </c>
    </row>
    <row r="144" spans="1:59" x14ac:dyDescent="0.3">
      <c r="A144">
        <v>1159</v>
      </c>
      <c r="B144" s="2">
        <v>45923.593888888892</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s">
        <v>149</v>
      </c>
      <c r="AN144">
        <v>669</v>
      </c>
      <c r="AO144">
        <v>289</v>
      </c>
      <c r="AS144">
        <v>0</v>
      </c>
      <c r="AT144">
        <v>93</v>
      </c>
      <c r="AU144" t="s">
        <v>88</v>
      </c>
      <c r="AV144">
        <v>19</v>
      </c>
      <c r="AW144" t="s">
        <v>33</v>
      </c>
      <c r="AX144">
        <v>22</v>
      </c>
      <c r="AY144" t="s">
        <v>92</v>
      </c>
      <c r="AZ144">
        <v>125</v>
      </c>
      <c r="BC144" t="s">
        <v>47</v>
      </c>
      <c r="BF144">
        <v>0</v>
      </c>
    </row>
    <row r="145" spans="1:59" x14ac:dyDescent="0.3">
      <c r="A145">
        <v>1188</v>
      </c>
      <c r="B145" s="2">
        <v>45923.593888888892</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s">
        <v>150</v>
      </c>
      <c r="AN145">
        <v>669</v>
      </c>
      <c r="AO145">
        <v>291</v>
      </c>
      <c r="AQ145">
        <v>1406</v>
      </c>
      <c r="AS145">
        <v>1</v>
      </c>
      <c r="AT145">
        <v>93</v>
      </c>
      <c r="AU145" t="s">
        <v>88</v>
      </c>
      <c r="AV145">
        <v>19</v>
      </c>
      <c r="AW145" t="s">
        <v>33</v>
      </c>
      <c r="AX145">
        <v>22</v>
      </c>
      <c r="AY145" t="s">
        <v>92</v>
      </c>
      <c r="AZ145">
        <v>125</v>
      </c>
      <c r="BA145" t="s">
        <v>48</v>
      </c>
      <c r="BB145" t="s">
        <v>42</v>
      </c>
      <c r="BC145" t="s">
        <v>47</v>
      </c>
      <c r="BD145">
        <v>6000</v>
      </c>
      <c r="BE145">
        <v>4500</v>
      </c>
      <c r="BF145">
        <v>8000</v>
      </c>
      <c r="BG145">
        <v>0</v>
      </c>
    </row>
    <row r="146" spans="1:59" x14ac:dyDescent="0.3">
      <c r="A146">
        <v>1224</v>
      </c>
      <c r="B146" s="2">
        <v>45923.593888888892</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s">
        <v>150</v>
      </c>
      <c r="AN146">
        <v>669</v>
      </c>
      <c r="AO146">
        <v>297</v>
      </c>
      <c r="AP146">
        <v>1406</v>
      </c>
      <c r="AQ146">
        <v>1406</v>
      </c>
      <c r="AS146">
        <v>2</v>
      </c>
      <c r="AT146">
        <v>93</v>
      </c>
      <c r="AU146" t="s">
        <v>88</v>
      </c>
      <c r="AV146">
        <v>19</v>
      </c>
      <c r="AW146" t="s">
        <v>33</v>
      </c>
      <c r="AX146">
        <v>22</v>
      </c>
      <c r="AY146" t="s">
        <v>92</v>
      </c>
      <c r="AZ146">
        <v>125</v>
      </c>
      <c r="BA146" t="s">
        <v>48</v>
      </c>
      <c r="BB146" t="s">
        <v>42</v>
      </c>
      <c r="BC146" t="s">
        <v>47</v>
      </c>
      <c r="BD146">
        <v>8000</v>
      </c>
      <c r="BF146">
        <v>16000</v>
      </c>
    </row>
    <row r="147" spans="1:59" x14ac:dyDescent="0.3">
      <c r="A147">
        <v>1247</v>
      </c>
      <c r="B147" s="2">
        <v>45923.593888888892</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s">
        <v>150</v>
      </c>
      <c r="AN147">
        <v>669</v>
      </c>
      <c r="AO147">
        <v>301</v>
      </c>
      <c r="AP147">
        <v>1406</v>
      </c>
      <c r="AQ147">
        <v>1406</v>
      </c>
      <c r="AS147">
        <v>3</v>
      </c>
      <c r="AT147">
        <v>93</v>
      </c>
      <c r="AU147" t="s">
        <v>88</v>
      </c>
      <c r="AV147">
        <v>19</v>
      </c>
      <c r="AW147" t="s">
        <v>33</v>
      </c>
      <c r="AX147">
        <v>22</v>
      </c>
      <c r="AY147" t="s">
        <v>92</v>
      </c>
      <c r="AZ147">
        <v>125</v>
      </c>
      <c r="BA147" t="s">
        <v>48</v>
      </c>
      <c r="BB147" t="s">
        <v>42</v>
      </c>
      <c r="BC147" t="s">
        <v>47</v>
      </c>
      <c r="BD147">
        <v>8000</v>
      </c>
      <c r="BF147">
        <v>4000</v>
      </c>
    </row>
    <row r="148" spans="1:59" x14ac:dyDescent="0.3">
      <c r="A148">
        <v>1265</v>
      </c>
      <c r="B148" s="2">
        <v>45923.593888888892</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s">
        <v>151</v>
      </c>
      <c r="AN148">
        <v>669</v>
      </c>
      <c r="AO148">
        <v>304</v>
      </c>
      <c r="AP148">
        <v>1406</v>
      </c>
      <c r="AQ148">
        <v>1406</v>
      </c>
      <c r="AS148">
        <v>4</v>
      </c>
      <c r="AT148">
        <v>93</v>
      </c>
      <c r="AU148" t="s">
        <v>88</v>
      </c>
      <c r="AV148">
        <v>19</v>
      </c>
      <c r="AW148" t="s">
        <v>33</v>
      </c>
      <c r="AX148">
        <v>22</v>
      </c>
      <c r="AY148" t="s">
        <v>92</v>
      </c>
      <c r="AZ148">
        <v>125</v>
      </c>
      <c r="BA148" t="s">
        <v>48</v>
      </c>
      <c r="BB148" t="s">
        <v>42</v>
      </c>
      <c r="BC148" t="s">
        <v>47</v>
      </c>
      <c r="BF148">
        <v>4000</v>
      </c>
    </row>
    <row r="149" spans="1:59" x14ac:dyDescent="0.3">
      <c r="A149">
        <v>1155</v>
      </c>
      <c r="B149" s="2">
        <v>45923.593344907407</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s">
        <v>149</v>
      </c>
      <c r="AN149">
        <v>670</v>
      </c>
      <c r="AO149">
        <v>289</v>
      </c>
      <c r="AS149">
        <v>0</v>
      </c>
      <c r="AT149">
        <v>93</v>
      </c>
      <c r="AU149" t="s">
        <v>88</v>
      </c>
      <c r="AV149">
        <v>19</v>
      </c>
      <c r="AW149" t="s">
        <v>33</v>
      </c>
      <c r="AX149">
        <v>22</v>
      </c>
      <c r="AY149" t="s">
        <v>93</v>
      </c>
      <c r="AZ149">
        <v>127</v>
      </c>
      <c r="BC149" t="s">
        <v>50</v>
      </c>
      <c r="BF149">
        <v>0</v>
      </c>
    </row>
    <row r="150" spans="1:59" x14ac:dyDescent="0.3">
      <c r="A150">
        <v>1185</v>
      </c>
      <c r="B150" s="2">
        <v>45923.593344907407</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s">
        <v>150</v>
      </c>
      <c r="AN150">
        <v>670</v>
      </c>
      <c r="AO150">
        <v>291</v>
      </c>
      <c r="AQ150">
        <v>1410</v>
      </c>
      <c r="AS150">
        <v>1</v>
      </c>
      <c r="AT150">
        <v>93</v>
      </c>
      <c r="AU150" t="s">
        <v>88</v>
      </c>
      <c r="AV150">
        <v>19</v>
      </c>
      <c r="AW150" t="s">
        <v>33</v>
      </c>
      <c r="AX150">
        <v>22</v>
      </c>
      <c r="AY150" t="s">
        <v>93</v>
      </c>
      <c r="AZ150">
        <v>127</v>
      </c>
      <c r="BA150" t="s">
        <v>94</v>
      </c>
      <c r="BB150" t="s">
        <v>52</v>
      </c>
      <c r="BC150" t="s">
        <v>50</v>
      </c>
      <c r="BD150">
        <v>8000</v>
      </c>
      <c r="BE150">
        <v>8000</v>
      </c>
      <c r="BF150">
        <v>4000</v>
      </c>
      <c r="BG150">
        <v>0</v>
      </c>
    </row>
    <row r="151" spans="1:59" x14ac:dyDescent="0.3">
      <c r="A151">
        <v>1221</v>
      </c>
      <c r="B151" s="2">
        <v>45923.593344907407</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s">
        <v>150</v>
      </c>
      <c r="AN151">
        <v>670</v>
      </c>
      <c r="AO151">
        <v>297</v>
      </c>
      <c r="AP151">
        <v>1410</v>
      </c>
      <c r="AQ151">
        <v>1410</v>
      </c>
      <c r="AS151">
        <v>2</v>
      </c>
      <c r="AT151">
        <v>93</v>
      </c>
      <c r="AU151" t="s">
        <v>88</v>
      </c>
      <c r="AV151">
        <v>19</v>
      </c>
      <c r="AW151" t="s">
        <v>33</v>
      </c>
      <c r="AX151">
        <v>22</v>
      </c>
      <c r="AY151" t="s">
        <v>93</v>
      </c>
      <c r="AZ151">
        <v>127</v>
      </c>
      <c r="BA151" t="s">
        <v>94</v>
      </c>
      <c r="BB151" t="s">
        <v>52</v>
      </c>
      <c r="BC151" t="s">
        <v>50</v>
      </c>
      <c r="BD151">
        <v>14000</v>
      </c>
      <c r="BE151">
        <v>7200</v>
      </c>
      <c r="BF151">
        <v>16000</v>
      </c>
      <c r="BG151">
        <v>0</v>
      </c>
    </row>
    <row r="152" spans="1:59" x14ac:dyDescent="0.3">
      <c r="A152">
        <v>1248</v>
      </c>
      <c r="B152" s="2">
        <v>45923.593344907407</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s">
        <v>150</v>
      </c>
      <c r="AN152">
        <v>670</v>
      </c>
      <c r="AO152">
        <v>301</v>
      </c>
      <c r="AP152">
        <v>1410</v>
      </c>
      <c r="AQ152">
        <v>1410</v>
      </c>
      <c r="AS152">
        <v>3</v>
      </c>
      <c r="AT152">
        <v>93</v>
      </c>
      <c r="AU152" t="s">
        <v>88</v>
      </c>
      <c r="AV152">
        <v>19</v>
      </c>
      <c r="AW152" t="s">
        <v>33</v>
      </c>
      <c r="AX152">
        <v>22</v>
      </c>
      <c r="AY152" t="s">
        <v>93</v>
      </c>
      <c r="AZ152">
        <v>127</v>
      </c>
      <c r="BA152" t="s">
        <v>94</v>
      </c>
      <c r="BB152" t="s">
        <v>52</v>
      </c>
      <c r="BC152" t="s">
        <v>50</v>
      </c>
      <c r="BD152">
        <v>11000</v>
      </c>
      <c r="BE152">
        <v>6500</v>
      </c>
      <c r="BF152">
        <v>4000</v>
      </c>
      <c r="BG152">
        <v>0</v>
      </c>
    </row>
    <row r="153" spans="1:59" x14ac:dyDescent="0.3">
      <c r="A153">
        <v>1267</v>
      </c>
      <c r="B153" s="2">
        <v>45923.593344907407</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s">
        <v>154</v>
      </c>
      <c r="AN153">
        <v>670</v>
      </c>
      <c r="AO153">
        <v>304</v>
      </c>
      <c r="AP153">
        <v>1410</v>
      </c>
      <c r="AQ153">
        <v>1410</v>
      </c>
      <c r="AS153">
        <v>4</v>
      </c>
      <c r="AT153">
        <v>93</v>
      </c>
      <c r="AU153" t="s">
        <v>88</v>
      </c>
      <c r="AV153">
        <v>19</v>
      </c>
      <c r="AW153" t="s">
        <v>33</v>
      </c>
      <c r="AX153">
        <v>22</v>
      </c>
      <c r="AY153" t="s">
        <v>93</v>
      </c>
      <c r="AZ153">
        <v>127</v>
      </c>
      <c r="BA153" t="s">
        <v>94</v>
      </c>
      <c r="BB153" t="s">
        <v>52</v>
      </c>
      <c r="BC153" t="s">
        <v>50</v>
      </c>
      <c r="BF153">
        <v>4000</v>
      </c>
    </row>
    <row r="154" spans="1:59" x14ac:dyDescent="0.3">
      <c r="A154">
        <v>1171</v>
      </c>
      <c r="B154" s="2">
        <v>45923.600844907407</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s">
        <v>149</v>
      </c>
      <c r="AN154">
        <v>671</v>
      </c>
      <c r="AO154">
        <v>289</v>
      </c>
      <c r="AS154">
        <v>0</v>
      </c>
      <c r="AT154">
        <v>93</v>
      </c>
      <c r="AU154" t="s">
        <v>88</v>
      </c>
      <c r="AV154">
        <v>19</v>
      </c>
      <c r="AW154" t="s">
        <v>33</v>
      </c>
      <c r="AX154">
        <v>22</v>
      </c>
      <c r="AY154" t="s">
        <v>95</v>
      </c>
      <c r="AZ154">
        <v>128</v>
      </c>
      <c r="BC154" t="s">
        <v>54</v>
      </c>
      <c r="BF154">
        <v>0</v>
      </c>
    </row>
    <row r="155" spans="1:59" x14ac:dyDescent="0.3">
      <c r="A155">
        <v>1181</v>
      </c>
      <c r="B155" s="2">
        <v>45923.600844907407</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s">
        <v>150</v>
      </c>
      <c r="AN155">
        <v>671</v>
      </c>
      <c r="AO155">
        <v>291</v>
      </c>
      <c r="AQ155">
        <v>1407</v>
      </c>
      <c r="AS155">
        <v>1</v>
      </c>
      <c r="AT155">
        <v>93</v>
      </c>
      <c r="AU155" t="s">
        <v>88</v>
      </c>
      <c r="AV155">
        <v>19</v>
      </c>
      <c r="AW155" t="s">
        <v>33</v>
      </c>
      <c r="AX155">
        <v>22</v>
      </c>
      <c r="AY155" t="s">
        <v>95</v>
      </c>
      <c r="AZ155">
        <v>128</v>
      </c>
      <c r="BA155" t="s">
        <v>51</v>
      </c>
      <c r="BB155" t="s">
        <v>52</v>
      </c>
      <c r="BC155" t="s">
        <v>54</v>
      </c>
      <c r="BE155">
        <v>15500</v>
      </c>
      <c r="BF155">
        <v>4000</v>
      </c>
    </row>
    <row r="156" spans="1:59" x14ac:dyDescent="0.3">
      <c r="A156">
        <v>1223</v>
      </c>
      <c r="B156" s="2">
        <v>45923.600844907407</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s">
        <v>150</v>
      </c>
      <c r="AN156">
        <v>671</v>
      </c>
      <c r="AO156">
        <v>297</v>
      </c>
      <c r="AP156">
        <v>1407</v>
      </c>
      <c r="AQ156">
        <v>1407</v>
      </c>
      <c r="AS156">
        <v>2</v>
      </c>
      <c r="AT156">
        <v>93</v>
      </c>
      <c r="AU156" t="s">
        <v>88</v>
      </c>
      <c r="AV156">
        <v>19</v>
      </c>
      <c r="AW156" t="s">
        <v>33</v>
      </c>
      <c r="AX156">
        <v>22</v>
      </c>
      <c r="AY156" t="s">
        <v>95</v>
      </c>
      <c r="AZ156">
        <v>128</v>
      </c>
      <c r="BA156" t="s">
        <v>51</v>
      </c>
      <c r="BB156" t="s">
        <v>52</v>
      </c>
      <c r="BC156" t="s">
        <v>54</v>
      </c>
      <c r="BE156">
        <v>15000</v>
      </c>
      <c r="BF156">
        <v>16000</v>
      </c>
    </row>
    <row r="157" spans="1:59" x14ac:dyDescent="0.3">
      <c r="A157">
        <v>1245</v>
      </c>
      <c r="B157" s="2">
        <v>45923.600844907407</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s">
        <v>150</v>
      </c>
      <c r="AN157">
        <v>671</v>
      </c>
      <c r="AO157">
        <v>301</v>
      </c>
      <c r="AP157">
        <v>1407</v>
      </c>
      <c r="AQ157">
        <v>1407</v>
      </c>
      <c r="AS157">
        <v>3</v>
      </c>
      <c r="AT157">
        <v>93</v>
      </c>
      <c r="AU157" t="s">
        <v>88</v>
      </c>
      <c r="AV157">
        <v>19</v>
      </c>
      <c r="AW157" t="s">
        <v>33</v>
      </c>
      <c r="AX157">
        <v>22</v>
      </c>
      <c r="AY157" t="s">
        <v>95</v>
      </c>
      <c r="AZ157">
        <v>128</v>
      </c>
      <c r="BA157" t="s">
        <v>51</v>
      </c>
      <c r="BB157" t="s">
        <v>52</v>
      </c>
      <c r="BC157" t="s">
        <v>54</v>
      </c>
      <c r="BE157">
        <v>7500</v>
      </c>
      <c r="BF157">
        <v>4000</v>
      </c>
    </row>
    <row r="158" spans="1:59" x14ac:dyDescent="0.3">
      <c r="A158">
        <v>1266</v>
      </c>
      <c r="B158" s="2">
        <v>45923.600844907407</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s">
        <v>154</v>
      </c>
      <c r="AN158">
        <v>671</v>
      </c>
      <c r="AO158">
        <v>304</v>
      </c>
      <c r="AP158">
        <v>1407</v>
      </c>
      <c r="AQ158">
        <v>1477</v>
      </c>
      <c r="AS158">
        <v>4</v>
      </c>
      <c r="AT158">
        <v>93</v>
      </c>
      <c r="AU158" t="s">
        <v>88</v>
      </c>
      <c r="AV158">
        <v>19</v>
      </c>
      <c r="AW158" t="s">
        <v>33</v>
      </c>
      <c r="AX158">
        <v>22</v>
      </c>
      <c r="AY158" t="s">
        <v>95</v>
      </c>
      <c r="AZ158">
        <v>128</v>
      </c>
      <c r="BA158" t="s">
        <v>56</v>
      </c>
      <c r="BB158" t="s">
        <v>42</v>
      </c>
      <c r="BC158" t="s">
        <v>54</v>
      </c>
      <c r="BD158">
        <v>32000</v>
      </c>
      <c r="BF158">
        <v>0</v>
      </c>
    </row>
    <row r="159" spans="1:59" x14ac:dyDescent="0.3">
      <c r="A159">
        <v>1156</v>
      </c>
      <c r="B159" s="2">
        <v>45923.593356481477</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s">
        <v>149</v>
      </c>
      <c r="AN159">
        <v>672</v>
      </c>
      <c r="AO159">
        <v>289</v>
      </c>
      <c r="AS159">
        <v>0</v>
      </c>
      <c r="AT159">
        <v>93</v>
      </c>
      <c r="AU159" t="s">
        <v>88</v>
      </c>
      <c r="AV159">
        <v>19</v>
      </c>
      <c r="AW159" t="s">
        <v>33</v>
      </c>
      <c r="AX159">
        <v>22</v>
      </c>
      <c r="AY159" t="s">
        <v>96</v>
      </c>
      <c r="AZ159">
        <v>126</v>
      </c>
      <c r="BC159" t="s">
        <v>40</v>
      </c>
      <c r="BF159">
        <v>0</v>
      </c>
    </row>
    <row r="160" spans="1:59" x14ac:dyDescent="0.3">
      <c r="A160">
        <v>1183</v>
      </c>
      <c r="B160" s="2">
        <v>45923.593356481477</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s">
        <v>150</v>
      </c>
      <c r="AN160">
        <v>672</v>
      </c>
      <c r="AO160">
        <v>291</v>
      </c>
      <c r="AQ160">
        <v>1405</v>
      </c>
      <c r="AS160">
        <v>1</v>
      </c>
      <c r="AT160">
        <v>93</v>
      </c>
      <c r="AU160" t="s">
        <v>88</v>
      </c>
      <c r="AV160">
        <v>19</v>
      </c>
      <c r="AW160" t="s">
        <v>33</v>
      </c>
      <c r="AX160">
        <v>22</v>
      </c>
      <c r="AY160" t="s">
        <v>96</v>
      </c>
      <c r="AZ160">
        <v>126</v>
      </c>
      <c r="BA160" t="s">
        <v>58</v>
      </c>
      <c r="BB160" t="s">
        <v>42</v>
      </c>
      <c r="BC160" t="s">
        <v>40</v>
      </c>
      <c r="BF160">
        <v>8000</v>
      </c>
    </row>
    <row r="161" spans="1:59" x14ac:dyDescent="0.3">
      <c r="A161">
        <v>1222</v>
      </c>
      <c r="B161" s="2">
        <v>45923.593356481477</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s">
        <v>150</v>
      </c>
      <c r="AN161">
        <v>672</v>
      </c>
      <c r="AO161">
        <v>297</v>
      </c>
      <c r="AP161">
        <v>1405</v>
      </c>
      <c r="AQ161">
        <v>1405</v>
      </c>
      <c r="AS161">
        <v>2</v>
      </c>
      <c r="AT161">
        <v>93</v>
      </c>
      <c r="AU161" t="s">
        <v>88</v>
      </c>
      <c r="AV161">
        <v>19</v>
      </c>
      <c r="AW161" t="s">
        <v>33</v>
      </c>
      <c r="AX161">
        <v>22</v>
      </c>
      <c r="AY161" t="s">
        <v>96</v>
      </c>
      <c r="AZ161">
        <v>126</v>
      </c>
      <c r="BA161" t="s">
        <v>58</v>
      </c>
      <c r="BB161" t="s">
        <v>42</v>
      </c>
      <c r="BC161" t="s">
        <v>40</v>
      </c>
      <c r="BF161">
        <v>16000</v>
      </c>
    </row>
    <row r="162" spans="1:59" x14ac:dyDescent="0.3">
      <c r="A162">
        <v>1249</v>
      </c>
      <c r="B162" s="2">
        <v>45923.593356481477</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s">
        <v>150</v>
      </c>
      <c r="AN162">
        <v>672</v>
      </c>
      <c r="AO162">
        <v>301</v>
      </c>
      <c r="AP162">
        <v>1405</v>
      </c>
      <c r="AQ162">
        <v>1405</v>
      </c>
      <c r="AS162">
        <v>3</v>
      </c>
      <c r="AT162">
        <v>93</v>
      </c>
      <c r="AU162" t="s">
        <v>88</v>
      </c>
      <c r="AV162">
        <v>19</v>
      </c>
      <c r="AW162" t="s">
        <v>33</v>
      </c>
      <c r="AX162">
        <v>22</v>
      </c>
      <c r="AY162" t="s">
        <v>96</v>
      </c>
      <c r="AZ162">
        <v>126</v>
      </c>
      <c r="BA162" t="s">
        <v>58</v>
      </c>
      <c r="BB162" t="s">
        <v>42</v>
      </c>
      <c r="BC162" t="s">
        <v>40</v>
      </c>
      <c r="BF162">
        <v>4000</v>
      </c>
    </row>
    <row r="163" spans="1:59" x14ac:dyDescent="0.3">
      <c r="A163">
        <v>1264</v>
      </c>
      <c r="B163" s="2">
        <v>45923.593356481477</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s">
        <v>154</v>
      </c>
      <c r="AN163">
        <v>672</v>
      </c>
      <c r="AO163">
        <v>304</v>
      </c>
      <c r="AP163">
        <v>1405</v>
      </c>
      <c r="AQ163">
        <v>1405</v>
      </c>
      <c r="AS163">
        <v>4</v>
      </c>
      <c r="AT163">
        <v>93</v>
      </c>
      <c r="AU163" t="s">
        <v>88</v>
      </c>
      <c r="AV163">
        <v>19</v>
      </c>
      <c r="AW163" t="s">
        <v>33</v>
      </c>
      <c r="AX163">
        <v>22</v>
      </c>
      <c r="AY163" t="s">
        <v>96</v>
      </c>
      <c r="AZ163">
        <v>126</v>
      </c>
      <c r="BA163" t="s">
        <v>58</v>
      </c>
      <c r="BB163" t="s">
        <v>42</v>
      </c>
      <c r="BC163" t="s">
        <v>40</v>
      </c>
      <c r="BF163">
        <v>4000</v>
      </c>
    </row>
    <row r="164" spans="1:59" x14ac:dyDescent="0.3">
      <c r="A164">
        <v>1162</v>
      </c>
      <c r="B164" s="2">
        <v>45923.594652777778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s">
        <v>149</v>
      </c>
      <c r="AN164">
        <v>674</v>
      </c>
      <c r="AO164">
        <v>288</v>
      </c>
      <c r="AS164">
        <v>0</v>
      </c>
      <c r="AT164">
        <v>94</v>
      </c>
      <c r="AU164" t="s">
        <v>97</v>
      </c>
      <c r="AV164">
        <v>19</v>
      </c>
      <c r="AW164" t="s">
        <v>33</v>
      </c>
      <c r="AX164">
        <v>22</v>
      </c>
      <c r="AY164" t="s">
        <v>98</v>
      </c>
      <c r="AZ164">
        <v>124</v>
      </c>
      <c r="BC164" t="s">
        <v>36</v>
      </c>
      <c r="BF164">
        <v>0</v>
      </c>
    </row>
    <row r="165" spans="1:59" x14ac:dyDescent="0.3">
      <c r="A165">
        <v>1190</v>
      </c>
      <c r="B165" s="2">
        <v>45923.594652777778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s">
        <v>150</v>
      </c>
      <c r="AN165">
        <v>674</v>
      </c>
      <c r="AO165">
        <v>292</v>
      </c>
      <c r="AQ165">
        <v>1421</v>
      </c>
      <c r="AS165">
        <v>1</v>
      </c>
      <c r="AT165">
        <v>94</v>
      </c>
      <c r="AU165" t="s">
        <v>97</v>
      </c>
      <c r="AV165">
        <v>19</v>
      </c>
      <c r="AW165" t="s">
        <v>33</v>
      </c>
      <c r="AX165">
        <v>22</v>
      </c>
      <c r="AY165" t="s">
        <v>98</v>
      </c>
      <c r="AZ165">
        <v>124</v>
      </c>
      <c r="BA165" t="s">
        <v>48</v>
      </c>
      <c r="BB165" t="s">
        <v>42</v>
      </c>
      <c r="BC165" t="s">
        <v>36</v>
      </c>
      <c r="BE165">
        <v>7000</v>
      </c>
      <c r="BF165">
        <v>4000</v>
      </c>
    </row>
    <row r="166" spans="1:59" x14ac:dyDescent="0.3">
      <c r="A166">
        <v>1206</v>
      </c>
      <c r="B166" s="2">
        <v>45923.594652777778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s">
        <v>150</v>
      </c>
      <c r="AN166">
        <v>674</v>
      </c>
      <c r="AO166">
        <v>294</v>
      </c>
      <c r="AP166">
        <v>1421</v>
      </c>
      <c r="AQ166">
        <v>1421</v>
      </c>
      <c r="AS166">
        <v>2</v>
      </c>
      <c r="AT166">
        <v>94</v>
      </c>
      <c r="AU166" t="s">
        <v>97</v>
      </c>
      <c r="AV166">
        <v>19</v>
      </c>
      <c r="AW166" t="s">
        <v>33</v>
      </c>
      <c r="AX166">
        <v>22</v>
      </c>
      <c r="AY166" t="s">
        <v>98</v>
      </c>
      <c r="AZ166">
        <v>124</v>
      </c>
      <c r="BA166" t="s">
        <v>48</v>
      </c>
      <c r="BB166" t="s">
        <v>42</v>
      </c>
      <c r="BC166" t="s">
        <v>36</v>
      </c>
      <c r="BD166">
        <v>1000</v>
      </c>
      <c r="BF166">
        <v>0</v>
      </c>
    </row>
    <row r="167" spans="1:59" x14ac:dyDescent="0.3">
      <c r="A167">
        <v>1229</v>
      </c>
      <c r="B167" s="2">
        <v>45923.594652777778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s">
        <v>150</v>
      </c>
      <c r="AN167">
        <v>674</v>
      </c>
      <c r="AO167">
        <v>298</v>
      </c>
      <c r="AP167">
        <v>1421</v>
      </c>
      <c r="AQ167">
        <v>1421</v>
      </c>
      <c r="AS167">
        <v>3</v>
      </c>
      <c r="AT167">
        <v>94</v>
      </c>
      <c r="AU167" t="s">
        <v>97</v>
      </c>
      <c r="AV167">
        <v>19</v>
      </c>
      <c r="AW167" t="s">
        <v>33</v>
      </c>
      <c r="AX167">
        <v>22</v>
      </c>
      <c r="AY167" t="s">
        <v>98</v>
      </c>
      <c r="AZ167">
        <v>124</v>
      </c>
      <c r="BA167" t="s">
        <v>48</v>
      </c>
      <c r="BB167" t="s">
        <v>42</v>
      </c>
      <c r="BC167" t="s">
        <v>36</v>
      </c>
      <c r="BD167">
        <v>14000</v>
      </c>
      <c r="BF167">
        <v>8000</v>
      </c>
    </row>
    <row r="168" spans="1:59" x14ac:dyDescent="0.3">
      <c r="A168">
        <v>1270</v>
      </c>
      <c r="B168" s="2">
        <v>45923.594652777778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s">
        <v>150</v>
      </c>
      <c r="AN168">
        <v>674</v>
      </c>
      <c r="AO168">
        <v>305</v>
      </c>
      <c r="AP168">
        <v>1421</v>
      </c>
      <c r="AQ168">
        <v>1421</v>
      </c>
      <c r="AS168">
        <v>4</v>
      </c>
      <c r="AT168">
        <v>94</v>
      </c>
      <c r="AU168" t="s">
        <v>97</v>
      </c>
      <c r="AV168">
        <v>19</v>
      </c>
      <c r="AW168" t="s">
        <v>33</v>
      </c>
      <c r="AX168">
        <v>22</v>
      </c>
      <c r="AY168" t="s">
        <v>98</v>
      </c>
      <c r="AZ168">
        <v>124</v>
      </c>
      <c r="BA168" t="s">
        <v>48</v>
      </c>
      <c r="BB168" t="s">
        <v>42</v>
      </c>
      <c r="BC168" t="s">
        <v>36</v>
      </c>
      <c r="BF168">
        <v>0</v>
      </c>
    </row>
    <row r="169" spans="1:59" x14ac:dyDescent="0.3">
      <c r="A169">
        <v>1163</v>
      </c>
      <c r="B169" s="2">
        <v>45923.600312499999</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s">
        <v>149</v>
      </c>
      <c r="AN169">
        <v>675</v>
      </c>
      <c r="AO169">
        <v>288</v>
      </c>
      <c r="AS169">
        <v>0</v>
      </c>
      <c r="AT169">
        <v>94</v>
      </c>
      <c r="AU169" t="s">
        <v>97</v>
      </c>
      <c r="AV169">
        <v>19</v>
      </c>
      <c r="AW169" t="s">
        <v>33</v>
      </c>
      <c r="AX169">
        <v>22</v>
      </c>
      <c r="AY169" t="s">
        <v>99</v>
      </c>
      <c r="AZ169">
        <v>126</v>
      </c>
      <c r="BC169" t="s">
        <v>40</v>
      </c>
      <c r="BF169">
        <v>0</v>
      </c>
    </row>
    <row r="170" spans="1:59" x14ac:dyDescent="0.3">
      <c r="A170">
        <v>1193</v>
      </c>
      <c r="B170" s="2">
        <v>45923.600312499999</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s">
        <v>150</v>
      </c>
      <c r="AN170">
        <v>675</v>
      </c>
      <c r="AO170">
        <v>292</v>
      </c>
      <c r="AQ170">
        <v>1419</v>
      </c>
      <c r="AS170">
        <v>1</v>
      </c>
      <c r="AT170">
        <v>94</v>
      </c>
      <c r="AU170" t="s">
        <v>97</v>
      </c>
      <c r="AV170">
        <v>19</v>
      </c>
      <c r="AW170" t="s">
        <v>33</v>
      </c>
      <c r="AX170">
        <v>22</v>
      </c>
      <c r="AY170" t="s">
        <v>99</v>
      </c>
      <c r="AZ170">
        <v>126</v>
      </c>
      <c r="BA170" t="s">
        <v>41</v>
      </c>
      <c r="BB170" t="s">
        <v>42</v>
      </c>
      <c r="BC170" t="s">
        <v>40</v>
      </c>
      <c r="BD170">
        <v>8000</v>
      </c>
      <c r="BE170">
        <v>3400</v>
      </c>
      <c r="BF170">
        <v>0</v>
      </c>
      <c r="BG170">
        <v>600</v>
      </c>
    </row>
    <row r="171" spans="1:59" x14ac:dyDescent="0.3">
      <c r="A171">
        <v>1205</v>
      </c>
      <c r="B171" s="2">
        <v>45923.600312499999</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s">
        <v>150</v>
      </c>
      <c r="AN171">
        <v>675</v>
      </c>
      <c r="AO171">
        <v>294</v>
      </c>
      <c r="AP171">
        <v>1419</v>
      </c>
      <c r="AQ171">
        <v>1419</v>
      </c>
      <c r="AS171">
        <v>2</v>
      </c>
      <c r="AT171">
        <v>94</v>
      </c>
      <c r="AU171" t="s">
        <v>97</v>
      </c>
      <c r="AV171">
        <v>19</v>
      </c>
      <c r="AW171" t="s">
        <v>33</v>
      </c>
      <c r="AX171">
        <v>22</v>
      </c>
      <c r="AY171" t="s">
        <v>99</v>
      </c>
      <c r="AZ171">
        <v>126</v>
      </c>
      <c r="BA171" t="s">
        <v>41</v>
      </c>
      <c r="BB171" t="s">
        <v>42</v>
      </c>
      <c r="BC171" t="s">
        <v>40</v>
      </c>
      <c r="BD171">
        <v>7000</v>
      </c>
      <c r="BF171">
        <v>0</v>
      </c>
    </row>
    <row r="172" spans="1:59" x14ac:dyDescent="0.3">
      <c r="A172">
        <v>1230</v>
      </c>
      <c r="B172" s="2">
        <v>45923.600312499999</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s">
        <v>150</v>
      </c>
      <c r="AN172">
        <v>675</v>
      </c>
      <c r="AO172">
        <v>298</v>
      </c>
      <c r="AP172">
        <v>1419</v>
      </c>
      <c r="AQ172">
        <v>1419</v>
      </c>
      <c r="AS172">
        <v>3</v>
      </c>
      <c r="AT172">
        <v>94</v>
      </c>
      <c r="AU172" t="s">
        <v>97</v>
      </c>
      <c r="AV172">
        <v>19</v>
      </c>
      <c r="AW172" t="s">
        <v>33</v>
      </c>
      <c r="AX172">
        <v>22</v>
      </c>
      <c r="AY172" t="s">
        <v>99</v>
      </c>
      <c r="AZ172">
        <v>126</v>
      </c>
      <c r="BA172" t="s">
        <v>41</v>
      </c>
      <c r="BB172" t="s">
        <v>42</v>
      </c>
      <c r="BC172" t="s">
        <v>40</v>
      </c>
      <c r="BD172">
        <v>18000</v>
      </c>
      <c r="BF172">
        <v>4000</v>
      </c>
    </row>
    <row r="173" spans="1:59" x14ac:dyDescent="0.3">
      <c r="A173">
        <v>1271</v>
      </c>
      <c r="B173" s="2">
        <v>45923.600312499999</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s">
        <v>150</v>
      </c>
      <c r="AN173">
        <v>675</v>
      </c>
      <c r="AO173">
        <v>305</v>
      </c>
      <c r="AP173">
        <v>1419</v>
      </c>
      <c r="AQ173">
        <v>1419</v>
      </c>
      <c r="AS173">
        <v>4</v>
      </c>
      <c r="AT173">
        <v>94</v>
      </c>
      <c r="AU173" t="s">
        <v>97</v>
      </c>
      <c r="AV173">
        <v>19</v>
      </c>
      <c r="AW173" t="s">
        <v>33</v>
      </c>
      <c r="AX173">
        <v>22</v>
      </c>
      <c r="AY173" t="s">
        <v>99</v>
      </c>
      <c r="AZ173">
        <v>126</v>
      </c>
      <c r="BA173" t="s">
        <v>41</v>
      </c>
      <c r="BB173" t="s">
        <v>42</v>
      </c>
      <c r="BC173" t="s">
        <v>40</v>
      </c>
      <c r="BE173">
        <v>8500</v>
      </c>
      <c r="BF173">
        <v>0</v>
      </c>
    </row>
    <row r="174" spans="1:59" x14ac:dyDescent="0.3">
      <c r="A174">
        <v>1160</v>
      </c>
      <c r="B174" s="2">
        <v>45923.594305555547</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s">
        <v>149</v>
      </c>
      <c r="AN174">
        <v>676</v>
      </c>
      <c r="AO174">
        <v>288</v>
      </c>
      <c r="AS174">
        <v>0</v>
      </c>
      <c r="AT174">
        <v>94</v>
      </c>
      <c r="AU174" t="s">
        <v>97</v>
      </c>
      <c r="AV174">
        <v>19</v>
      </c>
      <c r="AW174" t="s">
        <v>33</v>
      </c>
      <c r="AX174">
        <v>22</v>
      </c>
      <c r="AY174" t="s">
        <v>100</v>
      </c>
      <c r="AZ174">
        <v>123</v>
      </c>
      <c r="BC174" t="s">
        <v>44</v>
      </c>
      <c r="BF174">
        <v>0</v>
      </c>
    </row>
    <row r="175" spans="1:59" x14ac:dyDescent="0.3">
      <c r="A175">
        <v>1184</v>
      </c>
      <c r="B175" s="2">
        <v>45923.594305555547</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s">
        <v>150</v>
      </c>
      <c r="AN175">
        <v>676</v>
      </c>
      <c r="AO175">
        <v>292</v>
      </c>
      <c r="AQ175">
        <v>1427</v>
      </c>
      <c r="AS175">
        <v>1</v>
      </c>
      <c r="AT175">
        <v>94</v>
      </c>
      <c r="AU175" t="s">
        <v>97</v>
      </c>
      <c r="AV175">
        <v>19</v>
      </c>
      <c r="AW175" t="s">
        <v>33</v>
      </c>
      <c r="AX175">
        <v>22</v>
      </c>
      <c r="AY175" t="s">
        <v>100</v>
      </c>
      <c r="AZ175">
        <v>123</v>
      </c>
      <c r="BA175" t="s">
        <v>83</v>
      </c>
      <c r="BB175" t="s">
        <v>52</v>
      </c>
      <c r="BC175" t="s">
        <v>44</v>
      </c>
      <c r="BE175">
        <v>1600</v>
      </c>
      <c r="BF175">
        <v>4000</v>
      </c>
    </row>
    <row r="176" spans="1:59" x14ac:dyDescent="0.3">
      <c r="A176">
        <v>1207</v>
      </c>
      <c r="B176" s="2">
        <v>45923.594305555547</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s">
        <v>150</v>
      </c>
      <c r="AN176">
        <v>676</v>
      </c>
      <c r="AO176">
        <v>294</v>
      </c>
      <c r="AP176">
        <v>1427</v>
      </c>
      <c r="AQ176">
        <v>1427</v>
      </c>
      <c r="AS176">
        <v>2</v>
      </c>
      <c r="AT176">
        <v>94</v>
      </c>
      <c r="AU176" t="s">
        <v>97</v>
      </c>
      <c r="AV176">
        <v>19</v>
      </c>
      <c r="AW176" t="s">
        <v>33</v>
      </c>
      <c r="AX176">
        <v>22</v>
      </c>
      <c r="AY176" t="s">
        <v>100</v>
      </c>
      <c r="AZ176">
        <v>123</v>
      </c>
      <c r="BA176" t="s">
        <v>83</v>
      </c>
      <c r="BB176" t="s">
        <v>52</v>
      </c>
      <c r="BC176" t="s">
        <v>44</v>
      </c>
      <c r="BF176">
        <v>4000</v>
      </c>
    </row>
    <row r="177" spans="1:59" x14ac:dyDescent="0.3">
      <c r="A177">
        <v>1227</v>
      </c>
      <c r="B177" s="2">
        <v>45923.594305555547</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s">
        <v>150</v>
      </c>
      <c r="AN177">
        <v>676</v>
      </c>
      <c r="AO177">
        <v>298</v>
      </c>
      <c r="AP177">
        <v>1427</v>
      </c>
      <c r="AQ177">
        <v>1427</v>
      </c>
      <c r="AS177">
        <v>3</v>
      </c>
      <c r="AT177">
        <v>94</v>
      </c>
      <c r="AU177" t="s">
        <v>97</v>
      </c>
      <c r="AV177">
        <v>19</v>
      </c>
      <c r="AW177" t="s">
        <v>33</v>
      </c>
      <c r="AX177">
        <v>22</v>
      </c>
      <c r="AY177" t="s">
        <v>100</v>
      </c>
      <c r="AZ177">
        <v>123</v>
      </c>
      <c r="BA177" t="s">
        <v>83</v>
      </c>
      <c r="BB177" t="s">
        <v>52</v>
      </c>
      <c r="BC177" t="s">
        <v>44</v>
      </c>
      <c r="BD177">
        <v>6000</v>
      </c>
      <c r="BE177">
        <v>2000</v>
      </c>
      <c r="BF177">
        <v>12000</v>
      </c>
      <c r="BG177">
        <v>0</v>
      </c>
    </row>
    <row r="178" spans="1:59" x14ac:dyDescent="0.3">
      <c r="A178">
        <v>1275</v>
      </c>
      <c r="B178" s="2">
        <v>45923.594305555547</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s">
        <v>150</v>
      </c>
      <c r="AN178">
        <v>676</v>
      </c>
      <c r="AO178">
        <v>305</v>
      </c>
      <c r="AP178">
        <v>1427</v>
      </c>
      <c r="AQ178">
        <v>1427</v>
      </c>
      <c r="AS178">
        <v>4</v>
      </c>
      <c r="AT178">
        <v>94</v>
      </c>
      <c r="AU178" t="s">
        <v>97</v>
      </c>
      <c r="AV178">
        <v>19</v>
      </c>
      <c r="AW178" t="s">
        <v>33</v>
      </c>
      <c r="AX178">
        <v>22</v>
      </c>
      <c r="AY178" t="s">
        <v>100</v>
      </c>
      <c r="AZ178">
        <v>123</v>
      </c>
      <c r="BA178" t="s">
        <v>83</v>
      </c>
      <c r="BB178" t="s">
        <v>52</v>
      </c>
      <c r="BC178" t="s">
        <v>44</v>
      </c>
      <c r="BD178">
        <v>9000</v>
      </c>
      <c r="BF178">
        <v>0</v>
      </c>
    </row>
    <row r="179" spans="1:59" x14ac:dyDescent="0.3">
      <c r="A179">
        <v>1161</v>
      </c>
      <c r="B179" s="2">
        <v>45923.594548611123</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s">
        <v>149</v>
      </c>
      <c r="AN179">
        <v>677</v>
      </c>
      <c r="AO179">
        <v>288</v>
      </c>
      <c r="AS179">
        <v>0</v>
      </c>
      <c r="AT179">
        <v>94</v>
      </c>
      <c r="AU179" t="s">
        <v>97</v>
      </c>
      <c r="AV179">
        <v>19</v>
      </c>
      <c r="AW179" t="s">
        <v>33</v>
      </c>
      <c r="AX179">
        <v>22</v>
      </c>
      <c r="AY179" t="s">
        <v>101</v>
      </c>
      <c r="AZ179">
        <v>125</v>
      </c>
      <c r="BC179" t="s">
        <v>47</v>
      </c>
      <c r="BF179">
        <v>0</v>
      </c>
    </row>
    <row r="180" spans="1:59" x14ac:dyDescent="0.3">
      <c r="A180">
        <v>1192</v>
      </c>
      <c r="B180" s="2">
        <v>45923.594548611123</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s">
        <v>150</v>
      </c>
      <c r="AN180">
        <v>677</v>
      </c>
      <c r="AO180">
        <v>292</v>
      </c>
      <c r="AQ180">
        <v>1429</v>
      </c>
      <c r="AS180">
        <v>1</v>
      </c>
      <c r="AT180">
        <v>94</v>
      </c>
      <c r="AU180" t="s">
        <v>97</v>
      </c>
      <c r="AV180">
        <v>19</v>
      </c>
      <c r="AW180" t="s">
        <v>33</v>
      </c>
      <c r="AX180">
        <v>22</v>
      </c>
      <c r="AY180" t="s">
        <v>101</v>
      </c>
      <c r="AZ180">
        <v>125</v>
      </c>
      <c r="BA180" t="s">
        <v>75</v>
      </c>
      <c r="BB180" t="s">
        <v>38</v>
      </c>
      <c r="BC180" t="s">
        <v>47</v>
      </c>
      <c r="BE180">
        <v>2500</v>
      </c>
      <c r="BF180">
        <v>0</v>
      </c>
    </row>
    <row r="181" spans="1:59" x14ac:dyDescent="0.3">
      <c r="A181">
        <v>1203</v>
      </c>
      <c r="B181" s="2">
        <v>45923.594548611123</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s">
        <v>150</v>
      </c>
      <c r="AN181">
        <v>677</v>
      </c>
      <c r="AO181">
        <v>294</v>
      </c>
      <c r="AP181">
        <v>1429</v>
      </c>
      <c r="AQ181">
        <v>1429</v>
      </c>
      <c r="AS181">
        <v>2</v>
      </c>
      <c r="AT181">
        <v>94</v>
      </c>
      <c r="AU181" t="s">
        <v>97</v>
      </c>
      <c r="AV181">
        <v>19</v>
      </c>
      <c r="AW181" t="s">
        <v>33</v>
      </c>
      <c r="AX181">
        <v>22</v>
      </c>
      <c r="AY181" t="s">
        <v>101</v>
      </c>
      <c r="AZ181">
        <v>125</v>
      </c>
      <c r="BA181" t="s">
        <v>75</v>
      </c>
      <c r="BB181" t="s">
        <v>38</v>
      </c>
      <c r="BC181" t="s">
        <v>47</v>
      </c>
      <c r="BE181">
        <v>4500</v>
      </c>
      <c r="BF181">
        <v>12000</v>
      </c>
    </row>
    <row r="182" spans="1:59" x14ac:dyDescent="0.3">
      <c r="A182">
        <v>1232</v>
      </c>
      <c r="B182" s="2">
        <v>45923.594548611123</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s">
        <v>150</v>
      </c>
      <c r="AN182">
        <v>677</v>
      </c>
      <c r="AO182">
        <v>298</v>
      </c>
      <c r="AP182">
        <v>1429</v>
      </c>
      <c r="AQ182">
        <v>1429</v>
      </c>
      <c r="AS182">
        <v>3</v>
      </c>
      <c r="AT182">
        <v>94</v>
      </c>
      <c r="AU182" t="s">
        <v>97</v>
      </c>
      <c r="AV182">
        <v>19</v>
      </c>
      <c r="AW182" t="s">
        <v>33</v>
      </c>
      <c r="AX182">
        <v>22</v>
      </c>
      <c r="AY182" t="s">
        <v>101</v>
      </c>
      <c r="AZ182">
        <v>125</v>
      </c>
      <c r="BA182" t="s">
        <v>75</v>
      </c>
      <c r="BB182" t="s">
        <v>38</v>
      </c>
      <c r="BC182" t="s">
        <v>47</v>
      </c>
      <c r="BF182">
        <v>24000</v>
      </c>
    </row>
    <row r="183" spans="1:59" x14ac:dyDescent="0.3">
      <c r="A183">
        <v>1274</v>
      </c>
      <c r="B183" s="2">
        <v>45923.594548611123</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s">
        <v>150</v>
      </c>
      <c r="AN183">
        <v>677</v>
      </c>
      <c r="AO183">
        <v>305</v>
      </c>
      <c r="AP183">
        <v>1429</v>
      </c>
      <c r="AQ183">
        <v>1488</v>
      </c>
      <c r="AS183">
        <v>4</v>
      </c>
      <c r="AT183">
        <v>94</v>
      </c>
      <c r="AU183" t="s">
        <v>97</v>
      </c>
      <c r="AV183">
        <v>19</v>
      </c>
      <c r="AW183" t="s">
        <v>33</v>
      </c>
      <c r="AX183">
        <v>22</v>
      </c>
      <c r="AY183" t="s">
        <v>101</v>
      </c>
      <c r="AZ183">
        <v>125</v>
      </c>
      <c r="BA183" t="s">
        <v>102</v>
      </c>
      <c r="BB183" t="s">
        <v>42</v>
      </c>
      <c r="BC183" t="s">
        <v>47</v>
      </c>
      <c r="BD183">
        <v>15000</v>
      </c>
      <c r="BE183">
        <v>2775</v>
      </c>
      <c r="BF183">
        <v>0</v>
      </c>
      <c r="BG183">
        <v>-1275</v>
      </c>
    </row>
    <row r="184" spans="1:59" x14ac:dyDescent="0.3">
      <c r="A184">
        <v>1157</v>
      </c>
      <c r="B184" s="2">
        <v>45923.593495370369</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s">
        <v>149</v>
      </c>
      <c r="AN184">
        <v>678</v>
      </c>
      <c r="AO184">
        <v>288</v>
      </c>
      <c r="AS184">
        <v>0</v>
      </c>
      <c r="AT184">
        <v>94</v>
      </c>
      <c r="AU184" t="s">
        <v>97</v>
      </c>
      <c r="AV184">
        <v>19</v>
      </c>
      <c r="AW184" t="s">
        <v>33</v>
      </c>
      <c r="AX184">
        <v>22</v>
      </c>
      <c r="AY184" t="s">
        <v>103</v>
      </c>
      <c r="AZ184">
        <v>127</v>
      </c>
      <c r="BC184" t="s">
        <v>50</v>
      </c>
      <c r="BF184">
        <v>0</v>
      </c>
    </row>
    <row r="185" spans="1:59" x14ac:dyDescent="0.3">
      <c r="A185">
        <v>1191</v>
      </c>
      <c r="B185" s="2">
        <v>45923.593495370369</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s">
        <v>150</v>
      </c>
      <c r="AN185">
        <v>678</v>
      </c>
      <c r="AO185">
        <v>292</v>
      </c>
      <c r="AQ185">
        <v>1420</v>
      </c>
      <c r="AS185">
        <v>1</v>
      </c>
      <c r="AT185">
        <v>94</v>
      </c>
      <c r="AU185" t="s">
        <v>97</v>
      </c>
      <c r="AV185">
        <v>19</v>
      </c>
      <c r="AW185" t="s">
        <v>33</v>
      </c>
      <c r="AX185">
        <v>22</v>
      </c>
      <c r="AY185" t="s">
        <v>103</v>
      </c>
      <c r="AZ185">
        <v>127</v>
      </c>
      <c r="BA185" t="s">
        <v>58</v>
      </c>
      <c r="BB185" t="s">
        <v>42</v>
      </c>
      <c r="BC185" t="s">
        <v>50</v>
      </c>
      <c r="BD185">
        <v>33000</v>
      </c>
      <c r="BE185">
        <v>25500</v>
      </c>
      <c r="BF185">
        <v>0</v>
      </c>
      <c r="BG185">
        <v>0</v>
      </c>
    </row>
    <row r="186" spans="1:59" x14ac:dyDescent="0.3">
      <c r="A186">
        <v>1204</v>
      </c>
      <c r="B186" s="2">
        <v>45923.593495370369</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s">
        <v>150</v>
      </c>
      <c r="AN186">
        <v>678</v>
      </c>
      <c r="AO186">
        <v>294</v>
      </c>
      <c r="AP186">
        <v>1420</v>
      </c>
      <c r="AQ186">
        <v>1420</v>
      </c>
      <c r="AS186">
        <v>2</v>
      </c>
      <c r="AT186">
        <v>94</v>
      </c>
      <c r="AU186" t="s">
        <v>97</v>
      </c>
      <c r="AV186">
        <v>19</v>
      </c>
      <c r="AW186" t="s">
        <v>33</v>
      </c>
      <c r="AX186">
        <v>22</v>
      </c>
      <c r="AY186" t="s">
        <v>103</v>
      </c>
      <c r="AZ186">
        <v>127</v>
      </c>
      <c r="BA186" t="s">
        <v>58</v>
      </c>
      <c r="BB186" t="s">
        <v>42</v>
      </c>
      <c r="BC186" t="s">
        <v>50</v>
      </c>
      <c r="BF186">
        <v>0</v>
      </c>
    </row>
    <row r="187" spans="1:59" x14ac:dyDescent="0.3">
      <c r="A187">
        <v>1231</v>
      </c>
      <c r="B187" s="2">
        <v>45923.593495370369</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s">
        <v>150</v>
      </c>
      <c r="AN187">
        <v>678</v>
      </c>
      <c r="AO187">
        <v>298</v>
      </c>
      <c r="AP187">
        <v>1420</v>
      </c>
      <c r="AQ187">
        <v>1420</v>
      </c>
      <c r="AS187">
        <v>3</v>
      </c>
      <c r="AT187">
        <v>94</v>
      </c>
      <c r="AU187" t="s">
        <v>97</v>
      </c>
      <c r="AV187">
        <v>19</v>
      </c>
      <c r="AW187" t="s">
        <v>33</v>
      </c>
      <c r="AX187">
        <v>22</v>
      </c>
      <c r="AY187" t="s">
        <v>103</v>
      </c>
      <c r="AZ187">
        <v>127</v>
      </c>
      <c r="BA187" t="s">
        <v>58</v>
      </c>
      <c r="BB187" t="s">
        <v>42</v>
      </c>
      <c r="BC187" t="s">
        <v>50</v>
      </c>
      <c r="BF187">
        <v>12000</v>
      </c>
    </row>
    <row r="188" spans="1:59" x14ac:dyDescent="0.3">
      <c r="A188">
        <v>1273</v>
      </c>
      <c r="B188" s="2">
        <v>45923.593495370369</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s">
        <v>150</v>
      </c>
      <c r="AN188">
        <v>678</v>
      </c>
      <c r="AO188">
        <v>305</v>
      </c>
      <c r="AP188">
        <v>1420</v>
      </c>
      <c r="AQ188">
        <v>1420</v>
      </c>
      <c r="AS188">
        <v>4</v>
      </c>
      <c r="AT188">
        <v>94</v>
      </c>
      <c r="AU188" t="s">
        <v>97</v>
      </c>
      <c r="AV188">
        <v>19</v>
      </c>
      <c r="AW188" t="s">
        <v>33</v>
      </c>
      <c r="AX188">
        <v>22</v>
      </c>
      <c r="AY188" t="s">
        <v>103</v>
      </c>
      <c r="AZ188">
        <v>127</v>
      </c>
      <c r="BA188" t="s">
        <v>58</v>
      </c>
      <c r="BB188" t="s">
        <v>42</v>
      </c>
      <c r="BC188" t="s">
        <v>50</v>
      </c>
      <c r="BF188">
        <v>0</v>
      </c>
    </row>
    <row r="189" spans="1:59" x14ac:dyDescent="0.3">
      <c r="A189">
        <v>1178</v>
      </c>
      <c r="B189" s="2">
        <v>45923.601261574076</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s">
        <v>149</v>
      </c>
      <c r="AN189">
        <v>679</v>
      </c>
      <c r="AO189">
        <v>288</v>
      </c>
      <c r="AS189">
        <v>0</v>
      </c>
      <c r="AT189">
        <v>94</v>
      </c>
      <c r="AU189" t="s">
        <v>97</v>
      </c>
      <c r="AV189">
        <v>19</v>
      </c>
      <c r="AW189" t="s">
        <v>33</v>
      </c>
      <c r="AX189">
        <v>22</v>
      </c>
      <c r="AY189" t="s">
        <v>104</v>
      </c>
      <c r="AZ189">
        <v>128</v>
      </c>
      <c r="BC189" t="s">
        <v>54</v>
      </c>
      <c r="BF189">
        <v>0</v>
      </c>
    </row>
    <row r="190" spans="1:59" x14ac:dyDescent="0.3">
      <c r="A190">
        <v>1189</v>
      </c>
      <c r="B190" s="2">
        <v>45923.601261574076</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s">
        <v>150</v>
      </c>
      <c r="AN190">
        <v>679</v>
      </c>
      <c r="AO190">
        <v>292</v>
      </c>
      <c r="AQ190">
        <v>1423</v>
      </c>
      <c r="AS190">
        <v>1</v>
      </c>
      <c r="AT190">
        <v>94</v>
      </c>
      <c r="AU190" t="s">
        <v>97</v>
      </c>
      <c r="AV190">
        <v>19</v>
      </c>
      <c r="AW190" t="s">
        <v>33</v>
      </c>
      <c r="AX190">
        <v>22</v>
      </c>
      <c r="AY190" t="s">
        <v>104</v>
      </c>
      <c r="AZ190">
        <v>128</v>
      </c>
      <c r="BA190" t="s">
        <v>55</v>
      </c>
      <c r="BB190" t="s">
        <v>52</v>
      </c>
      <c r="BC190" t="s">
        <v>54</v>
      </c>
      <c r="BE190">
        <v>38000</v>
      </c>
      <c r="BF190">
        <v>0</v>
      </c>
    </row>
    <row r="191" spans="1:59" x14ac:dyDescent="0.3">
      <c r="A191">
        <v>1202</v>
      </c>
      <c r="B191" s="2">
        <v>45923.601261574076</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s">
        <v>150</v>
      </c>
      <c r="AN191">
        <v>679</v>
      </c>
      <c r="AO191">
        <v>294</v>
      </c>
      <c r="AP191">
        <v>1423</v>
      </c>
      <c r="AQ191">
        <v>1423</v>
      </c>
      <c r="AS191">
        <v>2</v>
      </c>
      <c r="AT191">
        <v>94</v>
      </c>
      <c r="AU191" t="s">
        <v>97</v>
      </c>
      <c r="AV191">
        <v>19</v>
      </c>
      <c r="AW191" t="s">
        <v>33</v>
      </c>
      <c r="AX191">
        <v>22</v>
      </c>
      <c r="AY191" t="s">
        <v>104</v>
      </c>
      <c r="AZ191">
        <v>128</v>
      </c>
      <c r="BA191" t="s">
        <v>55</v>
      </c>
      <c r="BB191" t="s">
        <v>52</v>
      </c>
      <c r="BC191" t="s">
        <v>54</v>
      </c>
      <c r="BF191">
        <v>4000</v>
      </c>
    </row>
    <row r="192" spans="1:59" x14ac:dyDescent="0.3">
      <c r="A192">
        <v>1228</v>
      </c>
      <c r="B192" s="2">
        <v>45923.601261574076</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s">
        <v>150</v>
      </c>
      <c r="AN192">
        <v>679</v>
      </c>
      <c r="AO192">
        <v>298</v>
      </c>
      <c r="AP192">
        <v>1423</v>
      </c>
      <c r="AQ192">
        <v>1423</v>
      </c>
      <c r="AS192">
        <v>3</v>
      </c>
      <c r="AT192">
        <v>94</v>
      </c>
      <c r="AU192" t="s">
        <v>97</v>
      </c>
      <c r="AV192">
        <v>19</v>
      </c>
      <c r="AW192" t="s">
        <v>33</v>
      </c>
      <c r="AX192">
        <v>22</v>
      </c>
      <c r="AY192" t="s">
        <v>104</v>
      </c>
      <c r="AZ192">
        <v>128</v>
      </c>
      <c r="BA192" t="s">
        <v>55</v>
      </c>
      <c r="BB192" t="s">
        <v>52</v>
      </c>
      <c r="BC192" t="s">
        <v>54</v>
      </c>
      <c r="BF192">
        <v>12000</v>
      </c>
    </row>
    <row r="193" spans="1:59" x14ac:dyDescent="0.3">
      <c r="A193">
        <v>1269</v>
      </c>
      <c r="B193" s="2">
        <v>45923.601261574076</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s">
        <v>150</v>
      </c>
      <c r="AN193">
        <v>679</v>
      </c>
      <c r="AO193">
        <v>305</v>
      </c>
      <c r="AP193">
        <v>1423</v>
      </c>
      <c r="AQ193">
        <v>1487</v>
      </c>
      <c r="AS193">
        <v>4</v>
      </c>
      <c r="AT193">
        <v>94</v>
      </c>
      <c r="AU193" t="s">
        <v>97</v>
      </c>
      <c r="AV193">
        <v>19</v>
      </c>
      <c r="AW193" t="s">
        <v>33</v>
      </c>
      <c r="AX193">
        <v>22</v>
      </c>
      <c r="AY193" t="s">
        <v>104</v>
      </c>
      <c r="AZ193">
        <v>128</v>
      </c>
      <c r="BA193" t="s">
        <v>56</v>
      </c>
      <c r="BB193" t="s">
        <v>42</v>
      </c>
      <c r="BC193" t="s">
        <v>54</v>
      </c>
      <c r="BD193">
        <v>33000</v>
      </c>
      <c r="BF193">
        <v>0</v>
      </c>
    </row>
    <row r="194" spans="1:59" x14ac:dyDescent="0.3">
      <c r="A194">
        <v>1164</v>
      </c>
      <c r="B194" s="2">
        <v>45923.600659722222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s">
        <v>149</v>
      </c>
      <c r="AN194">
        <v>682</v>
      </c>
      <c r="AO194">
        <v>286</v>
      </c>
      <c r="AS194">
        <v>0</v>
      </c>
      <c r="AT194">
        <v>95</v>
      </c>
      <c r="AU194" t="s">
        <v>105</v>
      </c>
      <c r="AV194">
        <v>19</v>
      </c>
      <c r="AW194" t="s">
        <v>33</v>
      </c>
      <c r="AX194">
        <v>22</v>
      </c>
      <c r="AY194" t="s">
        <v>106</v>
      </c>
      <c r="AZ194">
        <v>124</v>
      </c>
      <c r="BC194" t="s">
        <v>36</v>
      </c>
      <c r="BF194">
        <v>0</v>
      </c>
    </row>
    <row r="195" spans="1:59" x14ac:dyDescent="0.3">
      <c r="A195">
        <v>1176</v>
      </c>
      <c r="B195" s="2">
        <v>45923.600659722222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s">
        <v>150</v>
      </c>
      <c r="AN195">
        <v>682</v>
      </c>
      <c r="AO195">
        <v>290</v>
      </c>
      <c r="AQ195">
        <v>1399</v>
      </c>
      <c r="AS195">
        <v>1</v>
      </c>
      <c r="AT195">
        <v>95</v>
      </c>
      <c r="AU195" t="s">
        <v>105</v>
      </c>
      <c r="AV195">
        <v>19</v>
      </c>
      <c r="AW195" t="s">
        <v>33</v>
      </c>
      <c r="AX195">
        <v>22</v>
      </c>
      <c r="AY195" t="s">
        <v>106</v>
      </c>
      <c r="AZ195">
        <v>124</v>
      </c>
      <c r="BA195" t="s">
        <v>75</v>
      </c>
      <c r="BB195" t="s">
        <v>38</v>
      </c>
      <c r="BC195" t="s">
        <v>36</v>
      </c>
      <c r="BF195">
        <v>8000</v>
      </c>
    </row>
    <row r="196" spans="1:59" x14ac:dyDescent="0.3">
      <c r="A196">
        <v>1215</v>
      </c>
      <c r="B196" s="2">
        <v>45923.600659722222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s">
        <v>150</v>
      </c>
      <c r="AN196">
        <v>682</v>
      </c>
      <c r="AO196">
        <v>296</v>
      </c>
      <c r="AP196">
        <v>1399</v>
      </c>
      <c r="AQ196">
        <v>1399</v>
      </c>
      <c r="AS196">
        <v>2</v>
      </c>
      <c r="AT196">
        <v>95</v>
      </c>
      <c r="AU196" t="s">
        <v>105</v>
      </c>
      <c r="AV196">
        <v>19</v>
      </c>
      <c r="AW196" t="s">
        <v>33</v>
      </c>
      <c r="AX196">
        <v>22</v>
      </c>
      <c r="AY196" t="s">
        <v>106</v>
      </c>
      <c r="AZ196">
        <v>124</v>
      </c>
      <c r="BA196" t="s">
        <v>75</v>
      </c>
      <c r="BB196" t="s">
        <v>38</v>
      </c>
      <c r="BC196" t="s">
        <v>36</v>
      </c>
      <c r="BF196">
        <v>4000</v>
      </c>
    </row>
    <row r="197" spans="1:59" x14ac:dyDescent="0.3">
      <c r="A197">
        <v>1233</v>
      </c>
      <c r="B197" s="2">
        <v>45923.600659722222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s">
        <v>150</v>
      </c>
      <c r="AN197">
        <v>682</v>
      </c>
      <c r="AO197">
        <v>299</v>
      </c>
      <c r="AP197">
        <v>1399</v>
      </c>
      <c r="AQ197">
        <v>1399</v>
      </c>
      <c r="AS197">
        <v>3</v>
      </c>
      <c r="AT197">
        <v>95</v>
      </c>
      <c r="AU197" t="s">
        <v>105</v>
      </c>
      <c r="AV197">
        <v>19</v>
      </c>
      <c r="AW197" t="s">
        <v>33</v>
      </c>
      <c r="AX197">
        <v>22</v>
      </c>
      <c r="AY197" t="s">
        <v>106</v>
      </c>
      <c r="AZ197">
        <v>124</v>
      </c>
      <c r="BA197" t="s">
        <v>75</v>
      </c>
      <c r="BB197" t="s">
        <v>38</v>
      </c>
      <c r="BC197" t="s">
        <v>36</v>
      </c>
      <c r="BD197">
        <v>1000</v>
      </c>
      <c r="BE197">
        <v>3750</v>
      </c>
      <c r="BF197">
        <v>20000</v>
      </c>
      <c r="BG197">
        <v>0</v>
      </c>
    </row>
    <row r="198" spans="1:59" x14ac:dyDescent="0.3">
      <c r="A198">
        <v>1252</v>
      </c>
      <c r="B198" s="2">
        <v>45923.600659722222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s">
        <v>154</v>
      </c>
      <c r="AN198">
        <v>682</v>
      </c>
      <c r="AO198">
        <v>302</v>
      </c>
      <c r="AP198">
        <v>1399</v>
      </c>
      <c r="AQ198">
        <v>1399</v>
      </c>
      <c r="AS198">
        <v>4</v>
      </c>
      <c r="AT198">
        <v>95</v>
      </c>
      <c r="AU198" t="s">
        <v>105</v>
      </c>
      <c r="AV198">
        <v>19</v>
      </c>
      <c r="AW198" t="s">
        <v>33</v>
      </c>
      <c r="AX198">
        <v>22</v>
      </c>
      <c r="AY198" t="s">
        <v>106</v>
      </c>
      <c r="AZ198">
        <v>124</v>
      </c>
      <c r="BA198" t="s">
        <v>75</v>
      </c>
      <c r="BB198" t="s">
        <v>38</v>
      </c>
      <c r="BC198" t="s">
        <v>36</v>
      </c>
      <c r="BF198">
        <v>20000</v>
      </c>
    </row>
    <row r="199" spans="1:59" x14ac:dyDescent="0.3">
      <c r="A199">
        <v>1167</v>
      </c>
      <c r="B199" s="2">
        <v>45923.600682870368</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s">
        <v>149</v>
      </c>
      <c r="AN199">
        <v>683</v>
      </c>
      <c r="AO199">
        <v>286</v>
      </c>
      <c r="AS199">
        <v>0</v>
      </c>
      <c r="AT199">
        <v>95</v>
      </c>
      <c r="AU199" t="s">
        <v>105</v>
      </c>
      <c r="AV199">
        <v>19</v>
      </c>
      <c r="AW199" t="s">
        <v>33</v>
      </c>
      <c r="AX199">
        <v>22</v>
      </c>
      <c r="AY199" t="s">
        <v>107</v>
      </c>
      <c r="AZ199">
        <v>126</v>
      </c>
      <c r="BC199" t="s">
        <v>40</v>
      </c>
      <c r="BF199">
        <v>0</v>
      </c>
    </row>
    <row r="200" spans="1:59" x14ac:dyDescent="0.3">
      <c r="A200">
        <v>1179</v>
      </c>
      <c r="B200" s="2">
        <v>45923.600682870368</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s">
        <v>150</v>
      </c>
      <c r="AN200">
        <v>683</v>
      </c>
      <c r="AO200">
        <v>290</v>
      </c>
      <c r="AQ200">
        <v>1400</v>
      </c>
      <c r="AS200">
        <v>1</v>
      </c>
      <c r="AT200">
        <v>95</v>
      </c>
      <c r="AU200" t="s">
        <v>105</v>
      </c>
      <c r="AV200">
        <v>19</v>
      </c>
      <c r="AW200" t="s">
        <v>33</v>
      </c>
      <c r="AX200">
        <v>22</v>
      </c>
      <c r="AY200" t="s">
        <v>107</v>
      </c>
      <c r="AZ200">
        <v>126</v>
      </c>
      <c r="BA200" t="s">
        <v>37</v>
      </c>
      <c r="BB200" t="s">
        <v>38</v>
      </c>
      <c r="BC200" t="s">
        <v>40</v>
      </c>
      <c r="BD200">
        <v>8000</v>
      </c>
      <c r="BE200">
        <v>8000</v>
      </c>
      <c r="BF200">
        <v>4000</v>
      </c>
      <c r="BG200">
        <v>0</v>
      </c>
    </row>
    <row r="201" spans="1:59" x14ac:dyDescent="0.3">
      <c r="A201">
        <v>1219</v>
      </c>
      <c r="B201" s="2">
        <v>45923.600682870368</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s">
        <v>150</v>
      </c>
      <c r="AN201">
        <v>683</v>
      </c>
      <c r="AO201">
        <v>296</v>
      </c>
      <c r="AP201">
        <v>1400</v>
      </c>
      <c r="AQ201">
        <v>1400</v>
      </c>
      <c r="AS201">
        <v>2</v>
      </c>
      <c r="AT201">
        <v>95</v>
      </c>
      <c r="AU201" t="s">
        <v>105</v>
      </c>
      <c r="AV201">
        <v>19</v>
      </c>
      <c r="AW201" t="s">
        <v>33</v>
      </c>
      <c r="AX201">
        <v>22</v>
      </c>
      <c r="AY201" t="s">
        <v>107</v>
      </c>
      <c r="AZ201">
        <v>126</v>
      </c>
      <c r="BA201" t="s">
        <v>37</v>
      </c>
      <c r="BB201" t="s">
        <v>38</v>
      </c>
      <c r="BC201" t="s">
        <v>40</v>
      </c>
      <c r="BD201">
        <v>10000</v>
      </c>
      <c r="BF201">
        <v>4000</v>
      </c>
    </row>
    <row r="202" spans="1:59" x14ac:dyDescent="0.3">
      <c r="A202">
        <v>1238</v>
      </c>
      <c r="B202" s="2">
        <v>45923.600682870368</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s">
        <v>150</v>
      </c>
      <c r="AN202">
        <v>683</v>
      </c>
      <c r="AO202">
        <v>299</v>
      </c>
      <c r="AP202">
        <v>1400</v>
      </c>
      <c r="AQ202">
        <v>1400</v>
      </c>
      <c r="AS202">
        <v>3</v>
      </c>
      <c r="AT202">
        <v>95</v>
      </c>
      <c r="AU202" t="s">
        <v>105</v>
      </c>
      <c r="AV202">
        <v>19</v>
      </c>
      <c r="AW202" t="s">
        <v>33</v>
      </c>
      <c r="AX202">
        <v>22</v>
      </c>
      <c r="AY202" t="s">
        <v>107</v>
      </c>
      <c r="AZ202">
        <v>126</v>
      </c>
      <c r="BA202" t="s">
        <v>37</v>
      </c>
      <c r="BB202" t="s">
        <v>38</v>
      </c>
      <c r="BC202" t="s">
        <v>40</v>
      </c>
      <c r="BD202">
        <v>8000</v>
      </c>
      <c r="BE202">
        <v>6250</v>
      </c>
      <c r="BF202">
        <v>24000</v>
      </c>
      <c r="BG202">
        <v>0</v>
      </c>
    </row>
    <row r="203" spans="1:59" x14ac:dyDescent="0.3">
      <c r="A203">
        <v>1257</v>
      </c>
      <c r="B203" s="2">
        <v>45923.600682870368</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s">
        <v>150</v>
      </c>
      <c r="AN203">
        <v>683</v>
      </c>
      <c r="AO203">
        <v>302</v>
      </c>
      <c r="AP203">
        <v>1400</v>
      </c>
      <c r="AQ203">
        <v>1400</v>
      </c>
      <c r="AS203">
        <v>4</v>
      </c>
      <c r="AT203">
        <v>95</v>
      </c>
      <c r="AU203" t="s">
        <v>105</v>
      </c>
      <c r="AV203">
        <v>19</v>
      </c>
      <c r="AW203" t="s">
        <v>33</v>
      </c>
      <c r="AX203">
        <v>22</v>
      </c>
      <c r="AY203" t="s">
        <v>107</v>
      </c>
      <c r="AZ203">
        <v>126</v>
      </c>
      <c r="BA203" t="s">
        <v>37</v>
      </c>
      <c r="BB203" t="s">
        <v>38</v>
      </c>
      <c r="BC203" t="s">
        <v>40</v>
      </c>
      <c r="BD203">
        <v>6000</v>
      </c>
      <c r="BF203">
        <v>20000</v>
      </c>
    </row>
    <row r="204" spans="1:59" x14ac:dyDescent="0.3">
      <c r="A204">
        <v>1165</v>
      </c>
      <c r="B204" s="2">
        <v>45923.600659722222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s">
        <v>149</v>
      </c>
      <c r="AN204">
        <v>684</v>
      </c>
      <c r="AO204">
        <v>286</v>
      </c>
      <c r="AS204">
        <v>0</v>
      </c>
      <c r="AT204">
        <v>95</v>
      </c>
      <c r="AU204" t="s">
        <v>105</v>
      </c>
      <c r="AV204">
        <v>19</v>
      </c>
      <c r="AW204" t="s">
        <v>33</v>
      </c>
      <c r="AX204">
        <v>22</v>
      </c>
      <c r="AY204" t="s">
        <v>108</v>
      </c>
      <c r="AZ204">
        <v>123</v>
      </c>
      <c r="BC204" t="s">
        <v>44</v>
      </c>
      <c r="BF204">
        <v>0</v>
      </c>
    </row>
    <row r="205" spans="1:59" x14ac:dyDescent="0.3">
      <c r="A205">
        <v>1173</v>
      </c>
      <c r="B205" s="2">
        <v>45923.600659722222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s">
        <v>150</v>
      </c>
      <c r="AN205">
        <v>684</v>
      </c>
      <c r="AO205">
        <v>290</v>
      </c>
      <c r="AQ205">
        <v>1402</v>
      </c>
      <c r="AS205">
        <v>1</v>
      </c>
      <c r="AT205">
        <v>95</v>
      </c>
      <c r="AU205" t="s">
        <v>105</v>
      </c>
      <c r="AV205">
        <v>19</v>
      </c>
      <c r="AW205" t="s">
        <v>33</v>
      </c>
      <c r="AX205">
        <v>22</v>
      </c>
      <c r="AY205" t="s">
        <v>108</v>
      </c>
      <c r="AZ205">
        <v>123</v>
      </c>
      <c r="BA205" t="s">
        <v>71</v>
      </c>
      <c r="BB205" t="s">
        <v>38</v>
      </c>
      <c r="BC205" t="s">
        <v>44</v>
      </c>
      <c r="BD205">
        <v>1000</v>
      </c>
      <c r="BE205">
        <v>1400</v>
      </c>
      <c r="BF205">
        <v>4000</v>
      </c>
      <c r="BG205">
        <v>0</v>
      </c>
    </row>
    <row r="206" spans="1:59" x14ac:dyDescent="0.3">
      <c r="A206">
        <v>1213</v>
      </c>
      <c r="B206" s="2">
        <v>45923.600659722222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s">
        <v>150</v>
      </c>
      <c r="AN206">
        <v>684</v>
      </c>
      <c r="AO206">
        <v>296</v>
      </c>
      <c r="AP206">
        <v>1402</v>
      </c>
      <c r="AQ206">
        <v>1402</v>
      </c>
      <c r="AS206">
        <v>2</v>
      </c>
      <c r="AT206">
        <v>95</v>
      </c>
      <c r="AU206" t="s">
        <v>105</v>
      </c>
      <c r="AV206">
        <v>19</v>
      </c>
      <c r="AW206" t="s">
        <v>33</v>
      </c>
      <c r="AX206">
        <v>22</v>
      </c>
      <c r="AY206" t="s">
        <v>108</v>
      </c>
      <c r="AZ206">
        <v>123</v>
      </c>
      <c r="BA206" t="s">
        <v>71</v>
      </c>
      <c r="BB206" t="s">
        <v>38</v>
      </c>
      <c r="BC206" t="s">
        <v>44</v>
      </c>
      <c r="BE206">
        <v>3500</v>
      </c>
      <c r="BF206">
        <v>4000</v>
      </c>
    </row>
    <row r="207" spans="1:59" x14ac:dyDescent="0.3">
      <c r="A207">
        <v>1235</v>
      </c>
      <c r="B207" s="2">
        <v>45923.600659722222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s">
        <v>150</v>
      </c>
      <c r="AN207">
        <v>684</v>
      </c>
      <c r="AO207">
        <v>299</v>
      </c>
      <c r="AP207">
        <v>1402</v>
      </c>
      <c r="AQ207">
        <v>1402</v>
      </c>
      <c r="AS207">
        <v>3</v>
      </c>
      <c r="AT207">
        <v>95</v>
      </c>
      <c r="AU207" t="s">
        <v>105</v>
      </c>
      <c r="AV207">
        <v>19</v>
      </c>
      <c r="AW207" t="s">
        <v>33</v>
      </c>
      <c r="AX207">
        <v>22</v>
      </c>
      <c r="AY207" t="s">
        <v>108</v>
      </c>
      <c r="AZ207">
        <v>123</v>
      </c>
      <c r="BA207" t="s">
        <v>71</v>
      </c>
      <c r="BB207" t="s">
        <v>38</v>
      </c>
      <c r="BC207" t="s">
        <v>44</v>
      </c>
      <c r="BE207">
        <v>1750</v>
      </c>
      <c r="BF207">
        <v>24000</v>
      </c>
    </row>
    <row r="208" spans="1:59" x14ac:dyDescent="0.3">
      <c r="A208">
        <v>1255</v>
      </c>
      <c r="B208" s="2">
        <v>45923.600659722222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s">
        <v>150</v>
      </c>
      <c r="AN208">
        <v>684</v>
      </c>
      <c r="AO208">
        <v>302</v>
      </c>
      <c r="AP208">
        <v>1402</v>
      </c>
      <c r="AQ208">
        <v>1402</v>
      </c>
      <c r="AS208">
        <v>4</v>
      </c>
      <c r="AT208">
        <v>95</v>
      </c>
      <c r="AU208" t="s">
        <v>105</v>
      </c>
      <c r="AV208">
        <v>19</v>
      </c>
      <c r="AW208" t="s">
        <v>33</v>
      </c>
      <c r="AX208">
        <v>22</v>
      </c>
      <c r="AY208" t="s">
        <v>108</v>
      </c>
      <c r="AZ208">
        <v>123</v>
      </c>
      <c r="BA208" t="s">
        <v>71</v>
      </c>
      <c r="BB208" t="s">
        <v>38</v>
      </c>
      <c r="BC208" t="s">
        <v>44</v>
      </c>
      <c r="BF208">
        <v>20000</v>
      </c>
    </row>
    <row r="209" spans="1:59" x14ac:dyDescent="0.3">
      <c r="A209">
        <v>1154</v>
      </c>
      <c r="B209" s="2">
        <v>45923.590451388889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s">
        <v>149</v>
      </c>
      <c r="AN209">
        <v>685</v>
      </c>
      <c r="AO209">
        <v>286</v>
      </c>
      <c r="AS209">
        <v>0</v>
      </c>
      <c r="AT209">
        <v>95</v>
      </c>
      <c r="AU209" t="s">
        <v>105</v>
      </c>
      <c r="AV209">
        <v>19</v>
      </c>
      <c r="AW209" t="s">
        <v>33</v>
      </c>
      <c r="AX209">
        <v>22</v>
      </c>
      <c r="AY209" t="s">
        <v>109</v>
      </c>
      <c r="AZ209">
        <v>125</v>
      </c>
      <c r="BC209" t="s">
        <v>47</v>
      </c>
      <c r="BF209">
        <v>0</v>
      </c>
    </row>
    <row r="210" spans="1:59" x14ac:dyDescent="0.3">
      <c r="A210">
        <v>1175</v>
      </c>
      <c r="B210" s="2">
        <v>45923.590451388889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s">
        <v>150</v>
      </c>
      <c r="AN210">
        <v>685</v>
      </c>
      <c r="AO210">
        <v>290</v>
      </c>
      <c r="AQ210">
        <v>1401</v>
      </c>
      <c r="AS210">
        <v>1</v>
      </c>
      <c r="AT210">
        <v>95</v>
      </c>
      <c r="AU210" t="s">
        <v>105</v>
      </c>
      <c r="AV210">
        <v>19</v>
      </c>
      <c r="AW210" t="s">
        <v>33</v>
      </c>
      <c r="AX210">
        <v>22</v>
      </c>
      <c r="AY210" t="s">
        <v>109</v>
      </c>
      <c r="AZ210">
        <v>125</v>
      </c>
      <c r="BA210" t="s">
        <v>45</v>
      </c>
      <c r="BB210" t="s">
        <v>38</v>
      </c>
      <c r="BC210" t="s">
        <v>47</v>
      </c>
      <c r="BE210">
        <v>3500</v>
      </c>
      <c r="BF210">
        <v>8000</v>
      </c>
    </row>
    <row r="211" spans="1:59" x14ac:dyDescent="0.3">
      <c r="A211">
        <v>1214</v>
      </c>
      <c r="B211" s="2">
        <v>45923.590451388889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s">
        <v>150</v>
      </c>
      <c r="AN211">
        <v>685</v>
      </c>
      <c r="AO211">
        <v>296</v>
      </c>
      <c r="AP211">
        <v>1401</v>
      </c>
      <c r="AQ211">
        <v>1401</v>
      </c>
      <c r="AS211">
        <v>2</v>
      </c>
      <c r="AT211">
        <v>95</v>
      </c>
      <c r="AU211" t="s">
        <v>105</v>
      </c>
      <c r="AV211">
        <v>19</v>
      </c>
      <c r="AW211" t="s">
        <v>33</v>
      </c>
      <c r="AX211">
        <v>22</v>
      </c>
      <c r="AY211" t="s">
        <v>109</v>
      </c>
      <c r="AZ211">
        <v>125</v>
      </c>
      <c r="BA211" t="s">
        <v>45</v>
      </c>
      <c r="BB211" t="s">
        <v>38</v>
      </c>
      <c r="BC211" t="s">
        <v>47</v>
      </c>
      <c r="BE211">
        <v>1400</v>
      </c>
      <c r="BF211">
        <v>4000</v>
      </c>
    </row>
    <row r="212" spans="1:59" x14ac:dyDescent="0.3">
      <c r="A212">
        <v>1236</v>
      </c>
      <c r="B212" s="2">
        <v>45923.590451388889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s">
        <v>150</v>
      </c>
      <c r="AN212">
        <v>685</v>
      </c>
      <c r="AO212">
        <v>299</v>
      </c>
      <c r="AP212">
        <v>1401</v>
      </c>
      <c r="AQ212">
        <v>1401</v>
      </c>
      <c r="AS212">
        <v>3</v>
      </c>
      <c r="AT212">
        <v>95</v>
      </c>
      <c r="AU212" t="s">
        <v>105</v>
      </c>
      <c r="AV212">
        <v>19</v>
      </c>
      <c r="AW212" t="s">
        <v>33</v>
      </c>
      <c r="AX212">
        <v>22</v>
      </c>
      <c r="AY212" t="s">
        <v>109</v>
      </c>
      <c r="AZ212">
        <v>125</v>
      </c>
      <c r="BA212" t="s">
        <v>45</v>
      </c>
      <c r="BB212" t="s">
        <v>38</v>
      </c>
      <c r="BC212" t="s">
        <v>47</v>
      </c>
      <c r="BE212">
        <v>1750</v>
      </c>
      <c r="BF212">
        <v>20000</v>
      </c>
    </row>
    <row r="213" spans="1:59" x14ac:dyDescent="0.3">
      <c r="A213">
        <v>1253</v>
      </c>
      <c r="B213" s="2">
        <v>45923.590451388889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s">
        <v>150</v>
      </c>
      <c r="AN213">
        <v>685</v>
      </c>
      <c r="AO213">
        <v>302</v>
      </c>
      <c r="AP213">
        <v>1401</v>
      </c>
      <c r="AQ213">
        <v>1458</v>
      </c>
      <c r="AS213">
        <v>4</v>
      </c>
      <c r="AT213">
        <v>95</v>
      </c>
      <c r="AU213" t="s">
        <v>105</v>
      </c>
      <c r="AV213">
        <v>19</v>
      </c>
      <c r="AW213" t="s">
        <v>33</v>
      </c>
      <c r="AX213">
        <v>22</v>
      </c>
      <c r="AY213" t="s">
        <v>109</v>
      </c>
      <c r="AZ213">
        <v>125</v>
      </c>
      <c r="BA213" t="s">
        <v>102</v>
      </c>
      <c r="BB213" t="s">
        <v>42</v>
      </c>
      <c r="BC213" t="s">
        <v>47</v>
      </c>
      <c r="BD213">
        <v>7000</v>
      </c>
      <c r="BF213">
        <v>4000</v>
      </c>
    </row>
    <row r="214" spans="1:59" x14ac:dyDescent="0.3">
      <c r="A214">
        <v>1158</v>
      </c>
      <c r="B214" s="2">
        <v>45923.593657407408</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s">
        <v>149</v>
      </c>
      <c r="AN214">
        <v>686</v>
      </c>
      <c r="AO214">
        <v>286</v>
      </c>
      <c r="AS214">
        <v>0</v>
      </c>
      <c r="AT214">
        <v>95</v>
      </c>
      <c r="AU214" t="s">
        <v>105</v>
      </c>
      <c r="AV214">
        <v>19</v>
      </c>
      <c r="AW214" t="s">
        <v>33</v>
      </c>
      <c r="AX214">
        <v>22</v>
      </c>
      <c r="AY214" t="s">
        <v>110</v>
      </c>
      <c r="AZ214">
        <v>127</v>
      </c>
      <c r="BC214" t="s">
        <v>50</v>
      </c>
      <c r="BF214">
        <v>0</v>
      </c>
    </row>
    <row r="215" spans="1:59" x14ac:dyDescent="0.3">
      <c r="A215">
        <v>1174</v>
      </c>
      <c r="B215" s="2">
        <v>45923.593657407408</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s">
        <v>150</v>
      </c>
      <c r="AN215">
        <v>686</v>
      </c>
      <c r="AO215">
        <v>290</v>
      </c>
      <c r="AQ215">
        <v>1397</v>
      </c>
      <c r="AS215">
        <v>1</v>
      </c>
      <c r="AT215">
        <v>95</v>
      </c>
      <c r="AU215" t="s">
        <v>105</v>
      </c>
      <c r="AV215">
        <v>19</v>
      </c>
      <c r="AW215" t="s">
        <v>33</v>
      </c>
      <c r="AX215">
        <v>22</v>
      </c>
      <c r="AY215" t="s">
        <v>110</v>
      </c>
      <c r="AZ215">
        <v>127</v>
      </c>
      <c r="BA215" t="s">
        <v>83</v>
      </c>
      <c r="BB215" t="s">
        <v>52</v>
      </c>
      <c r="BC215" t="s">
        <v>50</v>
      </c>
      <c r="BD215">
        <v>14000</v>
      </c>
      <c r="BE215">
        <v>7600</v>
      </c>
      <c r="BF215">
        <v>0</v>
      </c>
      <c r="BG215">
        <v>0</v>
      </c>
    </row>
    <row r="216" spans="1:59" x14ac:dyDescent="0.3">
      <c r="A216">
        <v>1217</v>
      </c>
      <c r="B216" s="2">
        <v>45923.593657407408</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s">
        <v>150</v>
      </c>
      <c r="AN216">
        <v>686</v>
      </c>
      <c r="AO216">
        <v>296</v>
      </c>
      <c r="AP216">
        <v>1397</v>
      </c>
      <c r="AQ216">
        <v>1397</v>
      </c>
      <c r="AS216">
        <v>2</v>
      </c>
      <c r="AT216">
        <v>95</v>
      </c>
      <c r="AU216" t="s">
        <v>105</v>
      </c>
      <c r="AV216">
        <v>19</v>
      </c>
      <c r="AW216" t="s">
        <v>33</v>
      </c>
      <c r="AX216">
        <v>22</v>
      </c>
      <c r="AY216" t="s">
        <v>110</v>
      </c>
      <c r="AZ216">
        <v>127</v>
      </c>
      <c r="BA216" t="s">
        <v>83</v>
      </c>
      <c r="BB216" t="s">
        <v>52</v>
      </c>
      <c r="BC216" t="s">
        <v>50</v>
      </c>
      <c r="BD216">
        <v>18000</v>
      </c>
      <c r="BF216">
        <v>4000</v>
      </c>
    </row>
    <row r="217" spans="1:59" x14ac:dyDescent="0.3">
      <c r="A217">
        <v>1237</v>
      </c>
      <c r="B217" s="2">
        <v>45923.593657407408</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s">
        <v>150</v>
      </c>
      <c r="AN217">
        <v>686</v>
      </c>
      <c r="AO217">
        <v>299</v>
      </c>
      <c r="AP217">
        <v>1397</v>
      </c>
      <c r="AQ217">
        <v>1397</v>
      </c>
      <c r="AS217">
        <v>3</v>
      </c>
      <c r="AT217">
        <v>95</v>
      </c>
      <c r="AU217" t="s">
        <v>105</v>
      </c>
      <c r="AV217">
        <v>19</v>
      </c>
      <c r="AW217" t="s">
        <v>33</v>
      </c>
      <c r="AX217">
        <v>22</v>
      </c>
      <c r="AY217" t="s">
        <v>110</v>
      </c>
      <c r="AZ217">
        <v>127</v>
      </c>
      <c r="BA217" t="s">
        <v>83</v>
      </c>
      <c r="BB217" t="s">
        <v>52</v>
      </c>
      <c r="BC217" t="s">
        <v>50</v>
      </c>
      <c r="BD217">
        <v>1000</v>
      </c>
      <c r="BE217">
        <v>6500</v>
      </c>
      <c r="BF217">
        <v>12000</v>
      </c>
      <c r="BG217">
        <v>0</v>
      </c>
    </row>
    <row r="218" spans="1:59" x14ac:dyDescent="0.3">
      <c r="A218">
        <v>1256</v>
      </c>
      <c r="B218" s="2">
        <v>45923.593657407408</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s">
        <v>150</v>
      </c>
      <c r="AN218">
        <v>686</v>
      </c>
      <c r="AO218">
        <v>302</v>
      </c>
      <c r="AP218">
        <v>1397</v>
      </c>
      <c r="AQ218">
        <v>1397</v>
      </c>
      <c r="AS218">
        <v>4</v>
      </c>
      <c r="AT218">
        <v>95</v>
      </c>
      <c r="AU218" t="s">
        <v>105</v>
      </c>
      <c r="AV218">
        <v>19</v>
      </c>
      <c r="AW218" t="s">
        <v>33</v>
      </c>
      <c r="AX218">
        <v>22</v>
      </c>
      <c r="AY218" t="s">
        <v>110</v>
      </c>
      <c r="AZ218">
        <v>127</v>
      </c>
      <c r="BA218" t="s">
        <v>83</v>
      </c>
      <c r="BB218" t="s">
        <v>52</v>
      </c>
      <c r="BC218" t="s">
        <v>50</v>
      </c>
      <c r="BF218">
        <v>8000</v>
      </c>
    </row>
    <row r="219" spans="1:59" x14ac:dyDescent="0.3">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s">
        <v>149</v>
      </c>
      <c r="AN219">
        <v>687</v>
      </c>
      <c r="AO219">
        <v>286</v>
      </c>
      <c r="AS219">
        <v>0</v>
      </c>
      <c r="AT219">
        <v>95</v>
      </c>
      <c r="AU219" t="s">
        <v>105</v>
      </c>
      <c r="AV219">
        <v>19</v>
      </c>
      <c r="AW219" t="s">
        <v>33</v>
      </c>
      <c r="AX219">
        <v>22</v>
      </c>
      <c r="AY219" t="s">
        <v>111</v>
      </c>
      <c r="AZ219">
        <v>128</v>
      </c>
      <c r="BC219" t="s">
        <v>54</v>
      </c>
      <c r="BF219">
        <v>0</v>
      </c>
    </row>
    <row r="220" spans="1:59" x14ac:dyDescent="0.3">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s">
        <v>150</v>
      </c>
      <c r="AN220">
        <v>687</v>
      </c>
      <c r="AO220">
        <v>290</v>
      </c>
      <c r="AQ220">
        <v>1389</v>
      </c>
      <c r="AS220">
        <v>1</v>
      </c>
      <c r="AT220">
        <v>95</v>
      </c>
      <c r="AU220" t="s">
        <v>105</v>
      </c>
      <c r="AV220">
        <v>19</v>
      </c>
      <c r="AW220" t="s">
        <v>33</v>
      </c>
      <c r="AX220">
        <v>22</v>
      </c>
      <c r="AY220" t="s">
        <v>111</v>
      </c>
      <c r="AZ220">
        <v>128</v>
      </c>
      <c r="BA220" t="s">
        <v>41</v>
      </c>
      <c r="BB220" t="s">
        <v>42</v>
      </c>
      <c r="BC220" t="s">
        <v>54</v>
      </c>
      <c r="BD220">
        <v>33000</v>
      </c>
      <c r="BE220">
        <v>14000</v>
      </c>
      <c r="BF220">
        <v>0</v>
      </c>
      <c r="BG220">
        <v>0</v>
      </c>
    </row>
    <row r="221" spans="1:59" x14ac:dyDescent="0.3">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s">
        <v>150</v>
      </c>
      <c r="AN221">
        <v>687</v>
      </c>
      <c r="AO221">
        <v>296</v>
      </c>
      <c r="AP221">
        <v>1389</v>
      </c>
      <c r="AQ221">
        <v>1389</v>
      </c>
      <c r="AS221">
        <v>2</v>
      </c>
      <c r="AT221">
        <v>95</v>
      </c>
      <c r="AU221" t="s">
        <v>105</v>
      </c>
      <c r="AV221">
        <v>19</v>
      </c>
      <c r="AW221" t="s">
        <v>33</v>
      </c>
      <c r="AX221">
        <v>22</v>
      </c>
      <c r="AY221" t="s">
        <v>111</v>
      </c>
      <c r="AZ221">
        <v>128</v>
      </c>
      <c r="BA221" t="s">
        <v>41</v>
      </c>
      <c r="BB221" t="s">
        <v>42</v>
      </c>
      <c r="BC221" t="s">
        <v>54</v>
      </c>
      <c r="BE221">
        <v>14500</v>
      </c>
      <c r="BF221">
        <v>4000</v>
      </c>
    </row>
    <row r="222" spans="1:59" x14ac:dyDescent="0.3">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s">
        <v>150</v>
      </c>
      <c r="AN222">
        <v>687</v>
      </c>
      <c r="AO222">
        <v>299</v>
      </c>
      <c r="AP222">
        <v>1389</v>
      </c>
      <c r="AQ222">
        <v>1389</v>
      </c>
      <c r="AS222">
        <v>3</v>
      </c>
      <c r="AT222">
        <v>95</v>
      </c>
      <c r="AU222" t="s">
        <v>105</v>
      </c>
      <c r="AV222">
        <v>19</v>
      </c>
      <c r="AW222" t="s">
        <v>33</v>
      </c>
      <c r="AX222">
        <v>22</v>
      </c>
      <c r="AY222" t="s">
        <v>111</v>
      </c>
      <c r="AZ222">
        <v>128</v>
      </c>
      <c r="BA222" t="s">
        <v>41</v>
      </c>
      <c r="BB222" t="s">
        <v>42</v>
      </c>
      <c r="BC222" t="s">
        <v>54</v>
      </c>
      <c r="BF222">
        <v>12000</v>
      </c>
    </row>
    <row r="223" spans="1:59" x14ac:dyDescent="0.3">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s">
        <v>155</v>
      </c>
      <c r="AN223">
        <v>687</v>
      </c>
      <c r="AO223">
        <v>302</v>
      </c>
      <c r="AP223">
        <v>1389</v>
      </c>
      <c r="AQ223">
        <v>1389</v>
      </c>
      <c r="AS223">
        <v>4</v>
      </c>
      <c r="AT223">
        <v>95</v>
      </c>
      <c r="AU223" t="s">
        <v>105</v>
      </c>
      <c r="AV223">
        <v>19</v>
      </c>
      <c r="AW223" t="s">
        <v>33</v>
      </c>
      <c r="AX223">
        <v>22</v>
      </c>
      <c r="AY223" t="s">
        <v>111</v>
      </c>
      <c r="AZ223">
        <v>128</v>
      </c>
      <c r="BA223" t="s">
        <v>41</v>
      </c>
      <c r="BB223" t="s">
        <v>42</v>
      </c>
      <c r="BC223" t="s">
        <v>54</v>
      </c>
      <c r="BF223">
        <v>8000</v>
      </c>
    </row>
    <row r="224" spans="1:59" x14ac:dyDescent="0.3">
      <c r="A224">
        <v>1168</v>
      </c>
      <c r="B224" s="2">
        <v>45923.600694444453</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s">
        <v>149</v>
      </c>
      <c r="AN224">
        <v>690</v>
      </c>
      <c r="AO224">
        <v>287</v>
      </c>
      <c r="AS224">
        <v>0</v>
      </c>
      <c r="AT224">
        <v>96</v>
      </c>
      <c r="AU224" t="s">
        <v>112</v>
      </c>
      <c r="AV224">
        <v>19</v>
      </c>
      <c r="AW224" t="s">
        <v>33</v>
      </c>
      <c r="AX224">
        <v>22</v>
      </c>
      <c r="AY224" t="s">
        <v>113</v>
      </c>
      <c r="AZ224">
        <v>124</v>
      </c>
      <c r="BC224" t="s">
        <v>36</v>
      </c>
      <c r="BF224">
        <v>0</v>
      </c>
    </row>
    <row r="225" spans="1:59" x14ac:dyDescent="0.3">
      <c r="A225">
        <v>1200</v>
      </c>
      <c r="B225" s="2">
        <v>45923.600694444453</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s">
        <v>150</v>
      </c>
      <c r="AN225">
        <v>690</v>
      </c>
      <c r="AO225">
        <v>293</v>
      </c>
      <c r="AQ225">
        <v>1436</v>
      </c>
      <c r="AS225">
        <v>1</v>
      </c>
      <c r="AT225">
        <v>96</v>
      </c>
      <c r="AU225" t="s">
        <v>112</v>
      </c>
      <c r="AV225">
        <v>19</v>
      </c>
      <c r="AW225" t="s">
        <v>33</v>
      </c>
      <c r="AX225">
        <v>22</v>
      </c>
      <c r="AY225" t="s">
        <v>113</v>
      </c>
      <c r="AZ225">
        <v>124</v>
      </c>
      <c r="BA225" t="s">
        <v>48</v>
      </c>
      <c r="BB225" t="s">
        <v>42</v>
      </c>
      <c r="BC225" t="s">
        <v>36</v>
      </c>
      <c r="BD225">
        <v>6000</v>
      </c>
      <c r="BF225">
        <v>4000</v>
      </c>
    </row>
    <row r="226" spans="1:59" x14ac:dyDescent="0.3">
      <c r="A226">
        <v>1216</v>
      </c>
      <c r="B226" s="2">
        <v>45923.600694444453</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s">
        <v>150</v>
      </c>
      <c r="AN226">
        <v>690</v>
      </c>
      <c r="AO226">
        <v>295</v>
      </c>
      <c r="AP226">
        <v>1436</v>
      </c>
      <c r="AQ226">
        <v>1436</v>
      </c>
      <c r="AS226">
        <v>2</v>
      </c>
      <c r="AT226">
        <v>96</v>
      </c>
      <c r="AU226" t="s">
        <v>112</v>
      </c>
      <c r="AV226">
        <v>19</v>
      </c>
      <c r="AW226" t="s">
        <v>33</v>
      </c>
      <c r="AX226">
        <v>22</v>
      </c>
      <c r="AY226" t="s">
        <v>113</v>
      </c>
      <c r="AZ226">
        <v>124</v>
      </c>
      <c r="BA226" t="s">
        <v>48</v>
      </c>
      <c r="BB226" t="s">
        <v>42</v>
      </c>
      <c r="BC226" t="s">
        <v>36</v>
      </c>
      <c r="BE226">
        <v>7000</v>
      </c>
      <c r="BF226">
        <v>0</v>
      </c>
    </row>
    <row r="227" spans="1:59" x14ac:dyDescent="0.3">
      <c r="A227">
        <v>1244</v>
      </c>
      <c r="B227" s="2">
        <v>45923.600694444453</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s">
        <v>150</v>
      </c>
      <c r="AN227">
        <v>690</v>
      </c>
      <c r="AO227">
        <v>300</v>
      </c>
      <c r="AP227">
        <v>1436</v>
      </c>
      <c r="AQ227">
        <v>1436</v>
      </c>
      <c r="AS227">
        <v>3</v>
      </c>
      <c r="AT227">
        <v>96</v>
      </c>
      <c r="AU227" t="s">
        <v>112</v>
      </c>
      <c r="AV227">
        <v>19</v>
      </c>
      <c r="AW227" t="s">
        <v>33</v>
      </c>
      <c r="AX227">
        <v>22</v>
      </c>
      <c r="AY227" t="s">
        <v>113</v>
      </c>
      <c r="AZ227">
        <v>124</v>
      </c>
      <c r="BA227" t="s">
        <v>48</v>
      </c>
      <c r="BB227" t="s">
        <v>42</v>
      </c>
      <c r="BC227" t="s">
        <v>36</v>
      </c>
      <c r="BD227">
        <v>10000</v>
      </c>
      <c r="BF227">
        <v>0</v>
      </c>
    </row>
    <row r="228" spans="1:59" x14ac:dyDescent="0.3">
      <c r="A228">
        <v>1263</v>
      </c>
      <c r="B228" s="2">
        <v>45923.600694444453</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s">
        <v>150</v>
      </c>
      <c r="AN228">
        <v>690</v>
      </c>
      <c r="AO228">
        <v>303</v>
      </c>
      <c r="AP228">
        <v>1436</v>
      </c>
      <c r="AQ228">
        <v>1436</v>
      </c>
      <c r="AS228">
        <v>4</v>
      </c>
      <c r="AT228">
        <v>96</v>
      </c>
      <c r="AU228" t="s">
        <v>112</v>
      </c>
      <c r="AV228">
        <v>19</v>
      </c>
      <c r="AW228" t="s">
        <v>33</v>
      </c>
      <c r="AX228">
        <v>22</v>
      </c>
      <c r="AY228" t="s">
        <v>113</v>
      </c>
      <c r="AZ228">
        <v>124</v>
      </c>
      <c r="BA228" t="s">
        <v>48</v>
      </c>
      <c r="BB228" t="s">
        <v>42</v>
      </c>
      <c r="BC228" t="s">
        <v>36</v>
      </c>
      <c r="BF228">
        <v>0</v>
      </c>
    </row>
    <row r="229" spans="1:59" x14ac:dyDescent="0.3">
      <c r="A229">
        <v>1194</v>
      </c>
      <c r="B229" s="2">
        <v>45923.603229166663</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s">
        <v>149</v>
      </c>
      <c r="AN229">
        <v>691</v>
      </c>
      <c r="AO229">
        <v>287</v>
      </c>
      <c r="AS229">
        <v>0</v>
      </c>
      <c r="AT229">
        <v>96</v>
      </c>
      <c r="AU229" t="s">
        <v>112</v>
      </c>
      <c r="AV229">
        <v>19</v>
      </c>
      <c r="AW229" t="s">
        <v>33</v>
      </c>
      <c r="AX229">
        <v>22</v>
      </c>
      <c r="AY229" t="s">
        <v>114</v>
      </c>
      <c r="AZ229">
        <v>126</v>
      </c>
      <c r="BC229" t="s">
        <v>40</v>
      </c>
      <c r="BF229">
        <v>0</v>
      </c>
    </row>
    <row r="230" spans="1:59" x14ac:dyDescent="0.3">
      <c r="A230">
        <v>1199</v>
      </c>
      <c r="B230" s="2">
        <v>45923.603229166663</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s">
        <v>150</v>
      </c>
      <c r="AN230">
        <v>691</v>
      </c>
      <c r="AO230">
        <v>293</v>
      </c>
      <c r="AQ230">
        <v>1435</v>
      </c>
      <c r="AS230">
        <v>1</v>
      </c>
      <c r="AT230">
        <v>96</v>
      </c>
      <c r="AU230" t="s">
        <v>112</v>
      </c>
      <c r="AV230">
        <v>19</v>
      </c>
      <c r="AW230" t="s">
        <v>33</v>
      </c>
      <c r="AX230">
        <v>22</v>
      </c>
      <c r="AY230" t="s">
        <v>114</v>
      </c>
      <c r="AZ230">
        <v>126</v>
      </c>
      <c r="BA230" t="s">
        <v>58</v>
      </c>
      <c r="BB230" t="s">
        <v>42</v>
      </c>
      <c r="BC230" t="s">
        <v>40</v>
      </c>
      <c r="BD230">
        <v>8000</v>
      </c>
      <c r="BF230">
        <v>4000</v>
      </c>
    </row>
    <row r="231" spans="1:59" x14ac:dyDescent="0.3">
      <c r="A231">
        <v>1212</v>
      </c>
      <c r="B231" s="2">
        <v>45923.603229166663</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s">
        <v>150</v>
      </c>
      <c r="AN231">
        <v>691</v>
      </c>
      <c r="AO231">
        <v>295</v>
      </c>
      <c r="AP231">
        <v>1435</v>
      </c>
      <c r="AQ231">
        <v>1435</v>
      </c>
      <c r="AS231">
        <v>2</v>
      </c>
      <c r="AT231">
        <v>96</v>
      </c>
      <c r="AU231" t="s">
        <v>112</v>
      </c>
      <c r="AV231">
        <v>19</v>
      </c>
      <c r="AW231" t="s">
        <v>33</v>
      </c>
      <c r="AX231">
        <v>22</v>
      </c>
      <c r="AY231" t="s">
        <v>114</v>
      </c>
      <c r="AZ231">
        <v>126</v>
      </c>
      <c r="BA231" t="s">
        <v>58</v>
      </c>
      <c r="BB231" t="s">
        <v>42</v>
      </c>
      <c r="BC231" t="s">
        <v>40</v>
      </c>
      <c r="BD231">
        <v>14000</v>
      </c>
      <c r="BF231">
        <v>0</v>
      </c>
    </row>
    <row r="232" spans="1:59" x14ac:dyDescent="0.3">
      <c r="A232">
        <v>1241</v>
      </c>
      <c r="B232" s="2">
        <v>45923.603229166663</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s">
        <v>150</v>
      </c>
      <c r="AN232">
        <v>691</v>
      </c>
      <c r="AO232">
        <v>300</v>
      </c>
      <c r="AP232">
        <v>1435</v>
      </c>
      <c r="AQ232">
        <v>1435</v>
      </c>
      <c r="AS232">
        <v>3</v>
      </c>
      <c r="AT232">
        <v>96</v>
      </c>
      <c r="AU232" t="s">
        <v>112</v>
      </c>
      <c r="AV232">
        <v>19</v>
      </c>
      <c r="AW232" t="s">
        <v>33</v>
      </c>
      <c r="AX232">
        <v>22</v>
      </c>
      <c r="AY232" t="s">
        <v>114</v>
      </c>
      <c r="AZ232">
        <v>126</v>
      </c>
      <c r="BA232" t="s">
        <v>58</v>
      </c>
      <c r="BB232" t="s">
        <v>42</v>
      </c>
      <c r="BC232" t="s">
        <v>40</v>
      </c>
      <c r="BD232">
        <v>11000</v>
      </c>
      <c r="BE232">
        <v>3400</v>
      </c>
      <c r="BF232">
        <v>0</v>
      </c>
      <c r="BG232">
        <v>600</v>
      </c>
    </row>
    <row r="233" spans="1:59" x14ac:dyDescent="0.3">
      <c r="A233">
        <v>1259</v>
      </c>
      <c r="B233" s="2">
        <v>45923.603229166663</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s">
        <v>150</v>
      </c>
      <c r="AN233">
        <v>691</v>
      </c>
      <c r="AO233">
        <v>303</v>
      </c>
      <c r="AP233">
        <v>1435</v>
      </c>
      <c r="AQ233">
        <v>1435</v>
      </c>
      <c r="AS233">
        <v>4</v>
      </c>
      <c r="AT233">
        <v>96</v>
      </c>
      <c r="AU233" t="s">
        <v>112</v>
      </c>
      <c r="AV233">
        <v>19</v>
      </c>
      <c r="AW233" t="s">
        <v>33</v>
      </c>
      <c r="AX233">
        <v>22</v>
      </c>
      <c r="AY233" t="s">
        <v>114</v>
      </c>
      <c r="AZ233">
        <v>126</v>
      </c>
      <c r="BA233" t="s">
        <v>58</v>
      </c>
      <c r="BB233" t="s">
        <v>42</v>
      </c>
      <c r="BC233" t="s">
        <v>40</v>
      </c>
      <c r="BE233">
        <v>4250</v>
      </c>
      <c r="BF233">
        <v>0</v>
      </c>
    </row>
    <row r="234" spans="1:59" x14ac:dyDescent="0.3">
      <c r="A234">
        <v>1170</v>
      </c>
      <c r="B234" s="2">
        <v>45923.600810185177</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s">
        <v>149</v>
      </c>
      <c r="AN234">
        <v>693</v>
      </c>
      <c r="AO234">
        <v>287</v>
      </c>
      <c r="AS234">
        <v>0</v>
      </c>
      <c r="AT234">
        <v>96</v>
      </c>
      <c r="AU234" t="s">
        <v>112</v>
      </c>
      <c r="AV234">
        <v>19</v>
      </c>
      <c r="AW234" t="s">
        <v>33</v>
      </c>
      <c r="AX234">
        <v>22</v>
      </c>
      <c r="AY234" t="s">
        <v>115</v>
      </c>
      <c r="AZ234">
        <v>125</v>
      </c>
      <c r="BC234" t="s">
        <v>47</v>
      </c>
      <c r="BF234">
        <v>0</v>
      </c>
    </row>
    <row r="235" spans="1:59" x14ac:dyDescent="0.3">
      <c r="A235">
        <v>1198</v>
      </c>
      <c r="B235" s="2">
        <v>45923.600810185177</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s">
        <v>150</v>
      </c>
      <c r="AN235">
        <v>693</v>
      </c>
      <c r="AO235">
        <v>293</v>
      </c>
      <c r="AQ235">
        <v>1447</v>
      </c>
      <c r="AS235">
        <v>1</v>
      </c>
      <c r="AT235">
        <v>96</v>
      </c>
      <c r="AU235" t="s">
        <v>112</v>
      </c>
      <c r="AV235">
        <v>19</v>
      </c>
      <c r="AW235" t="s">
        <v>33</v>
      </c>
      <c r="AX235">
        <v>22</v>
      </c>
      <c r="AY235" t="s">
        <v>115</v>
      </c>
      <c r="AZ235">
        <v>125</v>
      </c>
      <c r="BA235" t="s">
        <v>71</v>
      </c>
      <c r="BB235" t="s">
        <v>38</v>
      </c>
      <c r="BC235" t="s">
        <v>47</v>
      </c>
      <c r="BE235">
        <v>1400</v>
      </c>
      <c r="BF235">
        <v>4000</v>
      </c>
    </row>
    <row r="236" spans="1:59" x14ac:dyDescent="0.3">
      <c r="A236">
        <v>1210</v>
      </c>
      <c r="B236" s="2">
        <v>45923.600810185177</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s">
        <v>150</v>
      </c>
      <c r="AN236">
        <v>693</v>
      </c>
      <c r="AO236">
        <v>295</v>
      </c>
      <c r="AP236">
        <v>1447</v>
      </c>
      <c r="AQ236">
        <v>1447</v>
      </c>
      <c r="AS236">
        <v>2</v>
      </c>
      <c r="AT236">
        <v>96</v>
      </c>
      <c r="AU236" t="s">
        <v>112</v>
      </c>
      <c r="AV236">
        <v>19</v>
      </c>
      <c r="AW236" t="s">
        <v>33</v>
      </c>
      <c r="AX236">
        <v>22</v>
      </c>
      <c r="AY236" t="s">
        <v>115</v>
      </c>
      <c r="AZ236">
        <v>125</v>
      </c>
      <c r="BA236" t="s">
        <v>71</v>
      </c>
      <c r="BB236" t="s">
        <v>38</v>
      </c>
      <c r="BC236" t="s">
        <v>47</v>
      </c>
      <c r="BE236">
        <v>5250</v>
      </c>
      <c r="BF236">
        <v>8000</v>
      </c>
    </row>
    <row r="237" spans="1:59" x14ac:dyDescent="0.3">
      <c r="A237">
        <v>1239</v>
      </c>
      <c r="B237" s="2">
        <v>45923.600810185177</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s">
        <v>150</v>
      </c>
      <c r="AN237">
        <v>693</v>
      </c>
      <c r="AO237">
        <v>300</v>
      </c>
      <c r="AP237">
        <v>1447</v>
      </c>
      <c r="AQ237">
        <v>1447</v>
      </c>
      <c r="AS237">
        <v>3</v>
      </c>
      <c r="AT237">
        <v>96</v>
      </c>
      <c r="AU237" t="s">
        <v>112</v>
      </c>
      <c r="AV237">
        <v>19</v>
      </c>
      <c r="AW237" t="s">
        <v>33</v>
      </c>
      <c r="AX237">
        <v>22</v>
      </c>
      <c r="AY237" t="s">
        <v>115</v>
      </c>
      <c r="AZ237">
        <v>125</v>
      </c>
      <c r="BA237" t="s">
        <v>71</v>
      </c>
      <c r="BB237" t="s">
        <v>38</v>
      </c>
      <c r="BC237" t="s">
        <v>47</v>
      </c>
      <c r="BF237">
        <v>8000</v>
      </c>
    </row>
    <row r="238" spans="1:59" x14ac:dyDescent="0.3">
      <c r="A238">
        <v>1258</v>
      </c>
      <c r="B238" s="2">
        <v>45923.600810185177</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s">
        <v>150</v>
      </c>
      <c r="AN238">
        <v>693</v>
      </c>
      <c r="AO238">
        <v>303</v>
      </c>
      <c r="AP238">
        <v>1447</v>
      </c>
      <c r="AQ238">
        <v>1468</v>
      </c>
      <c r="AS238">
        <v>4</v>
      </c>
      <c r="AT238">
        <v>96</v>
      </c>
      <c r="AU238" t="s">
        <v>112</v>
      </c>
      <c r="AV238">
        <v>19</v>
      </c>
      <c r="AW238" t="s">
        <v>33</v>
      </c>
      <c r="AX238">
        <v>22</v>
      </c>
      <c r="AY238" t="s">
        <v>115</v>
      </c>
      <c r="AZ238">
        <v>125</v>
      </c>
      <c r="BA238" t="s">
        <v>102</v>
      </c>
      <c r="BB238" t="s">
        <v>42</v>
      </c>
      <c r="BC238" t="s">
        <v>47</v>
      </c>
      <c r="BD238">
        <v>7000</v>
      </c>
      <c r="BE238">
        <v>4500</v>
      </c>
      <c r="BF238">
        <v>0</v>
      </c>
      <c r="BG238">
        <v>-1000</v>
      </c>
    </row>
    <row r="239" spans="1:59" x14ac:dyDescent="0.3">
      <c r="A239">
        <v>1172</v>
      </c>
      <c r="B239" s="2">
        <v>45923.600983796292</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s">
        <v>149</v>
      </c>
      <c r="AN239">
        <v>694</v>
      </c>
      <c r="AO239">
        <v>287</v>
      </c>
      <c r="AS239">
        <v>0</v>
      </c>
      <c r="AT239">
        <v>96</v>
      </c>
      <c r="AU239" t="s">
        <v>112</v>
      </c>
      <c r="AV239">
        <v>19</v>
      </c>
      <c r="AW239" t="s">
        <v>33</v>
      </c>
      <c r="AX239">
        <v>22</v>
      </c>
      <c r="AY239" t="s">
        <v>116</v>
      </c>
      <c r="AZ239">
        <v>127</v>
      </c>
      <c r="BC239" t="s">
        <v>50</v>
      </c>
      <c r="BF239">
        <v>0</v>
      </c>
    </row>
    <row r="240" spans="1:59" x14ac:dyDescent="0.3">
      <c r="A240">
        <v>1197</v>
      </c>
      <c r="B240" s="2">
        <v>45923.600983796292</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s">
        <v>150</v>
      </c>
      <c r="AN240">
        <v>694</v>
      </c>
      <c r="AO240">
        <v>293</v>
      </c>
      <c r="AQ240">
        <v>1443</v>
      </c>
      <c r="AS240">
        <v>1</v>
      </c>
      <c r="AT240">
        <v>96</v>
      </c>
      <c r="AU240" t="s">
        <v>112</v>
      </c>
      <c r="AV240">
        <v>19</v>
      </c>
      <c r="AW240" t="s">
        <v>33</v>
      </c>
      <c r="AX240">
        <v>22</v>
      </c>
      <c r="AY240" t="s">
        <v>116</v>
      </c>
      <c r="AZ240">
        <v>127</v>
      </c>
      <c r="BA240" t="s">
        <v>117</v>
      </c>
      <c r="BB240" t="s">
        <v>38</v>
      </c>
      <c r="BC240" t="s">
        <v>50</v>
      </c>
      <c r="BE240">
        <v>4000</v>
      </c>
      <c r="BF240">
        <v>0</v>
      </c>
    </row>
    <row r="241" spans="1:59" x14ac:dyDescent="0.3">
      <c r="A241">
        <v>1211</v>
      </c>
      <c r="B241" s="2">
        <v>45923.600983796292</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s">
        <v>150</v>
      </c>
      <c r="AN241">
        <v>694</v>
      </c>
      <c r="AO241">
        <v>295</v>
      </c>
      <c r="AP241">
        <v>1443</v>
      </c>
      <c r="AQ241">
        <v>1443</v>
      </c>
      <c r="AS241">
        <v>2</v>
      </c>
      <c r="AT241">
        <v>96</v>
      </c>
      <c r="AU241" t="s">
        <v>112</v>
      </c>
      <c r="AV241">
        <v>19</v>
      </c>
      <c r="AW241" t="s">
        <v>33</v>
      </c>
      <c r="AX241">
        <v>22</v>
      </c>
      <c r="AY241" t="s">
        <v>116</v>
      </c>
      <c r="AZ241">
        <v>127</v>
      </c>
      <c r="BA241" t="s">
        <v>117</v>
      </c>
      <c r="BB241" t="s">
        <v>38</v>
      </c>
      <c r="BC241" t="s">
        <v>50</v>
      </c>
      <c r="BE241">
        <v>10000</v>
      </c>
      <c r="BF241">
        <v>4000</v>
      </c>
    </row>
    <row r="242" spans="1:59" x14ac:dyDescent="0.3">
      <c r="A242">
        <v>1243</v>
      </c>
      <c r="B242" s="2">
        <v>45923.600983796292</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s">
        <v>150</v>
      </c>
      <c r="AN242">
        <v>694</v>
      </c>
      <c r="AO242">
        <v>300</v>
      </c>
      <c r="AP242">
        <v>1443</v>
      </c>
      <c r="AQ242">
        <v>1443</v>
      </c>
      <c r="AS242">
        <v>3</v>
      </c>
      <c r="AT242">
        <v>96</v>
      </c>
      <c r="AU242" t="s">
        <v>112</v>
      </c>
      <c r="AV242">
        <v>19</v>
      </c>
      <c r="AW242" t="s">
        <v>33</v>
      </c>
      <c r="AX242">
        <v>22</v>
      </c>
      <c r="AY242" t="s">
        <v>116</v>
      </c>
      <c r="AZ242">
        <v>127</v>
      </c>
      <c r="BA242" t="s">
        <v>117</v>
      </c>
      <c r="BB242" t="s">
        <v>38</v>
      </c>
      <c r="BC242" t="s">
        <v>50</v>
      </c>
      <c r="BE242">
        <v>11500</v>
      </c>
      <c r="BF242">
        <v>8000</v>
      </c>
    </row>
    <row r="243" spans="1:59" x14ac:dyDescent="0.3">
      <c r="A243">
        <v>1260</v>
      </c>
      <c r="B243" s="2">
        <v>45923.600983796292</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s">
        <v>150</v>
      </c>
      <c r="AN243">
        <v>694</v>
      </c>
      <c r="AO243">
        <v>303</v>
      </c>
      <c r="AP243">
        <v>1443</v>
      </c>
      <c r="AQ243">
        <v>1466</v>
      </c>
      <c r="AS243">
        <v>4</v>
      </c>
      <c r="AT243">
        <v>96</v>
      </c>
      <c r="AU243" t="s">
        <v>112</v>
      </c>
      <c r="AV243">
        <v>19</v>
      </c>
      <c r="AW243" t="s">
        <v>33</v>
      </c>
      <c r="AX243">
        <v>22</v>
      </c>
      <c r="AY243" t="s">
        <v>116</v>
      </c>
      <c r="AZ243">
        <v>127</v>
      </c>
      <c r="BA243" t="s">
        <v>77</v>
      </c>
      <c r="BB243" t="s">
        <v>42</v>
      </c>
      <c r="BC243" t="s">
        <v>50</v>
      </c>
      <c r="BD243">
        <v>33000</v>
      </c>
      <c r="BF243">
        <v>0</v>
      </c>
    </row>
    <row r="244" spans="1:59" x14ac:dyDescent="0.3">
      <c r="A244">
        <v>1166</v>
      </c>
      <c r="B244" s="2">
        <v>45923.600671296299</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s">
        <v>149</v>
      </c>
      <c r="AN244">
        <v>695</v>
      </c>
      <c r="AO244">
        <v>287</v>
      </c>
      <c r="AS244">
        <v>0</v>
      </c>
      <c r="AT244">
        <v>96</v>
      </c>
      <c r="AU244" t="s">
        <v>112</v>
      </c>
      <c r="AV244">
        <v>19</v>
      </c>
      <c r="AW244" t="s">
        <v>33</v>
      </c>
      <c r="AX244">
        <v>22</v>
      </c>
      <c r="AY244" t="s">
        <v>118</v>
      </c>
      <c r="AZ244">
        <v>128</v>
      </c>
      <c r="BC244" t="s">
        <v>54</v>
      </c>
      <c r="BF244">
        <v>0</v>
      </c>
    </row>
    <row r="245" spans="1:59" x14ac:dyDescent="0.3">
      <c r="A245">
        <v>1195</v>
      </c>
      <c r="B245" s="2">
        <v>45923.600671296299</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s">
        <v>150</v>
      </c>
      <c r="AN245">
        <v>695</v>
      </c>
      <c r="AO245">
        <v>293</v>
      </c>
      <c r="AQ245">
        <v>1434</v>
      </c>
      <c r="AS245">
        <v>1</v>
      </c>
      <c r="AT245">
        <v>96</v>
      </c>
      <c r="AU245" t="s">
        <v>112</v>
      </c>
      <c r="AV245">
        <v>19</v>
      </c>
      <c r="AW245" t="s">
        <v>33</v>
      </c>
      <c r="AX245">
        <v>22</v>
      </c>
      <c r="AY245" t="s">
        <v>118</v>
      </c>
      <c r="AZ245">
        <v>128</v>
      </c>
      <c r="BA245" t="s">
        <v>41</v>
      </c>
      <c r="BB245" t="s">
        <v>42</v>
      </c>
      <c r="BC245" t="s">
        <v>54</v>
      </c>
      <c r="BE245">
        <v>19500</v>
      </c>
      <c r="BF245">
        <v>0</v>
      </c>
    </row>
    <row r="246" spans="1:59" x14ac:dyDescent="0.3">
      <c r="A246">
        <v>1209</v>
      </c>
      <c r="B246" s="2">
        <v>45923.600671296299</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s">
        <v>150</v>
      </c>
      <c r="AN246">
        <v>695</v>
      </c>
      <c r="AO246">
        <v>295</v>
      </c>
      <c r="AP246">
        <v>1434</v>
      </c>
      <c r="AQ246">
        <v>1434</v>
      </c>
      <c r="AS246">
        <v>2</v>
      </c>
      <c r="AT246">
        <v>96</v>
      </c>
      <c r="AU246" t="s">
        <v>112</v>
      </c>
      <c r="AV246">
        <v>19</v>
      </c>
      <c r="AW246" t="s">
        <v>33</v>
      </c>
      <c r="AX246">
        <v>22</v>
      </c>
      <c r="AY246" t="s">
        <v>118</v>
      </c>
      <c r="AZ246">
        <v>128</v>
      </c>
      <c r="BA246" t="s">
        <v>41</v>
      </c>
      <c r="BB246" t="s">
        <v>42</v>
      </c>
      <c r="BC246" t="s">
        <v>54</v>
      </c>
      <c r="BE246">
        <v>5000</v>
      </c>
      <c r="BF246">
        <v>0</v>
      </c>
    </row>
    <row r="247" spans="1:59" x14ac:dyDescent="0.3">
      <c r="A247">
        <v>1242</v>
      </c>
      <c r="B247" s="2">
        <v>45923.600671296299</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s">
        <v>150</v>
      </c>
      <c r="AN247">
        <v>695</v>
      </c>
      <c r="AO247">
        <v>300</v>
      </c>
      <c r="AP247">
        <v>1434</v>
      </c>
      <c r="AQ247">
        <v>1434</v>
      </c>
      <c r="AS247">
        <v>3</v>
      </c>
      <c r="AT247">
        <v>96</v>
      </c>
      <c r="AU247" t="s">
        <v>112</v>
      </c>
      <c r="AV247">
        <v>19</v>
      </c>
      <c r="AW247" t="s">
        <v>33</v>
      </c>
      <c r="AX247">
        <v>22</v>
      </c>
      <c r="AY247" t="s">
        <v>118</v>
      </c>
      <c r="AZ247">
        <v>128</v>
      </c>
      <c r="BA247" t="s">
        <v>41</v>
      </c>
      <c r="BB247" t="s">
        <v>42</v>
      </c>
      <c r="BC247" t="s">
        <v>54</v>
      </c>
      <c r="BE247">
        <v>4000</v>
      </c>
      <c r="BF247">
        <v>0</v>
      </c>
    </row>
    <row r="248" spans="1:59" x14ac:dyDescent="0.3">
      <c r="A248">
        <v>1261</v>
      </c>
      <c r="B248" s="2">
        <v>45923.600671296299</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s">
        <v>150</v>
      </c>
      <c r="AN248">
        <v>695</v>
      </c>
      <c r="AO248">
        <v>303</v>
      </c>
      <c r="AP248">
        <v>1434</v>
      </c>
      <c r="AQ248">
        <v>1467</v>
      </c>
      <c r="AS248">
        <v>4</v>
      </c>
      <c r="AT248">
        <v>96</v>
      </c>
      <c r="AU248" t="s">
        <v>112</v>
      </c>
      <c r="AV248">
        <v>19</v>
      </c>
      <c r="AW248" t="s">
        <v>33</v>
      </c>
      <c r="AX248">
        <v>22</v>
      </c>
      <c r="AY248" t="s">
        <v>118</v>
      </c>
      <c r="AZ248">
        <v>128</v>
      </c>
      <c r="BA248" t="s">
        <v>56</v>
      </c>
      <c r="BB248" t="s">
        <v>42</v>
      </c>
      <c r="BC248" t="s">
        <v>54</v>
      </c>
      <c r="BD248">
        <v>33000</v>
      </c>
      <c r="BF248">
        <v>0</v>
      </c>
    </row>
    <row r="249" spans="1:59" x14ac:dyDescent="0.3">
      <c r="A249">
        <v>1169</v>
      </c>
      <c r="B249" s="2">
        <v>45923.600740740752</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s">
        <v>149</v>
      </c>
      <c r="AN249">
        <v>696</v>
      </c>
      <c r="AO249">
        <v>287</v>
      </c>
      <c r="AS249">
        <v>0</v>
      </c>
      <c r="AT249">
        <v>96</v>
      </c>
      <c r="AU249" t="s">
        <v>112</v>
      </c>
      <c r="AV249">
        <v>19</v>
      </c>
      <c r="AW249" t="s">
        <v>33</v>
      </c>
      <c r="AX249">
        <v>22</v>
      </c>
      <c r="AY249" t="s">
        <v>119</v>
      </c>
      <c r="AZ249">
        <v>126</v>
      </c>
      <c r="BC249" t="s">
        <v>40</v>
      </c>
      <c r="BF249">
        <v>0</v>
      </c>
    </row>
    <row r="250" spans="1:59" x14ac:dyDescent="0.3">
      <c r="A250">
        <v>1196</v>
      </c>
      <c r="B250" s="2">
        <v>45923.600740740752</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s">
        <v>150</v>
      </c>
      <c r="AN250">
        <v>696</v>
      </c>
      <c r="AO250">
        <v>293</v>
      </c>
      <c r="AQ250">
        <v>1440</v>
      </c>
      <c r="AS250">
        <v>1</v>
      </c>
      <c r="AT250">
        <v>96</v>
      </c>
      <c r="AU250" t="s">
        <v>112</v>
      </c>
      <c r="AV250">
        <v>19</v>
      </c>
      <c r="AW250" t="s">
        <v>33</v>
      </c>
      <c r="AX250">
        <v>22</v>
      </c>
      <c r="AY250" t="s">
        <v>119</v>
      </c>
      <c r="AZ250">
        <v>126</v>
      </c>
      <c r="BA250" t="s">
        <v>94</v>
      </c>
      <c r="BB250" t="s">
        <v>52</v>
      </c>
      <c r="BC250" t="s">
        <v>40</v>
      </c>
      <c r="BD250">
        <v>23000</v>
      </c>
      <c r="BF250">
        <v>4000</v>
      </c>
    </row>
    <row r="251" spans="1:59" x14ac:dyDescent="0.3">
      <c r="A251">
        <v>1208</v>
      </c>
      <c r="B251" s="2">
        <v>45923.600740740752</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s">
        <v>150</v>
      </c>
      <c r="AN251">
        <v>696</v>
      </c>
      <c r="AO251">
        <v>295</v>
      </c>
      <c r="AP251">
        <v>1440</v>
      </c>
      <c r="AQ251">
        <v>1440</v>
      </c>
      <c r="AS251">
        <v>2</v>
      </c>
      <c r="AT251">
        <v>96</v>
      </c>
      <c r="AU251" t="s">
        <v>112</v>
      </c>
      <c r="AV251">
        <v>19</v>
      </c>
      <c r="AW251" t="s">
        <v>33</v>
      </c>
      <c r="AX251">
        <v>22</v>
      </c>
      <c r="AY251" t="s">
        <v>119</v>
      </c>
      <c r="AZ251">
        <v>126</v>
      </c>
      <c r="BA251" t="s">
        <v>94</v>
      </c>
      <c r="BB251" t="s">
        <v>52</v>
      </c>
      <c r="BC251" t="s">
        <v>40</v>
      </c>
      <c r="BD251">
        <v>10000</v>
      </c>
      <c r="BE251">
        <v>0</v>
      </c>
      <c r="BF251">
        <v>0</v>
      </c>
      <c r="BG251">
        <v>4000</v>
      </c>
    </row>
    <row r="252" spans="1:59" x14ac:dyDescent="0.3">
      <c r="A252">
        <v>1240</v>
      </c>
      <c r="B252" s="2">
        <v>45923.600740740752</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s">
        <v>150</v>
      </c>
      <c r="AN252">
        <v>696</v>
      </c>
      <c r="AO252">
        <v>300</v>
      </c>
      <c r="AP252">
        <v>1440</v>
      </c>
      <c r="AQ252">
        <v>1440</v>
      </c>
      <c r="AS252">
        <v>3</v>
      </c>
      <c r="AT252">
        <v>96</v>
      </c>
      <c r="AU252" t="s">
        <v>112</v>
      </c>
      <c r="AV252">
        <v>19</v>
      </c>
      <c r="AW252" t="s">
        <v>33</v>
      </c>
      <c r="AX252">
        <v>22</v>
      </c>
      <c r="AY252" t="s">
        <v>119</v>
      </c>
      <c r="AZ252">
        <v>126</v>
      </c>
      <c r="BA252" t="s">
        <v>94</v>
      </c>
      <c r="BB252" t="s">
        <v>52</v>
      </c>
      <c r="BC252" t="s">
        <v>40</v>
      </c>
      <c r="BE252">
        <v>16700</v>
      </c>
      <c r="BF252">
        <v>0</v>
      </c>
    </row>
    <row r="253" spans="1:59" x14ac:dyDescent="0.3">
      <c r="A253">
        <v>1262</v>
      </c>
      <c r="B253" s="2">
        <v>45923.600740740752</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s">
        <v>150</v>
      </c>
      <c r="AN253">
        <v>696</v>
      </c>
      <c r="AO253">
        <v>303</v>
      </c>
      <c r="AP253">
        <v>1440</v>
      </c>
      <c r="AQ253">
        <v>1440</v>
      </c>
      <c r="AS253">
        <v>4</v>
      </c>
      <c r="AT253">
        <v>96</v>
      </c>
      <c r="AU253" t="s">
        <v>112</v>
      </c>
      <c r="AV253">
        <v>19</v>
      </c>
      <c r="AW253" t="s">
        <v>33</v>
      </c>
      <c r="AX253">
        <v>22</v>
      </c>
      <c r="AY253" t="s">
        <v>119</v>
      </c>
      <c r="AZ253">
        <v>126</v>
      </c>
      <c r="BA253" t="s">
        <v>94</v>
      </c>
      <c r="BB253" t="s">
        <v>52</v>
      </c>
      <c r="BC253" t="s">
        <v>40</v>
      </c>
      <c r="BF25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workbookViewId="0"/>
  </sheetViews>
  <sheetFormatPr defaultRowHeight="14.4" x14ac:dyDescent="0.3"/>
  <sheetData>
    <row r="1" spans="1:19" s="1" customFormat="1" x14ac:dyDescent="0.3">
      <c r="A1" s="1" t="s">
        <v>156</v>
      </c>
      <c r="B1" s="1" t="s">
        <v>157</v>
      </c>
      <c r="C1" s="1" t="s">
        <v>158</v>
      </c>
      <c r="D1" s="1" t="s">
        <v>159</v>
      </c>
      <c r="E1" s="1" t="s">
        <v>160</v>
      </c>
      <c r="F1" s="1" t="s">
        <v>161</v>
      </c>
      <c r="G1" s="1" t="s">
        <v>162</v>
      </c>
      <c r="H1" s="1" t="s">
        <v>163</v>
      </c>
      <c r="I1" s="1" t="s">
        <v>164</v>
      </c>
      <c r="J1" s="1" t="s">
        <v>165</v>
      </c>
      <c r="K1" s="1" t="s">
        <v>166</v>
      </c>
      <c r="L1" s="1" t="s">
        <v>167</v>
      </c>
      <c r="M1" s="1" t="s">
        <v>168</v>
      </c>
      <c r="N1" s="1" t="s">
        <v>169</v>
      </c>
      <c r="O1" s="1" t="s">
        <v>170</v>
      </c>
      <c r="P1" s="1" t="s">
        <v>171</v>
      </c>
      <c r="Q1" s="1" t="s">
        <v>172</v>
      </c>
      <c r="R1" s="1" t="s">
        <v>173</v>
      </c>
      <c r="S1" s="1" t="s">
        <v>174</v>
      </c>
    </row>
    <row r="2" spans="1:19" x14ac:dyDescent="0.3">
      <c r="A2">
        <v>137</v>
      </c>
      <c r="B2" t="s">
        <v>175</v>
      </c>
      <c r="C2" t="s">
        <v>176</v>
      </c>
      <c r="D2" t="s">
        <v>177</v>
      </c>
      <c r="E2">
        <v>6000</v>
      </c>
      <c r="F2">
        <v>0</v>
      </c>
      <c r="G2">
        <v>0</v>
      </c>
      <c r="H2">
        <v>1</v>
      </c>
      <c r="I2">
        <v>0</v>
      </c>
      <c r="J2">
        <v>1</v>
      </c>
      <c r="K2">
        <v>0</v>
      </c>
      <c r="L2">
        <v>0</v>
      </c>
      <c r="M2">
        <v>0</v>
      </c>
      <c r="N2">
        <v>0</v>
      </c>
      <c r="O2">
        <v>0</v>
      </c>
      <c r="P2">
        <v>1</v>
      </c>
      <c r="Q2">
        <v>18</v>
      </c>
      <c r="R2">
        <v>2</v>
      </c>
      <c r="S2">
        <v>1</v>
      </c>
    </row>
    <row r="3" spans="1:19" x14ac:dyDescent="0.3">
      <c r="A3">
        <v>138</v>
      </c>
      <c r="B3" t="s">
        <v>178</v>
      </c>
      <c r="C3" t="s">
        <v>179</v>
      </c>
      <c r="D3" t="s">
        <v>180</v>
      </c>
      <c r="E3">
        <v>10000</v>
      </c>
      <c r="F3">
        <v>0</v>
      </c>
      <c r="G3">
        <v>0</v>
      </c>
      <c r="H3">
        <v>0</v>
      </c>
      <c r="I3">
        <v>0</v>
      </c>
      <c r="J3">
        <v>1</v>
      </c>
      <c r="K3">
        <v>1</v>
      </c>
      <c r="L3">
        <v>0</v>
      </c>
      <c r="M3">
        <v>0</v>
      </c>
      <c r="N3">
        <v>0</v>
      </c>
      <c r="O3">
        <v>0</v>
      </c>
      <c r="P3">
        <v>1</v>
      </c>
      <c r="Q3">
        <v>18</v>
      </c>
      <c r="R3">
        <v>1</v>
      </c>
      <c r="S3">
        <v>1</v>
      </c>
    </row>
    <row r="4" spans="1:19" x14ac:dyDescent="0.3">
      <c r="A4">
        <v>140</v>
      </c>
      <c r="B4" t="s">
        <v>181</v>
      </c>
      <c r="C4" t="s">
        <v>181</v>
      </c>
      <c r="D4" t="s">
        <v>182</v>
      </c>
      <c r="E4">
        <v>8000</v>
      </c>
      <c r="F4">
        <v>0</v>
      </c>
      <c r="G4">
        <v>0</v>
      </c>
      <c r="H4">
        <v>1</v>
      </c>
      <c r="I4">
        <v>0</v>
      </c>
      <c r="J4">
        <v>1</v>
      </c>
      <c r="K4">
        <v>0</v>
      </c>
      <c r="L4">
        <v>0</v>
      </c>
      <c r="M4">
        <v>0</v>
      </c>
      <c r="N4">
        <v>0</v>
      </c>
      <c r="O4">
        <v>0</v>
      </c>
      <c r="P4">
        <v>1</v>
      </c>
      <c r="Q4">
        <v>18</v>
      </c>
      <c r="R4">
        <v>7</v>
      </c>
      <c r="S4">
        <v>1</v>
      </c>
    </row>
    <row r="5" spans="1:19" x14ac:dyDescent="0.3">
      <c r="A5">
        <v>141</v>
      </c>
      <c r="B5" t="s">
        <v>183</v>
      </c>
      <c r="C5" t="s">
        <v>184</v>
      </c>
      <c r="D5" t="s">
        <v>185</v>
      </c>
      <c r="E5">
        <v>8000</v>
      </c>
      <c r="F5">
        <v>0</v>
      </c>
      <c r="G5">
        <v>0</v>
      </c>
      <c r="H5">
        <v>1</v>
      </c>
      <c r="I5">
        <v>0</v>
      </c>
      <c r="J5">
        <v>1</v>
      </c>
      <c r="K5">
        <v>1</v>
      </c>
      <c r="L5">
        <v>0</v>
      </c>
      <c r="M5">
        <v>0</v>
      </c>
      <c r="N5">
        <v>0</v>
      </c>
      <c r="O5">
        <v>0</v>
      </c>
      <c r="P5">
        <v>1</v>
      </c>
      <c r="Q5">
        <v>18</v>
      </c>
      <c r="R5">
        <v>8</v>
      </c>
      <c r="S5">
        <v>1</v>
      </c>
    </row>
    <row r="6" spans="1:19" x14ac:dyDescent="0.3">
      <c r="A6">
        <v>142</v>
      </c>
      <c r="B6" t="s">
        <v>186</v>
      </c>
      <c r="C6" t="s">
        <v>186</v>
      </c>
      <c r="D6" t="s">
        <v>187</v>
      </c>
      <c r="E6">
        <v>1000</v>
      </c>
      <c r="F6">
        <v>0</v>
      </c>
      <c r="G6">
        <v>0</v>
      </c>
      <c r="H6">
        <v>0</v>
      </c>
      <c r="I6">
        <v>0</v>
      </c>
      <c r="J6">
        <v>0</v>
      </c>
      <c r="K6">
        <v>1</v>
      </c>
      <c r="L6">
        <v>0</v>
      </c>
      <c r="M6">
        <v>0</v>
      </c>
      <c r="N6">
        <v>0</v>
      </c>
      <c r="O6">
        <v>1</v>
      </c>
      <c r="P6">
        <v>1</v>
      </c>
      <c r="Q6">
        <v>18</v>
      </c>
      <c r="R6">
        <v>5</v>
      </c>
      <c r="S6">
        <v>1</v>
      </c>
    </row>
    <row r="7" spans="1:19" x14ac:dyDescent="0.3">
      <c r="A7">
        <v>143</v>
      </c>
      <c r="B7" t="s">
        <v>188</v>
      </c>
      <c r="C7" t="s">
        <v>188</v>
      </c>
      <c r="D7" t="s">
        <v>189</v>
      </c>
      <c r="E7">
        <v>0</v>
      </c>
      <c r="F7">
        <v>0</v>
      </c>
      <c r="G7">
        <v>2.5</v>
      </c>
      <c r="H7">
        <v>1</v>
      </c>
      <c r="I7">
        <v>0</v>
      </c>
      <c r="J7">
        <v>0</v>
      </c>
      <c r="K7">
        <v>0</v>
      </c>
      <c r="L7">
        <v>0</v>
      </c>
      <c r="M7">
        <v>2.5</v>
      </c>
      <c r="N7">
        <v>1</v>
      </c>
      <c r="O7">
        <v>0</v>
      </c>
      <c r="P7">
        <v>0</v>
      </c>
      <c r="Q7">
        <v>19</v>
      </c>
      <c r="R7">
        <v>1</v>
      </c>
      <c r="S7">
        <v>1</v>
      </c>
    </row>
    <row r="8" spans="1:19" x14ac:dyDescent="0.3">
      <c r="A8">
        <v>144</v>
      </c>
      <c r="B8" t="s">
        <v>190</v>
      </c>
      <c r="C8" t="s">
        <v>190</v>
      </c>
      <c r="D8" t="s">
        <v>191</v>
      </c>
      <c r="E8">
        <v>0</v>
      </c>
      <c r="F8">
        <v>0</v>
      </c>
      <c r="G8">
        <v>5</v>
      </c>
      <c r="H8">
        <v>2</v>
      </c>
      <c r="I8">
        <v>0</v>
      </c>
      <c r="J8">
        <v>0</v>
      </c>
      <c r="K8">
        <v>0</v>
      </c>
      <c r="L8">
        <v>0</v>
      </c>
      <c r="M8">
        <v>5</v>
      </c>
      <c r="N8">
        <v>1</v>
      </c>
      <c r="O8">
        <v>0</v>
      </c>
      <c r="P8">
        <v>0</v>
      </c>
      <c r="Q8">
        <v>19</v>
      </c>
      <c r="R8">
        <v>2</v>
      </c>
      <c r="S8">
        <v>1</v>
      </c>
    </row>
    <row r="9" spans="1:19" x14ac:dyDescent="0.3">
      <c r="A9">
        <v>145</v>
      </c>
      <c r="B9" t="s">
        <v>192</v>
      </c>
      <c r="C9" t="s">
        <v>192</v>
      </c>
      <c r="D9" t="s">
        <v>193</v>
      </c>
      <c r="E9">
        <v>0</v>
      </c>
      <c r="F9">
        <v>5</v>
      </c>
      <c r="G9">
        <v>0</v>
      </c>
      <c r="H9">
        <v>1</v>
      </c>
      <c r="I9">
        <v>0</v>
      </c>
      <c r="J9">
        <v>0</v>
      </c>
      <c r="K9">
        <v>0</v>
      </c>
      <c r="L9">
        <v>0</v>
      </c>
      <c r="M9">
        <v>0</v>
      </c>
      <c r="N9">
        <v>1</v>
      </c>
      <c r="O9">
        <v>0</v>
      </c>
      <c r="P9">
        <v>0</v>
      </c>
      <c r="Q9">
        <v>19</v>
      </c>
      <c r="R9">
        <v>3</v>
      </c>
      <c r="S9">
        <v>1</v>
      </c>
    </row>
    <row r="10" spans="1:19" x14ac:dyDescent="0.3">
      <c r="A10">
        <v>146</v>
      </c>
      <c r="B10" t="s">
        <v>194</v>
      </c>
      <c r="C10" t="s">
        <v>194</v>
      </c>
      <c r="D10" t="s">
        <v>195</v>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27"/>
  <sheetViews>
    <sheetView workbookViewId="0"/>
  </sheetViews>
  <sheetFormatPr defaultRowHeight="14.4" x14ac:dyDescent="0.3"/>
  <sheetData>
    <row r="1" spans="1:22" s="1" customFormat="1" x14ac:dyDescent="0.3">
      <c r="A1" s="1" t="s">
        <v>156</v>
      </c>
      <c r="B1" s="1" t="s">
        <v>196</v>
      </c>
      <c r="C1" s="1" t="s">
        <v>2</v>
      </c>
      <c r="D1" s="1" t="s">
        <v>1</v>
      </c>
      <c r="E1" s="1" t="s">
        <v>3</v>
      </c>
      <c r="F1" s="1" t="s">
        <v>4</v>
      </c>
      <c r="G1" s="1" t="s">
        <v>7</v>
      </c>
      <c r="H1" s="1" t="s">
        <v>8</v>
      </c>
      <c r="I1" s="1" t="s">
        <v>15</v>
      </c>
      <c r="J1" s="1" t="s">
        <v>144</v>
      </c>
      <c r="K1" s="1" t="s">
        <v>14</v>
      </c>
      <c r="L1" s="1" t="s">
        <v>197</v>
      </c>
      <c r="M1" s="1" t="s">
        <v>198</v>
      </c>
      <c r="N1" s="1" t="s">
        <v>199</v>
      </c>
      <c r="O1" s="1" t="s">
        <v>157</v>
      </c>
      <c r="P1" s="1" t="s">
        <v>160</v>
      </c>
      <c r="Q1" s="1" t="s">
        <v>161</v>
      </c>
      <c r="R1" s="1" t="s">
        <v>162</v>
      </c>
      <c r="S1" s="1" t="s">
        <v>163</v>
      </c>
      <c r="T1" s="1" t="s">
        <v>165</v>
      </c>
      <c r="U1" s="1" t="s">
        <v>166</v>
      </c>
      <c r="V1" s="1" t="s">
        <v>30</v>
      </c>
    </row>
    <row r="2" spans="1:22" x14ac:dyDescent="0.3">
      <c r="A2">
        <v>180</v>
      </c>
      <c r="B2">
        <v>143</v>
      </c>
      <c r="C2">
        <v>1090</v>
      </c>
      <c r="D2" t="s">
        <v>34</v>
      </c>
      <c r="E2">
        <v>635</v>
      </c>
      <c r="F2" t="s">
        <v>39</v>
      </c>
      <c r="G2">
        <v>2</v>
      </c>
      <c r="H2">
        <v>110000</v>
      </c>
      <c r="I2">
        <v>0</v>
      </c>
      <c r="J2">
        <v>1296</v>
      </c>
      <c r="K2">
        <v>17000</v>
      </c>
      <c r="L2" t="s">
        <v>41</v>
      </c>
      <c r="M2">
        <v>200000</v>
      </c>
      <c r="N2">
        <v>635</v>
      </c>
      <c r="O2" t="s">
        <v>188</v>
      </c>
      <c r="P2">
        <v>0</v>
      </c>
      <c r="Q2">
        <v>0</v>
      </c>
      <c r="R2">
        <v>2.5</v>
      </c>
      <c r="S2">
        <v>1</v>
      </c>
      <c r="T2">
        <v>0</v>
      </c>
      <c r="U2">
        <v>0</v>
      </c>
      <c r="V2">
        <v>4250</v>
      </c>
    </row>
    <row r="3" spans="1:22" x14ac:dyDescent="0.3">
      <c r="A3">
        <v>181</v>
      </c>
      <c r="B3">
        <v>146</v>
      </c>
      <c r="C3">
        <v>1090</v>
      </c>
      <c r="D3" t="s">
        <v>34</v>
      </c>
      <c r="E3">
        <v>635</v>
      </c>
      <c r="F3" t="s">
        <v>39</v>
      </c>
      <c r="G3">
        <v>2</v>
      </c>
      <c r="H3">
        <v>110000</v>
      </c>
      <c r="I3">
        <v>0</v>
      </c>
      <c r="J3">
        <v>1296</v>
      </c>
      <c r="K3">
        <v>17000</v>
      </c>
      <c r="L3" t="s">
        <v>41</v>
      </c>
      <c r="M3">
        <v>200000</v>
      </c>
      <c r="N3">
        <v>635</v>
      </c>
      <c r="O3" t="s">
        <v>194</v>
      </c>
      <c r="P3">
        <v>0</v>
      </c>
      <c r="Q3">
        <v>0</v>
      </c>
      <c r="R3">
        <v>2</v>
      </c>
      <c r="S3">
        <v>0</v>
      </c>
      <c r="T3">
        <v>1</v>
      </c>
      <c r="U3">
        <v>1</v>
      </c>
      <c r="V3">
        <v>3400</v>
      </c>
    </row>
    <row r="4" spans="1:22" x14ac:dyDescent="0.3">
      <c r="A4">
        <v>184</v>
      </c>
      <c r="B4">
        <v>144</v>
      </c>
      <c r="C4">
        <v>1102</v>
      </c>
      <c r="D4" t="s">
        <v>34</v>
      </c>
      <c r="E4">
        <v>635</v>
      </c>
      <c r="F4" t="s">
        <v>39</v>
      </c>
      <c r="G4">
        <v>3</v>
      </c>
      <c r="H4">
        <v>110000</v>
      </c>
      <c r="I4">
        <v>6000</v>
      </c>
      <c r="J4">
        <v>1296</v>
      </c>
      <c r="K4">
        <v>17000</v>
      </c>
      <c r="L4" t="s">
        <v>41</v>
      </c>
      <c r="M4">
        <v>200000</v>
      </c>
      <c r="N4">
        <v>635</v>
      </c>
      <c r="O4" t="s">
        <v>190</v>
      </c>
      <c r="P4">
        <v>0</v>
      </c>
      <c r="Q4">
        <v>0</v>
      </c>
      <c r="R4">
        <v>5</v>
      </c>
      <c r="S4">
        <v>2</v>
      </c>
      <c r="T4">
        <v>0</v>
      </c>
      <c r="U4">
        <v>0</v>
      </c>
      <c r="V4">
        <v>8500</v>
      </c>
    </row>
    <row r="5" spans="1:22" x14ac:dyDescent="0.3">
      <c r="A5">
        <v>185</v>
      </c>
      <c r="B5">
        <v>145</v>
      </c>
      <c r="C5">
        <v>1102</v>
      </c>
      <c r="D5" t="s">
        <v>34</v>
      </c>
      <c r="E5">
        <v>635</v>
      </c>
      <c r="F5" t="s">
        <v>39</v>
      </c>
      <c r="G5">
        <v>3</v>
      </c>
      <c r="H5">
        <v>110000</v>
      </c>
      <c r="I5">
        <v>6000</v>
      </c>
      <c r="J5">
        <v>1296</v>
      </c>
      <c r="K5">
        <v>17000</v>
      </c>
      <c r="L5" t="s">
        <v>41</v>
      </c>
      <c r="M5">
        <v>200000</v>
      </c>
      <c r="N5">
        <v>635</v>
      </c>
      <c r="O5" t="s">
        <v>192</v>
      </c>
      <c r="P5">
        <v>0</v>
      </c>
      <c r="Q5">
        <v>5</v>
      </c>
      <c r="R5">
        <v>0</v>
      </c>
      <c r="S5">
        <v>1</v>
      </c>
      <c r="T5">
        <v>0</v>
      </c>
      <c r="U5">
        <v>0</v>
      </c>
      <c r="V5">
        <v>5500</v>
      </c>
    </row>
    <row r="6" spans="1:22" x14ac:dyDescent="0.3">
      <c r="A6">
        <v>170</v>
      </c>
      <c r="B6">
        <v>143</v>
      </c>
      <c r="C6">
        <v>1050</v>
      </c>
      <c r="D6" t="s">
        <v>34</v>
      </c>
      <c r="E6">
        <v>636</v>
      </c>
      <c r="F6" t="s">
        <v>43</v>
      </c>
      <c r="G6">
        <v>1</v>
      </c>
      <c r="H6">
        <v>60000</v>
      </c>
      <c r="I6">
        <v>0</v>
      </c>
      <c r="J6">
        <v>1308</v>
      </c>
      <c r="K6">
        <v>7000</v>
      </c>
      <c r="L6" t="s">
        <v>45</v>
      </c>
      <c r="M6">
        <v>70000</v>
      </c>
      <c r="N6">
        <v>636</v>
      </c>
      <c r="O6" t="s">
        <v>188</v>
      </c>
      <c r="P6">
        <v>0</v>
      </c>
      <c r="Q6">
        <v>0</v>
      </c>
      <c r="R6">
        <v>2.5</v>
      </c>
      <c r="S6">
        <v>1</v>
      </c>
      <c r="T6">
        <v>0</v>
      </c>
      <c r="U6">
        <v>0</v>
      </c>
      <c r="V6">
        <v>1750</v>
      </c>
    </row>
    <row r="7" spans="1:22" x14ac:dyDescent="0.3">
      <c r="A7">
        <v>182</v>
      </c>
      <c r="B7">
        <v>146</v>
      </c>
      <c r="C7">
        <v>1091</v>
      </c>
      <c r="D7" t="s">
        <v>34</v>
      </c>
      <c r="E7">
        <v>636</v>
      </c>
      <c r="F7" t="s">
        <v>43</v>
      </c>
      <c r="G7">
        <v>2</v>
      </c>
      <c r="H7">
        <v>60000</v>
      </c>
      <c r="I7">
        <v>1000</v>
      </c>
      <c r="J7">
        <v>1308</v>
      </c>
      <c r="K7">
        <v>7000</v>
      </c>
      <c r="L7" t="s">
        <v>45</v>
      </c>
      <c r="M7">
        <v>70000</v>
      </c>
      <c r="N7">
        <v>636</v>
      </c>
      <c r="O7" t="s">
        <v>194</v>
      </c>
      <c r="P7">
        <v>0</v>
      </c>
      <c r="Q7">
        <v>0</v>
      </c>
      <c r="R7">
        <v>2</v>
      </c>
      <c r="S7">
        <v>0</v>
      </c>
      <c r="T7">
        <v>1</v>
      </c>
      <c r="U7">
        <v>1</v>
      </c>
      <c r="V7">
        <v>1400</v>
      </c>
    </row>
    <row r="8" spans="1:22" x14ac:dyDescent="0.3">
      <c r="A8">
        <v>169</v>
      </c>
      <c r="B8">
        <v>144</v>
      </c>
      <c r="C8">
        <v>1052</v>
      </c>
      <c r="D8" t="s">
        <v>34</v>
      </c>
      <c r="E8">
        <v>637</v>
      </c>
      <c r="F8" t="s">
        <v>46</v>
      </c>
      <c r="G8">
        <v>1</v>
      </c>
      <c r="H8">
        <v>90000</v>
      </c>
      <c r="I8">
        <v>6000</v>
      </c>
      <c r="J8">
        <v>1298</v>
      </c>
      <c r="K8">
        <v>10000</v>
      </c>
      <c r="L8" t="s">
        <v>48</v>
      </c>
      <c r="M8">
        <v>100000</v>
      </c>
      <c r="N8">
        <v>637</v>
      </c>
      <c r="O8" t="s">
        <v>190</v>
      </c>
      <c r="P8">
        <v>0</v>
      </c>
      <c r="Q8">
        <v>0</v>
      </c>
      <c r="R8">
        <v>5</v>
      </c>
      <c r="S8">
        <v>2</v>
      </c>
      <c r="T8">
        <v>0</v>
      </c>
      <c r="U8">
        <v>0</v>
      </c>
      <c r="V8">
        <v>5000</v>
      </c>
    </row>
    <row r="9" spans="1:22" x14ac:dyDescent="0.3">
      <c r="A9">
        <v>183</v>
      </c>
      <c r="B9">
        <v>143</v>
      </c>
      <c r="C9">
        <v>1094</v>
      </c>
      <c r="D9" t="s">
        <v>34</v>
      </c>
      <c r="E9">
        <v>637</v>
      </c>
      <c r="F9" t="s">
        <v>46</v>
      </c>
      <c r="G9">
        <v>2</v>
      </c>
      <c r="H9">
        <v>90000</v>
      </c>
      <c r="I9">
        <v>10000</v>
      </c>
      <c r="J9">
        <v>1298</v>
      </c>
      <c r="K9">
        <v>10000</v>
      </c>
      <c r="L9" t="s">
        <v>48</v>
      </c>
      <c r="M9">
        <v>100000</v>
      </c>
      <c r="N9">
        <v>637</v>
      </c>
      <c r="O9" t="s">
        <v>188</v>
      </c>
      <c r="P9">
        <v>0</v>
      </c>
      <c r="Q9">
        <v>0</v>
      </c>
      <c r="R9">
        <v>2.5</v>
      </c>
      <c r="S9">
        <v>1</v>
      </c>
      <c r="T9">
        <v>0</v>
      </c>
      <c r="U9">
        <v>0</v>
      </c>
      <c r="V9">
        <v>2500</v>
      </c>
    </row>
    <row r="10" spans="1:22" x14ac:dyDescent="0.3">
      <c r="A10">
        <v>195</v>
      </c>
      <c r="B10">
        <v>145</v>
      </c>
      <c r="C10">
        <v>1133</v>
      </c>
      <c r="D10" t="s">
        <v>34</v>
      </c>
      <c r="E10">
        <v>637</v>
      </c>
      <c r="F10" t="s">
        <v>46</v>
      </c>
      <c r="G10">
        <v>4</v>
      </c>
      <c r="H10">
        <v>90000</v>
      </c>
      <c r="I10">
        <v>9000</v>
      </c>
      <c r="J10">
        <v>1298</v>
      </c>
      <c r="K10">
        <v>10000</v>
      </c>
      <c r="L10" t="s">
        <v>48</v>
      </c>
      <c r="M10">
        <v>100000</v>
      </c>
      <c r="N10">
        <v>637</v>
      </c>
      <c r="O10" t="s">
        <v>192</v>
      </c>
      <c r="P10">
        <v>0</v>
      </c>
      <c r="Q10">
        <v>5</v>
      </c>
      <c r="R10">
        <v>0</v>
      </c>
      <c r="S10">
        <v>1</v>
      </c>
      <c r="T10">
        <v>0</v>
      </c>
      <c r="U10">
        <v>0</v>
      </c>
      <c r="V10">
        <v>4500</v>
      </c>
    </row>
    <row r="11" spans="1:22" x14ac:dyDescent="0.3">
      <c r="A11">
        <v>196</v>
      </c>
      <c r="B11">
        <v>146</v>
      </c>
      <c r="C11">
        <v>1133</v>
      </c>
      <c r="D11" t="s">
        <v>34</v>
      </c>
      <c r="E11">
        <v>637</v>
      </c>
      <c r="F11" t="s">
        <v>46</v>
      </c>
      <c r="G11">
        <v>4</v>
      </c>
      <c r="H11">
        <v>90000</v>
      </c>
      <c r="I11">
        <v>9000</v>
      </c>
      <c r="J11">
        <v>1298</v>
      </c>
      <c r="K11">
        <v>10000</v>
      </c>
      <c r="L11" t="s">
        <v>48</v>
      </c>
      <c r="M11">
        <v>100000</v>
      </c>
      <c r="N11">
        <v>637</v>
      </c>
      <c r="O11" t="s">
        <v>194</v>
      </c>
      <c r="P11">
        <v>0</v>
      </c>
      <c r="Q11">
        <v>0</v>
      </c>
      <c r="R11">
        <v>2</v>
      </c>
      <c r="S11">
        <v>0</v>
      </c>
      <c r="T11">
        <v>1</v>
      </c>
      <c r="U11">
        <v>1</v>
      </c>
      <c r="V11">
        <v>2000</v>
      </c>
    </row>
    <row r="12" spans="1:22" x14ac:dyDescent="0.3">
      <c r="A12">
        <v>167</v>
      </c>
      <c r="B12">
        <v>144</v>
      </c>
      <c r="C12">
        <v>1053</v>
      </c>
      <c r="D12" t="s">
        <v>34</v>
      </c>
      <c r="E12">
        <v>639</v>
      </c>
      <c r="F12" t="s">
        <v>53</v>
      </c>
      <c r="G12">
        <v>1</v>
      </c>
      <c r="H12">
        <v>190000</v>
      </c>
      <c r="I12">
        <v>8000</v>
      </c>
      <c r="J12">
        <v>1300</v>
      </c>
      <c r="K12">
        <v>0</v>
      </c>
      <c r="L12" t="s">
        <v>55</v>
      </c>
      <c r="M12">
        <v>300000</v>
      </c>
      <c r="O12" t="s">
        <v>190</v>
      </c>
      <c r="P12">
        <v>0</v>
      </c>
      <c r="Q12">
        <v>0</v>
      </c>
      <c r="R12">
        <v>5</v>
      </c>
      <c r="S12">
        <v>2</v>
      </c>
      <c r="T12">
        <v>0</v>
      </c>
      <c r="U12">
        <v>0</v>
      </c>
      <c r="V12">
        <v>0</v>
      </c>
    </row>
    <row r="13" spans="1:22" x14ac:dyDescent="0.3">
      <c r="A13">
        <v>168</v>
      </c>
      <c r="B13">
        <v>146</v>
      </c>
      <c r="C13">
        <v>1053</v>
      </c>
      <c r="D13" t="s">
        <v>34</v>
      </c>
      <c r="E13">
        <v>639</v>
      </c>
      <c r="F13" t="s">
        <v>53</v>
      </c>
      <c r="G13">
        <v>1</v>
      </c>
      <c r="H13">
        <v>190000</v>
      </c>
      <c r="I13">
        <v>8000</v>
      </c>
      <c r="J13">
        <v>1300</v>
      </c>
      <c r="K13">
        <v>0</v>
      </c>
      <c r="L13" t="s">
        <v>55</v>
      </c>
      <c r="M13">
        <v>300000</v>
      </c>
      <c r="O13" t="s">
        <v>194</v>
      </c>
      <c r="P13">
        <v>0</v>
      </c>
      <c r="Q13">
        <v>0</v>
      </c>
      <c r="R13">
        <v>2</v>
      </c>
      <c r="S13">
        <v>0</v>
      </c>
      <c r="T13">
        <v>1</v>
      </c>
      <c r="U13">
        <v>1</v>
      </c>
      <c r="V13">
        <v>0</v>
      </c>
    </row>
    <row r="14" spans="1:22" x14ac:dyDescent="0.3">
      <c r="A14">
        <v>186</v>
      </c>
      <c r="B14">
        <v>143</v>
      </c>
      <c r="C14">
        <v>1114</v>
      </c>
      <c r="D14" t="s">
        <v>34</v>
      </c>
      <c r="E14">
        <v>639</v>
      </c>
      <c r="F14" t="s">
        <v>53</v>
      </c>
      <c r="G14">
        <v>3</v>
      </c>
      <c r="H14">
        <v>190000</v>
      </c>
      <c r="I14">
        <v>8000</v>
      </c>
      <c r="J14">
        <v>1300</v>
      </c>
      <c r="K14">
        <v>0</v>
      </c>
      <c r="L14" t="s">
        <v>55</v>
      </c>
      <c r="M14">
        <v>300000</v>
      </c>
      <c r="O14" t="s">
        <v>188</v>
      </c>
      <c r="P14">
        <v>0</v>
      </c>
      <c r="Q14">
        <v>0</v>
      </c>
      <c r="R14">
        <v>2.5</v>
      </c>
      <c r="S14">
        <v>1</v>
      </c>
      <c r="T14">
        <v>0</v>
      </c>
      <c r="U14">
        <v>0</v>
      </c>
      <c r="V14">
        <v>0</v>
      </c>
    </row>
    <row r="15" spans="1:22" x14ac:dyDescent="0.3">
      <c r="A15">
        <v>187</v>
      </c>
      <c r="B15">
        <v>145</v>
      </c>
      <c r="C15">
        <v>1114</v>
      </c>
      <c r="D15" t="s">
        <v>34</v>
      </c>
      <c r="E15">
        <v>639</v>
      </c>
      <c r="F15" t="s">
        <v>53</v>
      </c>
      <c r="G15">
        <v>3</v>
      </c>
      <c r="H15">
        <v>190000</v>
      </c>
      <c r="I15">
        <v>8000</v>
      </c>
      <c r="J15">
        <v>1300</v>
      </c>
      <c r="K15">
        <v>0</v>
      </c>
      <c r="L15" t="s">
        <v>55</v>
      </c>
      <c r="M15">
        <v>300000</v>
      </c>
      <c r="O15" t="s">
        <v>192</v>
      </c>
      <c r="P15">
        <v>0</v>
      </c>
      <c r="Q15">
        <v>5</v>
      </c>
      <c r="R15">
        <v>0</v>
      </c>
      <c r="S15">
        <v>1</v>
      </c>
      <c r="T15">
        <v>0</v>
      </c>
      <c r="U15">
        <v>0</v>
      </c>
      <c r="V15">
        <v>9500</v>
      </c>
    </row>
    <row r="16" spans="1:22" x14ac:dyDescent="0.3">
      <c r="A16">
        <v>151</v>
      </c>
      <c r="B16">
        <v>143</v>
      </c>
      <c r="C16">
        <v>1039</v>
      </c>
      <c r="D16" t="s">
        <v>59</v>
      </c>
      <c r="E16">
        <v>643</v>
      </c>
      <c r="F16" t="s">
        <v>61</v>
      </c>
      <c r="G16">
        <v>1</v>
      </c>
      <c r="H16">
        <v>110000</v>
      </c>
      <c r="I16">
        <v>0</v>
      </c>
      <c r="J16">
        <v>1281</v>
      </c>
      <c r="K16">
        <v>17000</v>
      </c>
      <c r="L16" t="s">
        <v>41</v>
      </c>
      <c r="M16">
        <v>220000</v>
      </c>
      <c r="O16" t="s">
        <v>188</v>
      </c>
      <c r="P16">
        <v>0</v>
      </c>
      <c r="Q16">
        <v>0</v>
      </c>
      <c r="R16">
        <v>2.5</v>
      </c>
      <c r="S16">
        <v>1</v>
      </c>
      <c r="T16">
        <v>0</v>
      </c>
      <c r="U16">
        <v>0</v>
      </c>
      <c r="V16">
        <v>4250</v>
      </c>
    </row>
    <row r="17" spans="1:22" x14ac:dyDescent="0.3">
      <c r="A17">
        <v>152</v>
      </c>
      <c r="B17">
        <v>144</v>
      </c>
      <c r="C17">
        <v>1039</v>
      </c>
      <c r="D17" t="s">
        <v>59</v>
      </c>
      <c r="E17">
        <v>643</v>
      </c>
      <c r="F17" t="s">
        <v>61</v>
      </c>
      <c r="G17">
        <v>1</v>
      </c>
      <c r="H17">
        <v>110000</v>
      </c>
      <c r="I17">
        <v>0</v>
      </c>
      <c r="J17">
        <v>1281</v>
      </c>
      <c r="K17">
        <v>17000</v>
      </c>
      <c r="L17" t="s">
        <v>41</v>
      </c>
      <c r="M17">
        <v>220000</v>
      </c>
      <c r="O17" t="s">
        <v>190</v>
      </c>
      <c r="P17">
        <v>0</v>
      </c>
      <c r="Q17">
        <v>0</v>
      </c>
      <c r="R17">
        <v>5</v>
      </c>
      <c r="S17">
        <v>2</v>
      </c>
      <c r="T17">
        <v>0</v>
      </c>
      <c r="U17">
        <v>0</v>
      </c>
      <c r="V17">
        <v>8500</v>
      </c>
    </row>
    <row r="18" spans="1:22" x14ac:dyDescent="0.3">
      <c r="A18">
        <v>153</v>
      </c>
      <c r="B18">
        <v>143</v>
      </c>
      <c r="C18">
        <v>1042</v>
      </c>
      <c r="D18" t="s">
        <v>59</v>
      </c>
      <c r="E18">
        <v>644</v>
      </c>
      <c r="F18" t="s">
        <v>63</v>
      </c>
      <c r="G18">
        <v>1</v>
      </c>
      <c r="H18">
        <v>60000</v>
      </c>
      <c r="I18">
        <v>0</v>
      </c>
      <c r="J18">
        <v>1288</v>
      </c>
      <c r="K18">
        <v>8000</v>
      </c>
      <c r="L18" t="s">
        <v>64</v>
      </c>
      <c r="M18">
        <v>80000</v>
      </c>
      <c r="N18">
        <v>644</v>
      </c>
      <c r="O18" t="s">
        <v>188</v>
      </c>
      <c r="P18">
        <v>0</v>
      </c>
      <c r="Q18">
        <v>0</v>
      </c>
      <c r="R18">
        <v>2.5</v>
      </c>
      <c r="S18">
        <v>1</v>
      </c>
      <c r="T18">
        <v>0</v>
      </c>
      <c r="U18">
        <v>0</v>
      </c>
      <c r="V18">
        <v>2000</v>
      </c>
    </row>
    <row r="19" spans="1:22" x14ac:dyDescent="0.3">
      <c r="A19">
        <v>154</v>
      </c>
      <c r="B19">
        <v>146</v>
      </c>
      <c r="C19">
        <v>1042</v>
      </c>
      <c r="D19" t="s">
        <v>59</v>
      </c>
      <c r="E19">
        <v>644</v>
      </c>
      <c r="F19" t="s">
        <v>63</v>
      </c>
      <c r="G19">
        <v>1</v>
      </c>
      <c r="H19">
        <v>60000</v>
      </c>
      <c r="I19">
        <v>0</v>
      </c>
      <c r="J19">
        <v>1288</v>
      </c>
      <c r="K19">
        <v>8000</v>
      </c>
      <c r="L19" t="s">
        <v>64</v>
      </c>
      <c r="M19">
        <v>80000</v>
      </c>
      <c r="N19">
        <v>644</v>
      </c>
      <c r="O19" t="s">
        <v>194</v>
      </c>
      <c r="P19">
        <v>0</v>
      </c>
      <c r="Q19">
        <v>0</v>
      </c>
      <c r="R19">
        <v>2</v>
      </c>
      <c r="S19">
        <v>0</v>
      </c>
      <c r="T19">
        <v>1</v>
      </c>
      <c r="U19">
        <v>1</v>
      </c>
      <c r="V19">
        <v>1600</v>
      </c>
    </row>
    <row r="20" spans="1:22" x14ac:dyDescent="0.3">
      <c r="A20">
        <v>155</v>
      </c>
      <c r="B20">
        <v>143</v>
      </c>
      <c r="C20">
        <v>1046</v>
      </c>
      <c r="D20" t="s">
        <v>59</v>
      </c>
      <c r="E20">
        <v>646</v>
      </c>
      <c r="F20" t="s">
        <v>67</v>
      </c>
      <c r="G20">
        <v>1</v>
      </c>
      <c r="H20">
        <v>130000</v>
      </c>
      <c r="I20">
        <v>33000</v>
      </c>
      <c r="J20">
        <v>1282</v>
      </c>
      <c r="K20">
        <v>20000</v>
      </c>
      <c r="L20" t="s">
        <v>58</v>
      </c>
      <c r="M20">
        <v>200000</v>
      </c>
      <c r="N20">
        <v>646</v>
      </c>
      <c r="O20" t="s">
        <v>188</v>
      </c>
      <c r="P20">
        <v>0</v>
      </c>
      <c r="Q20">
        <v>0</v>
      </c>
      <c r="R20">
        <v>2.5</v>
      </c>
      <c r="S20">
        <v>1</v>
      </c>
      <c r="T20">
        <v>0</v>
      </c>
      <c r="U20">
        <v>0</v>
      </c>
      <c r="V20">
        <v>5000</v>
      </c>
    </row>
    <row r="21" spans="1:22" x14ac:dyDescent="0.3">
      <c r="A21">
        <v>156</v>
      </c>
      <c r="B21">
        <v>144</v>
      </c>
      <c r="C21">
        <v>1046</v>
      </c>
      <c r="D21" t="s">
        <v>59</v>
      </c>
      <c r="E21">
        <v>646</v>
      </c>
      <c r="F21" t="s">
        <v>67</v>
      </c>
      <c r="G21">
        <v>1</v>
      </c>
      <c r="H21">
        <v>130000</v>
      </c>
      <c r="I21">
        <v>33000</v>
      </c>
      <c r="J21">
        <v>1282</v>
      </c>
      <c r="K21">
        <v>20000</v>
      </c>
      <c r="L21" t="s">
        <v>58</v>
      </c>
      <c r="M21">
        <v>200000</v>
      </c>
      <c r="N21">
        <v>646</v>
      </c>
      <c r="O21" t="s">
        <v>190</v>
      </c>
      <c r="P21">
        <v>0</v>
      </c>
      <c r="Q21">
        <v>0</v>
      </c>
      <c r="R21">
        <v>5</v>
      </c>
      <c r="S21">
        <v>2</v>
      </c>
      <c r="T21">
        <v>0</v>
      </c>
      <c r="U21">
        <v>0</v>
      </c>
      <c r="V21">
        <v>10000</v>
      </c>
    </row>
    <row r="22" spans="1:22" x14ac:dyDescent="0.3">
      <c r="A22">
        <v>157</v>
      </c>
      <c r="B22">
        <v>145</v>
      </c>
      <c r="C22">
        <v>1046</v>
      </c>
      <c r="D22" t="s">
        <v>59</v>
      </c>
      <c r="E22">
        <v>646</v>
      </c>
      <c r="F22" t="s">
        <v>67</v>
      </c>
      <c r="G22">
        <v>1</v>
      </c>
      <c r="H22">
        <v>130000</v>
      </c>
      <c r="I22">
        <v>33000</v>
      </c>
      <c r="J22">
        <v>1282</v>
      </c>
      <c r="K22">
        <v>20000</v>
      </c>
      <c r="L22" t="s">
        <v>58</v>
      </c>
      <c r="M22">
        <v>200000</v>
      </c>
      <c r="N22">
        <v>646</v>
      </c>
      <c r="O22" t="s">
        <v>192</v>
      </c>
      <c r="P22">
        <v>0</v>
      </c>
      <c r="Q22">
        <v>5</v>
      </c>
      <c r="R22">
        <v>0</v>
      </c>
      <c r="S22">
        <v>1</v>
      </c>
      <c r="T22">
        <v>0</v>
      </c>
      <c r="U22">
        <v>0</v>
      </c>
      <c r="V22">
        <v>6500</v>
      </c>
    </row>
    <row r="23" spans="1:22" x14ac:dyDescent="0.3">
      <c r="A23">
        <v>158</v>
      </c>
      <c r="B23">
        <v>146</v>
      </c>
      <c r="C23">
        <v>1046</v>
      </c>
      <c r="D23" t="s">
        <v>59</v>
      </c>
      <c r="E23">
        <v>646</v>
      </c>
      <c r="F23" t="s">
        <v>67</v>
      </c>
      <c r="G23">
        <v>1</v>
      </c>
      <c r="H23">
        <v>130000</v>
      </c>
      <c r="I23">
        <v>33000</v>
      </c>
      <c r="J23">
        <v>1282</v>
      </c>
      <c r="K23">
        <v>20000</v>
      </c>
      <c r="L23" t="s">
        <v>58</v>
      </c>
      <c r="M23">
        <v>200000</v>
      </c>
      <c r="N23">
        <v>646</v>
      </c>
      <c r="O23" t="s">
        <v>194</v>
      </c>
      <c r="P23">
        <v>0</v>
      </c>
      <c r="Q23">
        <v>0</v>
      </c>
      <c r="R23">
        <v>2</v>
      </c>
      <c r="S23">
        <v>0</v>
      </c>
      <c r="T23">
        <v>1</v>
      </c>
      <c r="U23">
        <v>1</v>
      </c>
      <c r="V23">
        <v>4000</v>
      </c>
    </row>
    <row r="24" spans="1:22" x14ac:dyDescent="0.3">
      <c r="A24">
        <v>159</v>
      </c>
      <c r="B24">
        <v>144</v>
      </c>
      <c r="C24">
        <v>1047</v>
      </c>
      <c r="D24" t="s">
        <v>59</v>
      </c>
      <c r="E24">
        <v>647</v>
      </c>
      <c r="F24" t="s">
        <v>68</v>
      </c>
      <c r="G24">
        <v>1</v>
      </c>
      <c r="H24">
        <v>190000</v>
      </c>
      <c r="I24">
        <v>14000</v>
      </c>
      <c r="J24">
        <v>1284</v>
      </c>
      <c r="K24">
        <v>30000</v>
      </c>
      <c r="L24" t="s">
        <v>51</v>
      </c>
      <c r="M24">
        <v>400000</v>
      </c>
      <c r="O24" t="s">
        <v>190</v>
      </c>
      <c r="P24">
        <v>0</v>
      </c>
      <c r="Q24">
        <v>0</v>
      </c>
      <c r="R24">
        <v>5</v>
      </c>
      <c r="S24">
        <v>2</v>
      </c>
      <c r="T24">
        <v>0</v>
      </c>
      <c r="U24">
        <v>0</v>
      </c>
      <c r="V24">
        <v>15000</v>
      </c>
    </row>
    <row r="25" spans="1:22" x14ac:dyDescent="0.3">
      <c r="A25">
        <v>160</v>
      </c>
      <c r="B25">
        <v>146</v>
      </c>
      <c r="C25">
        <v>1047</v>
      </c>
      <c r="D25" t="s">
        <v>59</v>
      </c>
      <c r="E25">
        <v>647</v>
      </c>
      <c r="F25" t="s">
        <v>68</v>
      </c>
      <c r="G25">
        <v>1</v>
      </c>
      <c r="H25">
        <v>190000</v>
      </c>
      <c r="I25">
        <v>14000</v>
      </c>
      <c r="J25">
        <v>1284</v>
      </c>
      <c r="K25">
        <v>30000</v>
      </c>
      <c r="L25" t="s">
        <v>51</v>
      </c>
      <c r="M25">
        <v>400000</v>
      </c>
      <c r="O25" t="s">
        <v>194</v>
      </c>
      <c r="P25">
        <v>0</v>
      </c>
      <c r="Q25">
        <v>0</v>
      </c>
      <c r="R25">
        <v>2</v>
      </c>
      <c r="S25">
        <v>0</v>
      </c>
      <c r="T25">
        <v>1</v>
      </c>
      <c r="U25">
        <v>1</v>
      </c>
      <c r="V25">
        <v>6000</v>
      </c>
    </row>
    <row r="26" spans="1:22" x14ac:dyDescent="0.3">
      <c r="A26">
        <v>171</v>
      </c>
      <c r="B26">
        <v>143</v>
      </c>
      <c r="C26">
        <v>1082</v>
      </c>
      <c r="D26" t="s">
        <v>59</v>
      </c>
      <c r="E26">
        <v>647</v>
      </c>
      <c r="F26" t="s">
        <v>68</v>
      </c>
      <c r="G26">
        <v>2</v>
      </c>
      <c r="H26">
        <v>190000</v>
      </c>
      <c r="I26">
        <v>19000</v>
      </c>
      <c r="J26">
        <v>1284</v>
      </c>
      <c r="K26">
        <v>30000</v>
      </c>
      <c r="L26" t="s">
        <v>51</v>
      </c>
      <c r="M26">
        <v>400000</v>
      </c>
      <c r="O26" t="s">
        <v>188</v>
      </c>
      <c r="P26">
        <v>0</v>
      </c>
      <c r="Q26">
        <v>0</v>
      </c>
      <c r="R26">
        <v>2.5</v>
      </c>
      <c r="S26">
        <v>1</v>
      </c>
      <c r="T26">
        <v>0</v>
      </c>
      <c r="U26">
        <v>0</v>
      </c>
      <c r="V26">
        <v>7500</v>
      </c>
    </row>
    <row r="27" spans="1:22" x14ac:dyDescent="0.3">
      <c r="A27">
        <v>172</v>
      </c>
      <c r="B27">
        <v>145</v>
      </c>
      <c r="C27">
        <v>1082</v>
      </c>
      <c r="D27" t="s">
        <v>59</v>
      </c>
      <c r="E27">
        <v>647</v>
      </c>
      <c r="F27" t="s">
        <v>68</v>
      </c>
      <c r="G27">
        <v>2</v>
      </c>
      <c r="H27">
        <v>190000</v>
      </c>
      <c r="I27">
        <v>19000</v>
      </c>
      <c r="J27">
        <v>1284</v>
      </c>
      <c r="K27">
        <v>30000</v>
      </c>
      <c r="L27" t="s">
        <v>51</v>
      </c>
      <c r="M27">
        <v>400000</v>
      </c>
      <c r="O27" t="s">
        <v>192</v>
      </c>
      <c r="P27">
        <v>0</v>
      </c>
      <c r="Q27">
        <v>5</v>
      </c>
      <c r="R27">
        <v>0</v>
      </c>
      <c r="S27">
        <v>1</v>
      </c>
      <c r="T27">
        <v>0</v>
      </c>
      <c r="U27">
        <v>0</v>
      </c>
      <c r="V27">
        <v>9500</v>
      </c>
    </row>
    <row r="28" spans="1:22" x14ac:dyDescent="0.3">
      <c r="A28">
        <v>163</v>
      </c>
      <c r="B28">
        <v>143</v>
      </c>
      <c r="C28">
        <v>1064</v>
      </c>
      <c r="D28" t="s">
        <v>69</v>
      </c>
      <c r="E28">
        <v>650</v>
      </c>
      <c r="F28" t="s">
        <v>70</v>
      </c>
      <c r="G28">
        <v>1</v>
      </c>
      <c r="H28">
        <v>75000</v>
      </c>
      <c r="I28">
        <v>1000</v>
      </c>
      <c r="J28">
        <v>1324</v>
      </c>
      <c r="K28">
        <v>7000</v>
      </c>
      <c r="L28" t="s">
        <v>71</v>
      </c>
      <c r="M28">
        <v>70000</v>
      </c>
      <c r="N28">
        <v>650</v>
      </c>
      <c r="O28" t="s">
        <v>188</v>
      </c>
      <c r="P28">
        <v>0</v>
      </c>
      <c r="Q28">
        <v>0</v>
      </c>
      <c r="R28">
        <v>2.5</v>
      </c>
      <c r="S28">
        <v>1</v>
      </c>
      <c r="T28">
        <v>0</v>
      </c>
      <c r="U28">
        <v>0</v>
      </c>
      <c r="V28">
        <v>1750</v>
      </c>
    </row>
    <row r="29" spans="1:22" x14ac:dyDescent="0.3">
      <c r="A29">
        <v>164</v>
      </c>
      <c r="B29">
        <v>146</v>
      </c>
      <c r="C29">
        <v>1064</v>
      </c>
      <c r="D29" t="s">
        <v>69</v>
      </c>
      <c r="E29">
        <v>650</v>
      </c>
      <c r="F29" t="s">
        <v>70</v>
      </c>
      <c r="G29">
        <v>1</v>
      </c>
      <c r="H29">
        <v>75000</v>
      </c>
      <c r="I29">
        <v>1000</v>
      </c>
      <c r="J29">
        <v>1324</v>
      </c>
      <c r="K29">
        <v>7000</v>
      </c>
      <c r="L29" t="s">
        <v>71</v>
      </c>
      <c r="M29">
        <v>70000</v>
      </c>
      <c r="N29">
        <v>650</v>
      </c>
      <c r="O29" t="s">
        <v>194</v>
      </c>
      <c r="P29">
        <v>0</v>
      </c>
      <c r="Q29">
        <v>0</v>
      </c>
      <c r="R29">
        <v>2</v>
      </c>
      <c r="S29">
        <v>0</v>
      </c>
      <c r="T29">
        <v>1</v>
      </c>
      <c r="U29">
        <v>1</v>
      </c>
      <c r="V29">
        <v>1400</v>
      </c>
    </row>
    <row r="30" spans="1:22" x14ac:dyDescent="0.3">
      <c r="A30">
        <v>173</v>
      </c>
      <c r="B30">
        <v>144</v>
      </c>
      <c r="C30">
        <v>1087</v>
      </c>
      <c r="D30" t="s">
        <v>69</v>
      </c>
      <c r="E30">
        <v>650</v>
      </c>
      <c r="F30" t="s">
        <v>70</v>
      </c>
      <c r="G30">
        <v>2</v>
      </c>
      <c r="H30">
        <v>75000</v>
      </c>
      <c r="I30">
        <v>0</v>
      </c>
      <c r="J30">
        <v>1324</v>
      </c>
      <c r="K30">
        <v>7000</v>
      </c>
      <c r="L30" t="s">
        <v>71</v>
      </c>
      <c r="M30">
        <v>70000</v>
      </c>
      <c r="N30">
        <v>650</v>
      </c>
      <c r="O30" t="s">
        <v>190</v>
      </c>
      <c r="P30">
        <v>0</v>
      </c>
      <c r="Q30">
        <v>0</v>
      </c>
      <c r="R30">
        <v>5</v>
      </c>
      <c r="S30">
        <v>2</v>
      </c>
      <c r="T30">
        <v>0</v>
      </c>
      <c r="U30">
        <v>0</v>
      </c>
      <c r="V30">
        <v>3500</v>
      </c>
    </row>
    <row r="31" spans="1:22" x14ac:dyDescent="0.3">
      <c r="A31">
        <v>162</v>
      </c>
      <c r="B31">
        <v>146</v>
      </c>
      <c r="C31">
        <v>1066</v>
      </c>
      <c r="D31" t="s">
        <v>69</v>
      </c>
      <c r="E31">
        <v>651</v>
      </c>
      <c r="F31" t="s">
        <v>72</v>
      </c>
      <c r="G31">
        <v>1</v>
      </c>
      <c r="H31">
        <v>110000</v>
      </c>
      <c r="I31">
        <v>9000</v>
      </c>
      <c r="J31">
        <v>1311</v>
      </c>
      <c r="K31">
        <v>17000</v>
      </c>
      <c r="L31" t="s">
        <v>41</v>
      </c>
      <c r="M31">
        <v>200000</v>
      </c>
      <c r="N31">
        <v>651</v>
      </c>
      <c r="O31" t="s">
        <v>194</v>
      </c>
      <c r="P31">
        <v>0</v>
      </c>
      <c r="Q31">
        <v>0</v>
      </c>
      <c r="R31">
        <v>2</v>
      </c>
      <c r="S31">
        <v>0</v>
      </c>
      <c r="T31">
        <v>1</v>
      </c>
      <c r="U31">
        <v>1</v>
      </c>
      <c r="V31">
        <v>3400</v>
      </c>
    </row>
    <row r="32" spans="1:22" x14ac:dyDescent="0.3">
      <c r="A32">
        <v>161</v>
      </c>
      <c r="B32">
        <v>143</v>
      </c>
      <c r="C32">
        <v>1062</v>
      </c>
      <c r="D32" t="s">
        <v>69</v>
      </c>
      <c r="E32">
        <v>653</v>
      </c>
      <c r="F32" t="s">
        <v>74</v>
      </c>
      <c r="G32">
        <v>1</v>
      </c>
      <c r="H32">
        <v>90000</v>
      </c>
      <c r="I32">
        <v>8000</v>
      </c>
      <c r="J32">
        <v>1321</v>
      </c>
      <c r="K32">
        <v>12500</v>
      </c>
      <c r="L32" t="s">
        <v>75</v>
      </c>
      <c r="M32">
        <v>125000</v>
      </c>
      <c r="N32">
        <v>653</v>
      </c>
      <c r="O32" t="s">
        <v>188</v>
      </c>
      <c r="P32">
        <v>0</v>
      </c>
      <c r="Q32">
        <v>0</v>
      </c>
      <c r="R32">
        <v>2.5</v>
      </c>
      <c r="S32">
        <v>1</v>
      </c>
      <c r="T32">
        <v>0</v>
      </c>
      <c r="U32">
        <v>0</v>
      </c>
      <c r="V32">
        <v>3125</v>
      </c>
    </row>
    <row r="33" spans="1:22" x14ac:dyDescent="0.3">
      <c r="A33">
        <v>197</v>
      </c>
      <c r="B33">
        <v>143</v>
      </c>
      <c r="C33">
        <v>1139</v>
      </c>
      <c r="D33" t="s">
        <v>69</v>
      </c>
      <c r="E33">
        <v>654</v>
      </c>
      <c r="F33" t="s">
        <v>76</v>
      </c>
      <c r="G33">
        <v>4</v>
      </c>
      <c r="H33">
        <v>130000</v>
      </c>
      <c r="I33">
        <v>23000</v>
      </c>
      <c r="J33">
        <v>1366</v>
      </c>
      <c r="K33">
        <v>20000</v>
      </c>
      <c r="L33" t="s">
        <v>77</v>
      </c>
      <c r="M33">
        <v>200000</v>
      </c>
      <c r="N33">
        <v>654</v>
      </c>
      <c r="O33" t="s">
        <v>188</v>
      </c>
      <c r="P33">
        <v>0</v>
      </c>
      <c r="Q33">
        <v>0</v>
      </c>
      <c r="R33">
        <v>2.5</v>
      </c>
      <c r="S33">
        <v>1</v>
      </c>
      <c r="T33">
        <v>0</v>
      </c>
      <c r="U33">
        <v>0</v>
      </c>
      <c r="V33">
        <v>5000</v>
      </c>
    </row>
    <row r="34" spans="1:22" x14ac:dyDescent="0.3">
      <c r="A34">
        <v>198</v>
      </c>
      <c r="B34">
        <v>144</v>
      </c>
      <c r="C34">
        <v>1139</v>
      </c>
      <c r="D34" t="s">
        <v>69</v>
      </c>
      <c r="E34">
        <v>654</v>
      </c>
      <c r="F34" t="s">
        <v>76</v>
      </c>
      <c r="G34">
        <v>4</v>
      </c>
      <c r="H34">
        <v>130000</v>
      </c>
      <c r="I34">
        <v>23000</v>
      </c>
      <c r="J34">
        <v>1366</v>
      </c>
      <c r="K34">
        <v>20000</v>
      </c>
      <c r="L34" t="s">
        <v>77</v>
      </c>
      <c r="M34">
        <v>200000</v>
      </c>
      <c r="N34">
        <v>654</v>
      </c>
      <c r="O34" t="s">
        <v>190</v>
      </c>
      <c r="P34">
        <v>0</v>
      </c>
      <c r="Q34">
        <v>0</v>
      </c>
      <c r="R34">
        <v>5</v>
      </c>
      <c r="S34">
        <v>2</v>
      </c>
      <c r="T34">
        <v>0</v>
      </c>
      <c r="U34">
        <v>0</v>
      </c>
      <c r="V34">
        <v>10000</v>
      </c>
    </row>
    <row r="35" spans="1:22" x14ac:dyDescent="0.3">
      <c r="A35">
        <v>199</v>
      </c>
      <c r="B35">
        <v>145</v>
      </c>
      <c r="C35">
        <v>1139</v>
      </c>
      <c r="D35" t="s">
        <v>69</v>
      </c>
      <c r="E35">
        <v>654</v>
      </c>
      <c r="F35" t="s">
        <v>76</v>
      </c>
      <c r="G35">
        <v>4</v>
      </c>
      <c r="H35">
        <v>130000</v>
      </c>
      <c r="I35">
        <v>23000</v>
      </c>
      <c r="J35">
        <v>1366</v>
      </c>
      <c r="K35">
        <v>20000</v>
      </c>
      <c r="L35" t="s">
        <v>77</v>
      </c>
      <c r="M35">
        <v>200000</v>
      </c>
      <c r="N35">
        <v>654</v>
      </c>
      <c r="O35" t="s">
        <v>192</v>
      </c>
      <c r="P35">
        <v>0</v>
      </c>
      <c r="Q35">
        <v>5</v>
      </c>
      <c r="R35">
        <v>0</v>
      </c>
      <c r="S35">
        <v>1</v>
      </c>
      <c r="T35">
        <v>0</v>
      </c>
      <c r="U35">
        <v>0</v>
      </c>
      <c r="V35">
        <v>6500</v>
      </c>
    </row>
    <row r="36" spans="1:22" x14ac:dyDescent="0.3">
      <c r="A36">
        <v>200</v>
      </c>
      <c r="B36">
        <v>146</v>
      </c>
      <c r="C36">
        <v>1139</v>
      </c>
      <c r="D36" t="s">
        <v>69</v>
      </c>
      <c r="E36">
        <v>654</v>
      </c>
      <c r="F36" t="s">
        <v>76</v>
      </c>
      <c r="G36">
        <v>4</v>
      </c>
      <c r="H36">
        <v>130000</v>
      </c>
      <c r="I36">
        <v>23000</v>
      </c>
      <c r="J36">
        <v>1366</v>
      </c>
      <c r="K36">
        <v>20000</v>
      </c>
      <c r="L36" t="s">
        <v>77</v>
      </c>
      <c r="M36">
        <v>200000</v>
      </c>
      <c r="N36">
        <v>654</v>
      </c>
      <c r="O36" t="s">
        <v>194</v>
      </c>
      <c r="P36">
        <v>0</v>
      </c>
      <c r="Q36">
        <v>0</v>
      </c>
      <c r="R36">
        <v>2</v>
      </c>
      <c r="S36">
        <v>0</v>
      </c>
      <c r="T36">
        <v>1</v>
      </c>
      <c r="U36">
        <v>1</v>
      </c>
      <c r="V36">
        <v>4000</v>
      </c>
    </row>
    <row r="37" spans="1:22" x14ac:dyDescent="0.3">
      <c r="A37">
        <v>165</v>
      </c>
      <c r="B37">
        <v>144</v>
      </c>
      <c r="C37">
        <v>1063</v>
      </c>
      <c r="D37" t="s">
        <v>69</v>
      </c>
      <c r="E37">
        <v>655</v>
      </c>
      <c r="F37" t="s">
        <v>78</v>
      </c>
      <c r="G37">
        <v>1</v>
      </c>
      <c r="H37">
        <v>190000</v>
      </c>
      <c r="I37">
        <v>10000</v>
      </c>
      <c r="J37">
        <v>1314</v>
      </c>
      <c r="K37">
        <v>30000</v>
      </c>
      <c r="L37" t="s">
        <v>51</v>
      </c>
      <c r="M37">
        <v>300000</v>
      </c>
      <c r="O37" t="s">
        <v>190</v>
      </c>
      <c r="P37">
        <v>0</v>
      </c>
      <c r="Q37">
        <v>0</v>
      </c>
      <c r="R37">
        <v>5</v>
      </c>
      <c r="S37">
        <v>2</v>
      </c>
      <c r="T37">
        <v>0</v>
      </c>
      <c r="U37">
        <v>0</v>
      </c>
      <c r="V37">
        <v>15000</v>
      </c>
    </row>
    <row r="38" spans="1:22" x14ac:dyDescent="0.3">
      <c r="A38">
        <v>166</v>
      </c>
      <c r="B38">
        <v>146</v>
      </c>
      <c r="C38">
        <v>1063</v>
      </c>
      <c r="D38" t="s">
        <v>69</v>
      </c>
      <c r="E38">
        <v>655</v>
      </c>
      <c r="F38" t="s">
        <v>78</v>
      </c>
      <c r="G38">
        <v>1</v>
      </c>
      <c r="H38">
        <v>190000</v>
      </c>
      <c r="I38">
        <v>10000</v>
      </c>
      <c r="J38">
        <v>1314</v>
      </c>
      <c r="K38">
        <v>30000</v>
      </c>
      <c r="L38" t="s">
        <v>51</v>
      </c>
      <c r="M38">
        <v>300000</v>
      </c>
      <c r="O38" t="s">
        <v>194</v>
      </c>
      <c r="P38">
        <v>0</v>
      </c>
      <c r="Q38">
        <v>0</v>
      </c>
      <c r="R38">
        <v>2</v>
      </c>
      <c r="S38">
        <v>0</v>
      </c>
      <c r="T38">
        <v>1</v>
      </c>
      <c r="U38">
        <v>1</v>
      </c>
      <c r="V38">
        <v>6000</v>
      </c>
    </row>
    <row r="39" spans="1:22" x14ac:dyDescent="0.3">
      <c r="A39">
        <v>201</v>
      </c>
      <c r="B39">
        <v>143</v>
      </c>
      <c r="C39">
        <v>1136</v>
      </c>
      <c r="D39" t="s">
        <v>69</v>
      </c>
      <c r="E39">
        <v>655</v>
      </c>
      <c r="F39" t="s">
        <v>78</v>
      </c>
      <c r="G39">
        <v>4</v>
      </c>
      <c r="H39">
        <v>190000</v>
      </c>
      <c r="I39">
        <v>15000</v>
      </c>
      <c r="J39">
        <v>1367</v>
      </c>
      <c r="K39">
        <v>30000</v>
      </c>
      <c r="L39" t="s">
        <v>56</v>
      </c>
      <c r="M39">
        <v>425000</v>
      </c>
      <c r="N39">
        <v>655</v>
      </c>
      <c r="O39" t="s">
        <v>188</v>
      </c>
      <c r="P39">
        <v>0</v>
      </c>
      <c r="Q39">
        <v>0</v>
      </c>
      <c r="R39">
        <v>2.5</v>
      </c>
      <c r="S39">
        <v>1</v>
      </c>
      <c r="T39">
        <v>0</v>
      </c>
      <c r="U39">
        <v>0</v>
      </c>
      <c r="V39">
        <v>7500</v>
      </c>
    </row>
    <row r="40" spans="1:22" x14ac:dyDescent="0.3">
      <c r="A40">
        <v>202</v>
      </c>
      <c r="B40">
        <v>145</v>
      </c>
      <c r="C40">
        <v>1136</v>
      </c>
      <c r="D40" t="s">
        <v>69</v>
      </c>
      <c r="E40">
        <v>655</v>
      </c>
      <c r="F40" t="s">
        <v>78</v>
      </c>
      <c r="G40">
        <v>4</v>
      </c>
      <c r="H40">
        <v>190000</v>
      </c>
      <c r="I40">
        <v>15000</v>
      </c>
      <c r="J40">
        <v>1367</v>
      </c>
      <c r="K40">
        <v>30000</v>
      </c>
      <c r="L40" t="s">
        <v>56</v>
      </c>
      <c r="M40">
        <v>425000</v>
      </c>
      <c r="N40">
        <v>655</v>
      </c>
      <c r="O40" t="s">
        <v>192</v>
      </c>
      <c r="P40">
        <v>0</v>
      </c>
      <c r="Q40">
        <v>5</v>
      </c>
      <c r="R40">
        <v>0</v>
      </c>
      <c r="S40">
        <v>1</v>
      </c>
      <c r="T40">
        <v>0</v>
      </c>
      <c r="U40">
        <v>0</v>
      </c>
      <c r="V40">
        <v>9500</v>
      </c>
    </row>
    <row r="41" spans="1:22" x14ac:dyDescent="0.3">
      <c r="A41">
        <v>176</v>
      </c>
      <c r="B41">
        <v>144</v>
      </c>
      <c r="C41">
        <v>1074</v>
      </c>
      <c r="D41" t="s">
        <v>79</v>
      </c>
      <c r="E41">
        <v>659</v>
      </c>
      <c r="F41" t="s">
        <v>81</v>
      </c>
      <c r="G41">
        <v>1</v>
      </c>
      <c r="H41">
        <v>110000</v>
      </c>
      <c r="I41">
        <v>18000</v>
      </c>
      <c r="J41">
        <v>1331</v>
      </c>
      <c r="K41">
        <v>16000</v>
      </c>
      <c r="L41" t="s">
        <v>66</v>
      </c>
      <c r="M41">
        <v>200000</v>
      </c>
      <c r="O41" t="s">
        <v>190</v>
      </c>
      <c r="P41">
        <v>0</v>
      </c>
      <c r="Q41">
        <v>0</v>
      </c>
      <c r="R41">
        <v>5</v>
      </c>
      <c r="S41">
        <v>2</v>
      </c>
      <c r="T41">
        <v>0</v>
      </c>
      <c r="U41">
        <v>0</v>
      </c>
      <c r="V41">
        <v>8000</v>
      </c>
    </row>
    <row r="42" spans="1:22" x14ac:dyDescent="0.3">
      <c r="A42">
        <v>193</v>
      </c>
      <c r="B42">
        <v>143</v>
      </c>
      <c r="C42">
        <v>1117</v>
      </c>
      <c r="D42" t="s">
        <v>79</v>
      </c>
      <c r="E42">
        <v>659</v>
      </c>
      <c r="F42" t="s">
        <v>81</v>
      </c>
      <c r="G42">
        <v>2</v>
      </c>
      <c r="H42">
        <v>110000</v>
      </c>
      <c r="I42">
        <v>15000</v>
      </c>
      <c r="J42">
        <v>1331</v>
      </c>
      <c r="K42">
        <v>16000</v>
      </c>
      <c r="L42" t="s">
        <v>66</v>
      </c>
      <c r="M42">
        <v>200000</v>
      </c>
      <c r="O42" t="s">
        <v>188</v>
      </c>
      <c r="P42">
        <v>0</v>
      </c>
      <c r="Q42">
        <v>0</v>
      </c>
      <c r="R42">
        <v>2.5</v>
      </c>
      <c r="S42">
        <v>1</v>
      </c>
      <c r="T42">
        <v>0</v>
      </c>
      <c r="U42">
        <v>0</v>
      </c>
      <c r="V42">
        <v>4000</v>
      </c>
    </row>
    <row r="43" spans="1:22" x14ac:dyDescent="0.3">
      <c r="A43">
        <v>194</v>
      </c>
      <c r="B43">
        <v>145</v>
      </c>
      <c r="C43">
        <v>1117</v>
      </c>
      <c r="D43" t="s">
        <v>79</v>
      </c>
      <c r="E43">
        <v>659</v>
      </c>
      <c r="F43" t="s">
        <v>81</v>
      </c>
      <c r="G43">
        <v>2</v>
      </c>
      <c r="H43">
        <v>110000</v>
      </c>
      <c r="I43">
        <v>15000</v>
      </c>
      <c r="J43">
        <v>1331</v>
      </c>
      <c r="K43">
        <v>16000</v>
      </c>
      <c r="L43" t="s">
        <v>66</v>
      </c>
      <c r="M43">
        <v>200000</v>
      </c>
      <c r="O43" t="s">
        <v>192</v>
      </c>
      <c r="P43">
        <v>0</v>
      </c>
      <c r="Q43">
        <v>5</v>
      </c>
      <c r="R43">
        <v>0</v>
      </c>
      <c r="S43">
        <v>1</v>
      </c>
      <c r="T43">
        <v>0</v>
      </c>
      <c r="U43">
        <v>0</v>
      </c>
      <c r="V43">
        <v>5500</v>
      </c>
    </row>
    <row r="44" spans="1:22" x14ac:dyDescent="0.3">
      <c r="A44">
        <v>204</v>
      </c>
      <c r="B44">
        <v>146</v>
      </c>
      <c r="C44">
        <v>1142</v>
      </c>
      <c r="D44" t="s">
        <v>79</v>
      </c>
      <c r="E44">
        <v>659</v>
      </c>
      <c r="F44" t="s">
        <v>81</v>
      </c>
      <c r="G44">
        <v>3</v>
      </c>
      <c r="H44">
        <v>110000</v>
      </c>
      <c r="I44">
        <v>0</v>
      </c>
      <c r="J44">
        <v>1331</v>
      </c>
      <c r="K44">
        <v>16000</v>
      </c>
      <c r="L44" t="s">
        <v>66</v>
      </c>
      <c r="M44">
        <v>200000</v>
      </c>
      <c r="O44" t="s">
        <v>194</v>
      </c>
      <c r="P44">
        <v>0</v>
      </c>
      <c r="Q44">
        <v>0</v>
      </c>
      <c r="R44">
        <v>2</v>
      </c>
      <c r="S44">
        <v>0</v>
      </c>
      <c r="T44">
        <v>1</v>
      </c>
      <c r="U44">
        <v>1</v>
      </c>
      <c r="V44">
        <v>3200</v>
      </c>
    </row>
    <row r="45" spans="1:22" x14ac:dyDescent="0.3">
      <c r="A45">
        <v>179</v>
      </c>
      <c r="B45">
        <v>146</v>
      </c>
      <c r="C45">
        <v>1072</v>
      </c>
      <c r="D45" t="s">
        <v>79</v>
      </c>
      <c r="E45">
        <v>660</v>
      </c>
      <c r="F45" t="s">
        <v>82</v>
      </c>
      <c r="G45">
        <v>1</v>
      </c>
      <c r="H45">
        <v>60000</v>
      </c>
      <c r="I45">
        <v>0</v>
      </c>
      <c r="J45">
        <v>1334</v>
      </c>
      <c r="K45">
        <v>8000</v>
      </c>
      <c r="L45" t="s">
        <v>83</v>
      </c>
      <c r="M45">
        <v>80000</v>
      </c>
      <c r="N45">
        <v>660</v>
      </c>
      <c r="O45" t="s">
        <v>194</v>
      </c>
      <c r="P45">
        <v>0</v>
      </c>
      <c r="Q45">
        <v>0</v>
      </c>
      <c r="R45">
        <v>2</v>
      </c>
      <c r="S45">
        <v>0</v>
      </c>
      <c r="T45">
        <v>1</v>
      </c>
      <c r="U45">
        <v>1</v>
      </c>
      <c r="V45">
        <v>1600</v>
      </c>
    </row>
    <row r="46" spans="1:22" x14ac:dyDescent="0.3">
      <c r="A46">
        <v>208</v>
      </c>
      <c r="B46">
        <v>143</v>
      </c>
      <c r="C46">
        <v>1151</v>
      </c>
      <c r="D46" t="s">
        <v>79</v>
      </c>
      <c r="E46">
        <v>660</v>
      </c>
      <c r="F46" t="s">
        <v>82</v>
      </c>
      <c r="G46">
        <v>4</v>
      </c>
      <c r="H46">
        <v>60000</v>
      </c>
      <c r="I46">
        <v>0</v>
      </c>
      <c r="J46">
        <v>1334</v>
      </c>
      <c r="K46">
        <v>8000</v>
      </c>
      <c r="L46" t="s">
        <v>83</v>
      </c>
      <c r="M46">
        <v>80000</v>
      </c>
      <c r="N46">
        <v>660</v>
      </c>
      <c r="O46" t="s">
        <v>188</v>
      </c>
      <c r="P46">
        <v>0</v>
      </c>
      <c r="Q46">
        <v>0</v>
      </c>
      <c r="R46">
        <v>2.5</v>
      </c>
      <c r="S46">
        <v>1</v>
      </c>
      <c r="T46">
        <v>0</v>
      </c>
      <c r="U46">
        <v>0</v>
      </c>
      <c r="V46">
        <v>2000</v>
      </c>
    </row>
    <row r="47" spans="1:22" x14ac:dyDescent="0.3">
      <c r="A47">
        <v>177</v>
      </c>
      <c r="B47">
        <v>144</v>
      </c>
      <c r="C47">
        <v>1076</v>
      </c>
      <c r="D47" t="s">
        <v>79</v>
      </c>
      <c r="E47">
        <v>661</v>
      </c>
      <c r="F47" t="s">
        <v>84</v>
      </c>
      <c r="G47">
        <v>1</v>
      </c>
      <c r="H47">
        <v>90000</v>
      </c>
      <c r="I47">
        <v>6000</v>
      </c>
      <c r="J47">
        <v>1328</v>
      </c>
      <c r="K47">
        <v>10000</v>
      </c>
      <c r="L47" t="s">
        <v>48</v>
      </c>
      <c r="M47">
        <v>100000</v>
      </c>
      <c r="N47">
        <v>661</v>
      </c>
      <c r="O47" t="s">
        <v>190</v>
      </c>
      <c r="P47">
        <v>0</v>
      </c>
      <c r="Q47">
        <v>0</v>
      </c>
      <c r="R47">
        <v>5</v>
      </c>
      <c r="S47">
        <v>2</v>
      </c>
      <c r="T47">
        <v>0</v>
      </c>
      <c r="U47">
        <v>0</v>
      </c>
      <c r="V47">
        <v>5000</v>
      </c>
    </row>
    <row r="48" spans="1:22" x14ac:dyDescent="0.3">
      <c r="A48">
        <v>178</v>
      </c>
      <c r="B48">
        <v>146</v>
      </c>
      <c r="C48">
        <v>1076</v>
      </c>
      <c r="D48" t="s">
        <v>79</v>
      </c>
      <c r="E48">
        <v>661</v>
      </c>
      <c r="F48" t="s">
        <v>84</v>
      </c>
      <c r="G48">
        <v>1</v>
      </c>
      <c r="H48">
        <v>90000</v>
      </c>
      <c r="I48">
        <v>6000</v>
      </c>
      <c r="J48">
        <v>1328</v>
      </c>
      <c r="K48">
        <v>10000</v>
      </c>
      <c r="L48" t="s">
        <v>48</v>
      </c>
      <c r="M48">
        <v>100000</v>
      </c>
      <c r="N48">
        <v>661</v>
      </c>
      <c r="O48" t="s">
        <v>194</v>
      </c>
      <c r="P48">
        <v>0</v>
      </c>
      <c r="Q48">
        <v>0</v>
      </c>
      <c r="R48">
        <v>2</v>
      </c>
      <c r="S48">
        <v>0</v>
      </c>
      <c r="T48">
        <v>1</v>
      </c>
      <c r="U48">
        <v>1</v>
      </c>
      <c r="V48">
        <v>2000</v>
      </c>
    </row>
    <row r="49" spans="1:22" x14ac:dyDescent="0.3">
      <c r="A49">
        <v>191</v>
      </c>
      <c r="B49">
        <v>143</v>
      </c>
      <c r="C49">
        <v>1118</v>
      </c>
      <c r="D49" t="s">
        <v>79</v>
      </c>
      <c r="E49">
        <v>661</v>
      </c>
      <c r="F49" t="s">
        <v>84</v>
      </c>
      <c r="G49">
        <v>2</v>
      </c>
      <c r="H49">
        <v>90000</v>
      </c>
      <c r="I49">
        <v>8000</v>
      </c>
      <c r="J49">
        <v>1328</v>
      </c>
      <c r="K49">
        <v>10000</v>
      </c>
      <c r="L49" t="s">
        <v>48</v>
      </c>
      <c r="M49">
        <v>100000</v>
      </c>
      <c r="N49">
        <v>661</v>
      </c>
      <c r="O49" t="s">
        <v>188</v>
      </c>
      <c r="P49">
        <v>0</v>
      </c>
      <c r="Q49">
        <v>0</v>
      </c>
      <c r="R49">
        <v>2.5</v>
      </c>
      <c r="S49">
        <v>1</v>
      </c>
      <c r="T49">
        <v>0</v>
      </c>
      <c r="U49">
        <v>0</v>
      </c>
      <c r="V49">
        <v>2500</v>
      </c>
    </row>
    <row r="50" spans="1:22" x14ac:dyDescent="0.3">
      <c r="A50">
        <v>192</v>
      </c>
      <c r="B50">
        <v>145</v>
      </c>
      <c r="C50">
        <v>1118</v>
      </c>
      <c r="D50" t="s">
        <v>79</v>
      </c>
      <c r="E50">
        <v>661</v>
      </c>
      <c r="F50" t="s">
        <v>84</v>
      </c>
      <c r="G50">
        <v>2</v>
      </c>
      <c r="H50">
        <v>90000</v>
      </c>
      <c r="I50">
        <v>8000</v>
      </c>
      <c r="J50">
        <v>1328</v>
      </c>
      <c r="K50">
        <v>10000</v>
      </c>
      <c r="L50" t="s">
        <v>48</v>
      </c>
      <c r="M50">
        <v>100000</v>
      </c>
      <c r="N50">
        <v>661</v>
      </c>
      <c r="O50" t="s">
        <v>192</v>
      </c>
      <c r="P50">
        <v>0</v>
      </c>
      <c r="Q50">
        <v>5</v>
      </c>
      <c r="R50">
        <v>0</v>
      </c>
      <c r="S50">
        <v>1</v>
      </c>
      <c r="T50">
        <v>0</v>
      </c>
      <c r="U50">
        <v>0</v>
      </c>
      <c r="V50">
        <v>4500</v>
      </c>
    </row>
    <row r="51" spans="1:22" x14ac:dyDescent="0.3">
      <c r="A51">
        <v>190</v>
      </c>
      <c r="B51">
        <v>144</v>
      </c>
      <c r="C51">
        <v>1116</v>
      </c>
      <c r="D51" t="s">
        <v>79</v>
      </c>
      <c r="E51">
        <v>662</v>
      </c>
      <c r="F51" t="s">
        <v>85</v>
      </c>
      <c r="G51">
        <v>2</v>
      </c>
      <c r="H51">
        <v>130000</v>
      </c>
      <c r="I51">
        <v>8000</v>
      </c>
      <c r="J51">
        <v>1326</v>
      </c>
      <c r="K51">
        <v>20000</v>
      </c>
      <c r="L51" t="s">
        <v>41</v>
      </c>
      <c r="M51">
        <v>200000</v>
      </c>
      <c r="N51">
        <v>662</v>
      </c>
      <c r="O51" t="s">
        <v>190</v>
      </c>
      <c r="P51">
        <v>0</v>
      </c>
      <c r="Q51">
        <v>0</v>
      </c>
      <c r="R51">
        <v>5</v>
      </c>
      <c r="S51">
        <v>2</v>
      </c>
      <c r="T51">
        <v>0</v>
      </c>
      <c r="U51">
        <v>0</v>
      </c>
      <c r="V51">
        <v>10000</v>
      </c>
    </row>
    <row r="52" spans="1:22" x14ac:dyDescent="0.3">
      <c r="A52">
        <v>205</v>
      </c>
      <c r="B52">
        <v>143</v>
      </c>
      <c r="C52">
        <v>1149</v>
      </c>
      <c r="D52" t="s">
        <v>79</v>
      </c>
      <c r="E52">
        <v>662</v>
      </c>
      <c r="F52" t="s">
        <v>85</v>
      </c>
      <c r="G52">
        <v>4</v>
      </c>
      <c r="H52">
        <v>130000</v>
      </c>
      <c r="I52">
        <v>0</v>
      </c>
      <c r="J52">
        <v>1326</v>
      </c>
      <c r="K52">
        <v>20000</v>
      </c>
      <c r="L52" t="s">
        <v>41</v>
      </c>
      <c r="M52">
        <v>200000</v>
      </c>
      <c r="N52">
        <v>662</v>
      </c>
      <c r="O52" t="s">
        <v>188</v>
      </c>
      <c r="P52">
        <v>0</v>
      </c>
      <c r="Q52">
        <v>0</v>
      </c>
      <c r="R52">
        <v>2.5</v>
      </c>
      <c r="S52">
        <v>1</v>
      </c>
      <c r="T52">
        <v>0</v>
      </c>
      <c r="U52">
        <v>0</v>
      </c>
      <c r="V52">
        <v>5000</v>
      </c>
    </row>
    <row r="53" spans="1:22" x14ac:dyDescent="0.3">
      <c r="A53">
        <v>206</v>
      </c>
      <c r="B53">
        <v>145</v>
      </c>
      <c r="C53">
        <v>1149</v>
      </c>
      <c r="D53" t="s">
        <v>79</v>
      </c>
      <c r="E53">
        <v>662</v>
      </c>
      <c r="F53" t="s">
        <v>85</v>
      </c>
      <c r="G53">
        <v>4</v>
      </c>
      <c r="H53">
        <v>130000</v>
      </c>
      <c r="I53">
        <v>0</v>
      </c>
      <c r="J53">
        <v>1326</v>
      </c>
      <c r="K53">
        <v>20000</v>
      </c>
      <c r="L53" t="s">
        <v>41</v>
      </c>
      <c r="M53">
        <v>200000</v>
      </c>
      <c r="N53">
        <v>662</v>
      </c>
      <c r="O53" t="s">
        <v>192</v>
      </c>
      <c r="P53">
        <v>0</v>
      </c>
      <c r="Q53">
        <v>5</v>
      </c>
      <c r="R53">
        <v>0</v>
      </c>
      <c r="S53">
        <v>1</v>
      </c>
      <c r="T53">
        <v>0</v>
      </c>
      <c r="U53">
        <v>0</v>
      </c>
      <c r="V53">
        <v>6500</v>
      </c>
    </row>
    <row r="54" spans="1:22" x14ac:dyDescent="0.3">
      <c r="A54">
        <v>207</v>
      </c>
      <c r="B54">
        <v>146</v>
      </c>
      <c r="C54">
        <v>1149</v>
      </c>
      <c r="D54" t="s">
        <v>79</v>
      </c>
      <c r="E54">
        <v>662</v>
      </c>
      <c r="F54" t="s">
        <v>85</v>
      </c>
      <c r="G54">
        <v>4</v>
      </c>
      <c r="H54">
        <v>130000</v>
      </c>
      <c r="I54">
        <v>0</v>
      </c>
      <c r="J54">
        <v>1326</v>
      </c>
      <c r="K54">
        <v>20000</v>
      </c>
      <c r="L54" t="s">
        <v>41</v>
      </c>
      <c r="M54">
        <v>200000</v>
      </c>
      <c r="N54">
        <v>662</v>
      </c>
      <c r="O54" t="s">
        <v>194</v>
      </c>
      <c r="P54">
        <v>0</v>
      </c>
      <c r="Q54">
        <v>0</v>
      </c>
      <c r="R54">
        <v>2</v>
      </c>
      <c r="S54">
        <v>0</v>
      </c>
      <c r="T54">
        <v>1</v>
      </c>
      <c r="U54">
        <v>1</v>
      </c>
      <c r="V54">
        <v>4000</v>
      </c>
    </row>
    <row r="55" spans="1:22" x14ac:dyDescent="0.3">
      <c r="A55">
        <v>174</v>
      </c>
      <c r="B55">
        <v>144</v>
      </c>
      <c r="C55">
        <v>1071</v>
      </c>
      <c r="D55" t="s">
        <v>79</v>
      </c>
      <c r="E55">
        <v>663</v>
      </c>
      <c r="F55" t="s">
        <v>86</v>
      </c>
      <c r="G55">
        <v>1</v>
      </c>
      <c r="H55">
        <v>190000</v>
      </c>
      <c r="I55">
        <v>24000</v>
      </c>
      <c r="J55">
        <v>1329</v>
      </c>
      <c r="K55">
        <v>30000</v>
      </c>
      <c r="L55" t="s">
        <v>51</v>
      </c>
      <c r="M55">
        <v>300000</v>
      </c>
      <c r="N55">
        <v>664</v>
      </c>
      <c r="O55" t="s">
        <v>190</v>
      </c>
      <c r="P55">
        <v>0</v>
      </c>
      <c r="Q55">
        <v>0</v>
      </c>
      <c r="R55">
        <v>5</v>
      </c>
      <c r="S55">
        <v>2</v>
      </c>
      <c r="T55">
        <v>0</v>
      </c>
      <c r="U55">
        <v>0</v>
      </c>
      <c r="V55">
        <v>15000</v>
      </c>
    </row>
    <row r="56" spans="1:22" x14ac:dyDescent="0.3">
      <c r="A56">
        <v>175</v>
      </c>
      <c r="B56">
        <v>146</v>
      </c>
      <c r="C56">
        <v>1071</v>
      </c>
      <c r="D56" t="s">
        <v>79</v>
      </c>
      <c r="E56">
        <v>663</v>
      </c>
      <c r="F56" t="s">
        <v>86</v>
      </c>
      <c r="G56">
        <v>1</v>
      </c>
      <c r="H56">
        <v>190000</v>
      </c>
      <c r="I56">
        <v>24000</v>
      </c>
      <c r="J56">
        <v>1329</v>
      </c>
      <c r="K56">
        <v>30000</v>
      </c>
      <c r="L56" t="s">
        <v>51</v>
      </c>
      <c r="M56">
        <v>300000</v>
      </c>
      <c r="N56">
        <v>664</v>
      </c>
      <c r="O56" t="s">
        <v>194</v>
      </c>
      <c r="P56">
        <v>0</v>
      </c>
      <c r="Q56">
        <v>0</v>
      </c>
      <c r="R56">
        <v>2</v>
      </c>
      <c r="S56">
        <v>0</v>
      </c>
      <c r="T56">
        <v>1</v>
      </c>
      <c r="U56">
        <v>1</v>
      </c>
      <c r="V56">
        <v>6000</v>
      </c>
    </row>
    <row r="57" spans="1:22" x14ac:dyDescent="0.3">
      <c r="A57">
        <v>188</v>
      </c>
      <c r="B57">
        <v>143</v>
      </c>
      <c r="C57">
        <v>1119</v>
      </c>
      <c r="D57" t="s">
        <v>79</v>
      </c>
      <c r="E57">
        <v>663</v>
      </c>
      <c r="F57" t="s">
        <v>86</v>
      </c>
      <c r="G57">
        <v>2</v>
      </c>
      <c r="H57">
        <v>190000</v>
      </c>
      <c r="I57">
        <v>1000</v>
      </c>
      <c r="J57">
        <v>1329</v>
      </c>
      <c r="K57">
        <v>30000</v>
      </c>
      <c r="L57" t="s">
        <v>51</v>
      </c>
      <c r="M57">
        <v>300000</v>
      </c>
      <c r="N57">
        <v>664</v>
      </c>
      <c r="O57" t="s">
        <v>188</v>
      </c>
      <c r="P57">
        <v>0</v>
      </c>
      <c r="Q57">
        <v>0</v>
      </c>
      <c r="R57">
        <v>2.5</v>
      </c>
      <c r="S57">
        <v>1</v>
      </c>
      <c r="T57">
        <v>0</v>
      </c>
      <c r="U57">
        <v>0</v>
      </c>
      <c r="V57">
        <v>7500</v>
      </c>
    </row>
    <row r="58" spans="1:22" x14ac:dyDescent="0.3">
      <c r="A58">
        <v>189</v>
      </c>
      <c r="B58">
        <v>145</v>
      </c>
      <c r="C58">
        <v>1119</v>
      </c>
      <c r="D58" t="s">
        <v>79</v>
      </c>
      <c r="E58">
        <v>663</v>
      </c>
      <c r="F58" t="s">
        <v>86</v>
      </c>
      <c r="G58">
        <v>2</v>
      </c>
      <c r="H58">
        <v>190000</v>
      </c>
      <c r="I58">
        <v>1000</v>
      </c>
      <c r="J58">
        <v>1329</v>
      </c>
      <c r="K58">
        <v>30000</v>
      </c>
      <c r="L58" t="s">
        <v>51</v>
      </c>
      <c r="M58">
        <v>300000</v>
      </c>
      <c r="N58">
        <v>664</v>
      </c>
      <c r="O58" t="s">
        <v>192</v>
      </c>
      <c r="P58">
        <v>0</v>
      </c>
      <c r="Q58">
        <v>5</v>
      </c>
      <c r="R58">
        <v>0</v>
      </c>
      <c r="S58">
        <v>1</v>
      </c>
      <c r="T58">
        <v>0</v>
      </c>
      <c r="U58">
        <v>0</v>
      </c>
      <c r="V58">
        <v>9500</v>
      </c>
    </row>
    <row r="59" spans="1:22" x14ac:dyDescent="0.3">
      <c r="A59">
        <v>203</v>
      </c>
      <c r="B59">
        <v>143</v>
      </c>
      <c r="C59">
        <v>1140</v>
      </c>
      <c r="D59" t="s">
        <v>79</v>
      </c>
      <c r="E59">
        <v>664</v>
      </c>
      <c r="F59" t="s">
        <v>87</v>
      </c>
      <c r="G59">
        <v>3</v>
      </c>
      <c r="H59">
        <v>110000</v>
      </c>
      <c r="I59">
        <v>1000</v>
      </c>
      <c r="J59">
        <v>1327</v>
      </c>
      <c r="K59">
        <v>17000</v>
      </c>
      <c r="L59" t="s">
        <v>58</v>
      </c>
      <c r="M59">
        <v>240000</v>
      </c>
      <c r="O59" t="s">
        <v>188</v>
      </c>
      <c r="P59">
        <v>0</v>
      </c>
      <c r="Q59">
        <v>0</v>
      </c>
      <c r="R59">
        <v>2.5</v>
      </c>
      <c r="S59">
        <v>1</v>
      </c>
      <c r="T59">
        <v>0</v>
      </c>
      <c r="U59">
        <v>0</v>
      </c>
      <c r="V59">
        <v>4250</v>
      </c>
    </row>
    <row r="60" spans="1:22" x14ac:dyDescent="0.3">
      <c r="A60">
        <v>209</v>
      </c>
      <c r="B60">
        <v>145</v>
      </c>
      <c r="C60">
        <v>1146</v>
      </c>
      <c r="D60" t="s">
        <v>79</v>
      </c>
      <c r="E60">
        <v>664</v>
      </c>
      <c r="F60" t="s">
        <v>87</v>
      </c>
      <c r="G60">
        <v>4</v>
      </c>
      <c r="H60">
        <v>110000</v>
      </c>
      <c r="I60">
        <v>0</v>
      </c>
      <c r="J60">
        <v>1329</v>
      </c>
      <c r="K60">
        <v>17000</v>
      </c>
      <c r="L60" t="s">
        <v>51</v>
      </c>
      <c r="M60">
        <v>300000</v>
      </c>
      <c r="N60">
        <v>664</v>
      </c>
      <c r="O60" t="s">
        <v>192</v>
      </c>
      <c r="P60">
        <v>0</v>
      </c>
      <c r="Q60">
        <v>5</v>
      </c>
      <c r="R60">
        <v>0</v>
      </c>
      <c r="S60">
        <v>1</v>
      </c>
      <c r="T60">
        <v>0</v>
      </c>
      <c r="U60">
        <v>0</v>
      </c>
      <c r="V60">
        <v>5500</v>
      </c>
    </row>
    <row r="61" spans="1:22" x14ac:dyDescent="0.3">
      <c r="A61">
        <v>229</v>
      </c>
      <c r="B61">
        <v>144</v>
      </c>
      <c r="C61">
        <v>1182</v>
      </c>
      <c r="D61" t="s">
        <v>88</v>
      </c>
      <c r="E61">
        <v>666</v>
      </c>
      <c r="F61" t="s">
        <v>89</v>
      </c>
      <c r="G61">
        <v>1</v>
      </c>
      <c r="H61">
        <v>75000</v>
      </c>
      <c r="I61">
        <v>1000</v>
      </c>
      <c r="J61">
        <v>1417</v>
      </c>
      <c r="K61">
        <v>7000</v>
      </c>
      <c r="L61" t="s">
        <v>71</v>
      </c>
      <c r="M61">
        <v>70000</v>
      </c>
      <c r="N61">
        <v>666</v>
      </c>
      <c r="O61" t="s">
        <v>190</v>
      </c>
      <c r="P61">
        <v>0</v>
      </c>
      <c r="Q61">
        <v>0</v>
      </c>
      <c r="R61">
        <v>5</v>
      </c>
      <c r="S61">
        <v>2</v>
      </c>
      <c r="T61">
        <v>0</v>
      </c>
      <c r="U61">
        <v>0</v>
      </c>
      <c r="V61">
        <v>3500</v>
      </c>
    </row>
    <row r="62" spans="1:22" x14ac:dyDescent="0.3">
      <c r="A62">
        <v>234</v>
      </c>
      <c r="B62">
        <v>144</v>
      </c>
      <c r="C62">
        <v>1201</v>
      </c>
      <c r="D62" t="s">
        <v>88</v>
      </c>
      <c r="E62">
        <v>667</v>
      </c>
      <c r="F62" t="s">
        <v>90</v>
      </c>
      <c r="G62">
        <v>1</v>
      </c>
      <c r="H62">
        <v>110000</v>
      </c>
      <c r="I62">
        <v>0</v>
      </c>
      <c r="J62">
        <v>1404</v>
      </c>
      <c r="K62">
        <v>17000</v>
      </c>
      <c r="L62" t="s">
        <v>41</v>
      </c>
      <c r="M62">
        <v>200000</v>
      </c>
      <c r="N62">
        <v>667</v>
      </c>
      <c r="O62" t="s">
        <v>190</v>
      </c>
      <c r="P62">
        <v>0</v>
      </c>
      <c r="Q62">
        <v>0</v>
      </c>
      <c r="R62">
        <v>5</v>
      </c>
      <c r="S62">
        <v>2</v>
      </c>
      <c r="T62">
        <v>0</v>
      </c>
      <c r="U62">
        <v>0</v>
      </c>
      <c r="V62">
        <v>8500</v>
      </c>
    </row>
    <row r="63" spans="1:22" x14ac:dyDescent="0.3">
      <c r="A63">
        <v>230</v>
      </c>
      <c r="B63">
        <v>143</v>
      </c>
      <c r="C63">
        <v>1188</v>
      </c>
      <c r="D63" t="s">
        <v>88</v>
      </c>
      <c r="E63">
        <v>669</v>
      </c>
      <c r="F63" t="s">
        <v>92</v>
      </c>
      <c r="G63">
        <v>1</v>
      </c>
      <c r="H63">
        <v>90000</v>
      </c>
      <c r="I63">
        <v>6000</v>
      </c>
      <c r="J63">
        <v>1406</v>
      </c>
      <c r="K63">
        <v>10000</v>
      </c>
      <c r="L63" t="s">
        <v>48</v>
      </c>
      <c r="M63">
        <v>100000</v>
      </c>
      <c r="N63">
        <v>669</v>
      </c>
      <c r="O63" t="s">
        <v>188</v>
      </c>
      <c r="P63">
        <v>0</v>
      </c>
      <c r="Q63">
        <v>0</v>
      </c>
      <c r="R63">
        <v>2.5</v>
      </c>
      <c r="S63">
        <v>1</v>
      </c>
      <c r="T63">
        <v>0</v>
      </c>
      <c r="U63">
        <v>0</v>
      </c>
      <c r="V63">
        <v>2500</v>
      </c>
    </row>
    <row r="64" spans="1:22" x14ac:dyDescent="0.3">
      <c r="A64">
        <v>231</v>
      </c>
      <c r="B64">
        <v>146</v>
      </c>
      <c r="C64">
        <v>1188</v>
      </c>
      <c r="D64" t="s">
        <v>88</v>
      </c>
      <c r="E64">
        <v>669</v>
      </c>
      <c r="F64" t="s">
        <v>92</v>
      </c>
      <c r="G64">
        <v>1</v>
      </c>
      <c r="H64">
        <v>90000</v>
      </c>
      <c r="I64">
        <v>6000</v>
      </c>
      <c r="J64">
        <v>1406</v>
      </c>
      <c r="K64">
        <v>10000</v>
      </c>
      <c r="L64" t="s">
        <v>48</v>
      </c>
      <c r="M64">
        <v>100000</v>
      </c>
      <c r="N64">
        <v>669</v>
      </c>
      <c r="O64" t="s">
        <v>194</v>
      </c>
      <c r="P64">
        <v>0</v>
      </c>
      <c r="Q64">
        <v>0</v>
      </c>
      <c r="R64">
        <v>2</v>
      </c>
      <c r="S64">
        <v>0</v>
      </c>
      <c r="T64">
        <v>1</v>
      </c>
      <c r="U64">
        <v>1</v>
      </c>
      <c r="V64">
        <v>2000</v>
      </c>
    </row>
    <row r="65" spans="1:22" x14ac:dyDescent="0.3">
      <c r="A65">
        <v>228</v>
      </c>
      <c r="B65">
        <v>144</v>
      </c>
      <c r="C65">
        <v>1185</v>
      </c>
      <c r="D65" t="s">
        <v>88</v>
      </c>
      <c r="E65">
        <v>670</v>
      </c>
      <c r="F65" t="s">
        <v>93</v>
      </c>
      <c r="G65">
        <v>1</v>
      </c>
      <c r="H65">
        <v>130000</v>
      </c>
      <c r="I65">
        <v>8000</v>
      </c>
      <c r="J65">
        <v>1410</v>
      </c>
      <c r="K65">
        <v>16000</v>
      </c>
      <c r="L65" t="s">
        <v>94</v>
      </c>
      <c r="M65">
        <v>160000</v>
      </c>
      <c r="N65">
        <v>670</v>
      </c>
      <c r="O65" t="s">
        <v>190</v>
      </c>
      <c r="P65">
        <v>0</v>
      </c>
      <c r="Q65">
        <v>0</v>
      </c>
      <c r="R65">
        <v>5</v>
      </c>
      <c r="S65">
        <v>2</v>
      </c>
      <c r="T65">
        <v>0</v>
      </c>
      <c r="U65">
        <v>0</v>
      </c>
      <c r="V65">
        <v>8000</v>
      </c>
    </row>
    <row r="66" spans="1:22" x14ac:dyDescent="0.3">
      <c r="A66">
        <v>256</v>
      </c>
      <c r="B66">
        <v>143</v>
      </c>
      <c r="C66">
        <v>1221</v>
      </c>
      <c r="D66" t="s">
        <v>88</v>
      </c>
      <c r="E66">
        <v>670</v>
      </c>
      <c r="F66" t="s">
        <v>93</v>
      </c>
      <c r="G66">
        <v>2</v>
      </c>
      <c r="H66">
        <v>130000</v>
      </c>
      <c r="I66">
        <v>14000</v>
      </c>
      <c r="J66">
        <v>1410</v>
      </c>
      <c r="K66">
        <v>16000</v>
      </c>
      <c r="L66" t="s">
        <v>94</v>
      </c>
      <c r="M66">
        <v>160000</v>
      </c>
      <c r="N66">
        <v>670</v>
      </c>
      <c r="O66" t="s">
        <v>188</v>
      </c>
      <c r="P66">
        <v>0</v>
      </c>
      <c r="Q66">
        <v>0</v>
      </c>
      <c r="R66">
        <v>2.5</v>
      </c>
      <c r="S66">
        <v>1</v>
      </c>
      <c r="T66">
        <v>0</v>
      </c>
      <c r="U66">
        <v>0</v>
      </c>
      <c r="V66">
        <v>4000</v>
      </c>
    </row>
    <row r="67" spans="1:22" x14ac:dyDescent="0.3">
      <c r="A67">
        <v>257</v>
      </c>
      <c r="B67">
        <v>146</v>
      </c>
      <c r="C67">
        <v>1221</v>
      </c>
      <c r="D67" t="s">
        <v>88</v>
      </c>
      <c r="E67">
        <v>670</v>
      </c>
      <c r="F67" t="s">
        <v>93</v>
      </c>
      <c r="G67">
        <v>2</v>
      </c>
      <c r="H67">
        <v>130000</v>
      </c>
      <c r="I67">
        <v>14000</v>
      </c>
      <c r="J67">
        <v>1410</v>
      </c>
      <c r="K67">
        <v>16000</v>
      </c>
      <c r="L67" t="s">
        <v>94</v>
      </c>
      <c r="M67">
        <v>160000</v>
      </c>
      <c r="N67">
        <v>670</v>
      </c>
      <c r="O67" t="s">
        <v>194</v>
      </c>
      <c r="P67">
        <v>0</v>
      </c>
      <c r="Q67">
        <v>0</v>
      </c>
      <c r="R67">
        <v>2</v>
      </c>
      <c r="S67">
        <v>0</v>
      </c>
      <c r="T67">
        <v>1</v>
      </c>
      <c r="U67">
        <v>1</v>
      </c>
      <c r="V67">
        <v>3200</v>
      </c>
    </row>
    <row r="68" spans="1:22" x14ac:dyDescent="0.3">
      <c r="A68">
        <v>271</v>
      </c>
      <c r="B68">
        <v>145</v>
      </c>
      <c r="C68">
        <v>1248</v>
      </c>
      <c r="D68" t="s">
        <v>88</v>
      </c>
      <c r="E68">
        <v>670</v>
      </c>
      <c r="F68" t="s">
        <v>93</v>
      </c>
      <c r="G68">
        <v>3</v>
      </c>
      <c r="H68">
        <v>130000</v>
      </c>
      <c r="I68">
        <v>11000</v>
      </c>
      <c r="J68">
        <v>1410</v>
      </c>
      <c r="K68">
        <v>16000</v>
      </c>
      <c r="L68" t="s">
        <v>94</v>
      </c>
      <c r="M68">
        <v>160000</v>
      </c>
      <c r="N68">
        <v>670</v>
      </c>
      <c r="O68" t="s">
        <v>192</v>
      </c>
      <c r="P68">
        <v>0</v>
      </c>
      <c r="Q68">
        <v>5</v>
      </c>
      <c r="R68">
        <v>0</v>
      </c>
      <c r="S68">
        <v>1</v>
      </c>
      <c r="T68">
        <v>0</v>
      </c>
      <c r="U68">
        <v>0</v>
      </c>
      <c r="V68">
        <v>6500</v>
      </c>
    </row>
    <row r="69" spans="1:22" x14ac:dyDescent="0.3">
      <c r="A69">
        <v>235</v>
      </c>
      <c r="B69">
        <v>145</v>
      </c>
      <c r="C69">
        <v>1181</v>
      </c>
      <c r="D69" t="s">
        <v>88</v>
      </c>
      <c r="E69">
        <v>671</v>
      </c>
      <c r="F69" t="s">
        <v>95</v>
      </c>
      <c r="G69">
        <v>1</v>
      </c>
      <c r="H69">
        <v>190000</v>
      </c>
      <c r="I69">
        <v>32000</v>
      </c>
      <c r="J69">
        <v>1407</v>
      </c>
      <c r="K69">
        <v>30000</v>
      </c>
      <c r="L69" t="s">
        <v>51</v>
      </c>
      <c r="M69">
        <v>300000</v>
      </c>
      <c r="O69" t="s">
        <v>192</v>
      </c>
      <c r="P69">
        <v>0</v>
      </c>
      <c r="Q69">
        <v>5</v>
      </c>
      <c r="R69">
        <v>0</v>
      </c>
      <c r="S69">
        <v>1</v>
      </c>
      <c r="T69">
        <v>0</v>
      </c>
      <c r="U69">
        <v>0</v>
      </c>
      <c r="V69">
        <v>9500</v>
      </c>
    </row>
    <row r="70" spans="1:22" x14ac:dyDescent="0.3">
      <c r="A70">
        <v>236</v>
      </c>
      <c r="B70">
        <v>146</v>
      </c>
      <c r="C70">
        <v>1181</v>
      </c>
      <c r="D70" t="s">
        <v>88</v>
      </c>
      <c r="E70">
        <v>671</v>
      </c>
      <c r="F70" t="s">
        <v>95</v>
      </c>
      <c r="G70">
        <v>1</v>
      </c>
      <c r="H70">
        <v>190000</v>
      </c>
      <c r="I70">
        <v>32000</v>
      </c>
      <c r="J70">
        <v>1407</v>
      </c>
      <c r="K70">
        <v>30000</v>
      </c>
      <c r="L70" t="s">
        <v>51</v>
      </c>
      <c r="M70">
        <v>300000</v>
      </c>
      <c r="O70" t="s">
        <v>194</v>
      </c>
      <c r="P70">
        <v>0</v>
      </c>
      <c r="Q70">
        <v>0</v>
      </c>
      <c r="R70">
        <v>2</v>
      </c>
      <c r="S70">
        <v>0</v>
      </c>
      <c r="T70">
        <v>1</v>
      </c>
      <c r="U70">
        <v>1</v>
      </c>
      <c r="V70">
        <v>6000</v>
      </c>
    </row>
    <row r="71" spans="1:22" x14ac:dyDescent="0.3">
      <c r="A71">
        <v>255</v>
      </c>
      <c r="B71">
        <v>144</v>
      </c>
      <c r="C71">
        <v>1223</v>
      </c>
      <c r="D71" t="s">
        <v>88</v>
      </c>
      <c r="E71">
        <v>671</v>
      </c>
      <c r="F71" t="s">
        <v>95</v>
      </c>
      <c r="G71">
        <v>2</v>
      </c>
      <c r="H71">
        <v>190000</v>
      </c>
      <c r="I71">
        <v>0</v>
      </c>
      <c r="J71">
        <v>1407</v>
      </c>
      <c r="K71">
        <v>30000</v>
      </c>
      <c r="L71" t="s">
        <v>51</v>
      </c>
      <c r="M71">
        <v>300000</v>
      </c>
      <c r="O71" t="s">
        <v>190</v>
      </c>
      <c r="P71">
        <v>0</v>
      </c>
      <c r="Q71">
        <v>0</v>
      </c>
      <c r="R71">
        <v>5</v>
      </c>
      <c r="S71">
        <v>2</v>
      </c>
      <c r="T71">
        <v>0</v>
      </c>
      <c r="U71">
        <v>0</v>
      </c>
      <c r="V71">
        <v>15000</v>
      </c>
    </row>
    <row r="72" spans="1:22" x14ac:dyDescent="0.3">
      <c r="A72">
        <v>272</v>
      </c>
      <c r="B72">
        <v>143</v>
      </c>
      <c r="C72">
        <v>1245</v>
      </c>
      <c r="D72" t="s">
        <v>88</v>
      </c>
      <c r="E72">
        <v>671</v>
      </c>
      <c r="F72" t="s">
        <v>95</v>
      </c>
      <c r="G72">
        <v>3</v>
      </c>
      <c r="H72">
        <v>190000</v>
      </c>
      <c r="I72">
        <v>1000</v>
      </c>
      <c r="J72">
        <v>1407</v>
      </c>
      <c r="K72">
        <v>30000</v>
      </c>
      <c r="L72" t="s">
        <v>51</v>
      </c>
      <c r="M72">
        <v>300000</v>
      </c>
      <c r="O72" t="s">
        <v>188</v>
      </c>
      <c r="P72">
        <v>0</v>
      </c>
      <c r="Q72">
        <v>0</v>
      </c>
      <c r="R72">
        <v>2.5</v>
      </c>
      <c r="S72">
        <v>1</v>
      </c>
      <c r="T72">
        <v>0</v>
      </c>
      <c r="U72">
        <v>0</v>
      </c>
      <c r="V72">
        <v>7500</v>
      </c>
    </row>
    <row r="73" spans="1:22" x14ac:dyDescent="0.3">
      <c r="A73">
        <v>215</v>
      </c>
      <c r="B73">
        <v>144</v>
      </c>
      <c r="C73">
        <v>1190</v>
      </c>
      <c r="D73" t="s">
        <v>97</v>
      </c>
      <c r="E73">
        <v>674</v>
      </c>
      <c r="F73" t="s">
        <v>98</v>
      </c>
      <c r="G73">
        <v>1</v>
      </c>
      <c r="H73">
        <v>75000</v>
      </c>
      <c r="I73">
        <v>0</v>
      </c>
      <c r="J73">
        <v>1421</v>
      </c>
      <c r="K73">
        <v>10000</v>
      </c>
      <c r="L73" t="s">
        <v>48</v>
      </c>
      <c r="M73">
        <v>100000</v>
      </c>
      <c r="N73">
        <v>674</v>
      </c>
      <c r="O73" t="s">
        <v>190</v>
      </c>
      <c r="P73">
        <v>0</v>
      </c>
      <c r="Q73">
        <v>0</v>
      </c>
      <c r="R73">
        <v>5</v>
      </c>
      <c r="S73">
        <v>2</v>
      </c>
      <c r="T73">
        <v>0</v>
      </c>
      <c r="U73">
        <v>0</v>
      </c>
      <c r="V73">
        <v>5000</v>
      </c>
    </row>
    <row r="74" spans="1:22" x14ac:dyDescent="0.3">
      <c r="A74">
        <v>216</v>
      </c>
      <c r="B74">
        <v>146</v>
      </c>
      <c r="C74">
        <v>1190</v>
      </c>
      <c r="D74" t="s">
        <v>97</v>
      </c>
      <c r="E74">
        <v>674</v>
      </c>
      <c r="F74" t="s">
        <v>98</v>
      </c>
      <c r="G74">
        <v>1</v>
      </c>
      <c r="H74">
        <v>75000</v>
      </c>
      <c r="I74">
        <v>0</v>
      </c>
      <c r="J74">
        <v>1421</v>
      </c>
      <c r="K74">
        <v>10000</v>
      </c>
      <c r="L74" t="s">
        <v>48</v>
      </c>
      <c r="M74">
        <v>100000</v>
      </c>
      <c r="N74">
        <v>674</v>
      </c>
      <c r="O74" t="s">
        <v>194</v>
      </c>
      <c r="P74">
        <v>0</v>
      </c>
      <c r="Q74">
        <v>0</v>
      </c>
      <c r="R74">
        <v>2</v>
      </c>
      <c r="S74">
        <v>0</v>
      </c>
      <c r="T74">
        <v>1</v>
      </c>
      <c r="U74">
        <v>1</v>
      </c>
      <c r="V74">
        <v>2000</v>
      </c>
    </row>
    <row r="75" spans="1:22" x14ac:dyDescent="0.3">
      <c r="A75">
        <v>223</v>
      </c>
      <c r="B75">
        <v>146</v>
      </c>
      <c r="C75">
        <v>1193</v>
      </c>
      <c r="D75" t="s">
        <v>97</v>
      </c>
      <c r="E75">
        <v>675</v>
      </c>
      <c r="F75" t="s">
        <v>99</v>
      </c>
      <c r="G75">
        <v>1</v>
      </c>
      <c r="H75">
        <v>110000</v>
      </c>
      <c r="I75">
        <v>8000</v>
      </c>
      <c r="J75">
        <v>1419</v>
      </c>
      <c r="K75">
        <v>17000</v>
      </c>
      <c r="L75" t="s">
        <v>41</v>
      </c>
      <c r="M75">
        <v>200000</v>
      </c>
      <c r="N75">
        <v>675</v>
      </c>
      <c r="O75" t="s">
        <v>194</v>
      </c>
      <c r="P75">
        <v>0</v>
      </c>
      <c r="Q75">
        <v>0</v>
      </c>
      <c r="R75">
        <v>2</v>
      </c>
      <c r="S75">
        <v>0</v>
      </c>
      <c r="T75">
        <v>1</v>
      </c>
      <c r="U75">
        <v>1</v>
      </c>
      <c r="V75">
        <v>3400</v>
      </c>
    </row>
    <row r="76" spans="1:22" x14ac:dyDescent="0.3">
      <c r="A76">
        <v>275</v>
      </c>
      <c r="B76">
        <v>144</v>
      </c>
      <c r="C76">
        <v>1271</v>
      </c>
      <c r="D76" t="s">
        <v>97</v>
      </c>
      <c r="E76">
        <v>675</v>
      </c>
      <c r="F76" t="s">
        <v>99</v>
      </c>
      <c r="G76">
        <v>4</v>
      </c>
      <c r="H76">
        <v>110000</v>
      </c>
      <c r="I76">
        <v>0</v>
      </c>
      <c r="J76">
        <v>1419</v>
      </c>
      <c r="K76">
        <v>17000</v>
      </c>
      <c r="L76" t="s">
        <v>41</v>
      </c>
      <c r="M76">
        <v>200000</v>
      </c>
      <c r="N76">
        <v>675</v>
      </c>
      <c r="O76" t="s">
        <v>190</v>
      </c>
      <c r="P76">
        <v>0</v>
      </c>
      <c r="Q76">
        <v>0</v>
      </c>
      <c r="R76">
        <v>5</v>
      </c>
      <c r="S76">
        <v>2</v>
      </c>
      <c r="T76">
        <v>0</v>
      </c>
      <c r="U76">
        <v>0</v>
      </c>
      <c r="V76">
        <v>8500</v>
      </c>
    </row>
    <row r="77" spans="1:22" x14ac:dyDescent="0.3">
      <c r="A77">
        <v>213</v>
      </c>
      <c r="B77">
        <v>146</v>
      </c>
      <c r="C77">
        <v>1184</v>
      </c>
      <c r="D77" t="s">
        <v>97</v>
      </c>
      <c r="E77">
        <v>676</v>
      </c>
      <c r="F77" t="s">
        <v>100</v>
      </c>
      <c r="G77">
        <v>1</v>
      </c>
      <c r="H77">
        <v>60000</v>
      </c>
      <c r="I77">
        <v>0</v>
      </c>
      <c r="J77">
        <v>1427</v>
      </c>
      <c r="K77">
        <v>8000</v>
      </c>
      <c r="L77" t="s">
        <v>83</v>
      </c>
      <c r="M77">
        <v>80000</v>
      </c>
      <c r="N77">
        <v>676</v>
      </c>
      <c r="O77" t="s">
        <v>194</v>
      </c>
      <c r="P77">
        <v>0</v>
      </c>
      <c r="Q77">
        <v>0</v>
      </c>
      <c r="R77">
        <v>2</v>
      </c>
      <c r="S77">
        <v>0</v>
      </c>
      <c r="T77">
        <v>1</v>
      </c>
      <c r="U77">
        <v>1</v>
      </c>
      <c r="V77">
        <v>1600</v>
      </c>
    </row>
    <row r="78" spans="1:22" x14ac:dyDescent="0.3">
      <c r="A78">
        <v>270</v>
      </c>
      <c r="B78">
        <v>143</v>
      </c>
      <c r="C78">
        <v>1227</v>
      </c>
      <c r="D78" t="s">
        <v>97</v>
      </c>
      <c r="E78">
        <v>676</v>
      </c>
      <c r="F78" t="s">
        <v>100</v>
      </c>
      <c r="G78">
        <v>3</v>
      </c>
      <c r="H78">
        <v>60000</v>
      </c>
      <c r="I78">
        <v>6000</v>
      </c>
      <c r="J78">
        <v>1427</v>
      </c>
      <c r="K78">
        <v>8000</v>
      </c>
      <c r="L78" t="s">
        <v>83</v>
      </c>
      <c r="M78">
        <v>80000</v>
      </c>
      <c r="N78">
        <v>676</v>
      </c>
      <c r="O78" t="s">
        <v>188</v>
      </c>
      <c r="P78">
        <v>0</v>
      </c>
      <c r="Q78">
        <v>0</v>
      </c>
      <c r="R78">
        <v>2.5</v>
      </c>
      <c r="S78">
        <v>1</v>
      </c>
      <c r="T78">
        <v>0</v>
      </c>
      <c r="U78">
        <v>0</v>
      </c>
      <c r="V78">
        <v>2000</v>
      </c>
    </row>
    <row r="79" spans="1:22" x14ac:dyDescent="0.3">
      <c r="A79">
        <v>217</v>
      </c>
      <c r="B79">
        <v>146</v>
      </c>
      <c r="C79">
        <v>1192</v>
      </c>
      <c r="D79" t="s">
        <v>97</v>
      </c>
      <c r="E79">
        <v>677</v>
      </c>
      <c r="F79" t="s">
        <v>101</v>
      </c>
      <c r="G79">
        <v>1</v>
      </c>
      <c r="H79">
        <v>90000</v>
      </c>
      <c r="I79">
        <v>9000</v>
      </c>
      <c r="J79">
        <v>1429</v>
      </c>
      <c r="K79">
        <v>12500</v>
      </c>
      <c r="L79" t="s">
        <v>75</v>
      </c>
      <c r="M79">
        <v>125000</v>
      </c>
      <c r="O79" t="s">
        <v>194</v>
      </c>
      <c r="P79">
        <v>0</v>
      </c>
      <c r="Q79">
        <v>0</v>
      </c>
      <c r="R79">
        <v>2</v>
      </c>
      <c r="S79">
        <v>0</v>
      </c>
      <c r="T79">
        <v>1</v>
      </c>
      <c r="U79">
        <v>1</v>
      </c>
      <c r="V79">
        <v>2500</v>
      </c>
    </row>
    <row r="80" spans="1:22" x14ac:dyDescent="0.3">
      <c r="A80">
        <v>243</v>
      </c>
      <c r="B80">
        <v>145</v>
      </c>
      <c r="C80">
        <v>1203</v>
      </c>
      <c r="D80" t="s">
        <v>97</v>
      </c>
      <c r="E80">
        <v>677</v>
      </c>
      <c r="F80" t="s">
        <v>101</v>
      </c>
      <c r="G80">
        <v>2</v>
      </c>
      <c r="H80">
        <v>90000</v>
      </c>
      <c r="I80">
        <v>0</v>
      </c>
      <c r="J80">
        <v>1429</v>
      </c>
      <c r="K80">
        <v>12500</v>
      </c>
      <c r="L80" t="s">
        <v>75</v>
      </c>
      <c r="M80">
        <v>125000</v>
      </c>
      <c r="O80" t="s">
        <v>192</v>
      </c>
      <c r="P80">
        <v>0</v>
      </c>
      <c r="Q80">
        <v>5</v>
      </c>
      <c r="R80">
        <v>0</v>
      </c>
      <c r="S80">
        <v>1</v>
      </c>
      <c r="T80">
        <v>0</v>
      </c>
      <c r="U80">
        <v>0</v>
      </c>
      <c r="V80">
        <v>4500</v>
      </c>
    </row>
    <row r="81" spans="1:22" x14ac:dyDescent="0.3">
      <c r="A81">
        <v>276</v>
      </c>
      <c r="B81">
        <v>143</v>
      </c>
      <c r="C81">
        <v>1274</v>
      </c>
      <c r="D81" t="s">
        <v>97</v>
      </c>
      <c r="E81">
        <v>677</v>
      </c>
      <c r="F81" t="s">
        <v>101</v>
      </c>
      <c r="G81">
        <v>4</v>
      </c>
      <c r="H81">
        <v>90000</v>
      </c>
      <c r="I81">
        <v>14000</v>
      </c>
      <c r="J81">
        <v>1488</v>
      </c>
      <c r="K81">
        <v>11100</v>
      </c>
      <c r="L81" t="s">
        <v>102</v>
      </c>
      <c r="M81">
        <v>111000</v>
      </c>
      <c r="N81">
        <v>677</v>
      </c>
      <c r="O81" t="s">
        <v>188</v>
      </c>
      <c r="P81">
        <v>0</v>
      </c>
      <c r="Q81">
        <v>0</v>
      </c>
      <c r="R81">
        <v>2.5</v>
      </c>
      <c r="S81">
        <v>1</v>
      </c>
      <c r="T81">
        <v>0</v>
      </c>
      <c r="U81">
        <v>0</v>
      </c>
      <c r="V81">
        <v>2775</v>
      </c>
    </row>
    <row r="82" spans="1:22" x14ac:dyDescent="0.3">
      <c r="A82">
        <v>224</v>
      </c>
      <c r="B82">
        <v>143</v>
      </c>
      <c r="C82">
        <v>1191</v>
      </c>
      <c r="D82" t="s">
        <v>97</v>
      </c>
      <c r="E82">
        <v>678</v>
      </c>
      <c r="F82" t="s">
        <v>103</v>
      </c>
      <c r="G82">
        <v>1</v>
      </c>
      <c r="H82">
        <v>130000</v>
      </c>
      <c r="I82">
        <v>33000</v>
      </c>
      <c r="J82">
        <v>1420</v>
      </c>
      <c r="K82">
        <v>20000</v>
      </c>
      <c r="L82" t="s">
        <v>58</v>
      </c>
      <c r="M82">
        <v>200000</v>
      </c>
      <c r="N82">
        <v>678</v>
      </c>
      <c r="O82" t="s">
        <v>188</v>
      </c>
      <c r="P82">
        <v>0</v>
      </c>
      <c r="Q82">
        <v>0</v>
      </c>
      <c r="R82">
        <v>2.5</v>
      </c>
      <c r="S82">
        <v>1</v>
      </c>
      <c r="T82">
        <v>0</v>
      </c>
      <c r="U82">
        <v>0</v>
      </c>
      <c r="V82">
        <v>5000</v>
      </c>
    </row>
    <row r="83" spans="1:22" x14ac:dyDescent="0.3">
      <c r="A83">
        <v>225</v>
      </c>
      <c r="B83">
        <v>144</v>
      </c>
      <c r="C83">
        <v>1191</v>
      </c>
      <c r="D83" t="s">
        <v>97</v>
      </c>
      <c r="E83">
        <v>678</v>
      </c>
      <c r="F83" t="s">
        <v>103</v>
      </c>
      <c r="G83">
        <v>1</v>
      </c>
      <c r="H83">
        <v>130000</v>
      </c>
      <c r="I83">
        <v>33000</v>
      </c>
      <c r="J83">
        <v>1420</v>
      </c>
      <c r="K83">
        <v>20000</v>
      </c>
      <c r="L83" t="s">
        <v>58</v>
      </c>
      <c r="M83">
        <v>200000</v>
      </c>
      <c r="N83">
        <v>678</v>
      </c>
      <c r="O83" t="s">
        <v>190</v>
      </c>
      <c r="P83">
        <v>0</v>
      </c>
      <c r="Q83">
        <v>0</v>
      </c>
      <c r="R83">
        <v>5</v>
      </c>
      <c r="S83">
        <v>2</v>
      </c>
      <c r="T83">
        <v>0</v>
      </c>
      <c r="U83">
        <v>0</v>
      </c>
      <c r="V83">
        <v>10000</v>
      </c>
    </row>
    <row r="84" spans="1:22" x14ac:dyDescent="0.3">
      <c r="A84">
        <v>226</v>
      </c>
      <c r="B84">
        <v>145</v>
      </c>
      <c r="C84">
        <v>1191</v>
      </c>
      <c r="D84" t="s">
        <v>97</v>
      </c>
      <c r="E84">
        <v>678</v>
      </c>
      <c r="F84" t="s">
        <v>103</v>
      </c>
      <c r="G84">
        <v>1</v>
      </c>
      <c r="H84">
        <v>130000</v>
      </c>
      <c r="I84">
        <v>33000</v>
      </c>
      <c r="J84">
        <v>1420</v>
      </c>
      <c r="K84">
        <v>20000</v>
      </c>
      <c r="L84" t="s">
        <v>58</v>
      </c>
      <c r="M84">
        <v>200000</v>
      </c>
      <c r="N84">
        <v>678</v>
      </c>
      <c r="O84" t="s">
        <v>192</v>
      </c>
      <c r="P84">
        <v>0</v>
      </c>
      <c r="Q84">
        <v>5</v>
      </c>
      <c r="R84">
        <v>0</v>
      </c>
      <c r="S84">
        <v>1</v>
      </c>
      <c r="T84">
        <v>0</v>
      </c>
      <c r="U84">
        <v>0</v>
      </c>
      <c r="V84">
        <v>6500</v>
      </c>
    </row>
    <row r="85" spans="1:22" x14ac:dyDescent="0.3">
      <c r="A85">
        <v>227</v>
      </c>
      <c r="B85">
        <v>146</v>
      </c>
      <c r="C85">
        <v>1191</v>
      </c>
      <c r="D85" t="s">
        <v>97</v>
      </c>
      <c r="E85">
        <v>678</v>
      </c>
      <c r="F85" t="s">
        <v>103</v>
      </c>
      <c r="G85">
        <v>1</v>
      </c>
      <c r="H85">
        <v>130000</v>
      </c>
      <c r="I85">
        <v>33000</v>
      </c>
      <c r="J85">
        <v>1420</v>
      </c>
      <c r="K85">
        <v>20000</v>
      </c>
      <c r="L85" t="s">
        <v>58</v>
      </c>
      <c r="M85">
        <v>200000</v>
      </c>
      <c r="N85">
        <v>678</v>
      </c>
      <c r="O85" t="s">
        <v>194</v>
      </c>
      <c r="P85">
        <v>0</v>
      </c>
      <c r="Q85">
        <v>0</v>
      </c>
      <c r="R85">
        <v>2</v>
      </c>
      <c r="S85">
        <v>0</v>
      </c>
      <c r="T85">
        <v>1</v>
      </c>
      <c r="U85">
        <v>1</v>
      </c>
      <c r="V85">
        <v>4000</v>
      </c>
    </row>
    <row r="86" spans="1:22" x14ac:dyDescent="0.3">
      <c r="A86">
        <v>219</v>
      </c>
      <c r="B86">
        <v>143</v>
      </c>
      <c r="C86">
        <v>1189</v>
      </c>
      <c r="D86" t="s">
        <v>97</v>
      </c>
      <c r="E86">
        <v>679</v>
      </c>
      <c r="F86" t="s">
        <v>104</v>
      </c>
      <c r="G86">
        <v>1</v>
      </c>
      <c r="H86">
        <v>190000</v>
      </c>
      <c r="I86">
        <v>33000</v>
      </c>
      <c r="J86">
        <v>1423</v>
      </c>
      <c r="K86">
        <v>30000</v>
      </c>
      <c r="L86" t="s">
        <v>55</v>
      </c>
      <c r="M86">
        <v>350000</v>
      </c>
      <c r="O86" t="s">
        <v>188</v>
      </c>
      <c r="P86">
        <v>0</v>
      </c>
      <c r="Q86">
        <v>0</v>
      </c>
      <c r="R86">
        <v>2.5</v>
      </c>
      <c r="S86">
        <v>1</v>
      </c>
      <c r="T86">
        <v>0</v>
      </c>
      <c r="U86">
        <v>0</v>
      </c>
      <c r="V86">
        <v>7500</v>
      </c>
    </row>
    <row r="87" spans="1:22" x14ac:dyDescent="0.3">
      <c r="A87">
        <v>220</v>
      </c>
      <c r="B87">
        <v>144</v>
      </c>
      <c r="C87">
        <v>1189</v>
      </c>
      <c r="D87" t="s">
        <v>97</v>
      </c>
      <c r="E87">
        <v>679</v>
      </c>
      <c r="F87" t="s">
        <v>104</v>
      </c>
      <c r="G87">
        <v>1</v>
      </c>
      <c r="H87">
        <v>190000</v>
      </c>
      <c r="I87">
        <v>33000</v>
      </c>
      <c r="J87">
        <v>1423</v>
      </c>
      <c r="K87">
        <v>30000</v>
      </c>
      <c r="L87" t="s">
        <v>55</v>
      </c>
      <c r="M87">
        <v>350000</v>
      </c>
      <c r="O87" t="s">
        <v>190</v>
      </c>
      <c r="P87">
        <v>0</v>
      </c>
      <c r="Q87">
        <v>0</v>
      </c>
      <c r="R87">
        <v>5</v>
      </c>
      <c r="S87">
        <v>2</v>
      </c>
      <c r="T87">
        <v>0</v>
      </c>
      <c r="U87">
        <v>0</v>
      </c>
      <c r="V87">
        <v>15000</v>
      </c>
    </row>
    <row r="88" spans="1:22" x14ac:dyDescent="0.3">
      <c r="A88">
        <v>221</v>
      </c>
      <c r="B88">
        <v>145</v>
      </c>
      <c r="C88">
        <v>1189</v>
      </c>
      <c r="D88" t="s">
        <v>97</v>
      </c>
      <c r="E88">
        <v>679</v>
      </c>
      <c r="F88" t="s">
        <v>104</v>
      </c>
      <c r="G88">
        <v>1</v>
      </c>
      <c r="H88">
        <v>190000</v>
      </c>
      <c r="I88">
        <v>33000</v>
      </c>
      <c r="J88">
        <v>1423</v>
      </c>
      <c r="K88">
        <v>30000</v>
      </c>
      <c r="L88" t="s">
        <v>55</v>
      </c>
      <c r="M88">
        <v>350000</v>
      </c>
      <c r="O88" t="s">
        <v>192</v>
      </c>
      <c r="P88">
        <v>0</v>
      </c>
      <c r="Q88">
        <v>5</v>
      </c>
      <c r="R88">
        <v>0</v>
      </c>
      <c r="S88">
        <v>1</v>
      </c>
      <c r="T88">
        <v>0</v>
      </c>
      <c r="U88">
        <v>0</v>
      </c>
      <c r="V88">
        <v>9500</v>
      </c>
    </row>
    <row r="89" spans="1:22" x14ac:dyDescent="0.3">
      <c r="A89">
        <v>222</v>
      </c>
      <c r="B89">
        <v>146</v>
      </c>
      <c r="C89">
        <v>1189</v>
      </c>
      <c r="D89" t="s">
        <v>97</v>
      </c>
      <c r="E89">
        <v>679</v>
      </c>
      <c r="F89" t="s">
        <v>104</v>
      </c>
      <c r="G89">
        <v>1</v>
      </c>
      <c r="H89">
        <v>190000</v>
      </c>
      <c r="I89">
        <v>33000</v>
      </c>
      <c r="J89">
        <v>1423</v>
      </c>
      <c r="K89">
        <v>30000</v>
      </c>
      <c r="L89" t="s">
        <v>55</v>
      </c>
      <c r="M89">
        <v>350000</v>
      </c>
      <c r="O89" t="s">
        <v>194</v>
      </c>
      <c r="P89">
        <v>0</v>
      </c>
      <c r="Q89">
        <v>0</v>
      </c>
      <c r="R89">
        <v>2</v>
      </c>
      <c r="S89">
        <v>0</v>
      </c>
      <c r="T89">
        <v>1</v>
      </c>
      <c r="U89">
        <v>1</v>
      </c>
      <c r="V89">
        <v>6000</v>
      </c>
    </row>
    <row r="90" spans="1:22" x14ac:dyDescent="0.3">
      <c r="A90">
        <v>259</v>
      </c>
      <c r="B90">
        <v>145</v>
      </c>
      <c r="C90">
        <v>1233</v>
      </c>
      <c r="D90" t="s">
        <v>105</v>
      </c>
      <c r="E90">
        <v>682</v>
      </c>
      <c r="F90" t="s">
        <v>106</v>
      </c>
      <c r="G90">
        <v>3</v>
      </c>
      <c r="H90">
        <v>75000</v>
      </c>
      <c r="I90">
        <v>1000</v>
      </c>
      <c r="J90">
        <v>1399</v>
      </c>
      <c r="K90">
        <v>11000</v>
      </c>
      <c r="L90" t="s">
        <v>75</v>
      </c>
      <c r="M90">
        <v>125000</v>
      </c>
      <c r="N90">
        <v>682</v>
      </c>
      <c r="O90" t="s">
        <v>192</v>
      </c>
      <c r="P90">
        <v>0</v>
      </c>
      <c r="Q90">
        <v>5</v>
      </c>
      <c r="R90">
        <v>0</v>
      </c>
      <c r="S90">
        <v>1</v>
      </c>
      <c r="T90">
        <v>0</v>
      </c>
      <c r="U90">
        <v>0</v>
      </c>
      <c r="V90">
        <v>3750</v>
      </c>
    </row>
    <row r="91" spans="1:22" x14ac:dyDescent="0.3">
      <c r="A91">
        <v>237</v>
      </c>
      <c r="B91">
        <v>145</v>
      </c>
      <c r="C91">
        <v>1179</v>
      </c>
      <c r="D91" t="s">
        <v>105</v>
      </c>
      <c r="E91">
        <v>683</v>
      </c>
      <c r="F91" t="s">
        <v>107</v>
      </c>
      <c r="G91">
        <v>1</v>
      </c>
      <c r="H91">
        <v>110000</v>
      </c>
      <c r="I91">
        <v>8000</v>
      </c>
      <c r="J91">
        <v>1400</v>
      </c>
      <c r="K91">
        <v>12500</v>
      </c>
      <c r="L91" t="s">
        <v>37</v>
      </c>
      <c r="M91">
        <v>125000</v>
      </c>
      <c r="N91">
        <v>683</v>
      </c>
      <c r="O91" t="s">
        <v>192</v>
      </c>
      <c r="P91">
        <v>0</v>
      </c>
      <c r="Q91">
        <v>5</v>
      </c>
      <c r="R91">
        <v>0</v>
      </c>
      <c r="S91">
        <v>1</v>
      </c>
      <c r="T91">
        <v>0</v>
      </c>
      <c r="U91">
        <v>0</v>
      </c>
      <c r="V91">
        <v>5500</v>
      </c>
    </row>
    <row r="92" spans="1:22" x14ac:dyDescent="0.3">
      <c r="A92">
        <v>238</v>
      </c>
      <c r="B92">
        <v>146</v>
      </c>
      <c r="C92">
        <v>1179</v>
      </c>
      <c r="D92" t="s">
        <v>105</v>
      </c>
      <c r="E92">
        <v>683</v>
      </c>
      <c r="F92" t="s">
        <v>107</v>
      </c>
      <c r="G92">
        <v>1</v>
      </c>
      <c r="H92">
        <v>110000</v>
      </c>
      <c r="I92">
        <v>8000</v>
      </c>
      <c r="J92">
        <v>1400</v>
      </c>
      <c r="K92">
        <v>12500</v>
      </c>
      <c r="L92" t="s">
        <v>37</v>
      </c>
      <c r="M92">
        <v>125000</v>
      </c>
      <c r="N92">
        <v>683</v>
      </c>
      <c r="O92" t="s">
        <v>194</v>
      </c>
      <c r="P92">
        <v>0</v>
      </c>
      <c r="Q92">
        <v>0</v>
      </c>
      <c r="R92">
        <v>2</v>
      </c>
      <c r="S92">
        <v>0</v>
      </c>
      <c r="T92">
        <v>1</v>
      </c>
      <c r="U92">
        <v>1</v>
      </c>
      <c r="V92">
        <v>2500</v>
      </c>
    </row>
    <row r="93" spans="1:22" x14ac:dyDescent="0.3">
      <c r="A93">
        <v>262</v>
      </c>
      <c r="B93">
        <v>144</v>
      </c>
      <c r="C93">
        <v>1238</v>
      </c>
      <c r="D93" t="s">
        <v>105</v>
      </c>
      <c r="E93">
        <v>683</v>
      </c>
      <c r="F93" t="s">
        <v>107</v>
      </c>
      <c r="G93">
        <v>3</v>
      </c>
      <c r="H93">
        <v>110000</v>
      </c>
      <c r="I93">
        <v>8000</v>
      </c>
      <c r="J93">
        <v>1400</v>
      </c>
      <c r="K93">
        <v>12500</v>
      </c>
      <c r="L93" t="s">
        <v>37</v>
      </c>
      <c r="M93">
        <v>125000</v>
      </c>
      <c r="N93">
        <v>683</v>
      </c>
      <c r="O93" t="s">
        <v>190</v>
      </c>
      <c r="P93">
        <v>0</v>
      </c>
      <c r="Q93">
        <v>0</v>
      </c>
      <c r="R93">
        <v>5</v>
      </c>
      <c r="S93">
        <v>2</v>
      </c>
      <c r="T93">
        <v>0</v>
      </c>
      <c r="U93">
        <v>0</v>
      </c>
      <c r="V93">
        <v>6250</v>
      </c>
    </row>
    <row r="94" spans="1:22" x14ac:dyDescent="0.3">
      <c r="A94">
        <v>218</v>
      </c>
      <c r="B94">
        <v>146</v>
      </c>
      <c r="C94">
        <v>1173</v>
      </c>
      <c r="D94" t="s">
        <v>105</v>
      </c>
      <c r="E94">
        <v>684</v>
      </c>
      <c r="F94" t="s">
        <v>108</v>
      </c>
      <c r="G94">
        <v>1</v>
      </c>
      <c r="H94">
        <v>60000</v>
      </c>
      <c r="I94">
        <v>1000</v>
      </c>
      <c r="J94">
        <v>1402</v>
      </c>
      <c r="K94">
        <v>7000</v>
      </c>
      <c r="L94" t="s">
        <v>71</v>
      </c>
      <c r="M94">
        <v>70000</v>
      </c>
      <c r="N94">
        <v>684</v>
      </c>
      <c r="O94" t="s">
        <v>194</v>
      </c>
      <c r="P94">
        <v>0</v>
      </c>
      <c r="Q94">
        <v>0</v>
      </c>
      <c r="R94">
        <v>2</v>
      </c>
      <c r="S94">
        <v>0</v>
      </c>
      <c r="T94">
        <v>1</v>
      </c>
      <c r="U94">
        <v>1</v>
      </c>
      <c r="V94">
        <v>1400</v>
      </c>
    </row>
    <row r="95" spans="1:22" x14ac:dyDescent="0.3">
      <c r="A95">
        <v>251</v>
      </c>
      <c r="B95">
        <v>144</v>
      </c>
      <c r="C95">
        <v>1213</v>
      </c>
      <c r="D95" t="s">
        <v>105</v>
      </c>
      <c r="E95">
        <v>684</v>
      </c>
      <c r="F95" t="s">
        <v>108</v>
      </c>
      <c r="G95">
        <v>2</v>
      </c>
      <c r="H95">
        <v>60000</v>
      </c>
      <c r="I95">
        <v>0</v>
      </c>
      <c r="J95">
        <v>1402</v>
      </c>
      <c r="K95">
        <v>7000</v>
      </c>
      <c r="L95" t="s">
        <v>71</v>
      </c>
      <c r="M95">
        <v>70000</v>
      </c>
      <c r="N95">
        <v>684</v>
      </c>
      <c r="O95" t="s">
        <v>190</v>
      </c>
      <c r="P95">
        <v>0</v>
      </c>
      <c r="Q95">
        <v>0</v>
      </c>
      <c r="R95">
        <v>5</v>
      </c>
      <c r="S95">
        <v>2</v>
      </c>
      <c r="T95">
        <v>0</v>
      </c>
      <c r="U95">
        <v>0</v>
      </c>
      <c r="V95">
        <v>3500</v>
      </c>
    </row>
    <row r="96" spans="1:22" x14ac:dyDescent="0.3">
      <c r="A96">
        <v>261</v>
      </c>
      <c r="B96">
        <v>143</v>
      </c>
      <c r="C96">
        <v>1235</v>
      </c>
      <c r="D96" t="s">
        <v>105</v>
      </c>
      <c r="E96">
        <v>684</v>
      </c>
      <c r="F96" t="s">
        <v>108</v>
      </c>
      <c r="G96">
        <v>3</v>
      </c>
      <c r="H96">
        <v>60000</v>
      </c>
      <c r="I96">
        <v>0</v>
      </c>
      <c r="J96">
        <v>1402</v>
      </c>
      <c r="K96">
        <v>7000</v>
      </c>
      <c r="L96" t="s">
        <v>71</v>
      </c>
      <c r="M96">
        <v>70000</v>
      </c>
      <c r="N96">
        <v>684</v>
      </c>
      <c r="O96" t="s">
        <v>188</v>
      </c>
      <c r="P96">
        <v>0</v>
      </c>
      <c r="Q96">
        <v>0</v>
      </c>
      <c r="R96">
        <v>2.5</v>
      </c>
      <c r="S96">
        <v>1</v>
      </c>
      <c r="T96">
        <v>0</v>
      </c>
      <c r="U96">
        <v>0</v>
      </c>
      <c r="V96">
        <v>1750</v>
      </c>
    </row>
    <row r="97" spans="1:22" x14ac:dyDescent="0.3">
      <c r="A97">
        <v>214</v>
      </c>
      <c r="B97">
        <v>144</v>
      </c>
      <c r="C97">
        <v>1175</v>
      </c>
      <c r="D97" t="s">
        <v>105</v>
      </c>
      <c r="E97">
        <v>685</v>
      </c>
      <c r="F97" t="s">
        <v>109</v>
      </c>
      <c r="G97">
        <v>1</v>
      </c>
      <c r="H97">
        <v>90000</v>
      </c>
      <c r="I97">
        <v>6000</v>
      </c>
      <c r="J97">
        <v>1401</v>
      </c>
      <c r="K97">
        <v>7000</v>
      </c>
      <c r="L97" t="s">
        <v>45</v>
      </c>
      <c r="M97">
        <v>70000</v>
      </c>
      <c r="O97" t="s">
        <v>190</v>
      </c>
      <c r="P97">
        <v>0</v>
      </c>
      <c r="Q97">
        <v>0</v>
      </c>
      <c r="R97">
        <v>5</v>
      </c>
      <c r="S97">
        <v>2</v>
      </c>
      <c r="T97">
        <v>0</v>
      </c>
      <c r="U97">
        <v>0</v>
      </c>
      <c r="V97">
        <v>3500</v>
      </c>
    </row>
    <row r="98" spans="1:22" x14ac:dyDescent="0.3">
      <c r="A98">
        <v>247</v>
      </c>
      <c r="B98">
        <v>146</v>
      </c>
      <c r="C98">
        <v>1214</v>
      </c>
      <c r="D98" t="s">
        <v>105</v>
      </c>
      <c r="E98">
        <v>685</v>
      </c>
      <c r="F98" t="s">
        <v>109</v>
      </c>
      <c r="G98">
        <v>2</v>
      </c>
      <c r="H98">
        <v>90000</v>
      </c>
      <c r="I98">
        <v>11000</v>
      </c>
      <c r="J98">
        <v>1401</v>
      </c>
      <c r="K98">
        <v>7000</v>
      </c>
      <c r="L98" t="s">
        <v>45</v>
      </c>
      <c r="M98">
        <v>70000</v>
      </c>
      <c r="O98" t="s">
        <v>194</v>
      </c>
      <c r="P98">
        <v>0</v>
      </c>
      <c r="Q98">
        <v>0</v>
      </c>
      <c r="R98">
        <v>2</v>
      </c>
      <c r="S98">
        <v>0</v>
      </c>
      <c r="T98">
        <v>1</v>
      </c>
      <c r="U98">
        <v>1</v>
      </c>
      <c r="V98">
        <v>1400</v>
      </c>
    </row>
    <row r="99" spans="1:22" x14ac:dyDescent="0.3">
      <c r="A99">
        <v>260</v>
      </c>
      <c r="B99">
        <v>143</v>
      </c>
      <c r="C99">
        <v>1236</v>
      </c>
      <c r="D99" t="s">
        <v>105</v>
      </c>
      <c r="E99">
        <v>685</v>
      </c>
      <c r="F99" t="s">
        <v>109</v>
      </c>
      <c r="G99">
        <v>3</v>
      </c>
      <c r="H99">
        <v>90000</v>
      </c>
      <c r="I99">
        <v>16000</v>
      </c>
      <c r="J99">
        <v>1401</v>
      </c>
      <c r="K99">
        <v>7000</v>
      </c>
      <c r="L99" t="s">
        <v>45</v>
      </c>
      <c r="M99">
        <v>70000</v>
      </c>
      <c r="O99" t="s">
        <v>188</v>
      </c>
      <c r="P99">
        <v>0</v>
      </c>
      <c r="Q99">
        <v>0</v>
      </c>
      <c r="R99">
        <v>2.5</v>
      </c>
      <c r="S99">
        <v>1</v>
      </c>
      <c r="T99">
        <v>0</v>
      </c>
      <c r="U99">
        <v>0</v>
      </c>
      <c r="V99">
        <v>1750</v>
      </c>
    </row>
    <row r="100" spans="1:22" x14ac:dyDescent="0.3">
      <c r="A100">
        <v>210</v>
      </c>
      <c r="B100">
        <v>143</v>
      </c>
      <c r="C100">
        <v>1174</v>
      </c>
      <c r="D100" t="s">
        <v>105</v>
      </c>
      <c r="E100">
        <v>686</v>
      </c>
      <c r="F100" t="s">
        <v>110</v>
      </c>
      <c r="G100">
        <v>1</v>
      </c>
      <c r="H100">
        <v>130000</v>
      </c>
      <c r="I100">
        <v>14000</v>
      </c>
      <c r="J100">
        <v>1397</v>
      </c>
      <c r="K100">
        <v>8000</v>
      </c>
      <c r="L100" t="s">
        <v>83</v>
      </c>
      <c r="M100">
        <v>80000</v>
      </c>
      <c r="N100">
        <v>686</v>
      </c>
      <c r="O100" t="s">
        <v>188</v>
      </c>
      <c r="P100">
        <v>0</v>
      </c>
      <c r="Q100">
        <v>0</v>
      </c>
      <c r="R100">
        <v>2.5</v>
      </c>
      <c r="S100">
        <v>1</v>
      </c>
      <c r="T100">
        <v>0</v>
      </c>
      <c r="U100">
        <v>0</v>
      </c>
      <c r="V100">
        <v>2000</v>
      </c>
    </row>
    <row r="101" spans="1:22" x14ac:dyDescent="0.3">
      <c r="A101">
        <v>211</v>
      </c>
      <c r="B101">
        <v>144</v>
      </c>
      <c r="C101">
        <v>1174</v>
      </c>
      <c r="D101" t="s">
        <v>105</v>
      </c>
      <c r="E101">
        <v>686</v>
      </c>
      <c r="F101" t="s">
        <v>110</v>
      </c>
      <c r="G101">
        <v>1</v>
      </c>
      <c r="H101">
        <v>130000</v>
      </c>
      <c r="I101">
        <v>14000</v>
      </c>
      <c r="J101">
        <v>1397</v>
      </c>
      <c r="K101">
        <v>8000</v>
      </c>
      <c r="L101" t="s">
        <v>83</v>
      </c>
      <c r="M101">
        <v>80000</v>
      </c>
      <c r="N101">
        <v>686</v>
      </c>
      <c r="O101" t="s">
        <v>190</v>
      </c>
      <c r="P101">
        <v>0</v>
      </c>
      <c r="Q101">
        <v>0</v>
      </c>
      <c r="R101">
        <v>5</v>
      </c>
      <c r="S101">
        <v>2</v>
      </c>
      <c r="T101">
        <v>0</v>
      </c>
      <c r="U101">
        <v>0</v>
      </c>
      <c r="V101">
        <v>4000</v>
      </c>
    </row>
    <row r="102" spans="1:22" x14ac:dyDescent="0.3">
      <c r="A102">
        <v>212</v>
      </c>
      <c r="B102">
        <v>146</v>
      </c>
      <c r="C102">
        <v>1174</v>
      </c>
      <c r="D102" t="s">
        <v>105</v>
      </c>
      <c r="E102">
        <v>686</v>
      </c>
      <c r="F102" t="s">
        <v>110</v>
      </c>
      <c r="G102">
        <v>1</v>
      </c>
      <c r="H102">
        <v>130000</v>
      </c>
      <c r="I102">
        <v>14000</v>
      </c>
      <c r="J102">
        <v>1397</v>
      </c>
      <c r="K102">
        <v>8000</v>
      </c>
      <c r="L102" t="s">
        <v>83</v>
      </c>
      <c r="M102">
        <v>80000</v>
      </c>
      <c r="N102">
        <v>686</v>
      </c>
      <c r="O102" t="s">
        <v>194</v>
      </c>
      <c r="P102">
        <v>0</v>
      </c>
      <c r="Q102">
        <v>0</v>
      </c>
      <c r="R102">
        <v>2</v>
      </c>
      <c r="S102">
        <v>0</v>
      </c>
      <c r="T102">
        <v>1</v>
      </c>
      <c r="U102">
        <v>1</v>
      </c>
      <c r="V102">
        <v>1600</v>
      </c>
    </row>
    <row r="103" spans="1:22" x14ac:dyDescent="0.3">
      <c r="A103">
        <v>258</v>
      </c>
      <c r="B103">
        <v>145</v>
      </c>
      <c r="C103">
        <v>1237</v>
      </c>
      <c r="D103" t="s">
        <v>105</v>
      </c>
      <c r="E103">
        <v>686</v>
      </c>
      <c r="F103" t="s">
        <v>110</v>
      </c>
      <c r="G103">
        <v>3</v>
      </c>
      <c r="H103">
        <v>130000</v>
      </c>
      <c r="I103">
        <v>1000</v>
      </c>
      <c r="J103">
        <v>1397</v>
      </c>
      <c r="K103">
        <v>8000</v>
      </c>
      <c r="L103" t="s">
        <v>83</v>
      </c>
      <c r="M103">
        <v>80000</v>
      </c>
      <c r="N103">
        <v>686</v>
      </c>
      <c r="O103" t="s">
        <v>192</v>
      </c>
      <c r="P103">
        <v>0</v>
      </c>
      <c r="Q103">
        <v>5</v>
      </c>
      <c r="R103">
        <v>0</v>
      </c>
      <c r="S103">
        <v>1</v>
      </c>
      <c r="T103">
        <v>0</v>
      </c>
      <c r="U103">
        <v>0</v>
      </c>
      <c r="V103">
        <v>6500</v>
      </c>
    </row>
    <row r="104" spans="1:22" x14ac:dyDescent="0.3">
      <c r="A104">
        <v>239</v>
      </c>
      <c r="B104">
        <v>144</v>
      </c>
      <c r="C104">
        <v>1180</v>
      </c>
      <c r="D104" t="s">
        <v>105</v>
      </c>
      <c r="E104">
        <v>687</v>
      </c>
      <c r="F104" t="s">
        <v>111</v>
      </c>
      <c r="G104">
        <v>1</v>
      </c>
      <c r="H104">
        <v>190000</v>
      </c>
      <c r="I104">
        <v>33000</v>
      </c>
      <c r="J104">
        <v>1389</v>
      </c>
      <c r="K104">
        <v>20000</v>
      </c>
      <c r="L104" t="s">
        <v>41</v>
      </c>
      <c r="M104">
        <v>200000</v>
      </c>
      <c r="N104">
        <v>687</v>
      </c>
      <c r="O104" t="s">
        <v>190</v>
      </c>
      <c r="P104">
        <v>0</v>
      </c>
      <c r="Q104">
        <v>0</v>
      </c>
      <c r="R104">
        <v>5</v>
      </c>
      <c r="S104">
        <v>2</v>
      </c>
      <c r="T104">
        <v>0</v>
      </c>
      <c r="U104">
        <v>0</v>
      </c>
      <c r="V104">
        <v>10000</v>
      </c>
    </row>
    <row r="105" spans="1:22" x14ac:dyDescent="0.3">
      <c r="A105">
        <v>240</v>
      </c>
      <c r="B105">
        <v>146</v>
      </c>
      <c r="C105">
        <v>1180</v>
      </c>
      <c r="D105" t="s">
        <v>105</v>
      </c>
      <c r="E105">
        <v>687</v>
      </c>
      <c r="F105" t="s">
        <v>111</v>
      </c>
      <c r="G105">
        <v>1</v>
      </c>
      <c r="H105">
        <v>190000</v>
      </c>
      <c r="I105">
        <v>33000</v>
      </c>
      <c r="J105">
        <v>1389</v>
      </c>
      <c r="K105">
        <v>20000</v>
      </c>
      <c r="L105" t="s">
        <v>41</v>
      </c>
      <c r="M105">
        <v>200000</v>
      </c>
      <c r="N105">
        <v>687</v>
      </c>
      <c r="O105" t="s">
        <v>194</v>
      </c>
      <c r="P105">
        <v>0</v>
      </c>
      <c r="Q105">
        <v>0</v>
      </c>
      <c r="R105">
        <v>2</v>
      </c>
      <c r="S105">
        <v>0</v>
      </c>
      <c r="T105">
        <v>1</v>
      </c>
      <c r="U105">
        <v>1</v>
      </c>
      <c r="V105">
        <v>4000</v>
      </c>
    </row>
    <row r="106" spans="1:22" x14ac:dyDescent="0.3">
      <c r="A106">
        <v>253</v>
      </c>
      <c r="B106">
        <v>143</v>
      </c>
      <c r="C106">
        <v>1218</v>
      </c>
      <c r="D106" t="s">
        <v>105</v>
      </c>
      <c r="E106">
        <v>687</v>
      </c>
      <c r="F106" t="s">
        <v>111</v>
      </c>
      <c r="G106">
        <v>2</v>
      </c>
      <c r="H106">
        <v>190000</v>
      </c>
      <c r="I106">
        <v>0</v>
      </c>
      <c r="J106">
        <v>1389</v>
      </c>
      <c r="K106">
        <v>20000</v>
      </c>
      <c r="L106" t="s">
        <v>41</v>
      </c>
      <c r="M106">
        <v>200000</v>
      </c>
      <c r="N106">
        <v>687</v>
      </c>
      <c r="O106" t="s">
        <v>188</v>
      </c>
      <c r="P106">
        <v>0</v>
      </c>
      <c r="Q106">
        <v>0</v>
      </c>
      <c r="R106">
        <v>2.5</v>
      </c>
      <c r="S106">
        <v>1</v>
      </c>
      <c r="T106">
        <v>0</v>
      </c>
      <c r="U106">
        <v>0</v>
      </c>
      <c r="V106">
        <v>5000</v>
      </c>
    </row>
    <row r="107" spans="1:22" x14ac:dyDescent="0.3">
      <c r="A107">
        <v>254</v>
      </c>
      <c r="B107">
        <v>145</v>
      </c>
      <c r="C107">
        <v>1218</v>
      </c>
      <c r="D107" t="s">
        <v>105</v>
      </c>
      <c r="E107">
        <v>687</v>
      </c>
      <c r="F107" t="s">
        <v>111</v>
      </c>
      <c r="G107">
        <v>2</v>
      </c>
      <c r="H107">
        <v>190000</v>
      </c>
      <c r="I107">
        <v>0</v>
      </c>
      <c r="J107">
        <v>1389</v>
      </c>
      <c r="K107">
        <v>20000</v>
      </c>
      <c r="L107" t="s">
        <v>41</v>
      </c>
      <c r="M107">
        <v>200000</v>
      </c>
      <c r="N107">
        <v>687</v>
      </c>
      <c r="O107" t="s">
        <v>192</v>
      </c>
      <c r="P107">
        <v>0</v>
      </c>
      <c r="Q107">
        <v>5</v>
      </c>
      <c r="R107">
        <v>0</v>
      </c>
      <c r="S107">
        <v>1</v>
      </c>
      <c r="T107">
        <v>0</v>
      </c>
      <c r="U107">
        <v>0</v>
      </c>
      <c r="V107">
        <v>9500</v>
      </c>
    </row>
    <row r="108" spans="1:22" x14ac:dyDescent="0.3">
      <c r="A108">
        <v>245</v>
      </c>
      <c r="B108">
        <v>144</v>
      </c>
      <c r="C108">
        <v>1216</v>
      </c>
      <c r="D108" t="s">
        <v>112</v>
      </c>
      <c r="E108">
        <v>690</v>
      </c>
      <c r="F108" t="s">
        <v>113</v>
      </c>
      <c r="G108">
        <v>2</v>
      </c>
      <c r="H108">
        <v>75000</v>
      </c>
      <c r="I108">
        <v>0</v>
      </c>
      <c r="J108">
        <v>1436</v>
      </c>
      <c r="K108">
        <v>10000</v>
      </c>
      <c r="L108" t="s">
        <v>48</v>
      </c>
      <c r="M108">
        <v>100000</v>
      </c>
      <c r="N108">
        <v>690</v>
      </c>
      <c r="O108" t="s">
        <v>190</v>
      </c>
      <c r="P108">
        <v>0</v>
      </c>
      <c r="Q108">
        <v>0</v>
      </c>
      <c r="R108">
        <v>5</v>
      </c>
      <c r="S108">
        <v>2</v>
      </c>
      <c r="T108">
        <v>0</v>
      </c>
      <c r="U108">
        <v>0</v>
      </c>
      <c r="V108">
        <v>5000</v>
      </c>
    </row>
    <row r="109" spans="1:22" x14ac:dyDescent="0.3">
      <c r="A109">
        <v>246</v>
      </c>
      <c r="B109">
        <v>146</v>
      </c>
      <c r="C109">
        <v>1216</v>
      </c>
      <c r="D109" t="s">
        <v>112</v>
      </c>
      <c r="E109">
        <v>690</v>
      </c>
      <c r="F109" t="s">
        <v>113</v>
      </c>
      <c r="G109">
        <v>2</v>
      </c>
      <c r="H109">
        <v>75000</v>
      </c>
      <c r="I109">
        <v>0</v>
      </c>
      <c r="J109">
        <v>1436</v>
      </c>
      <c r="K109">
        <v>10000</v>
      </c>
      <c r="L109" t="s">
        <v>48</v>
      </c>
      <c r="M109">
        <v>100000</v>
      </c>
      <c r="N109">
        <v>690</v>
      </c>
      <c r="O109" t="s">
        <v>194</v>
      </c>
      <c r="P109">
        <v>0</v>
      </c>
      <c r="Q109">
        <v>0</v>
      </c>
      <c r="R109">
        <v>2</v>
      </c>
      <c r="S109">
        <v>0</v>
      </c>
      <c r="T109">
        <v>1</v>
      </c>
      <c r="U109">
        <v>1</v>
      </c>
      <c r="V109">
        <v>2000</v>
      </c>
    </row>
    <row r="110" spans="1:22" x14ac:dyDescent="0.3">
      <c r="A110">
        <v>263</v>
      </c>
      <c r="B110">
        <v>146</v>
      </c>
      <c r="C110">
        <v>1241</v>
      </c>
      <c r="D110" t="s">
        <v>112</v>
      </c>
      <c r="E110">
        <v>691</v>
      </c>
      <c r="F110" t="s">
        <v>114</v>
      </c>
      <c r="G110">
        <v>3</v>
      </c>
      <c r="H110">
        <v>110000</v>
      </c>
      <c r="I110">
        <v>11000</v>
      </c>
      <c r="J110">
        <v>1435</v>
      </c>
      <c r="K110">
        <v>17000</v>
      </c>
      <c r="L110" t="s">
        <v>58</v>
      </c>
      <c r="M110">
        <v>200000</v>
      </c>
      <c r="N110">
        <v>691</v>
      </c>
      <c r="O110" t="s">
        <v>194</v>
      </c>
      <c r="P110">
        <v>0</v>
      </c>
      <c r="Q110">
        <v>0</v>
      </c>
      <c r="R110">
        <v>2</v>
      </c>
      <c r="S110">
        <v>0</v>
      </c>
      <c r="T110">
        <v>1</v>
      </c>
      <c r="U110">
        <v>1</v>
      </c>
      <c r="V110">
        <v>3400</v>
      </c>
    </row>
    <row r="111" spans="1:22" x14ac:dyDescent="0.3">
      <c r="A111">
        <v>273</v>
      </c>
      <c r="B111">
        <v>143</v>
      </c>
      <c r="C111">
        <v>1259</v>
      </c>
      <c r="D111" t="s">
        <v>112</v>
      </c>
      <c r="E111">
        <v>691</v>
      </c>
      <c r="F111" t="s">
        <v>114</v>
      </c>
      <c r="G111">
        <v>4</v>
      </c>
      <c r="H111">
        <v>110000</v>
      </c>
      <c r="I111">
        <v>0</v>
      </c>
      <c r="J111">
        <v>1435</v>
      </c>
      <c r="K111">
        <v>17000</v>
      </c>
      <c r="L111" t="s">
        <v>58</v>
      </c>
      <c r="M111">
        <v>200000</v>
      </c>
      <c r="N111">
        <v>691</v>
      </c>
      <c r="O111" t="s">
        <v>188</v>
      </c>
      <c r="P111">
        <v>0</v>
      </c>
      <c r="Q111">
        <v>0</v>
      </c>
      <c r="R111">
        <v>2.5</v>
      </c>
      <c r="S111">
        <v>1</v>
      </c>
      <c r="T111">
        <v>0</v>
      </c>
      <c r="U111">
        <v>0</v>
      </c>
      <c r="V111">
        <v>4250</v>
      </c>
    </row>
    <row r="112" spans="1:22" x14ac:dyDescent="0.3">
      <c r="A112">
        <v>242</v>
      </c>
      <c r="B112">
        <v>146</v>
      </c>
      <c r="C112">
        <v>1198</v>
      </c>
      <c r="D112" t="s">
        <v>112</v>
      </c>
      <c r="E112">
        <v>693</v>
      </c>
      <c r="F112" t="s">
        <v>115</v>
      </c>
      <c r="G112">
        <v>1</v>
      </c>
      <c r="H112">
        <v>90000</v>
      </c>
      <c r="I112">
        <v>9000</v>
      </c>
      <c r="J112">
        <v>1447</v>
      </c>
      <c r="K112">
        <v>7000</v>
      </c>
      <c r="L112" t="s">
        <v>71</v>
      </c>
      <c r="M112">
        <v>70000</v>
      </c>
      <c r="O112" t="s">
        <v>194</v>
      </c>
      <c r="P112">
        <v>0</v>
      </c>
      <c r="Q112">
        <v>0</v>
      </c>
      <c r="R112">
        <v>2</v>
      </c>
      <c r="S112">
        <v>0</v>
      </c>
      <c r="T112">
        <v>1</v>
      </c>
      <c r="U112">
        <v>1</v>
      </c>
      <c r="V112">
        <v>1400</v>
      </c>
    </row>
    <row r="113" spans="1:22" x14ac:dyDescent="0.3">
      <c r="A113">
        <v>248</v>
      </c>
      <c r="B113">
        <v>143</v>
      </c>
      <c r="C113">
        <v>1210</v>
      </c>
      <c r="D113" t="s">
        <v>112</v>
      </c>
      <c r="E113">
        <v>693</v>
      </c>
      <c r="F113" t="s">
        <v>115</v>
      </c>
      <c r="G113">
        <v>2</v>
      </c>
      <c r="H113">
        <v>90000</v>
      </c>
      <c r="I113">
        <v>0</v>
      </c>
      <c r="J113">
        <v>1447</v>
      </c>
      <c r="K113">
        <v>7000</v>
      </c>
      <c r="L113" t="s">
        <v>71</v>
      </c>
      <c r="M113">
        <v>70000</v>
      </c>
      <c r="O113" t="s">
        <v>188</v>
      </c>
      <c r="P113">
        <v>0</v>
      </c>
      <c r="Q113">
        <v>0</v>
      </c>
      <c r="R113">
        <v>2.5</v>
      </c>
      <c r="S113">
        <v>1</v>
      </c>
      <c r="T113">
        <v>0</v>
      </c>
      <c r="U113">
        <v>0</v>
      </c>
      <c r="V113">
        <v>1750</v>
      </c>
    </row>
    <row r="114" spans="1:22" x14ac:dyDescent="0.3">
      <c r="A114">
        <v>249</v>
      </c>
      <c r="B114">
        <v>144</v>
      </c>
      <c r="C114">
        <v>1210</v>
      </c>
      <c r="D114" t="s">
        <v>112</v>
      </c>
      <c r="E114">
        <v>693</v>
      </c>
      <c r="F114" t="s">
        <v>115</v>
      </c>
      <c r="G114">
        <v>2</v>
      </c>
      <c r="H114">
        <v>90000</v>
      </c>
      <c r="I114">
        <v>0</v>
      </c>
      <c r="J114">
        <v>1447</v>
      </c>
      <c r="K114">
        <v>7000</v>
      </c>
      <c r="L114" t="s">
        <v>71</v>
      </c>
      <c r="M114">
        <v>70000</v>
      </c>
      <c r="O114" t="s">
        <v>190</v>
      </c>
      <c r="P114">
        <v>0</v>
      </c>
      <c r="Q114">
        <v>0</v>
      </c>
      <c r="R114">
        <v>5</v>
      </c>
      <c r="S114">
        <v>2</v>
      </c>
      <c r="T114">
        <v>0</v>
      </c>
      <c r="U114">
        <v>0</v>
      </c>
      <c r="V114">
        <v>3500</v>
      </c>
    </row>
    <row r="115" spans="1:22" x14ac:dyDescent="0.3">
      <c r="A115">
        <v>274</v>
      </c>
      <c r="B115">
        <v>145</v>
      </c>
      <c r="C115">
        <v>1258</v>
      </c>
      <c r="D115" t="s">
        <v>112</v>
      </c>
      <c r="E115">
        <v>693</v>
      </c>
      <c r="F115" t="s">
        <v>115</v>
      </c>
      <c r="G115">
        <v>4</v>
      </c>
      <c r="H115">
        <v>90000</v>
      </c>
      <c r="I115">
        <v>6000</v>
      </c>
      <c r="J115">
        <v>1468</v>
      </c>
      <c r="K115">
        <v>10000</v>
      </c>
      <c r="L115" t="s">
        <v>102</v>
      </c>
      <c r="M115">
        <v>100000</v>
      </c>
      <c r="N115">
        <v>693</v>
      </c>
      <c r="O115" t="s">
        <v>192</v>
      </c>
      <c r="P115">
        <v>0</v>
      </c>
      <c r="Q115">
        <v>5</v>
      </c>
      <c r="R115">
        <v>0</v>
      </c>
      <c r="S115">
        <v>1</v>
      </c>
      <c r="T115">
        <v>0</v>
      </c>
      <c r="U115">
        <v>0</v>
      </c>
      <c r="V115">
        <v>4500</v>
      </c>
    </row>
    <row r="116" spans="1:22" x14ac:dyDescent="0.3">
      <c r="A116">
        <v>241</v>
      </c>
      <c r="B116">
        <v>146</v>
      </c>
      <c r="C116">
        <v>1197</v>
      </c>
      <c r="D116" t="s">
        <v>112</v>
      </c>
      <c r="E116">
        <v>694</v>
      </c>
      <c r="F116" t="s">
        <v>116</v>
      </c>
      <c r="G116">
        <v>1</v>
      </c>
      <c r="H116">
        <v>130000</v>
      </c>
      <c r="I116">
        <v>16000</v>
      </c>
      <c r="J116">
        <v>1443</v>
      </c>
      <c r="K116">
        <v>20000</v>
      </c>
      <c r="L116" t="s">
        <v>117</v>
      </c>
      <c r="M116">
        <v>200000</v>
      </c>
      <c r="O116" t="s">
        <v>194</v>
      </c>
      <c r="P116">
        <v>0</v>
      </c>
      <c r="Q116">
        <v>0</v>
      </c>
      <c r="R116">
        <v>2</v>
      </c>
      <c r="S116">
        <v>0</v>
      </c>
      <c r="T116">
        <v>1</v>
      </c>
      <c r="U116">
        <v>1</v>
      </c>
      <c r="V116">
        <v>4000</v>
      </c>
    </row>
    <row r="117" spans="1:22" x14ac:dyDescent="0.3">
      <c r="A117">
        <v>252</v>
      </c>
      <c r="B117">
        <v>144</v>
      </c>
      <c r="C117">
        <v>1211</v>
      </c>
      <c r="D117" t="s">
        <v>112</v>
      </c>
      <c r="E117">
        <v>694</v>
      </c>
      <c r="F117" t="s">
        <v>116</v>
      </c>
      <c r="G117">
        <v>2</v>
      </c>
      <c r="H117">
        <v>130000</v>
      </c>
      <c r="I117">
        <v>1000</v>
      </c>
      <c r="J117">
        <v>1443</v>
      </c>
      <c r="K117">
        <v>20000</v>
      </c>
      <c r="L117" t="s">
        <v>117</v>
      </c>
      <c r="M117">
        <v>200000</v>
      </c>
      <c r="O117" t="s">
        <v>190</v>
      </c>
      <c r="P117">
        <v>0</v>
      </c>
      <c r="Q117">
        <v>0</v>
      </c>
      <c r="R117">
        <v>5</v>
      </c>
      <c r="S117">
        <v>2</v>
      </c>
      <c r="T117">
        <v>0</v>
      </c>
      <c r="U117">
        <v>0</v>
      </c>
      <c r="V117">
        <v>10000</v>
      </c>
    </row>
    <row r="118" spans="1:22" x14ac:dyDescent="0.3">
      <c r="A118">
        <v>267</v>
      </c>
      <c r="B118">
        <v>143</v>
      </c>
      <c r="C118">
        <v>1243</v>
      </c>
      <c r="D118" t="s">
        <v>112</v>
      </c>
      <c r="E118">
        <v>694</v>
      </c>
      <c r="F118" t="s">
        <v>116</v>
      </c>
      <c r="G118">
        <v>3</v>
      </c>
      <c r="H118">
        <v>130000</v>
      </c>
      <c r="I118">
        <v>10000</v>
      </c>
      <c r="J118">
        <v>1443</v>
      </c>
      <c r="K118">
        <v>20000</v>
      </c>
      <c r="L118" t="s">
        <v>117</v>
      </c>
      <c r="M118">
        <v>200000</v>
      </c>
      <c r="O118" t="s">
        <v>188</v>
      </c>
      <c r="P118">
        <v>0</v>
      </c>
      <c r="Q118">
        <v>0</v>
      </c>
      <c r="R118">
        <v>2.5</v>
      </c>
      <c r="S118">
        <v>1</v>
      </c>
      <c r="T118">
        <v>0</v>
      </c>
      <c r="U118">
        <v>0</v>
      </c>
      <c r="V118">
        <v>5000</v>
      </c>
    </row>
    <row r="119" spans="1:22" x14ac:dyDescent="0.3">
      <c r="A119">
        <v>268</v>
      </c>
      <c r="B119">
        <v>145</v>
      </c>
      <c r="C119">
        <v>1243</v>
      </c>
      <c r="D119" t="s">
        <v>112</v>
      </c>
      <c r="E119">
        <v>694</v>
      </c>
      <c r="F119" t="s">
        <v>116</v>
      </c>
      <c r="G119">
        <v>3</v>
      </c>
      <c r="H119">
        <v>130000</v>
      </c>
      <c r="I119">
        <v>10000</v>
      </c>
      <c r="J119">
        <v>1443</v>
      </c>
      <c r="K119">
        <v>20000</v>
      </c>
      <c r="L119" t="s">
        <v>117</v>
      </c>
      <c r="M119">
        <v>200000</v>
      </c>
      <c r="O119" t="s">
        <v>192</v>
      </c>
      <c r="P119">
        <v>0</v>
      </c>
      <c r="Q119">
        <v>5</v>
      </c>
      <c r="R119">
        <v>0</v>
      </c>
      <c r="S119">
        <v>1</v>
      </c>
      <c r="T119">
        <v>0</v>
      </c>
      <c r="U119">
        <v>0</v>
      </c>
      <c r="V119">
        <v>6500</v>
      </c>
    </row>
    <row r="120" spans="1:22" x14ac:dyDescent="0.3">
      <c r="A120">
        <v>232</v>
      </c>
      <c r="B120">
        <v>144</v>
      </c>
      <c r="C120">
        <v>1195</v>
      </c>
      <c r="D120" t="s">
        <v>112</v>
      </c>
      <c r="E120">
        <v>695</v>
      </c>
      <c r="F120" t="s">
        <v>118</v>
      </c>
      <c r="G120">
        <v>1</v>
      </c>
      <c r="H120">
        <v>190000</v>
      </c>
      <c r="I120">
        <v>14000</v>
      </c>
      <c r="J120">
        <v>1434</v>
      </c>
      <c r="K120">
        <v>20000</v>
      </c>
      <c r="L120" t="s">
        <v>41</v>
      </c>
      <c r="M120">
        <v>250000</v>
      </c>
      <c r="O120" t="s">
        <v>190</v>
      </c>
      <c r="P120">
        <v>0</v>
      </c>
      <c r="Q120">
        <v>0</v>
      </c>
      <c r="R120">
        <v>5</v>
      </c>
      <c r="S120">
        <v>2</v>
      </c>
      <c r="T120">
        <v>0</v>
      </c>
      <c r="U120">
        <v>0</v>
      </c>
      <c r="V120">
        <v>10000</v>
      </c>
    </row>
    <row r="121" spans="1:22" x14ac:dyDescent="0.3">
      <c r="A121">
        <v>233</v>
      </c>
      <c r="B121">
        <v>145</v>
      </c>
      <c r="C121">
        <v>1195</v>
      </c>
      <c r="D121" t="s">
        <v>112</v>
      </c>
      <c r="E121">
        <v>695</v>
      </c>
      <c r="F121" t="s">
        <v>118</v>
      </c>
      <c r="G121">
        <v>1</v>
      </c>
      <c r="H121">
        <v>190000</v>
      </c>
      <c r="I121">
        <v>14000</v>
      </c>
      <c r="J121">
        <v>1434</v>
      </c>
      <c r="K121">
        <v>20000</v>
      </c>
      <c r="L121" t="s">
        <v>41</v>
      </c>
      <c r="M121">
        <v>250000</v>
      </c>
      <c r="O121" t="s">
        <v>192</v>
      </c>
      <c r="P121">
        <v>0</v>
      </c>
      <c r="Q121">
        <v>5</v>
      </c>
      <c r="R121">
        <v>0</v>
      </c>
      <c r="S121">
        <v>1</v>
      </c>
      <c r="T121">
        <v>0</v>
      </c>
      <c r="U121">
        <v>0</v>
      </c>
      <c r="V121">
        <v>9500</v>
      </c>
    </row>
    <row r="122" spans="1:22" x14ac:dyDescent="0.3">
      <c r="A122">
        <v>250</v>
      </c>
      <c r="B122">
        <v>143</v>
      </c>
      <c r="C122">
        <v>1209</v>
      </c>
      <c r="D122" t="s">
        <v>112</v>
      </c>
      <c r="E122">
        <v>695</v>
      </c>
      <c r="F122" t="s">
        <v>118</v>
      </c>
      <c r="G122">
        <v>2</v>
      </c>
      <c r="H122">
        <v>190000</v>
      </c>
      <c r="I122">
        <v>0</v>
      </c>
      <c r="J122">
        <v>1434</v>
      </c>
      <c r="K122">
        <v>20000</v>
      </c>
      <c r="L122" t="s">
        <v>41</v>
      </c>
      <c r="M122">
        <v>250000</v>
      </c>
      <c r="O122" t="s">
        <v>188</v>
      </c>
      <c r="P122">
        <v>0</v>
      </c>
      <c r="Q122">
        <v>0</v>
      </c>
      <c r="R122">
        <v>2.5</v>
      </c>
      <c r="S122">
        <v>1</v>
      </c>
      <c r="T122">
        <v>0</v>
      </c>
      <c r="U122">
        <v>0</v>
      </c>
      <c r="V122">
        <v>5000</v>
      </c>
    </row>
    <row r="123" spans="1:22" x14ac:dyDescent="0.3">
      <c r="A123">
        <v>269</v>
      </c>
      <c r="B123">
        <v>146</v>
      </c>
      <c r="C123">
        <v>1242</v>
      </c>
      <c r="D123" t="s">
        <v>112</v>
      </c>
      <c r="E123">
        <v>695</v>
      </c>
      <c r="F123" t="s">
        <v>118</v>
      </c>
      <c r="G123">
        <v>3</v>
      </c>
      <c r="H123">
        <v>190000</v>
      </c>
      <c r="I123">
        <v>8000</v>
      </c>
      <c r="J123">
        <v>1434</v>
      </c>
      <c r="K123">
        <v>20000</v>
      </c>
      <c r="L123" t="s">
        <v>41</v>
      </c>
      <c r="M123">
        <v>250000</v>
      </c>
      <c r="O123" t="s">
        <v>194</v>
      </c>
      <c r="P123">
        <v>0</v>
      </c>
      <c r="Q123">
        <v>0</v>
      </c>
      <c r="R123">
        <v>2</v>
      </c>
      <c r="S123">
        <v>0</v>
      </c>
      <c r="T123">
        <v>1</v>
      </c>
      <c r="U123">
        <v>1</v>
      </c>
      <c r="V123">
        <v>4000</v>
      </c>
    </row>
    <row r="124" spans="1:22" x14ac:dyDescent="0.3">
      <c r="A124">
        <v>244</v>
      </c>
      <c r="B124">
        <v>143</v>
      </c>
      <c r="C124">
        <v>1208</v>
      </c>
      <c r="D124" t="s">
        <v>112</v>
      </c>
      <c r="E124">
        <v>696</v>
      </c>
      <c r="F124" t="s">
        <v>119</v>
      </c>
      <c r="G124">
        <v>2</v>
      </c>
      <c r="H124">
        <v>110000</v>
      </c>
      <c r="I124">
        <v>10000</v>
      </c>
      <c r="J124">
        <v>1440</v>
      </c>
      <c r="K124">
        <v>0</v>
      </c>
      <c r="L124" t="s">
        <v>94</v>
      </c>
      <c r="M124">
        <v>160000</v>
      </c>
      <c r="N124">
        <v>696</v>
      </c>
      <c r="O124" t="s">
        <v>188</v>
      </c>
      <c r="P124">
        <v>0</v>
      </c>
      <c r="Q124">
        <v>0</v>
      </c>
      <c r="R124">
        <v>2.5</v>
      </c>
      <c r="S124">
        <v>1</v>
      </c>
      <c r="T124">
        <v>0</v>
      </c>
      <c r="U124">
        <v>0</v>
      </c>
      <c r="V124">
        <v>0</v>
      </c>
    </row>
    <row r="125" spans="1:22" x14ac:dyDescent="0.3">
      <c r="A125">
        <v>264</v>
      </c>
      <c r="B125">
        <v>144</v>
      </c>
      <c r="C125">
        <v>1240</v>
      </c>
      <c r="D125" t="s">
        <v>112</v>
      </c>
      <c r="E125">
        <v>696</v>
      </c>
      <c r="F125" t="s">
        <v>119</v>
      </c>
      <c r="G125">
        <v>3</v>
      </c>
      <c r="H125">
        <v>110000</v>
      </c>
      <c r="I125">
        <v>0</v>
      </c>
      <c r="J125">
        <v>1440</v>
      </c>
      <c r="K125">
        <v>16000</v>
      </c>
      <c r="L125" t="s">
        <v>94</v>
      </c>
      <c r="M125">
        <v>160000</v>
      </c>
      <c r="N125">
        <v>696</v>
      </c>
      <c r="O125" t="s">
        <v>190</v>
      </c>
      <c r="P125">
        <v>0</v>
      </c>
      <c r="Q125">
        <v>0</v>
      </c>
      <c r="R125">
        <v>5</v>
      </c>
      <c r="S125">
        <v>2</v>
      </c>
      <c r="T125">
        <v>0</v>
      </c>
      <c r="U125">
        <v>0</v>
      </c>
      <c r="V125">
        <v>8000</v>
      </c>
    </row>
    <row r="126" spans="1:22" x14ac:dyDescent="0.3">
      <c r="A126">
        <v>265</v>
      </c>
      <c r="B126">
        <v>145</v>
      </c>
      <c r="C126">
        <v>1240</v>
      </c>
      <c r="D126" t="s">
        <v>112</v>
      </c>
      <c r="E126">
        <v>696</v>
      </c>
      <c r="F126" t="s">
        <v>119</v>
      </c>
      <c r="G126">
        <v>3</v>
      </c>
      <c r="H126">
        <v>110000</v>
      </c>
      <c r="I126">
        <v>0</v>
      </c>
      <c r="J126">
        <v>1440</v>
      </c>
      <c r="K126">
        <v>16000</v>
      </c>
      <c r="L126" t="s">
        <v>94</v>
      </c>
      <c r="M126">
        <v>160000</v>
      </c>
      <c r="N126">
        <v>696</v>
      </c>
      <c r="O126" t="s">
        <v>192</v>
      </c>
      <c r="P126">
        <v>0</v>
      </c>
      <c r="Q126">
        <v>5</v>
      </c>
      <c r="R126">
        <v>0</v>
      </c>
      <c r="S126">
        <v>1</v>
      </c>
      <c r="T126">
        <v>0</v>
      </c>
      <c r="U126">
        <v>0</v>
      </c>
      <c r="V126">
        <v>5500</v>
      </c>
    </row>
    <row r="127" spans="1:22" x14ac:dyDescent="0.3">
      <c r="A127">
        <v>266</v>
      </c>
      <c r="B127">
        <v>146</v>
      </c>
      <c r="C127">
        <v>1240</v>
      </c>
      <c r="D127" t="s">
        <v>112</v>
      </c>
      <c r="E127">
        <v>696</v>
      </c>
      <c r="F127" t="s">
        <v>119</v>
      </c>
      <c r="G127">
        <v>3</v>
      </c>
      <c r="H127">
        <v>110000</v>
      </c>
      <c r="I127">
        <v>0</v>
      </c>
      <c r="J127">
        <v>1440</v>
      </c>
      <c r="K127">
        <v>16000</v>
      </c>
      <c r="L127" t="s">
        <v>94</v>
      </c>
      <c r="M127">
        <v>160000</v>
      </c>
      <c r="N127">
        <v>696</v>
      </c>
      <c r="O127" t="s">
        <v>194</v>
      </c>
      <c r="P127">
        <v>0</v>
      </c>
      <c r="Q127">
        <v>0</v>
      </c>
      <c r="R127">
        <v>2</v>
      </c>
      <c r="S127">
        <v>0</v>
      </c>
      <c r="T127">
        <v>1</v>
      </c>
      <c r="U127">
        <v>1</v>
      </c>
      <c r="V127">
        <v>3200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13"/>
  <sheetViews>
    <sheetView workbookViewId="0"/>
  </sheetViews>
  <sheetFormatPr defaultRowHeight="14.4" x14ac:dyDescent="0.3"/>
  <sheetData>
    <row r="1" spans="1:18" s="1" customFormat="1" x14ac:dyDescent="0.3">
      <c r="A1" s="1" t="s">
        <v>156</v>
      </c>
      <c r="B1" s="1" t="s">
        <v>200</v>
      </c>
      <c r="C1" s="1" t="s">
        <v>196</v>
      </c>
      <c r="D1" s="1" t="s">
        <v>201</v>
      </c>
      <c r="E1" s="1" t="s">
        <v>202</v>
      </c>
      <c r="F1" s="1" t="s">
        <v>203</v>
      </c>
      <c r="G1" s="1" t="s">
        <v>199</v>
      </c>
      <c r="H1" s="1" t="s">
        <v>1</v>
      </c>
      <c r="I1" s="1" t="s">
        <v>3</v>
      </c>
      <c r="J1" s="1" t="s">
        <v>4</v>
      </c>
      <c r="K1" s="1" t="s">
        <v>7</v>
      </c>
      <c r="L1" s="1" t="s">
        <v>8</v>
      </c>
      <c r="M1" s="1" t="s">
        <v>15</v>
      </c>
      <c r="N1" s="1" t="s">
        <v>157</v>
      </c>
      <c r="O1" s="1" t="s">
        <v>160</v>
      </c>
      <c r="P1" s="1" t="s">
        <v>163</v>
      </c>
      <c r="Q1" s="1" t="s">
        <v>165</v>
      </c>
      <c r="R1" s="1" t="s">
        <v>166</v>
      </c>
    </row>
    <row r="2" spans="1:18" x14ac:dyDescent="0.3">
      <c r="A2">
        <v>770</v>
      </c>
      <c r="B2">
        <v>1</v>
      </c>
      <c r="C2">
        <v>141</v>
      </c>
      <c r="D2">
        <v>1300</v>
      </c>
      <c r="E2">
        <v>-1</v>
      </c>
      <c r="F2" t="s">
        <v>55</v>
      </c>
      <c r="N2" t="s">
        <v>183</v>
      </c>
      <c r="O2">
        <v>8000</v>
      </c>
      <c r="P2">
        <v>1</v>
      </c>
      <c r="Q2">
        <v>1</v>
      </c>
      <c r="R2">
        <v>1</v>
      </c>
    </row>
    <row r="3" spans="1:18" x14ac:dyDescent="0.3">
      <c r="A3">
        <v>796</v>
      </c>
      <c r="B3">
        <v>2</v>
      </c>
      <c r="C3">
        <v>138</v>
      </c>
      <c r="D3">
        <v>1300</v>
      </c>
      <c r="E3">
        <v>-1</v>
      </c>
      <c r="F3" t="s">
        <v>55</v>
      </c>
      <c r="N3" t="s">
        <v>178</v>
      </c>
      <c r="O3">
        <v>10000</v>
      </c>
      <c r="P3">
        <v>0</v>
      </c>
      <c r="Q3">
        <v>1</v>
      </c>
      <c r="R3">
        <v>1</v>
      </c>
    </row>
    <row r="4" spans="1:18" x14ac:dyDescent="0.3">
      <c r="A4">
        <v>797</v>
      </c>
      <c r="B4">
        <v>2</v>
      </c>
      <c r="C4">
        <v>137</v>
      </c>
      <c r="D4">
        <v>1300</v>
      </c>
      <c r="E4">
        <v>-1</v>
      </c>
      <c r="F4" t="s">
        <v>55</v>
      </c>
      <c r="N4" t="s">
        <v>175</v>
      </c>
      <c r="O4">
        <v>6000</v>
      </c>
      <c r="P4">
        <v>1</v>
      </c>
      <c r="Q4">
        <v>1</v>
      </c>
      <c r="R4">
        <v>0</v>
      </c>
    </row>
    <row r="5" spans="1:18" x14ac:dyDescent="0.3">
      <c r="A5">
        <v>822</v>
      </c>
      <c r="B5">
        <v>3</v>
      </c>
      <c r="C5">
        <v>140</v>
      </c>
      <c r="D5">
        <v>1300</v>
      </c>
      <c r="E5">
        <v>-1</v>
      </c>
      <c r="F5" t="s">
        <v>55</v>
      </c>
      <c r="N5" t="s">
        <v>181</v>
      </c>
      <c r="O5">
        <v>8000</v>
      </c>
      <c r="P5">
        <v>1</v>
      </c>
      <c r="Q5">
        <v>1</v>
      </c>
      <c r="R5">
        <v>0</v>
      </c>
    </row>
    <row r="6" spans="1:18" x14ac:dyDescent="0.3">
      <c r="A6">
        <v>798</v>
      </c>
      <c r="B6">
        <v>3</v>
      </c>
      <c r="C6">
        <v>142</v>
      </c>
      <c r="D6">
        <v>1342</v>
      </c>
      <c r="E6">
        <v>-1</v>
      </c>
      <c r="F6" t="s">
        <v>204</v>
      </c>
      <c r="N6" t="s">
        <v>186</v>
      </c>
      <c r="O6">
        <v>1000</v>
      </c>
      <c r="P6">
        <v>0</v>
      </c>
      <c r="Q6">
        <v>0</v>
      </c>
      <c r="R6">
        <v>1</v>
      </c>
    </row>
    <row r="7" spans="1:18" x14ac:dyDescent="0.3">
      <c r="A7">
        <v>799</v>
      </c>
      <c r="B7">
        <v>3</v>
      </c>
      <c r="C7">
        <v>141</v>
      </c>
      <c r="D7">
        <v>1343</v>
      </c>
      <c r="E7">
        <v>-1</v>
      </c>
      <c r="F7" t="s">
        <v>205</v>
      </c>
      <c r="N7" t="s">
        <v>183</v>
      </c>
      <c r="O7">
        <v>8000</v>
      </c>
      <c r="P7">
        <v>1</v>
      </c>
      <c r="Q7">
        <v>1</v>
      </c>
      <c r="R7">
        <v>1</v>
      </c>
    </row>
    <row r="8" spans="1:18" x14ac:dyDescent="0.3">
      <c r="A8">
        <v>836</v>
      </c>
      <c r="B8">
        <v>4</v>
      </c>
      <c r="C8">
        <v>138</v>
      </c>
      <c r="D8">
        <v>1356</v>
      </c>
      <c r="E8">
        <v>-1</v>
      </c>
      <c r="F8" t="s">
        <v>77</v>
      </c>
      <c r="N8" t="s">
        <v>178</v>
      </c>
      <c r="O8">
        <v>10000</v>
      </c>
      <c r="P8">
        <v>0</v>
      </c>
      <c r="Q8">
        <v>1</v>
      </c>
      <c r="R8">
        <v>1</v>
      </c>
    </row>
    <row r="9" spans="1:18" x14ac:dyDescent="0.3">
      <c r="A9">
        <v>839</v>
      </c>
      <c r="B9">
        <v>4</v>
      </c>
      <c r="C9">
        <v>142</v>
      </c>
      <c r="D9">
        <v>1358</v>
      </c>
      <c r="E9">
        <v>-1</v>
      </c>
      <c r="F9" t="s">
        <v>102</v>
      </c>
      <c r="N9" t="s">
        <v>186</v>
      </c>
      <c r="O9">
        <v>1000</v>
      </c>
      <c r="P9">
        <v>0</v>
      </c>
      <c r="Q9">
        <v>0</v>
      </c>
      <c r="R9">
        <v>1</v>
      </c>
    </row>
    <row r="10" spans="1:18" x14ac:dyDescent="0.3">
      <c r="A10">
        <v>840</v>
      </c>
      <c r="B10">
        <v>4</v>
      </c>
      <c r="C10">
        <v>141</v>
      </c>
      <c r="D10">
        <v>1360</v>
      </c>
      <c r="E10">
        <v>-1</v>
      </c>
      <c r="F10" t="s">
        <v>206</v>
      </c>
      <c r="N10" t="s">
        <v>183</v>
      </c>
      <c r="O10">
        <v>8000</v>
      </c>
      <c r="P10">
        <v>1</v>
      </c>
      <c r="Q10">
        <v>1</v>
      </c>
      <c r="R10">
        <v>1</v>
      </c>
    </row>
    <row r="11" spans="1:18" x14ac:dyDescent="0.3">
      <c r="A11">
        <v>841</v>
      </c>
      <c r="B11">
        <v>4</v>
      </c>
      <c r="C11">
        <v>138</v>
      </c>
      <c r="D11">
        <v>1360</v>
      </c>
      <c r="E11">
        <v>-1</v>
      </c>
      <c r="F11" t="s">
        <v>206</v>
      </c>
      <c r="N11" t="s">
        <v>178</v>
      </c>
      <c r="O11">
        <v>10000</v>
      </c>
      <c r="P11">
        <v>0</v>
      </c>
      <c r="Q11">
        <v>1</v>
      </c>
      <c r="R11">
        <v>1</v>
      </c>
    </row>
    <row r="12" spans="1:18" x14ac:dyDescent="0.3">
      <c r="A12">
        <v>842</v>
      </c>
      <c r="B12">
        <v>4</v>
      </c>
      <c r="C12">
        <v>138</v>
      </c>
      <c r="D12">
        <v>1361</v>
      </c>
      <c r="E12">
        <v>-1</v>
      </c>
      <c r="F12" t="s">
        <v>207</v>
      </c>
      <c r="N12" t="s">
        <v>178</v>
      </c>
      <c r="O12">
        <v>10000</v>
      </c>
      <c r="P12">
        <v>0</v>
      </c>
      <c r="Q12">
        <v>1</v>
      </c>
      <c r="R12">
        <v>1</v>
      </c>
    </row>
    <row r="13" spans="1:18" x14ac:dyDescent="0.3">
      <c r="A13">
        <v>843</v>
      </c>
      <c r="B13">
        <v>4</v>
      </c>
      <c r="C13">
        <v>141</v>
      </c>
      <c r="D13">
        <v>1361</v>
      </c>
      <c r="E13">
        <v>-1</v>
      </c>
      <c r="F13" t="s">
        <v>207</v>
      </c>
      <c r="N13" t="s">
        <v>183</v>
      </c>
      <c r="O13">
        <v>8000</v>
      </c>
      <c r="P13">
        <v>1</v>
      </c>
      <c r="Q13">
        <v>1</v>
      </c>
      <c r="R13">
        <v>1</v>
      </c>
    </row>
    <row r="14" spans="1:18" x14ac:dyDescent="0.3">
      <c r="A14">
        <v>844</v>
      </c>
      <c r="B14">
        <v>4</v>
      </c>
      <c r="C14">
        <v>137</v>
      </c>
      <c r="D14">
        <v>1362</v>
      </c>
      <c r="E14">
        <v>-1</v>
      </c>
      <c r="F14" t="s">
        <v>208</v>
      </c>
      <c r="N14" t="s">
        <v>175</v>
      </c>
      <c r="O14">
        <v>6000</v>
      </c>
      <c r="P14">
        <v>1</v>
      </c>
      <c r="Q14">
        <v>1</v>
      </c>
      <c r="R14">
        <v>0</v>
      </c>
    </row>
    <row r="15" spans="1:18" x14ac:dyDescent="0.3">
      <c r="A15">
        <v>845</v>
      </c>
      <c r="B15">
        <v>4</v>
      </c>
      <c r="C15">
        <v>141</v>
      </c>
      <c r="D15">
        <v>1362</v>
      </c>
      <c r="E15">
        <v>-1</v>
      </c>
      <c r="F15" t="s">
        <v>208</v>
      </c>
      <c r="N15" t="s">
        <v>183</v>
      </c>
      <c r="O15">
        <v>8000</v>
      </c>
      <c r="P15">
        <v>1</v>
      </c>
      <c r="Q15">
        <v>1</v>
      </c>
      <c r="R15">
        <v>1</v>
      </c>
    </row>
    <row r="16" spans="1:18" x14ac:dyDescent="0.3">
      <c r="A16">
        <v>846</v>
      </c>
      <c r="B16">
        <v>4</v>
      </c>
      <c r="C16">
        <v>138</v>
      </c>
      <c r="D16">
        <v>1363</v>
      </c>
      <c r="E16">
        <v>-1</v>
      </c>
      <c r="F16" t="s">
        <v>209</v>
      </c>
      <c r="N16" t="s">
        <v>178</v>
      </c>
      <c r="O16">
        <v>10000</v>
      </c>
      <c r="P16">
        <v>0</v>
      </c>
      <c r="Q16">
        <v>1</v>
      </c>
      <c r="R16">
        <v>1</v>
      </c>
    </row>
    <row r="17" spans="1:18" x14ac:dyDescent="0.3">
      <c r="A17">
        <v>847</v>
      </c>
      <c r="B17">
        <v>4</v>
      </c>
      <c r="C17">
        <v>137</v>
      </c>
      <c r="D17">
        <v>1364</v>
      </c>
      <c r="E17">
        <v>-1</v>
      </c>
      <c r="F17" t="s">
        <v>210</v>
      </c>
      <c r="N17" t="s">
        <v>175</v>
      </c>
      <c r="O17">
        <v>6000</v>
      </c>
      <c r="P17">
        <v>1</v>
      </c>
      <c r="Q17">
        <v>1</v>
      </c>
      <c r="R17">
        <v>0</v>
      </c>
    </row>
    <row r="18" spans="1:18" x14ac:dyDescent="0.3">
      <c r="A18">
        <v>848</v>
      </c>
      <c r="B18">
        <v>4</v>
      </c>
      <c r="C18">
        <v>138</v>
      </c>
      <c r="D18">
        <v>1364</v>
      </c>
      <c r="E18">
        <v>-1</v>
      </c>
      <c r="F18" t="s">
        <v>210</v>
      </c>
      <c r="N18" t="s">
        <v>178</v>
      </c>
      <c r="O18">
        <v>10000</v>
      </c>
      <c r="P18">
        <v>0</v>
      </c>
      <c r="Q18">
        <v>1</v>
      </c>
      <c r="R18">
        <v>1</v>
      </c>
    </row>
    <row r="19" spans="1:18" x14ac:dyDescent="0.3">
      <c r="A19">
        <v>849</v>
      </c>
      <c r="B19">
        <v>4</v>
      </c>
      <c r="C19">
        <v>141</v>
      </c>
      <c r="D19">
        <v>1365</v>
      </c>
      <c r="E19">
        <v>-1</v>
      </c>
      <c r="F19" t="s">
        <v>211</v>
      </c>
      <c r="N19" t="s">
        <v>183</v>
      </c>
      <c r="O19">
        <v>8000</v>
      </c>
      <c r="P19">
        <v>1</v>
      </c>
      <c r="Q19">
        <v>1</v>
      </c>
      <c r="R19">
        <v>1</v>
      </c>
    </row>
    <row r="20" spans="1:18" x14ac:dyDescent="0.3">
      <c r="A20">
        <v>774</v>
      </c>
      <c r="B20">
        <v>2</v>
      </c>
      <c r="C20">
        <v>141</v>
      </c>
      <c r="D20">
        <v>1281</v>
      </c>
      <c r="E20">
        <v>-1</v>
      </c>
      <c r="F20" t="s">
        <v>41</v>
      </c>
      <c r="N20" t="s">
        <v>183</v>
      </c>
      <c r="O20">
        <v>8000</v>
      </c>
      <c r="P20">
        <v>1</v>
      </c>
      <c r="Q20">
        <v>1</v>
      </c>
      <c r="R20">
        <v>1</v>
      </c>
    </row>
    <row r="21" spans="1:18" x14ac:dyDescent="0.3">
      <c r="A21">
        <v>762</v>
      </c>
      <c r="B21">
        <v>1</v>
      </c>
      <c r="C21">
        <v>137</v>
      </c>
      <c r="D21">
        <v>1284</v>
      </c>
      <c r="E21">
        <v>-1</v>
      </c>
      <c r="F21" t="s">
        <v>51</v>
      </c>
      <c r="N21" t="s">
        <v>175</v>
      </c>
      <c r="O21">
        <v>6000</v>
      </c>
      <c r="P21">
        <v>1</v>
      </c>
      <c r="Q21">
        <v>1</v>
      </c>
      <c r="R21">
        <v>0</v>
      </c>
    </row>
    <row r="22" spans="1:18" x14ac:dyDescent="0.3">
      <c r="A22">
        <v>763</v>
      </c>
      <c r="B22">
        <v>1</v>
      </c>
      <c r="C22">
        <v>140</v>
      </c>
      <c r="D22">
        <v>1284</v>
      </c>
      <c r="E22">
        <v>-1</v>
      </c>
      <c r="F22" t="s">
        <v>51</v>
      </c>
      <c r="N22" t="s">
        <v>181</v>
      </c>
      <c r="O22">
        <v>8000</v>
      </c>
      <c r="P22">
        <v>1</v>
      </c>
      <c r="Q22">
        <v>1</v>
      </c>
      <c r="R22">
        <v>0</v>
      </c>
    </row>
    <row r="23" spans="1:18" x14ac:dyDescent="0.3">
      <c r="A23">
        <v>775</v>
      </c>
      <c r="B23">
        <v>2</v>
      </c>
      <c r="C23">
        <v>138</v>
      </c>
      <c r="D23">
        <v>1284</v>
      </c>
      <c r="E23">
        <v>-1</v>
      </c>
      <c r="F23" t="s">
        <v>51</v>
      </c>
      <c r="N23" t="s">
        <v>178</v>
      </c>
      <c r="O23">
        <v>10000</v>
      </c>
      <c r="P23">
        <v>0</v>
      </c>
      <c r="Q23">
        <v>1</v>
      </c>
      <c r="R23">
        <v>1</v>
      </c>
    </row>
    <row r="24" spans="1:18" x14ac:dyDescent="0.3">
      <c r="A24">
        <v>776</v>
      </c>
      <c r="B24">
        <v>2</v>
      </c>
      <c r="C24">
        <v>142</v>
      </c>
      <c r="D24">
        <v>1284</v>
      </c>
      <c r="E24">
        <v>-1</v>
      </c>
      <c r="F24" t="s">
        <v>51</v>
      </c>
      <c r="N24" t="s">
        <v>186</v>
      </c>
      <c r="O24">
        <v>1000</v>
      </c>
      <c r="P24">
        <v>0</v>
      </c>
      <c r="Q24">
        <v>0</v>
      </c>
      <c r="R24">
        <v>1</v>
      </c>
    </row>
    <row r="25" spans="1:18" x14ac:dyDescent="0.3">
      <c r="A25">
        <v>777</v>
      </c>
      <c r="B25">
        <v>2</v>
      </c>
      <c r="C25">
        <v>141</v>
      </c>
      <c r="D25">
        <v>1284</v>
      </c>
      <c r="E25">
        <v>-1</v>
      </c>
      <c r="F25" t="s">
        <v>51</v>
      </c>
      <c r="N25" t="s">
        <v>183</v>
      </c>
      <c r="O25">
        <v>8000</v>
      </c>
      <c r="P25">
        <v>1</v>
      </c>
      <c r="Q25">
        <v>1</v>
      </c>
      <c r="R25">
        <v>1</v>
      </c>
    </row>
    <row r="26" spans="1:18" x14ac:dyDescent="0.3">
      <c r="A26">
        <v>792</v>
      </c>
      <c r="B26">
        <v>3</v>
      </c>
      <c r="C26">
        <v>142</v>
      </c>
      <c r="D26">
        <v>1340</v>
      </c>
      <c r="E26">
        <v>-1</v>
      </c>
      <c r="F26" t="s">
        <v>204</v>
      </c>
      <c r="N26" t="s">
        <v>186</v>
      </c>
      <c r="O26">
        <v>1000</v>
      </c>
      <c r="P26">
        <v>0</v>
      </c>
      <c r="Q26">
        <v>0</v>
      </c>
      <c r="R26">
        <v>1</v>
      </c>
    </row>
    <row r="27" spans="1:18" x14ac:dyDescent="0.3">
      <c r="A27">
        <v>793</v>
      </c>
      <c r="B27">
        <v>3</v>
      </c>
      <c r="C27">
        <v>141</v>
      </c>
      <c r="D27">
        <v>1341</v>
      </c>
      <c r="E27">
        <v>-1</v>
      </c>
      <c r="F27" t="s">
        <v>205</v>
      </c>
      <c r="N27" t="s">
        <v>183</v>
      </c>
      <c r="O27">
        <v>8000</v>
      </c>
      <c r="P27">
        <v>1</v>
      </c>
      <c r="Q27">
        <v>1</v>
      </c>
      <c r="R27">
        <v>1</v>
      </c>
    </row>
    <row r="28" spans="1:18" x14ac:dyDescent="0.3">
      <c r="A28">
        <v>807</v>
      </c>
      <c r="B28">
        <v>4</v>
      </c>
      <c r="C28">
        <v>138</v>
      </c>
      <c r="D28">
        <v>1346</v>
      </c>
      <c r="E28">
        <v>-1</v>
      </c>
      <c r="F28" t="s">
        <v>77</v>
      </c>
      <c r="N28" t="s">
        <v>178</v>
      </c>
      <c r="O28">
        <v>10000</v>
      </c>
      <c r="P28">
        <v>0</v>
      </c>
      <c r="Q28">
        <v>1</v>
      </c>
      <c r="R28">
        <v>1</v>
      </c>
    </row>
    <row r="29" spans="1:18" x14ac:dyDescent="0.3">
      <c r="A29">
        <v>810</v>
      </c>
      <c r="B29">
        <v>4</v>
      </c>
      <c r="C29">
        <v>142</v>
      </c>
      <c r="D29">
        <v>1348</v>
      </c>
      <c r="E29">
        <v>-1</v>
      </c>
      <c r="F29" t="s">
        <v>102</v>
      </c>
      <c r="N29" t="s">
        <v>186</v>
      </c>
      <c r="O29">
        <v>1000</v>
      </c>
      <c r="P29">
        <v>0</v>
      </c>
      <c r="Q29">
        <v>0</v>
      </c>
      <c r="R29">
        <v>1</v>
      </c>
    </row>
    <row r="30" spans="1:18" x14ac:dyDescent="0.3">
      <c r="A30">
        <v>811</v>
      </c>
      <c r="B30">
        <v>4</v>
      </c>
      <c r="C30">
        <v>141</v>
      </c>
      <c r="D30">
        <v>1350</v>
      </c>
      <c r="E30">
        <v>-1</v>
      </c>
      <c r="F30" t="s">
        <v>206</v>
      </c>
      <c r="N30" t="s">
        <v>183</v>
      </c>
      <c r="O30">
        <v>8000</v>
      </c>
      <c r="P30">
        <v>1</v>
      </c>
      <c r="Q30">
        <v>1</v>
      </c>
      <c r="R30">
        <v>1</v>
      </c>
    </row>
    <row r="31" spans="1:18" x14ac:dyDescent="0.3">
      <c r="A31">
        <v>812</v>
      </c>
      <c r="B31">
        <v>4</v>
      </c>
      <c r="C31">
        <v>138</v>
      </c>
      <c r="D31">
        <v>1350</v>
      </c>
      <c r="E31">
        <v>-1</v>
      </c>
      <c r="F31" t="s">
        <v>206</v>
      </c>
      <c r="N31" t="s">
        <v>178</v>
      </c>
      <c r="O31">
        <v>10000</v>
      </c>
      <c r="P31">
        <v>0</v>
      </c>
      <c r="Q31">
        <v>1</v>
      </c>
      <c r="R31">
        <v>1</v>
      </c>
    </row>
    <row r="32" spans="1:18" x14ac:dyDescent="0.3">
      <c r="A32">
        <v>813</v>
      </c>
      <c r="B32">
        <v>4</v>
      </c>
      <c r="C32">
        <v>138</v>
      </c>
      <c r="D32">
        <v>1351</v>
      </c>
      <c r="E32">
        <v>-1</v>
      </c>
      <c r="F32" t="s">
        <v>207</v>
      </c>
      <c r="N32" t="s">
        <v>178</v>
      </c>
      <c r="O32">
        <v>10000</v>
      </c>
      <c r="P32">
        <v>0</v>
      </c>
      <c r="Q32">
        <v>1</v>
      </c>
      <c r="R32">
        <v>1</v>
      </c>
    </row>
    <row r="33" spans="1:18" x14ac:dyDescent="0.3">
      <c r="A33">
        <v>814</v>
      </c>
      <c r="B33">
        <v>4</v>
      </c>
      <c r="C33">
        <v>141</v>
      </c>
      <c r="D33">
        <v>1351</v>
      </c>
      <c r="E33">
        <v>-1</v>
      </c>
      <c r="F33" t="s">
        <v>207</v>
      </c>
      <c r="N33" t="s">
        <v>183</v>
      </c>
      <c r="O33">
        <v>8000</v>
      </c>
      <c r="P33">
        <v>1</v>
      </c>
      <c r="Q33">
        <v>1</v>
      </c>
      <c r="R33">
        <v>1</v>
      </c>
    </row>
    <row r="34" spans="1:18" x14ac:dyDescent="0.3">
      <c r="A34">
        <v>815</v>
      </c>
      <c r="B34">
        <v>4</v>
      </c>
      <c r="C34">
        <v>137</v>
      </c>
      <c r="D34">
        <v>1352</v>
      </c>
      <c r="E34">
        <v>-1</v>
      </c>
      <c r="F34" t="s">
        <v>208</v>
      </c>
      <c r="N34" t="s">
        <v>175</v>
      </c>
      <c r="O34">
        <v>6000</v>
      </c>
      <c r="P34">
        <v>1</v>
      </c>
      <c r="Q34">
        <v>1</v>
      </c>
      <c r="R34">
        <v>0</v>
      </c>
    </row>
    <row r="35" spans="1:18" x14ac:dyDescent="0.3">
      <c r="A35">
        <v>816</v>
      </c>
      <c r="B35">
        <v>4</v>
      </c>
      <c r="C35">
        <v>141</v>
      </c>
      <c r="D35">
        <v>1352</v>
      </c>
      <c r="E35">
        <v>-1</v>
      </c>
      <c r="F35" t="s">
        <v>208</v>
      </c>
      <c r="N35" t="s">
        <v>183</v>
      </c>
      <c r="O35">
        <v>8000</v>
      </c>
      <c r="P35">
        <v>1</v>
      </c>
      <c r="Q35">
        <v>1</v>
      </c>
      <c r="R35">
        <v>1</v>
      </c>
    </row>
    <row r="36" spans="1:18" x14ac:dyDescent="0.3">
      <c r="A36">
        <v>817</v>
      </c>
      <c r="B36">
        <v>4</v>
      </c>
      <c r="C36">
        <v>138</v>
      </c>
      <c r="D36">
        <v>1353</v>
      </c>
      <c r="E36">
        <v>-1</v>
      </c>
      <c r="F36" t="s">
        <v>209</v>
      </c>
      <c r="N36" t="s">
        <v>178</v>
      </c>
      <c r="O36">
        <v>10000</v>
      </c>
      <c r="P36">
        <v>0</v>
      </c>
      <c r="Q36">
        <v>1</v>
      </c>
      <c r="R36">
        <v>1</v>
      </c>
    </row>
    <row r="37" spans="1:18" x14ac:dyDescent="0.3">
      <c r="A37">
        <v>818</v>
      </c>
      <c r="B37">
        <v>4</v>
      </c>
      <c r="C37">
        <v>137</v>
      </c>
      <c r="D37">
        <v>1354</v>
      </c>
      <c r="E37">
        <v>-1</v>
      </c>
      <c r="F37" t="s">
        <v>210</v>
      </c>
      <c r="N37" t="s">
        <v>175</v>
      </c>
      <c r="O37">
        <v>6000</v>
      </c>
      <c r="P37">
        <v>1</v>
      </c>
      <c r="Q37">
        <v>1</v>
      </c>
      <c r="R37">
        <v>0</v>
      </c>
    </row>
    <row r="38" spans="1:18" x14ac:dyDescent="0.3">
      <c r="A38">
        <v>819</v>
      </c>
      <c r="B38">
        <v>4</v>
      </c>
      <c r="C38">
        <v>138</v>
      </c>
      <c r="D38">
        <v>1354</v>
      </c>
      <c r="E38">
        <v>-1</v>
      </c>
      <c r="F38" t="s">
        <v>210</v>
      </c>
      <c r="N38" t="s">
        <v>178</v>
      </c>
      <c r="O38">
        <v>10000</v>
      </c>
      <c r="P38">
        <v>0</v>
      </c>
      <c r="Q38">
        <v>1</v>
      </c>
      <c r="R38">
        <v>1</v>
      </c>
    </row>
    <row r="39" spans="1:18" x14ac:dyDescent="0.3">
      <c r="A39">
        <v>820</v>
      </c>
      <c r="B39">
        <v>4</v>
      </c>
      <c r="C39">
        <v>141</v>
      </c>
      <c r="D39">
        <v>1355</v>
      </c>
      <c r="E39">
        <v>-1</v>
      </c>
      <c r="F39" t="s">
        <v>211</v>
      </c>
      <c r="N39" t="s">
        <v>183</v>
      </c>
      <c r="O39">
        <v>8000</v>
      </c>
      <c r="P39">
        <v>1</v>
      </c>
      <c r="Q39">
        <v>1</v>
      </c>
      <c r="R39">
        <v>1</v>
      </c>
    </row>
    <row r="40" spans="1:18" x14ac:dyDescent="0.3">
      <c r="A40">
        <v>769</v>
      </c>
      <c r="B40">
        <v>1</v>
      </c>
      <c r="C40">
        <v>138</v>
      </c>
      <c r="D40">
        <v>1314</v>
      </c>
      <c r="E40">
        <v>-1</v>
      </c>
      <c r="F40" t="s">
        <v>51</v>
      </c>
      <c r="N40" t="s">
        <v>178</v>
      </c>
      <c r="O40">
        <v>10000</v>
      </c>
      <c r="P40">
        <v>0</v>
      </c>
      <c r="Q40">
        <v>1</v>
      </c>
      <c r="R40">
        <v>1</v>
      </c>
    </row>
    <row r="41" spans="1:18" x14ac:dyDescent="0.3">
      <c r="A41">
        <v>783</v>
      </c>
      <c r="B41">
        <v>2</v>
      </c>
      <c r="C41">
        <v>142</v>
      </c>
      <c r="D41">
        <v>1314</v>
      </c>
      <c r="E41">
        <v>-1</v>
      </c>
      <c r="F41" t="s">
        <v>51</v>
      </c>
      <c r="N41" t="s">
        <v>186</v>
      </c>
      <c r="O41">
        <v>1000</v>
      </c>
      <c r="P41">
        <v>0</v>
      </c>
      <c r="Q41">
        <v>0</v>
      </c>
      <c r="R41">
        <v>1</v>
      </c>
    </row>
    <row r="42" spans="1:18" x14ac:dyDescent="0.3">
      <c r="A42">
        <v>784</v>
      </c>
      <c r="B42">
        <v>2</v>
      </c>
      <c r="C42">
        <v>140</v>
      </c>
      <c r="D42">
        <v>1314</v>
      </c>
      <c r="E42">
        <v>-1</v>
      </c>
      <c r="F42" t="s">
        <v>51</v>
      </c>
      <c r="N42" t="s">
        <v>181</v>
      </c>
      <c r="O42">
        <v>8000</v>
      </c>
      <c r="P42">
        <v>1</v>
      </c>
      <c r="Q42">
        <v>1</v>
      </c>
      <c r="R42">
        <v>0</v>
      </c>
    </row>
    <row r="43" spans="1:18" x14ac:dyDescent="0.3">
      <c r="A43">
        <v>803</v>
      </c>
      <c r="B43">
        <v>3</v>
      </c>
      <c r="C43">
        <v>137</v>
      </c>
      <c r="D43">
        <v>1314</v>
      </c>
      <c r="E43">
        <v>-1</v>
      </c>
      <c r="F43" t="s">
        <v>51</v>
      </c>
      <c r="N43" t="s">
        <v>175</v>
      </c>
      <c r="O43">
        <v>6000</v>
      </c>
      <c r="P43">
        <v>1</v>
      </c>
      <c r="Q43">
        <v>1</v>
      </c>
      <c r="R43">
        <v>0</v>
      </c>
    </row>
    <row r="44" spans="1:18" x14ac:dyDescent="0.3">
      <c r="A44">
        <v>804</v>
      </c>
      <c r="B44">
        <v>3</v>
      </c>
      <c r="C44">
        <v>141</v>
      </c>
      <c r="D44">
        <v>1314</v>
      </c>
      <c r="E44">
        <v>-1</v>
      </c>
      <c r="F44" t="s">
        <v>51</v>
      </c>
      <c r="N44" t="s">
        <v>183</v>
      </c>
      <c r="O44">
        <v>8000</v>
      </c>
      <c r="P44">
        <v>1</v>
      </c>
      <c r="Q44">
        <v>1</v>
      </c>
      <c r="R44">
        <v>1</v>
      </c>
    </row>
    <row r="45" spans="1:18" x14ac:dyDescent="0.3">
      <c r="A45">
        <v>800</v>
      </c>
      <c r="B45">
        <v>3</v>
      </c>
      <c r="C45">
        <v>142</v>
      </c>
      <c r="D45">
        <v>1344</v>
      </c>
      <c r="E45">
        <v>-1</v>
      </c>
      <c r="F45" t="s">
        <v>204</v>
      </c>
      <c r="N45" t="s">
        <v>186</v>
      </c>
      <c r="O45">
        <v>1000</v>
      </c>
      <c r="P45">
        <v>0</v>
      </c>
      <c r="Q45">
        <v>0</v>
      </c>
      <c r="R45">
        <v>1</v>
      </c>
    </row>
    <row r="46" spans="1:18" x14ac:dyDescent="0.3">
      <c r="A46">
        <v>801</v>
      </c>
      <c r="B46">
        <v>3</v>
      </c>
      <c r="C46">
        <v>141</v>
      </c>
      <c r="D46">
        <v>1345</v>
      </c>
      <c r="E46">
        <v>-1</v>
      </c>
      <c r="F46" t="s">
        <v>205</v>
      </c>
      <c r="N46" t="s">
        <v>183</v>
      </c>
      <c r="O46">
        <v>8000</v>
      </c>
      <c r="P46">
        <v>1</v>
      </c>
      <c r="Q46">
        <v>1</v>
      </c>
      <c r="R46">
        <v>1</v>
      </c>
    </row>
    <row r="47" spans="1:18" x14ac:dyDescent="0.3">
      <c r="A47">
        <v>853</v>
      </c>
      <c r="B47">
        <v>4</v>
      </c>
      <c r="C47">
        <v>142</v>
      </c>
      <c r="D47">
        <v>1368</v>
      </c>
      <c r="E47">
        <v>-1</v>
      </c>
      <c r="F47" t="s">
        <v>102</v>
      </c>
      <c r="N47" t="s">
        <v>186</v>
      </c>
      <c r="O47">
        <v>1000</v>
      </c>
      <c r="P47">
        <v>0</v>
      </c>
      <c r="Q47">
        <v>0</v>
      </c>
      <c r="R47">
        <v>1</v>
      </c>
    </row>
    <row r="48" spans="1:18" x14ac:dyDescent="0.3">
      <c r="A48">
        <v>854</v>
      </c>
      <c r="B48">
        <v>4</v>
      </c>
      <c r="C48">
        <v>141</v>
      </c>
      <c r="D48">
        <v>1370</v>
      </c>
      <c r="E48">
        <v>-1</v>
      </c>
      <c r="F48" t="s">
        <v>206</v>
      </c>
      <c r="N48" t="s">
        <v>183</v>
      </c>
      <c r="O48">
        <v>8000</v>
      </c>
      <c r="P48">
        <v>1</v>
      </c>
      <c r="Q48">
        <v>1</v>
      </c>
      <c r="R48">
        <v>1</v>
      </c>
    </row>
    <row r="49" spans="1:18" x14ac:dyDescent="0.3">
      <c r="A49">
        <v>855</v>
      </c>
      <c r="B49">
        <v>4</v>
      </c>
      <c r="C49">
        <v>138</v>
      </c>
      <c r="D49">
        <v>1370</v>
      </c>
      <c r="E49">
        <v>-1</v>
      </c>
      <c r="F49" t="s">
        <v>206</v>
      </c>
      <c r="N49" t="s">
        <v>178</v>
      </c>
      <c r="O49">
        <v>10000</v>
      </c>
      <c r="P49">
        <v>0</v>
      </c>
      <c r="Q49">
        <v>1</v>
      </c>
      <c r="R49">
        <v>1</v>
      </c>
    </row>
    <row r="50" spans="1:18" x14ac:dyDescent="0.3">
      <c r="A50">
        <v>856</v>
      </c>
      <c r="B50">
        <v>4</v>
      </c>
      <c r="C50">
        <v>138</v>
      </c>
      <c r="D50">
        <v>1371</v>
      </c>
      <c r="E50">
        <v>-1</v>
      </c>
      <c r="F50" t="s">
        <v>207</v>
      </c>
      <c r="N50" t="s">
        <v>178</v>
      </c>
      <c r="O50">
        <v>10000</v>
      </c>
      <c r="P50">
        <v>0</v>
      </c>
      <c r="Q50">
        <v>1</v>
      </c>
      <c r="R50">
        <v>1</v>
      </c>
    </row>
    <row r="51" spans="1:18" x14ac:dyDescent="0.3">
      <c r="A51">
        <v>857</v>
      </c>
      <c r="B51">
        <v>4</v>
      </c>
      <c r="C51">
        <v>141</v>
      </c>
      <c r="D51">
        <v>1371</v>
      </c>
      <c r="E51">
        <v>-1</v>
      </c>
      <c r="F51" t="s">
        <v>207</v>
      </c>
      <c r="N51" t="s">
        <v>183</v>
      </c>
      <c r="O51">
        <v>8000</v>
      </c>
      <c r="P51">
        <v>1</v>
      </c>
      <c r="Q51">
        <v>1</v>
      </c>
      <c r="R51">
        <v>1</v>
      </c>
    </row>
    <row r="52" spans="1:18" x14ac:dyDescent="0.3">
      <c r="A52">
        <v>858</v>
      </c>
      <c r="B52">
        <v>4</v>
      </c>
      <c r="C52">
        <v>137</v>
      </c>
      <c r="D52">
        <v>1372</v>
      </c>
      <c r="E52">
        <v>-1</v>
      </c>
      <c r="F52" t="s">
        <v>208</v>
      </c>
      <c r="N52" t="s">
        <v>175</v>
      </c>
      <c r="O52">
        <v>6000</v>
      </c>
      <c r="P52">
        <v>1</v>
      </c>
      <c r="Q52">
        <v>1</v>
      </c>
      <c r="R52">
        <v>0</v>
      </c>
    </row>
    <row r="53" spans="1:18" x14ac:dyDescent="0.3">
      <c r="A53">
        <v>859</v>
      </c>
      <c r="B53">
        <v>4</v>
      </c>
      <c r="C53">
        <v>141</v>
      </c>
      <c r="D53">
        <v>1372</v>
      </c>
      <c r="E53">
        <v>-1</v>
      </c>
      <c r="F53" t="s">
        <v>208</v>
      </c>
      <c r="N53" t="s">
        <v>183</v>
      </c>
      <c r="O53">
        <v>8000</v>
      </c>
      <c r="P53">
        <v>1</v>
      </c>
      <c r="Q53">
        <v>1</v>
      </c>
      <c r="R53">
        <v>1</v>
      </c>
    </row>
    <row r="54" spans="1:18" x14ac:dyDescent="0.3">
      <c r="A54">
        <v>860</v>
      </c>
      <c r="B54">
        <v>4</v>
      </c>
      <c r="C54">
        <v>138</v>
      </c>
      <c r="D54">
        <v>1373</v>
      </c>
      <c r="E54">
        <v>-1</v>
      </c>
      <c r="F54" t="s">
        <v>209</v>
      </c>
      <c r="N54" t="s">
        <v>178</v>
      </c>
      <c r="O54">
        <v>10000</v>
      </c>
      <c r="P54">
        <v>0</v>
      </c>
      <c r="Q54">
        <v>1</v>
      </c>
      <c r="R54">
        <v>1</v>
      </c>
    </row>
    <row r="55" spans="1:18" x14ac:dyDescent="0.3">
      <c r="A55">
        <v>861</v>
      </c>
      <c r="B55">
        <v>4</v>
      </c>
      <c r="C55">
        <v>137</v>
      </c>
      <c r="D55">
        <v>1374</v>
      </c>
      <c r="E55">
        <v>-1</v>
      </c>
      <c r="F55" t="s">
        <v>210</v>
      </c>
      <c r="N55" t="s">
        <v>175</v>
      </c>
      <c r="O55">
        <v>6000</v>
      </c>
      <c r="P55">
        <v>1</v>
      </c>
      <c r="Q55">
        <v>1</v>
      </c>
      <c r="R55">
        <v>0</v>
      </c>
    </row>
    <row r="56" spans="1:18" x14ac:dyDescent="0.3">
      <c r="A56">
        <v>862</v>
      </c>
      <c r="B56">
        <v>4</v>
      </c>
      <c r="C56">
        <v>138</v>
      </c>
      <c r="D56">
        <v>1374</v>
      </c>
      <c r="E56">
        <v>-1</v>
      </c>
      <c r="F56" t="s">
        <v>210</v>
      </c>
      <c r="N56" t="s">
        <v>178</v>
      </c>
      <c r="O56">
        <v>10000</v>
      </c>
      <c r="P56">
        <v>0</v>
      </c>
      <c r="Q56">
        <v>1</v>
      </c>
      <c r="R56">
        <v>1</v>
      </c>
    </row>
    <row r="57" spans="1:18" x14ac:dyDescent="0.3">
      <c r="A57">
        <v>863</v>
      </c>
      <c r="B57">
        <v>4</v>
      </c>
      <c r="C57">
        <v>141</v>
      </c>
      <c r="D57">
        <v>1375</v>
      </c>
      <c r="E57">
        <v>-1</v>
      </c>
      <c r="F57" t="s">
        <v>211</v>
      </c>
      <c r="N57" t="s">
        <v>183</v>
      </c>
      <c r="O57">
        <v>8000</v>
      </c>
      <c r="P57">
        <v>1</v>
      </c>
      <c r="Q57">
        <v>1</v>
      </c>
      <c r="R57">
        <v>1</v>
      </c>
    </row>
    <row r="58" spans="1:18" x14ac:dyDescent="0.3">
      <c r="A58">
        <v>785</v>
      </c>
      <c r="B58">
        <v>1</v>
      </c>
      <c r="C58">
        <v>141</v>
      </c>
      <c r="D58">
        <v>1327</v>
      </c>
      <c r="E58">
        <v>-1</v>
      </c>
      <c r="F58" t="s">
        <v>58</v>
      </c>
      <c r="N58" t="s">
        <v>183</v>
      </c>
      <c r="O58">
        <v>8000</v>
      </c>
      <c r="P58">
        <v>1</v>
      </c>
      <c r="Q58">
        <v>1</v>
      </c>
      <c r="R58">
        <v>1</v>
      </c>
    </row>
    <row r="59" spans="1:18" x14ac:dyDescent="0.3">
      <c r="A59">
        <v>828</v>
      </c>
      <c r="B59">
        <v>2</v>
      </c>
      <c r="C59">
        <v>138</v>
      </c>
      <c r="D59">
        <v>1327</v>
      </c>
      <c r="E59">
        <v>-1</v>
      </c>
      <c r="F59" t="s">
        <v>58</v>
      </c>
      <c r="N59" t="s">
        <v>178</v>
      </c>
      <c r="O59">
        <v>10000</v>
      </c>
      <c r="P59">
        <v>0</v>
      </c>
      <c r="Q59">
        <v>1</v>
      </c>
      <c r="R59">
        <v>1</v>
      </c>
    </row>
    <row r="60" spans="1:18" x14ac:dyDescent="0.3">
      <c r="A60">
        <v>829</v>
      </c>
      <c r="B60">
        <v>2</v>
      </c>
      <c r="C60">
        <v>137</v>
      </c>
      <c r="D60">
        <v>1327</v>
      </c>
      <c r="E60">
        <v>-1</v>
      </c>
      <c r="F60" t="s">
        <v>58</v>
      </c>
      <c r="N60" t="s">
        <v>175</v>
      </c>
      <c r="O60">
        <v>6000</v>
      </c>
      <c r="P60">
        <v>1</v>
      </c>
      <c r="Q60">
        <v>1</v>
      </c>
      <c r="R60">
        <v>0</v>
      </c>
    </row>
    <row r="61" spans="1:18" x14ac:dyDescent="0.3">
      <c r="A61">
        <v>830</v>
      </c>
      <c r="B61">
        <v>2</v>
      </c>
      <c r="C61">
        <v>140</v>
      </c>
      <c r="D61">
        <v>1327</v>
      </c>
      <c r="E61">
        <v>-1</v>
      </c>
      <c r="F61" t="s">
        <v>58</v>
      </c>
      <c r="N61" t="s">
        <v>181</v>
      </c>
      <c r="O61">
        <v>8000</v>
      </c>
      <c r="P61">
        <v>1</v>
      </c>
      <c r="Q61">
        <v>1</v>
      </c>
      <c r="R61">
        <v>0</v>
      </c>
    </row>
    <row r="62" spans="1:18" x14ac:dyDescent="0.3">
      <c r="A62">
        <v>882</v>
      </c>
      <c r="B62">
        <v>3</v>
      </c>
      <c r="C62">
        <v>142</v>
      </c>
      <c r="D62">
        <v>1327</v>
      </c>
      <c r="E62">
        <v>-1</v>
      </c>
      <c r="F62" t="s">
        <v>58</v>
      </c>
      <c r="N62" t="s">
        <v>186</v>
      </c>
      <c r="O62">
        <v>1000</v>
      </c>
      <c r="P62">
        <v>0</v>
      </c>
      <c r="Q62">
        <v>0</v>
      </c>
      <c r="R62">
        <v>1</v>
      </c>
    </row>
    <row r="63" spans="1:18" x14ac:dyDescent="0.3">
      <c r="A63">
        <v>789</v>
      </c>
      <c r="B63">
        <v>1</v>
      </c>
      <c r="C63">
        <v>138</v>
      </c>
      <c r="D63">
        <v>1331</v>
      </c>
      <c r="E63">
        <v>-1</v>
      </c>
      <c r="F63" t="s">
        <v>66</v>
      </c>
      <c r="N63" t="s">
        <v>178</v>
      </c>
      <c r="O63">
        <v>10000</v>
      </c>
      <c r="P63">
        <v>0</v>
      </c>
      <c r="Q63">
        <v>1</v>
      </c>
      <c r="R63">
        <v>1</v>
      </c>
    </row>
    <row r="64" spans="1:18" x14ac:dyDescent="0.3">
      <c r="A64">
        <v>790</v>
      </c>
      <c r="B64">
        <v>1</v>
      </c>
      <c r="C64">
        <v>141</v>
      </c>
      <c r="D64">
        <v>1331</v>
      </c>
      <c r="E64">
        <v>-1</v>
      </c>
      <c r="F64" t="s">
        <v>66</v>
      </c>
      <c r="N64" t="s">
        <v>183</v>
      </c>
      <c r="O64">
        <v>8000</v>
      </c>
      <c r="P64">
        <v>1</v>
      </c>
      <c r="Q64">
        <v>1</v>
      </c>
      <c r="R64">
        <v>1</v>
      </c>
    </row>
    <row r="65" spans="1:18" x14ac:dyDescent="0.3">
      <c r="A65">
        <v>832</v>
      </c>
      <c r="B65">
        <v>2</v>
      </c>
      <c r="C65">
        <v>137</v>
      </c>
      <c r="D65">
        <v>1331</v>
      </c>
      <c r="E65">
        <v>-1</v>
      </c>
      <c r="F65" t="s">
        <v>66</v>
      </c>
      <c r="N65" t="s">
        <v>175</v>
      </c>
      <c r="O65">
        <v>6000</v>
      </c>
      <c r="P65">
        <v>1</v>
      </c>
      <c r="Q65">
        <v>1</v>
      </c>
      <c r="R65">
        <v>0</v>
      </c>
    </row>
    <row r="66" spans="1:18" x14ac:dyDescent="0.3">
      <c r="A66">
        <v>833</v>
      </c>
      <c r="B66">
        <v>2</v>
      </c>
      <c r="C66">
        <v>142</v>
      </c>
      <c r="D66">
        <v>1331</v>
      </c>
      <c r="E66">
        <v>-1</v>
      </c>
      <c r="F66" t="s">
        <v>66</v>
      </c>
      <c r="N66" t="s">
        <v>186</v>
      </c>
      <c r="O66">
        <v>1000</v>
      </c>
      <c r="P66">
        <v>0</v>
      </c>
      <c r="Q66">
        <v>0</v>
      </c>
      <c r="R66">
        <v>1</v>
      </c>
    </row>
    <row r="67" spans="1:18" x14ac:dyDescent="0.3">
      <c r="A67">
        <v>834</v>
      </c>
      <c r="B67">
        <v>2</v>
      </c>
      <c r="C67">
        <v>140</v>
      </c>
      <c r="D67">
        <v>1331</v>
      </c>
      <c r="E67">
        <v>-1</v>
      </c>
      <c r="F67" t="s">
        <v>66</v>
      </c>
      <c r="N67" t="s">
        <v>181</v>
      </c>
      <c r="O67">
        <v>8000</v>
      </c>
      <c r="P67">
        <v>1</v>
      </c>
      <c r="Q67">
        <v>1</v>
      </c>
      <c r="R67">
        <v>0</v>
      </c>
    </row>
    <row r="68" spans="1:18" x14ac:dyDescent="0.3">
      <c r="A68">
        <v>867</v>
      </c>
      <c r="B68">
        <v>3</v>
      </c>
      <c r="C68">
        <v>142</v>
      </c>
      <c r="D68">
        <v>1376</v>
      </c>
      <c r="E68">
        <v>-1</v>
      </c>
      <c r="F68" t="s">
        <v>204</v>
      </c>
      <c r="N68" t="s">
        <v>186</v>
      </c>
      <c r="O68">
        <v>1000</v>
      </c>
      <c r="P68">
        <v>0</v>
      </c>
      <c r="Q68">
        <v>0</v>
      </c>
      <c r="R68">
        <v>1</v>
      </c>
    </row>
    <row r="69" spans="1:18" x14ac:dyDescent="0.3">
      <c r="A69">
        <v>868</v>
      </c>
      <c r="B69">
        <v>3</v>
      </c>
      <c r="C69">
        <v>141</v>
      </c>
      <c r="D69">
        <v>1377</v>
      </c>
      <c r="E69">
        <v>-1</v>
      </c>
      <c r="F69" t="s">
        <v>205</v>
      </c>
      <c r="N69" t="s">
        <v>183</v>
      </c>
      <c r="O69">
        <v>8000</v>
      </c>
      <c r="P69">
        <v>1</v>
      </c>
      <c r="Q69">
        <v>1</v>
      </c>
      <c r="R69">
        <v>1</v>
      </c>
    </row>
    <row r="70" spans="1:18" x14ac:dyDescent="0.3">
      <c r="A70">
        <v>888</v>
      </c>
      <c r="B70">
        <v>4</v>
      </c>
      <c r="C70">
        <v>142</v>
      </c>
      <c r="D70">
        <v>1380</v>
      </c>
      <c r="E70">
        <v>-1</v>
      </c>
      <c r="F70" t="s">
        <v>102</v>
      </c>
      <c r="N70" t="s">
        <v>186</v>
      </c>
      <c r="O70">
        <v>1000</v>
      </c>
      <c r="P70">
        <v>0</v>
      </c>
      <c r="Q70">
        <v>0</v>
      </c>
      <c r="R70">
        <v>1</v>
      </c>
    </row>
    <row r="71" spans="1:18" x14ac:dyDescent="0.3">
      <c r="A71">
        <v>889</v>
      </c>
      <c r="B71">
        <v>4</v>
      </c>
      <c r="C71">
        <v>141</v>
      </c>
      <c r="D71">
        <v>1382</v>
      </c>
      <c r="E71">
        <v>-1</v>
      </c>
      <c r="F71" t="s">
        <v>206</v>
      </c>
      <c r="N71" t="s">
        <v>183</v>
      </c>
      <c r="O71">
        <v>8000</v>
      </c>
      <c r="P71">
        <v>1</v>
      </c>
      <c r="Q71">
        <v>1</v>
      </c>
      <c r="R71">
        <v>1</v>
      </c>
    </row>
    <row r="72" spans="1:18" x14ac:dyDescent="0.3">
      <c r="A72">
        <v>890</v>
      </c>
      <c r="B72">
        <v>4</v>
      </c>
      <c r="C72">
        <v>138</v>
      </c>
      <c r="D72">
        <v>1382</v>
      </c>
      <c r="E72">
        <v>-1</v>
      </c>
      <c r="F72" t="s">
        <v>206</v>
      </c>
      <c r="N72" t="s">
        <v>178</v>
      </c>
      <c r="O72">
        <v>10000</v>
      </c>
      <c r="P72">
        <v>0</v>
      </c>
      <c r="Q72">
        <v>1</v>
      </c>
      <c r="R72">
        <v>1</v>
      </c>
    </row>
    <row r="73" spans="1:18" x14ac:dyDescent="0.3">
      <c r="A73">
        <v>891</v>
      </c>
      <c r="B73">
        <v>4</v>
      </c>
      <c r="C73">
        <v>138</v>
      </c>
      <c r="D73">
        <v>1383</v>
      </c>
      <c r="E73">
        <v>-1</v>
      </c>
      <c r="F73" t="s">
        <v>207</v>
      </c>
      <c r="N73" t="s">
        <v>178</v>
      </c>
      <c r="O73">
        <v>10000</v>
      </c>
      <c r="P73">
        <v>0</v>
      </c>
      <c r="Q73">
        <v>1</v>
      </c>
      <c r="R73">
        <v>1</v>
      </c>
    </row>
    <row r="74" spans="1:18" x14ac:dyDescent="0.3">
      <c r="A74">
        <v>892</v>
      </c>
      <c r="B74">
        <v>4</v>
      </c>
      <c r="C74">
        <v>141</v>
      </c>
      <c r="D74">
        <v>1383</v>
      </c>
      <c r="E74">
        <v>-1</v>
      </c>
      <c r="F74" t="s">
        <v>207</v>
      </c>
      <c r="N74" t="s">
        <v>183</v>
      </c>
      <c r="O74">
        <v>8000</v>
      </c>
      <c r="P74">
        <v>1</v>
      </c>
      <c r="Q74">
        <v>1</v>
      </c>
      <c r="R74">
        <v>1</v>
      </c>
    </row>
    <row r="75" spans="1:18" x14ac:dyDescent="0.3">
      <c r="A75">
        <v>893</v>
      </c>
      <c r="B75">
        <v>4</v>
      </c>
      <c r="C75">
        <v>137</v>
      </c>
      <c r="D75">
        <v>1384</v>
      </c>
      <c r="E75">
        <v>-1</v>
      </c>
      <c r="F75" t="s">
        <v>208</v>
      </c>
      <c r="N75" t="s">
        <v>175</v>
      </c>
      <c r="O75">
        <v>6000</v>
      </c>
      <c r="P75">
        <v>1</v>
      </c>
      <c r="Q75">
        <v>1</v>
      </c>
      <c r="R75">
        <v>0</v>
      </c>
    </row>
    <row r="76" spans="1:18" x14ac:dyDescent="0.3">
      <c r="A76">
        <v>894</v>
      </c>
      <c r="B76">
        <v>4</v>
      </c>
      <c r="C76">
        <v>141</v>
      </c>
      <c r="D76">
        <v>1384</v>
      </c>
      <c r="E76">
        <v>-1</v>
      </c>
      <c r="F76" t="s">
        <v>208</v>
      </c>
      <c r="N76" t="s">
        <v>183</v>
      </c>
      <c r="O76">
        <v>8000</v>
      </c>
      <c r="P76">
        <v>1</v>
      </c>
      <c r="Q76">
        <v>1</v>
      </c>
      <c r="R76">
        <v>1</v>
      </c>
    </row>
    <row r="77" spans="1:18" x14ac:dyDescent="0.3">
      <c r="A77">
        <v>895</v>
      </c>
      <c r="B77">
        <v>4</v>
      </c>
      <c r="C77">
        <v>138</v>
      </c>
      <c r="D77">
        <v>1385</v>
      </c>
      <c r="E77">
        <v>-1</v>
      </c>
      <c r="F77" t="s">
        <v>209</v>
      </c>
      <c r="N77" t="s">
        <v>178</v>
      </c>
      <c r="O77">
        <v>10000</v>
      </c>
      <c r="P77">
        <v>0</v>
      </c>
      <c r="Q77">
        <v>1</v>
      </c>
      <c r="R77">
        <v>1</v>
      </c>
    </row>
    <row r="78" spans="1:18" x14ac:dyDescent="0.3">
      <c r="A78">
        <v>896</v>
      </c>
      <c r="B78">
        <v>4</v>
      </c>
      <c r="C78">
        <v>137</v>
      </c>
      <c r="D78">
        <v>1386</v>
      </c>
      <c r="E78">
        <v>-1</v>
      </c>
      <c r="F78" t="s">
        <v>210</v>
      </c>
      <c r="N78" t="s">
        <v>175</v>
      </c>
      <c r="O78">
        <v>6000</v>
      </c>
      <c r="P78">
        <v>1</v>
      </c>
      <c r="Q78">
        <v>1</v>
      </c>
      <c r="R78">
        <v>0</v>
      </c>
    </row>
    <row r="79" spans="1:18" x14ac:dyDescent="0.3">
      <c r="A79">
        <v>897</v>
      </c>
      <c r="B79">
        <v>4</v>
      </c>
      <c r="C79">
        <v>138</v>
      </c>
      <c r="D79">
        <v>1386</v>
      </c>
      <c r="E79">
        <v>-1</v>
      </c>
      <c r="F79" t="s">
        <v>210</v>
      </c>
      <c r="N79" t="s">
        <v>178</v>
      </c>
      <c r="O79">
        <v>10000</v>
      </c>
      <c r="P79">
        <v>0</v>
      </c>
      <c r="Q79">
        <v>1</v>
      </c>
      <c r="R79">
        <v>1</v>
      </c>
    </row>
    <row r="80" spans="1:18" x14ac:dyDescent="0.3">
      <c r="A80">
        <v>898</v>
      </c>
      <c r="B80">
        <v>4</v>
      </c>
      <c r="C80">
        <v>141</v>
      </c>
      <c r="D80">
        <v>1387</v>
      </c>
      <c r="E80">
        <v>-1</v>
      </c>
      <c r="F80" t="s">
        <v>211</v>
      </c>
      <c r="N80" t="s">
        <v>183</v>
      </c>
      <c r="O80">
        <v>8000</v>
      </c>
      <c r="P80">
        <v>1</v>
      </c>
      <c r="Q80">
        <v>1</v>
      </c>
      <c r="R80">
        <v>1</v>
      </c>
    </row>
    <row r="81" spans="1:18" x14ac:dyDescent="0.3">
      <c r="A81">
        <v>929</v>
      </c>
      <c r="B81">
        <v>1</v>
      </c>
      <c r="C81">
        <v>138</v>
      </c>
      <c r="D81">
        <v>1407</v>
      </c>
      <c r="E81">
        <v>-1</v>
      </c>
      <c r="F81" t="s">
        <v>51</v>
      </c>
      <c r="N81" t="s">
        <v>178</v>
      </c>
      <c r="O81">
        <v>10000</v>
      </c>
      <c r="P81">
        <v>0</v>
      </c>
      <c r="Q81">
        <v>1</v>
      </c>
      <c r="R81">
        <v>1</v>
      </c>
    </row>
    <row r="82" spans="1:18" x14ac:dyDescent="0.3">
      <c r="A82">
        <v>930</v>
      </c>
      <c r="B82">
        <v>1</v>
      </c>
      <c r="C82">
        <v>137</v>
      </c>
      <c r="D82">
        <v>1407</v>
      </c>
      <c r="E82">
        <v>-1</v>
      </c>
      <c r="F82" t="s">
        <v>51</v>
      </c>
      <c r="N82" t="s">
        <v>175</v>
      </c>
      <c r="O82">
        <v>6000</v>
      </c>
      <c r="P82">
        <v>1</v>
      </c>
      <c r="Q82">
        <v>1</v>
      </c>
      <c r="R82">
        <v>0</v>
      </c>
    </row>
    <row r="83" spans="1:18" x14ac:dyDescent="0.3">
      <c r="A83">
        <v>931</v>
      </c>
      <c r="B83">
        <v>1</v>
      </c>
      <c r="C83">
        <v>140</v>
      </c>
      <c r="D83">
        <v>1407</v>
      </c>
      <c r="E83">
        <v>-1</v>
      </c>
      <c r="F83" t="s">
        <v>51</v>
      </c>
      <c r="N83" t="s">
        <v>181</v>
      </c>
      <c r="O83">
        <v>8000</v>
      </c>
      <c r="P83">
        <v>1</v>
      </c>
      <c r="Q83">
        <v>1</v>
      </c>
      <c r="R83">
        <v>0</v>
      </c>
    </row>
    <row r="84" spans="1:18" x14ac:dyDescent="0.3">
      <c r="A84">
        <v>932</v>
      </c>
      <c r="B84">
        <v>1</v>
      </c>
      <c r="C84">
        <v>141</v>
      </c>
      <c r="D84">
        <v>1407</v>
      </c>
      <c r="E84">
        <v>-1</v>
      </c>
      <c r="F84" t="s">
        <v>51</v>
      </c>
      <c r="N84" t="s">
        <v>183</v>
      </c>
      <c r="O84">
        <v>8000</v>
      </c>
      <c r="P84">
        <v>1</v>
      </c>
      <c r="Q84">
        <v>1</v>
      </c>
      <c r="R84">
        <v>1</v>
      </c>
    </row>
    <row r="85" spans="1:18" x14ac:dyDescent="0.3">
      <c r="A85">
        <v>1021</v>
      </c>
      <c r="B85">
        <v>3</v>
      </c>
      <c r="C85">
        <v>142</v>
      </c>
      <c r="D85">
        <v>1407</v>
      </c>
      <c r="E85">
        <v>-1</v>
      </c>
      <c r="F85" t="s">
        <v>51</v>
      </c>
      <c r="N85" t="s">
        <v>186</v>
      </c>
      <c r="O85">
        <v>1000</v>
      </c>
      <c r="P85">
        <v>0</v>
      </c>
      <c r="Q85">
        <v>0</v>
      </c>
      <c r="R85">
        <v>1</v>
      </c>
    </row>
    <row r="86" spans="1:18" x14ac:dyDescent="0.3">
      <c r="A86">
        <v>981</v>
      </c>
      <c r="B86">
        <v>3</v>
      </c>
      <c r="C86">
        <v>142</v>
      </c>
      <c r="D86">
        <v>1454</v>
      </c>
      <c r="E86">
        <v>-1</v>
      </c>
      <c r="F86" t="s">
        <v>204</v>
      </c>
      <c r="N86" t="s">
        <v>186</v>
      </c>
      <c r="O86">
        <v>1000</v>
      </c>
      <c r="P86">
        <v>0</v>
      </c>
      <c r="Q86">
        <v>0</v>
      </c>
      <c r="R86">
        <v>1</v>
      </c>
    </row>
    <row r="87" spans="1:18" x14ac:dyDescent="0.3">
      <c r="A87">
        <v>982</v>
      </c>
      <c r="B87">
        <v>3</v>
      </c>
      <c r="C87">
        <v>141</v>
      </c>
      <c r="D87">
        <v>1455</v>
      </c>
      <c r="E87">
        <v>-1</v>
      </c>
      <c r="F87" t="s">
        <v>205</v>
      </c>
      <c r="N87" t="s">
        <v>183</v>
      </c>
      <c r="O87">
        <v>8000</v>
      </c>
      <c r="P87">
        <v>1</v>
      </c>
      <c r="Q87">
        <v>1</v>
      </c>
      <c r="R87">
        <v>1</v>
      </c>
    </row>
    <row r="88" spans="1:18" x14ac:dyDescent="0.3">
      <c r="A88">
        <v>1022</v>
      </c>
      <c r="B88">
        <v>4</v>
      </c>
      <c r="C88">
        <v>138</v>
      </c>
      <c r="D88">
        <v>1476</v>
      </c>
      <c r="E88">
        <v>-1</v>
      </c>
      <c r="F88" t="s">
        <v>77</v>
      </c>
      <c r="N88" t="s">
        <v>178</v>
      </c>
      <c r="O88">
        <v>10000</v>
      </c>
      <c r="P88">
        <v>0</v>
      </c>
      <c r="Q88">
        <v>1</v>
      </c>
      <c r="R88">
        <v>1</v>
      </c>
    </row>
    <row r="89" spans="1:18" x14ac:dyDescent="0.3">
      <c r="A89">
        <v>1025</v>
      </c>
      <c r="B89">
        <v>4</v>
      </c>
      <c r="C89">
        <v>142</v>
      </c>
      <c r="D89">
        <v>1478</v>
      </c>
      <c r="E89">
        <v>-1</v>
      </c>
      <c r="F89" t="s">
        <v>102</v>
      </c>
      <c r="N89" t="s">
        <v>186</v>
      </c>
      <c r="O89">
        <v>1000</v>
      </c>
      <c r="P89">
        <v>0</v>
      </c>
      <c r="Q89">
        <v>0</v>
      </c>
      <c r="R89">
        <v>1</v>
      </c>
    </row>
    <row r="90" spans="1:18" x14ac:dyDescent="0.3">
      <c r="A90">
        <v>1026</v>
      </c>
      <c r="B90">
        <v>4</v>
      </c>
      <c r="C90">
        <v>141</v>
      </c>
      <c r="D90">
        <v>1480</v>
      </c>
      <c r="E90">
        <v>-1</v>
      </c>
      <c r="F90" t="s">
        <v>206</v>
      </c>
      <c r="N90" t="s">
        <v>183</v>
      </c>
      <c r="O90">
        <v>8000</v>
      </c>
      <c r="P90">
        <v>1</v>
      </c>
      <c r="Q90">
        <v>1</v>
      </c>
      <c r="R90">
        <v>1</v>
      </c>
    </row>
    <row r="91" spans="1:18" x14ac:dyDescent="0.3">
      <c r="A91">
        <v>1027</v>
      </c>
      <c r="B91">
        <v>4</v>
      </c>
      <c r="C91">
        <v>138</v>
      </c>
      <c r="D91">
        <v>1480</v>
      </c>
      <c r="E91">
        <v>-1</v>
      </c>
      <c r="F91" t="s">
        <v>206</v>
      </c>
      <c r="N91" t="s">
        <v>178</v>
      </c>
      <c r="O91">
        <v>10000</v>
      </c>
      <c r="P91">
        <v>0</v>
      </c>
      <c r="Q91">
        <v>1</v>
      </c>
      <c r="R91">
        <v>1</v>
      </c>
    </row>
    <row r="92" spans="1:18" x14ac:dyDescent="0.3">
      <c r="A92">
        <v>1028</v>
      </c>
      <c r="B92">
        <v>4</v>
      </c>
      <c r="C92">
        <v>138</v>
      </c>
      <c r="D92">
        <v>1481</v>
      </c>
      <c r="E92">
        <v>-1</v>
      </c>
      <c r="F92" t="s">
        <v>207</v>
      </c>
      <c r="N92" t="s">
        <v>178</v>
      </c>
      <c r="O92">
        <v>10000</v>
      </c>
      <c r="P92">
        <v>0</v>
      </c>
      <c r="Q92">
        <v>1</v>
      </c>
      <c r="R92">
        <v>1</v>
      </c>
    </row>
    <row r="93" spans="1:18" x14ac:dyDescent="0.3">
      <c r="A93">
        <v>1029</v>
      </c>
      <c r="B93">
        <v>4</v>
      </c>
      <c r="C93">
        <v>141</v>
      </c>
      <c r="D93">
        <v>1481</v>
      </c>
      <c r="E93">
        <v>-1</v>
      </c>
      <c r="F93" t="s">
        <v>207</v>
      </c>
      <c r="N93" t="s">
        <v>183</v>
      </c>
      <c r="O93">
        <v>8000</v>
      </c>
      <c r="P93">
        <v>1</v>
      </c>
      <c r="Q93">
        <v>1</v>
      </c>
      <c r="R93">
        <v>1</v>
      </c>
    </row>
    <row r="94" spans="1:18" x14ac:dyDescent="0.3">
      <c r="A94">
        <v>1030</v>
      </c>
      <c r="B94">
        <v>4</v>
      </c>
      <c r="C94">
        <v>137</v>
      </c>
      <c r="D94">
        <v>1482</v>
      </c>
      <c r="E94">
        <v>-1</v>
      </c>
      <c r="F94" t="s">
        <v>208</v>
      </c>
      <c r="N94" t="s">
        <v>175</v>
      </c>
      <c r="O94">
        <v>6000</v>
      </c>
      <c r="P94">
        <v>1</v>
      </c>
      <c r="Q94">
        <v>1</v>
      </c>
      <c r="R94">
        <v>0</v>
      </c>
    </row>
    <row r="95" spans="1:18" x14ac:dyDescent="0.3">
      <c r="A95">
        <v>1031</v>
      </c>
      <c r="B95">
        <v>4</v>
      </c>
      <c r="C95">
        <v>141</v>
      </c>
      <c r="D95">
        <v>1482</v>
      </c>
      <c r="E95">
        <v>-1</v>
      </c>
      <c r="F95" t="s">
        <v>208</v>
      </c>
      <c r="N95" t="s">
        <v>183</v>
      </c>
      <c r="O95">
        <v>8000</v>
      </c>
      <c r="P95">
        <v>1</v>
      </c>
      <c r="Q95">
        <v>1</v>
      </c>
      <c r="R95">
        <v>1</v>
      </c>
    </row>
    <row r="96" spans="1:18" x14ac:dyDescent="0.3">
      <c r="A96">
        <v>1032</v>
      </c>
      <c r="B96">
        <v>4</v>
      </c>
      <c r="C96">
        <v>138</v>
      </c>
      <c r="D96">
        <v>1483</v>
      </c>
      <c r="E96">
        <v>-1</v>
      </c>
      <c r="F96" t="s">
        <v>209</v>
      </c>
      <c r="N96" t="s">
        <v>178</v>
      </c>
      <c r="O96">
        <v>10000</v>
      </c>
      <c r="P96">
        <v>0</v>
      </c>
      <c r="Q96">
        <v>1</v>
      </c>
      <c r="R96">
        <v>1</v>
      </c>
    </row>
    <row r="97" spans="1:18" x14ac:dyDescent="0.3">
      <c r="A97">
        <v>1033</v>
      </c>
      <c r="B97">
        <v>4</v>
      </c>
      <c r="C97">
        <v>137</v>
      </c>
      <c r="D97">
        <v>1484</v>
      </c>
      <c r="E97">
        <v>-1</v>
      </c>
      <c r="F97" t="s">
        <v>210</v>
      </c>
      <c r="N97" t="s">
        <v>175</v>
      </c>
      <c r="O97">
        <v>6000</v>
      </c>
      <c r="P97">
        <v>1</v>
      </c>
      <c r="Q97">
        <v>1</v>
      </c>
      <c r="R97">
        <v>0</v>
      </c>
    </row>
    <row r="98" spans="1:18" x14ac:dyDescent="0.3">
      <c r="A98">
        <v>1034</v>
      </c>
      <c r="B98">
        <v>4</v>
      </c>
      <c r="C98">
        <v>138</v>
      </c>
      <c r="D98">
        <v>1484</v>
      </c>
      <c r="E98">
        <v>-1</v>
      </c>
      <c r="F98" t="s">
        <v>210</v>
      </c>
      <c r="N98" t="s">
        <v>178</v>
      </c>
      <c r="O98">
        <v>10000</v>
      </c>
      <c r="P98">
        <v>0</v>
      </c>
      <c r="Q98">
        <v>1</v>
      </c>
      <c r="R98">
        <v>1</v>
      </c>
    </row>
    <row r="99" spans="1:18" x14ac:dyDescent="0.3">
      <c r="A99">
        <v>1035</v>
      </c>
      <c r="B99">
        <v>4</v>
      </c>
      <c r="C99">
        <v>141</v>
      </c>
      <c r="D99">
        <v>1485</v>
      </c>
      <c r="E99">
        <v>-1</v>
      </c>
      <c r="F99" t="s">
        <v>211</v>
      </c>
      <c r="N99" t="s">
        <v>183</v>
      </c>
      <c r="O99">
        <v>8000</v>
      </c>
      <c r="P99">
        <v>1</v>
      </c>
      <c r="Q99">
        <v>1</v>
      </c>
      <c r="R99">
        <v>1</v>
      </c>
    </row>
    <row r="100" spans="1:18" x14ac:dyDescent="0.3">
      <c r="A100">
        <v>912</v>
      </c>
      <c r="B100">
        <v>1</v>
      </c>
      <c r="C100">
        <v>138</v>
      </c>
      <c r="D100">
        <v>1423</v>
      </c>
      <c r="E100">
        <v>-1</v>
      </c>
      <c r="F100" t="s">
        <v>55</v>
      </c>
      <c r="N100" t="s">
        <v>178</v>
      </c>
      <c r="O100">
        <v>10000</v>
      </c>
      <c r="P100">
        <v>0</v>
      </c>
      <c r="Q100">
        <v>1</v>
      </c>
      <c r="R100">
        <v>1</v>
      </c>
    </row>
    <row r="101" spans="1:18" x14ac:dyDescent="0.3">
      <c r="A101">
        <v>913</v>
      </c>
      <c r="B101">
        <v>1</v>
      </c>
      <c r="C101">
        <v>137</v>
      </c>
      <c r="D101">
        <v>1423</v>
      </c>
      <c r="E101">
        <v>-1</v>
      </c>
      <c r="F101" t="s">
        <v>55</v>
      </c>
      <c r="N101" t="s">
        <v>175</v>
      </c>
      <c r="O101">
        <v>6000</v>
      </c>
      <c r="P101">
        <v>1</v>
      </c>
      <c r="Q101">
        <v>1</v>
      </c>
      <c r="R101">
        <v>0</v>
      </c>
    </row>
    <row r="102" spans="1:18" x14ac:dyDescent="0.3">
      <c r="A102">
        <v>914</v>
      </c>
      <c r="B102">
        <v>1</v>
      </c>
      <c r="C102">
        <v>142</v>
      </c>
      <c r="D102">
        <v>1423</v>
      </c>
      <c r="E102">
        <v>-1</v>
      </c>
      <c r="F102" t="s">
        <v>55</v>
      </c>
      <c r="N102" t="s">
        <v>186</v>
      </c>
      <c r="O102">
        <v>1000</v>
      </c>
      <c r="P102">
        <v>0</v>
      </c>
      <c r="Q102">
        <v>0</v>
      </c>
      <c r="R102">
        <v>1</v>
      </c>
    </row>
    <row r="103" spans="1:18" x14ac:dyDescent="0.3">
      <c r="A103">
        <v>915</v>
      </c>
      <c r="B103">
        <v>1</v>
      </c>
      <c r="C103">
        <v>140</v>
      </c>
      <c r="D103">
        <v>1423</v>
      </c>
      <c r="E103">
        <v>-1</v>
      </c>
      <c r="F103" t="s">
        <v>55</v>
      </c>
      <c r="N103" t="s">
        <v>181</v>
      </c>
      <c r="O103">
        <v>8000</v>
      </c>
      <c r="P103">
        <v>1</v>
      </c>
      <c r="Q103">
        <v>1</v>
      </c>
      <c r="R103">
        <v>0</v>
      </c>
    </row>
    <row r="104" spans="1:18" x14ac:dyDescent="0.3">
      <c r="A104">
        <v>916</v>
      </c>
      <c r="B104">
        <v>1</v>
      </c>
      <c r="C104">
        <v>141</v>
      </c>
      <c r="D104">
        <v>1423</v>
      </c>
      <c r="E104">
        <v>-1</v>
      </c>
      <c r="F104" t="s">
        <v>55</v>
      </c>
      <c r="N104" t="s">
        <v>183</v>
      </c>
      <c r="O104">
        <v>8000</v>
      </c>
      <c r="P104">
        <v>1</v>
      </c>
      <c r="Q104">
        <v>1</v>
      </c>
      <c r="R104">
        <v>1</v>
      </c>
    </row>
    <row r="105" spans="1:18" x14ac:dyDescent="0.3">
      <c r="A105">
        <v>909</v>
      </c>
      <c r="B105">
        <v>1</v>
      </c>
      <c r="C105">
        <v>142</v>
      </c>
      <c r="D105">
        <v>1429</v>
      </c>
      <c r="E105">
        <v>-1</v>
      </c>
      <c r="F105" t="s">
        <v>75</v>
      </c>
      <c r="N105" t="s">
        <v>186</v>
      </c>
      <c r="O105">
        <v>1000</v>
      </c>
      <c r="P105">
        <v>0</v>
      </c>
      <c r="Q105">
        <v>0</v>
      </c>
      <c r="R105">
        <v>1</v>
      </c>
    </row>
    <row r="106" spans="1:18" x14ac:dyDescent="0.3">
      <c r="A106">
        <v>910</v>
      </c>
      <c r="B106">
        <v>1</v>
      </c>
      <c r="C106">
        <v>141</v>
      </c>
      <c r="D106">
        <v>1429</v>
      </c>
      <c r="E106">
        <v>-1</v>
      </c>
      <c r="F106" t="s">
        <v>75</v>
      </c>
      <c r="N106" t="s">
        <v>183</v>
      </c>
      <c r="O106">
        <v>8000</v>
      </c>
      <c r="P106">
        <v>1</v>
      </c>
      <c r="Q106">
        <v>1</v>
      </c>
      <c r="R106">
        <v>1</v>
      </c>
    </row>
    <row r="107" spans="1:18" x14ac:dyDescent="0.3">
      <c r="A107">
        <v>960</v>
      </c>
      <c r="B107">
        <v>3</v>
      </c>
      <c r="C107">
        <v>142</v>
      </c>
      <c r="D107">
        <v>1448</v>
      </c>
      <c r="E107">
        <v>-1</v>
      </c>
      <c r="F107" t="s">
        <v>204</v>
      </c>
      <c r="N107" t="s">
        <v>186</v>
      </c>
      <c r="O107">
        <v>1000</v>
      </c>
      <c r="P107">
        <v>0</v>
      </c>
      <c r="Q107">
        <v>0</v>
      </c>
      <c r="R107">
        <v>1</v>
      </c>
    </row>
    <row r="108" spans="1:18" x14ac:dyDescent="0.3">
      <c r="A108">
        <v>961</v>
      </c>
      <c r="B108">
        <v>3</v>
      </c>
      <c r="C108">
        <v>141</v>
      </c>
      <c r="D108">
        <v>1449</v>
      </c>
      <c r="E108">
        <v>-1</v>
      </c>
      <c r="F108" t="s">
        <v>205</v>
      </c>
      <c r="N108" t="s">
        <v>183</v>
      </c>
      <c r="O108">
        <v>8000</v>
      </c>
      <c r="P108">
        <v>1</v>
      </c>
      <c r="Q108">
        <v>1</v>
      </c>
      <c r="R108">
        <v>1</v>
      </c>
    </row>
    <row r="109" spans="1:18" x14ac:dyDescent="0.3">
      <c r="A109">
        <v>1036</v>
      </c>
      <c r="B109">
        <v>4</v>
      </c>
      <c r="C109">
        <v>138</v>
      </c>
      <c r="D109">
        <v>1486</v>
      </c>
      <c r="E109">
        <v>-1</v>
      </c>
      <c r="F109" t="s">
        <v>77</v>
      </c>
      <c r="N109" t="s">
        <v>178</v>
      </c>
      <c r="O109">
        <v>10000</v>
      </c>
      <c r="P109">
        <v>0</v>
      </c>
      <c r="Q109">
        <v>1</v>
      </c>
      <c r="R109">
        <v>1</v>
      </c>
    </row>
    <row r="110" spans="1:18" x14ac:dyDescent="0.3">
      <c r="A110">
        <v>1040</v>
      </c>
      <c r="B110">
        <v>4</v>
      </c>
      <c r="C110">
        <v>141</v>
      </c>
      <c r="D110">
        <v>1490</v>
      </c>
      <c r="E110">
        <v>-1</v>
      </c>
      <c r="F110" t="s">
        <v>206</v>
      </c>
      <c r="N110" t="s">
        <v>183</v>
      </c>
      <c r="O110">
        <v>8000</v>
      </c>
      <c r="P110">
        <v>1</v>
      </c>
      <c r="Q110">
        <v>1</v>
      </c>
      <c r="R110">
        <v>1</v>
      </c>
    </row>
    <row r="111" spans="1:18" x14ac:dyDescent="0.3">
      <c r="A111">
        <v>1041</v>
      </c>
      <c r="B111">
        <v>4</v>
      </c>
      <c r="C111">
        <v>138</v>
      </c>
      <c r="D111">
        <v>1490</v>
      </c>
      <c r="E111">
        <v>-1</v>
      </c>
      <c r="F111" t="s">
        <v>206</v>
      </c>
      <c r="N111" t="s">
        <v>178</v>
      </c>
      <c r="O111">
        <v>10000</v>
      </c>
      <c r="P111">
        <v>0</v>
      </c>
      <c r="Q111">
        <v>1</v>
      </c>
      <c r="R111">
        <v>1</v>
      </c>
    </row>
    <row r="112" spans="1:18" x14ac:dyDescent="0.3">
      <c r="A112">
        <v>1042</v>
      </c>
      <c r="B112">
        <v>4</v>
      </c>
      <c r="C112">
        <v>138</v>
      </c>
      <c r="D112">
        <v>1491</v>
      </c>
      <c r="E112">
        <v>-1</v>
      </c>
      <c r="F112" t="s">
        <v>207</v>
      </c>
      <c r="N112" t="s">
        <v>178</v>
      </c>
      <c r="O112">
        <v>10000</v>
      </c>
      <c r="P112">
        <v>0</v>
      </c>
      <c r="Q112">
        <v>1</v>
      </c>
      <c r="R112">
        <v>1</v>
      </c>
    </row>
    <row r="113" spans="1:18" x14ac:dyDescent="0.3">
      <c r="A113">
        <v>1043</v>
      </c>
      <c r="B113">
        <v>4</v>
      </c>
      <c r="C113">
        <v>141</v>
      </c>
      <c r="D113">
        <v>1491</v>
      </c>
      <c r="E113">
        <v>-1</v>
      </c>
      <c r="F113" t="s">
        <v>207</v>
      </c>
      <c r="N113" t="s">
        <v>183</v>
      </c>
      <c r="O113">
        <v>8000</v>
      </c>
      <c r="P113">
        <v>1</v>
      </c>
      <c r="Q113">
        <v>1</v>
      </c>
      <c r="R113">
        <v>1</v>
      </c>
    </row>
    <row r="114" spans="1:18" x14ac:dyDescent="0.3">
      <c r="A114">
        <v>1044</v>
      </c>
      <c r="B114">
        <v>4</v>
      </c>
      <c r="C114">
        <v>137</v>
      </c>
      <c r="D114">
        <v>1492</v>
      </c>
      <c r="E114">
        <v>-1</v>
      </c>
      <c r="F114" t="s">
        <v>208</v>
      </c>
      <c r="N114" t="s">
        <v>175</v>
      </c>
      <c r="O114">
        <v>6000</v>
      </c>
      <c r="P114">
        <v>1</v>
      </c>
      <c r="Q114">
        <v>1</v>
      </c>
      <c r="R114">
        <v>0</v>
      </c>
    </row>
    <row r="115" spans="1:18" x14ac:dyDescent="0.3">
      <c r="A115">
        <v>1045</v>
      </c>
      <c r="B115">
        <v>4</v>
      </c>
      <c r="C115">
        <v>141</v>
      </c>
      <c r="D115">
        <v>1492</v>
      </c>
      <c r="E115">
        <v>-1</v>
      </c>
      <c r="F115" t="s">
        <v>208</v>
      </c>
      <c r="N115" t="s">
        <v>183</v>
      </c>
      <c r="O115">
        <v>8000</v>
      </c>
      <c r="P115">
        <v>1</v>
      </c>
      <c r="Q115">
        <v>1</v>
      </c>
      <c r="R115">
        <v>1</v>
      </c>
    </row>
    <row r="116" spans="1:18" x14ac:dyDescent="0.3">
      <c r="A116">
        <v>1046</v>
      </c>
      <c r="B116">
        <v>4</v>
      </c>
      <c r="C116">
        <v>138</v>
      </c>
      <c r="D116">
        <v>1493</v>
      </c>
      <c r="E116">
        <v>-1</v>
      </c>
      <c r="F116" t="s">
        <v>209</v>
      </c>
      <c r="N116" t="s">
        <v>178</v>
      </c>
      <c r="O116">
        <v>10000</v>
      </c>
      <c r="P116">
        <v>0</v>
      </c>
      <c r="Q116">
        <v>1</v>
      </c>
      <c r="R116">
        <v>1</v>
      </c>
    </row>
    <row r="117" spans="1:18" x14ac:dyDescent="0.3">
      <c r="A117">
        <v>1047</v>
      </c>
      <c r="B117">
        <v>4</v>
      </c>
      <c r="C117">
        <v>137</v>
      </c>
      <c r="D117">
        <v>1494</v>
      </c>
      <c r="E117">
        <v>-1</v>
      </c>
      <c r="F117" t="s">
        <v>210</v>
      </c>
      <c r="N117" t="s">
        <v>175</v>
      </c>
      <c r="O117">
        <v>6000</v>
      </c>
      <c r="P117">
        <v>1</v>
      </c>
      <c r="Q117">
        <v>1</v>
      </c>
      <c r="R117">
        <v>0</v>
      </c>
    </row>
    <row r="118" spans="1:18" x14ac:dyDescent="0.3">
      <c r="A118">
        <v>1048</v>
      </c>
      <c r="B118">
        <v>4</v>
      </c>
      <c r="C118">
        <v>138</v>
      </c>
      <c r="D118">
        <v>1494</v>
      </c>
      <c r="E118">
        <v>-1</v>
      </c>
      <c r="F118" t="s">
        <v>210</v>
      </c>
      <c r="N118" t="s">
        <v>178</v>
      </c>
      <c r="O118">
        <v>10000</v>
      </c>
      <c r="P118">
        <v>0</v>
      </c>
      <c r="Q118">
        <v>1</v>
      </c>
      <c r="R118">
        <v>1</v>
      </c>
    </row>
    <row r="119" spans="1:18" x14ac:dyDescent="0.3">
      <c r="A119">
        <v>1049</v>
      </c>
      <c r="B119">
        <v>4</v>
      </c>
      <c r="C119">
        <v>141</v>
      </c>
      <c r="D119">
        <v>1495</v>
      </c>
      <c r="E119">
        <v>-1</v>
      </c>
      <c r="F119" t="s">
        <v>211</v>
      </c>
      <c r="N119" t="s">
        <v>183</v>
      </c>
      <c r="O119">
        <v>8000</v>
      </c>
      <c r="P119">
        <v>1</v>
      </c>
      <c r="Q119">
        <v>1</v>
      </c>
      <c r="R119">
        <v>1</v>
      </c>
    </row>
    <row r="120" spans="1:18" x14ac:dyDescent="0.3">
      <c r="A120">
        <v>908</v>
      </c>
      <c r="B120">
        <v>1</v>
      </c>
      <c r="C120">
        <v>137</v>
      </c>
      <c r="D120">
        <v>1401</v>
      </c>
      <c r="E120">
        <v>-1</v>
      </c>
      <c r="F120" t="s">
        <v>45</v>
      </c>
      <c r="N120" t="s">
        <v>175</v>
      </c>
      <c r="O120">
        <v>6000</v>
      </c>
      <c r="P120">
        <v>1</v>
      </c>
      <c r="Q120">
        <v>1</v>
      </c>
      <c r="R120">
        <v>0</v>
      </c>
    </row>
    <row r="121" spans="1:18" x14ac:dyDescent="0.3">
      <c r="A121">
        <v>952</v>
      </c>
      <c r="B121">
        <v>2</v>
      </c>
      <c r="C121">
        <v>138</v>
      </c>
      <c r="D121">
        <v>1401</v>
      </c>
      <c r="E121">
        <v>-1</v>
      </c>
      <c r="F121" t="s">
        <v>45</v>
      </c>
      <c r="N121" t="s">
        <v>178</v>
      </c>
      <c r="O121">
        <v>10000</v>
      </c>
      <c r="P121">
        <v>0</v>
      </c>
      <c r="Q121">
        <v>1</v>
      </c>
      <c r="R121">
        <v>1</v>
      </c>
    </row>
    <row r="122" spans="1:18" x14ac:dyDescent="0.3">
      <c r="A122">
        <v>953</v>
      </c>
      <c r="B122">
        <v>2</v>
      </c>
      <c r="C122">
        <v>142</v>
      </c>
      <c r="D122">
        <v>1401</v>
      </c>
      <c r="E122">
        <v>-1</v>
      </c>
      <c r="F122" t="s">
        <v>45</v>
      </c>
      <c r="N122" t="s">
        <v>186</v>
      </c>
      <c r="O122">
        <v>1000</v>
      </c>
      <c r="P122">
        <v>0</v>
      </c>
      <c r="Q122">
        <v>0</v>
      </c>
      <c r="R122">
        <v>1</v>
      </c>
    </row>
    <row r="123" spans="1:18" x14ac:dyDescent="0.3">
      <c r="A123">
        <v>972</v>
      </c>
      <c r="B123">
        <v>3</v>
      </c>
      <c r="C123">
        <v>140</v>
      </c>
      <c r="D123">
        <v>1401</v>
      </c>
      <c r="E123">
        <v>-1</v>
      </c>
      <c r="F123" t="s">
        <v>45</v>
      </c>
      <c r="N123" t="s">
        <v>181</v>
      </c>
      <c r="O123">
        <v>8000</v>
      </c>
      <c r="P123">
        <v>1</v>
      </c>
      <c r="Q123">
        <v>1</v>
      </c>
      <c r="R123">
        <v>0</v>
      </c>
    </row>
    <row r="124" spans="1:18" x14ac:dyDescent="0.3">
      <c r="A124">
        <v>973</v>
      </c>
      <c r="B124">
        <v>3</v>
      </c>
      <c r="C124">
        <v>141</v>
      </c>
      <c r="D124">
        <v>1401</v>
      </c>
      <c r="E124">
        <v>-1</v>
      </c>
      <c r="F124" t="s">
        <v>45</v>
      </c>
      <c r="N124" t="s">
        <v>183</v>
      </c>
      <c r="O124">
        <v>8000</v>
      </c>
      <c r="P124">
        <v>1</v>
      </c>
      <c r="Q124">
        <v>1</v>
      </c>
      <c r="R124">
        <v>1</v>
      </c>
    </row>
    <row r="125" spans="1:18" x14ac:dyDescent="0.3">
      <c r="A125">
        <v>964</v>
      </c>
      <c r="B125">
        <v>3</v>
      </c>
      <c r="C125">
        <v>142</v>
      </c>
      <c r="D125">
        <v>1450</v>
      </c>
      <c r="E125">
        <v>-1</v>
      </c>
      <c r="F125" t="s">
        <v>204</v>
      </c>
      <c r="N125" t="s">
        <v>186</v>
      </c>
      <c r="O125">
        <v>1000</v>
      </c>
      <c r="P125">
        <v>0</v>
      </c>
      <c r="Q125">
        <v>0</v>
      </c>
      <c r="R125">
        <v>1</v>
      </c>
    </row>
    <row r="126" spans="1:18" x14ac:dyDescent="0.3">
      <c r="A126">
        <v>965</v>
      </c>
      <c r="B126">
        <v>3</v>
      </c>
      <c r="C126">
        <v>141</v>
      </c>
      <c r="D126">
        <v>1451</v>
      </c>
      <c r="E126">
        <v>-1</v>
      </c>
      <c r="F126" t="s">
        <v>205</v>
      </c>
      <c r="N126" t="s">
        <v>183</v>
      </c>
      <c r="O126">
        <v>8000</v>
      </c>
      <c r="P126">
        <v>1</v>
      </c>
      <c r="Q126">
        <v>1</v>
      </c>
      <c r="R126">
        <v>1</v>
      </c>
    </row>
    <row r="127" spans="1:18" x14ac:dyDescent="0.3">
      <c r="A127">
        <v>988</v>
      </c>
      <c r="B127">
        <v>4</v>
      </c>
      <c r="C127">
        <v>138</v>
      </c>
      <c r="D127">
        <v>1456</v>
      </c>
      <c r="E127">
        <v>-1</v>
      </c>
      <c r="F127" t="s">
        <v>77</v>
      </c>
      <c r="N127" t="s">
        <v>178</v>
      </c>
      <c r="O127">
        <v>10000</v>
      </c>
      <c r="P127">
        <v>0</v>
      </c>
      <c r="Q127">
        <v>1</v>
      </c>
      <c r="R127">
        <v>1</v>
      </c>
    </row>
    <row r="128" spans="1:18" x14ac:dyDescent="0.3">
      <c r="A128">
        <v>989</v>
      </c>
      <c r="B128">
        <v>4</v>
      </c>
      <c r="C128">
        <v>138</v>
      </c>
      <c r="D128">
        <v>1457</v>
      </c>
      <c r="E128">
        <v>-1</v>
      </c>
      <c r="F128" t="s">
        <v>56</v>
      </c>
      <c r="N128" t="s">
        <v>178</v>
      </c>
      <c r="O128">
        <v>10000</v>
      </c>
      <c r="P128">
        <v>0</v>
      </c>
      <c r="Q128">
        <v>1</v>
      </c>
      <c r="R128">
        <v>1</v>
      </c>
    </row>
    <row r="129" spans="1:18" x14ac:dyDescent="0.3">
      <c r="A129">
        <v>990</v>
      </c>
      <c r="B129">
        <v>4</v>
      </c>
      <c r="C129">
        <v>140</v>
      </c>
      <c r="D129">
        <v>1457</v>
      </c>
      <c r="E129">
        <v>-1</v>
      </c>
      <c r="F129" t="s">
        <v>56</v>
      </c>
      <c r="N129" t="s">
        <v>181</v>
      </c>
      <c r="O129">
        <v>8000</v>
      </c>
      <c r="P129">
        <v>1</v>
      </c>
      <c r="Q129">
        <v>1</v>
      </c>
      <c r="R129">
        <v>0</v>
      </c>
    </row>
    <row r="130" spans="1:18" x14ac:dyDescent="0.3">
      <c r="A130">
        <v>992</v>
      </c>
      <c r="B130">
        <v>4</v>
      </c>
      <c r="C130">
        <v>141</v>
      </c>
      <c r="D130">
        <v>1460</v>
      </c>
      <c r="E130">
        <v>-1</v>
      </c>
      <c r="F130" t="s">
        <v>206</v>
      </c>
      <c r="N130" t="s">
        <v>183</v>
      </c>
      <c r="O130">
        <v>8000</v>
      </c>
      <c r="P130">
        <v>1</v>
      </c>
      <c r="Q130">
        <v>1</v>
      </c>
      <c r="R130">
        <v>1</v>
      </c>
    </row>
    <row r="131" spans="1:18" x14ac:dyDescent="0.3">
      <c r="A131">
        <v>993</v>
      </c>
      <c r="B131">
        <v>4</v>
      </c>
      <c r="C131">
        <v>138</v>
      </c>
      <c r="D131">
        <v>1460</v>
      </c>
      <c r="E131">
        <v>-1</v>
      </c>
      <c r="F131" t="s">
        <v>206</v>
      </c>
      <c r="N131" t="s">
        <v>178</v>
      </c>
      <c r="O131">
        <v>10000</v>
      </c>
      <c r="P131">
        <v>0</v>
      </c>
      <c r="Q131">
        <v>1</v>
      </c>
      <c r="R131">
        <v>1</v>
      </c>
    </row>
    <row r="132" spans="1:18" x14ac:dyDescent="0.3">
      <c r="A132">
        <v>994</v>
      </c>
      <c r="B132">
        <v>4</v>
      </c>
      <c r="C132">
        <v>138</v>
      </c>
      <c r="D132">
        <v>1461</v>
      </c>
      <c r="E132">
        <v>-1</v>
      </c>
      <c r="F132" t="s">
        <v>207</v>
      </c>
      <c r="N132" t="s">
        <v>178</v>
      </c>
      <c r="O132">
        <v>10000</v>
      </c>
      <c r="P132">
        <v>0</v>
      </c>
      <c r="Q132">
        <v>1</v>
      </c>
      <c r="R132">
        <v>1</v>
      </c>
    </row>
    <row r="133" spans="1:18" x14ac:dyDescent="0.3">
      <c r="A133">
        <v>995</v>
      </c>
      <c r="B133">
        <v>4</v>
      </c>
      <c r="C133">
        <v>141</v>
      </c>
      <c r="D133">
        <v>1461</v>
      </c>
      <c r="E133">
        <v>-1</v>
      </c>
      <c r="F133" t="s">
        <v>207</v>
      </c>
      <c r="N133" t="s">
        <v>183</v>
      </c>
      <c r="O133">
        <v>8000</v>
      </c>
      <c r="P133">
        <v>1</v>
      </c>
      <c r="Q133">
        <v>1</v>
      </c>
      <c r="R133">
        <v>1</v>
      </c>
    </row>
    <row r="134" spans="1:18" x14ac:dyDescent="0.3">
      <c r="A134">
        <v>996</v>
      </c>
      <c r="B134">
        <v>4</v>
      </c>
      <c r="C134">
        <v>137</v>
      </c>
      <c r="D134">
        <v>1462</v>
      </c>
      <c r="E134">
        <v>-1</v>
      </c>
      <c r="F134" t="s">
        <v>208</v>
      </c>
      <c r="N134" t="s">
        <v>175</v>
      </c>
      <c r="O134">
        <v>6000</v>
      </c>
      <c r="P134">
        <v>1</v>
      </c>
      <c r="Q134">
        <v>1</v>
      </c>
      <c r="R134">
        <v>0</v>
      </c>
    </row>
    <row r="135" spans="1:18" x14ac:dyDescent="0.3">
      <c r="A135">
        <v>997</v>
      </c>
      <c r="B135">
        <v>4</v>
      </c>
      <c r="C135">
        <v>141</v>
      </c>
      <c r="D135">
        <v>1462</v>
      </c>
      <c r="E135">
        <v>-1</v>
      </c>
      <c r="F135" t="s">
        <v>208</v>
      </c>
      <c r="N135" t="s">
        <v>183</v>
      </c>
      <c r="O135">
        <v>8000</v>
      </c>
      <c r="P135">
        <v>1</v>
      </c>
      <c r="Q135">
        <v>1</v>
      </c>
      <c r="R135">
        <v>1</v>
      </c>
    </row>
    <row r="136" spans="1:18" x14ac:dyDescent="0.3">
      <c r="A136">
        <v>998</v>
      </c>
      <c r="B136">
        <v>4</v>
      </c>
      <c r="C136">
        <v>138</v>
      </c>
      <c r="D136">
        <v>1463</v>
      </c>
      <c r="E136">
        <v>-1</v>
      </c>
      <c r="F136" t="s">
        <v>209</v>
      </c>
      <c r="N136" t="s">
        <v>178</v>
      </c>
      <c r="O136">
        <v>10000</v>
      </c>
      <c r="P136">
        <v>0</v>
      </c>
      <c r="Q136">
        <v>1</v>
      </c>
      <c r="R136">
        <v>1</v>
      </c>
    </row>
    <row r="137" spans="1:18" x14ac:dyDescent="0.3">
      <c r="A137">
        <v>999</v>
      </c>
      <c r="B137">
        <v>4</v>
      </c>
      <c r="C137">
        <v>137</v>
      </c>
      <c r="D137">
        <v>1464</v>
      </c>
      <c r="E137">
        <v>-1</v>
      </c>
      <c r="F137" t="s">
        <v>210</v>
      </c>
      <c r="N137" t="s">
        <v>175</v>
      </c>
      <c r="O137">
        <v>6000</v>
      </c>
      <c r="P137">
        <v>1</v>
      </c>
      <c r="Q137">
        <v>1</v>
      </c>
      <c r="R137">
        <v>0</v>
      </c>
    </row>
    <row r="138" spans="1:18" x14ac:dyDescent="0.3">
      <c r="A138">
        <v>1000</v>
      </c>
      <c r="B138">
        <v>4</v>
      </c>
      <c r="C138">
        <v>138</v>
      </c>
      <c r="D138">
        <v>1464</v>
      </c>
      <c r="E138">
        <v>-1</v>
      </c>
      <c r="F138" t="s">
        <v>210</v>
      </c>
      <c r="N138" t="s">
        <v>178</v>
      </c>
      <c r="O138">
        <v>10000</v>
      </c>
      <c r="P138">
        <v>0</v>
      </c>
      <c r="Q138">
        <v>1</v>
      </c>
      <c r="R138">
        <v>1</v>
      </c>
    </row>
    <row r="139" spans="1:18" x14ac:dyDescent="0.3">
      <c r="A139">
        <v>1001</v>
      </c>
      <c r="B139">
        <v>4</v>
      </c>
      <c r="C139">
        <v>141</v>
      </c>
      <c r="D139">
        <v>1465</v>
      </c>
      <c r="E139">
        <v>-1</v>
      </c>
      <c r="F139" t="s">
        <v>211</v>
      </c>
      <c r="N139" t="s">
        <v>183</v>
      </c>
      <c r="O139">
        <v>8000</v>
      </c>
      <c r="P139">
        <v>1</v>
      </c>
      <c r="Q139">
        <v>1</v>
      </c>
      <c r="R139">
        <v>1</v>
      </c>
    </row>
    <row r="140" spans="1:18" x14ac:dyDescent="0.3">
      <c r="A140">
        <v>926</v>
      </c>
      <c r="B140">
        <v>1</v>
      </c>
      <c r="C140">
        <v>137</v>
      </c>
      <c r="D140">
        <v>1434</v>
      </c>
      <c r="E140">
        <v>-1</v>
      </c>
      <c r="F140" t="s">
        <v>41</v>
      </c>
      <c r="N140" t="s">
        <v>175</v>
      </c>
      <c r="O140">
        <v>6000</v>
      </c>
      <c r="P140">
        <v>1</v>
      </c>
      <c r="Q140">
        <v>1</v>
      </c>
      <c r="R140">
        <v>0</v>
      </c>
    </row>
    <row r="141" spans="1:18" x14ac:dyDescent="0.3">
      <c r="A141">
        <v>927</v>
      </c>
      <c r="B141">
        <v>1</v>
      </c>
      <c r="C141">
        <v>140</v>
      </c>
      <c r="D141">
        <v>1434</v>
      </c>
      <c r="E141">
        <v>-1</v>
      </c>
      <c r="F141" t="s">
        <v>41</v>
      </c>
      <c r="N141" t="s">
        <v>181</v>
      </c>
      <c r="O141">
        <v>8000</v>
      </c>
      <c r="P141">
        <v>1</v>
      </c>
      <c r="Q141">
        <v>1</v>
      </c>
      <c r="R141">
        <v>0</v>
      </c>
    </row>
    <row r="142" spans="1:18" x14ac:dyDescent="0.3">
      <c r="A142">
        <v>984</v>
      </c>
      <c r="B142">
        <v>3</v>
      </c>
      <c r="C142">
        <v>141</v>
      </c>
      <c r="D142">
        <v>1434</v>
      </c>
      <c r="E142">
        <v>-1</v>
      </c>
      <c r="F142" t="s">
        <v>41</v>
      </c>
      <c r="N142" t="s">
        <v>183</v>
      </c>
      <c r="O142">
        <v>8000</v>
      </c>
      <c r="P142">
        <v>1</v>
      </c>
      <c r="Q142">
        <v>1</v>
      </c>
      <c r="R142">
        <v>1</v>
      </c>
    </row>
    <row r="143" spans="1:18" x14ac:dyDescent="0.3">
      <c r="A143">
        <v>944</v>
      </c>
      <c r="B143">
        <v>1</v>
      </c>
      <c r="C143">
        <v>140</v>
      </c>
      <c r="D143">
        <v>1443</v>
      </c>
      <c r="E143">
        <v>-1</v>
      </c>
      <c r="F143" t="s">
        <v>117</v>
      </c>
      <c r="N143" t="s">
        <v>181</v>
      </c>
      <c r="O143">
        <v>8000</v>
      </c>
      <c r="P143">
        <v>1</v>
      </c>
      <c r="Q143">
        <v>1</v>
      </c>
      <c r="R143">
        <v>0</v>
      </c>
    </row>
    <row r="144" spans="1:18" x14ac:dyDescent="0.3">
      <c r="A144">
        <v>945</v>
      </c>
      <c r="B144">
        <v>1</v>
      </c>
      <c r="C144">
        <v>141</v>
      </c>
      <c r="D144">
        <v>1443</v>
      </c>
      <c r="E144">
        <v>-1</v>
      </c>
      <c r="F144" t="s">
        <v>117</v>
      </c>
      <c r="N144" t="s">
        <v>183</v>
      </c>
      <c r="O144">
        <v>8000</v>
      </c>
      <c r="P144">
        <v>1</v>
      </c>
      <c r="Q144">
        <v>1</v>
      </c>
      <c r="R144">
        <v>1</v>
      </c>
    </row>
    <row r="145" spans="1:18" x14ac:dyDescent="0.3">
      <c r="A145">
        <v>959</v>
      </c>
      <c r="B145">
        <v>2</v>
      </c>
      <c r="C145">
        <v>142</v>
      </c>
      <c r="D145">
        <v>1443</v>
      </c>
      <c r="E145">
        <v>-1</v>
      </c>
      <c r="F145" t="s">
        <v>117</v>
      </c>
      <c r="N145" t="s">
        <v>186</v>
      </c>
      <c r="O145">
        <v>1000</v>
      </c>
      <c r="P145">
        <v>0</v>
      </c>
      <c r="Q145">
        <v>0</v>
      </c>
      <c r="R145">
        <v>1</v>
      </c>
    </row>
    <row r="146" spans="1:18" x14ac:dyDescent="0.3">
      <c r="A146">
        <v>983</v>
      </c>
      <c r="B146">
        <v>3</v>
      </c>
      <c r="C146">
        <v>138</v>
      </c>
      <c r="D146">
        <v>1443</v>
      </c>
      <c r="E146">
        <v>-1</v>
      </c>
      <c r="F146" t="s">
        <v>117</v>
      </c>
      <c r="N146" t="s">
        <v>178</v>
      </c>
      <c r="O146">
        <v>10000</v>
      </c>
      <c r="P146">
        <v>0</v>
      </c>
      <c r="Q146">
        <v>1</v>
      </c>
      <c r="R146">
        <v>1</v>
      </c>
    </row>
    <row r="147" spans="1:18" x14ac:dyDescent="0.3">
      <c r="A147">
        <v>946</v>
      </c>
      <c r="B147">
        <v>1</v>
      </c>
      <c r="C147">
        <v>142</v>
      </c>
      <c r="D147">
        <v>1447</v>
      </c>
      <c r="E147">
        <v>-1</v>
      </c>
      <c r="F147" t="s">
        <v>71</v>
      </c>
      <c r="N147" t="s">
        <v>186</v>
      </c>
      <c r="O147">
        <v>1000</v>
      </c>
      <c r="P147">
        <v>0</v>
      </c>
      <c r="Q147">
        <v>0</v>
      </c>
      <c r="R147">
        <v>1</v>
      </c>
    </row>
    <row r="148" spans="1:18" x14ac:dyDescent="0.3">
      <c r="A148">
        <v>947</v>
      </c>
      <c r="B148">
        <v>1</v>
      </c>
      <c r="C148">
        <v>140</v>
      </c>
      <c r="D148">
        <v>1447</v>
      </c>
      <c r="E148">
        <v>-1</v>
      </c>
      <c r="F148" t="s">
        <v>71</v>
      </c>
      <c r="N148" t="s">
        <v>181</v>
      </c>
      <c r="O148">
        <v>8000</v>
      </c>
      <c r="P148">
        <v>1</v>
      </c>
      <c r="Q148">
        <v>1</v>
      </c>
      <c r="R148">
        <v>0</v>
      </c>
    </row>
    <row r="149" spans="1:18" x14ac:dyDescent="0.3">
      <c r="A149">
        <v>980</v>
      </c>
      <c r="B149">
        <v>3</v>
      </c>
      <c r="C149">
        <v>141</v>
      </c>
      <c r="D149">
        <v>1447</v>
      </c>
      <c r="E149">
        <v>-1</v>
      </c>
      <c r="F149" t="s">
        <v>71</v>
      </c>
      <c r="N149" t="s">
        <v>183</v>
      </c>
      <c r="O149">
        <v>8000</v>
      </c>
      <c r="P149">
        <v>1</v>
      </c>
      <c r="Q149">
        <v>1</v>
      </c>
      <c r="R149">
        <v>1</v>
      </c>
    </row>
    <row r="150" spans="1:18" x14ac:dyDescent="0.3">
      <c r="A150">
        <v>966</v>
      </c>
      <c r="B150">
        <v>3</v>
      </c>
      <c r="C150">
        <v>142</v>
      </c>
      <c r="D150">
        <v>1452</v>
      </c>
      <c r="E150">
        <v>-1</v>
      </c>
      <c r="F150" t="s">
        <v>204</v>
      </c>
      <c r="N150" t="s">
        <v>186</v>
      </c>
      <c r="O150">
        <v>1000</v>
      </c>
      <c r="P150">
        <v>0</v>
      </c>
      <c r="Q150">
        <v>0</v>
      </c>
      <c r="R150">
        <v>1</v>
      </c>
    </row>
    <row r="151" spans="1:18" x14ac:dyDescent="0.3">
      <c r="A151">
        <v>967</v>
      </c>
      <c r="B151">
        <v>3</v>
      </c>
      <c r="C151">
        <v>141</v>
      </c>
      <c r="D151">
        <v>1453</v>
      </c>
      <c r="E151">
        <v>-1</v>
      </c>
      <c r="F151" t="s">
        <v>205</v>
      </c>
      <c r="N151" t="s">
        <v>183</v>
      </c>
      <c r="O151">
        <v>8000</v>
      </c>
      <c r="P151">
        <v>1</v>
      </c>
      <c r="Q151">
        <v>1</v>
      </c>
      <c r="R151">
        <v>1</v>
      </c>
    </row>
    <row r="152" spans="1:18" x14ac:dyDescent="0.3">
      <c r="A152">
        <v>1006</v>
      </c>
      <c r="B152">
        <v>4</v>
      </c>
      <c r="C152">
        <v>141</v>
      </c>
      <c r="D152">
        <v>1470</v>
      </c>
      <c r="E152">
        <v>-1</v>
      </c>
      <c r="F152" t="s">
        <v>206</v>
      </c>
      <c r="N152" t="s">
        <v>183</v>
      </c>
      <c r="O152">
        <v>8000</v>
      </c>
      <c r="P152">
        <v>1</v>
      </c>
      <c r="Q152">
        <v>1</v>
      </c>
      <c r="R152">
        <v>1</v>
      </c>
    </row>
    <row r="153" spans="1:18" x14ac:dyDescent="0.3">
      <c r="A153">
        <v>1007</v>
      </c>
      <c r="B153">
        <v>4</v>
      </c>
      <c r="C153">
        <v>138</v>
      </c>
      <c r="D153">
        <v>1470</v>
      </c>
      <c r="E153">
        <v>-1</v>
      </c>
      <c r="F153" t="s">
        <v>206</v>
      </c>
      <c r="N153" t="s">
        <v>178</v>
      </c>
      <c r="O153">
        <v>10000</v>
      </c>
      <c r="P153">
        <v>0</v>
      </c>
      <c r="Q153">
        <v>1</v>
      </c>
      <c r="R153">
        <v>1</v>
      </c>
    </row>
    <row r="154" spans="1:18" x14ac:dyDescent="0.3">
      <c r="A154">
        <v>1008</v>
      </c>
      <c r="B154">
        <v>4</v>
      </c>
      <c r="C154">
        <v>138</v>
      </c>
      <c r="D154">
        <v>1471</v>
      </c>
      <c r="E154">
        <v>-1</v>
      </c>
      <c r="F154" t="s">
        <v>207</v>
      </c>
      <c r="N154" t="s">
        <v>178</v>
      </c>
      <c r="O154">
        <v>10000</v>
      </c>
      <c r="P154">
        <v>0</v>
      </c>
      <c r="Q154">
        <v>1</v>
      </c>
      <c r="R154">
        <v>1</v>
      </c>
    </row>
    <row r="155" spans="1:18" x14ac:dyDescent="0.3">
      <c r="A155">
        <v>1009</v>
      </c>
      <c r="B155">
        <v>4</v>
      </c>
      <c r="C155">
        <v>141</v>
      </c>
      <c r="D155">
        <v>1471</v>
      </c>
      <c r="E155">
        <v>-1</v>
      </c>
      <c r="F155" t="s">
        <v>207</v>
      </c>
      <c r="N155" t="s">
        <v>183</v>
      </c>
      <c r="O155">
        <v>8000</v>
      </c>
      <c r="P155">
        <v>1</v>
      </c>
      <c r="Q155">
        <v>1</v>
      </c>
      <c r="R155">
        <v>1</v>
      </c>
    </row>
    <row r="156" spans="1:18" x14ac:dyDescent="0.3">
      <c r="A156">
        <v>1010</v>
      </c>
      <c r="B156">
        <v>4</v>
      </c>
      <c r="C156">
        <v>137</v>
      </c>
      <c r="D156">
        <v>1472</v>
      </c>
      <c r="E156">
        <v>-1</v>
      </c>
      <c r="F156" t="s">
        <v>208</v>
      </c>
      <c r="N156" t="s">
        <v>175</v>
      </c>
      <c r="O156">
        <v>6000</v>
      </c>
      <c r="P156">
        <v>1</v>
      </c>
      <c r="Q156">
        <v>1</v>
      </c>
      <c r="R156">
        <v>0</v>
      </c>
    </row>
    <row r="157" spans="1:18" x14ac:dyDescent="0.3">
      <c r="A157">
        <v>1011</v>
      </c>
      <c r="B157">
        <v>4</v>
      </c>
      <c r="C157">
        <v>141</v>
      </c>
      <c r="D157">
        <v>1472</v>
      </c>
      <c r="E157">
        <v>-1</v>
      </c>
      <c r="F157" t="s">
        <v>208</v>
      </c>
      <c r="N157" t="s">
        <v>183</v>
      </c>
      <c r="O157">
        <v>8000</v>
      </c>
      <c r="P157">
        <v>1</v>
      </c>
      <c r="Q157">
        <v>1</v>
      </c>
      <c r="R157">
        <v>1</v>
      </c>
    </row>
    <row r="158" spans="1:18" x14ac:dyDescent="0.3">
      <c r="A158">
        <v>1012</v>
      </c>
      <c r="B158">
        <v>4</v>
      </c>
      <c r="C158">
        <v>138</v>
      </c>
      <c r="D158">
        <v>1473</v>
      </c>
      <c r="E158">
        <v>-1</v>
      </c>
      <c r="F158" t="s">
        <v>209</v>
      </c>
      <c r="N158" t="s">
        <v>178</v>
      </c>
      <c r="O158">
        <v>10000</v>
      </c>
      <c r="P158">
        <v>0</v>
      </c>
      <c r="Q158">
        <v>1</v>
      </c>
      <c r="R158">
        <v>1</v>
      </c>
    </row>
    <row r="159" spans="1:18" x14ac:dyDescent="0.3">
      <c r="A159">
        <v>1013</v>
      </c>
      <c r="B159">
        <v>4</v>
      </c>
      <c r="C159">
        <v>137</v>
      </c>
      <c r="D159">
        <v>1474</v>
      </c>
      <c r="E159">
        <v>-1</v>
      </c>
      <c r="F159" t="s">
        <v>210</v>
      </c>
      <c r="N159" t="s">
        <v>175</v>
      </c>
      <c r="O159">
        <v>6000</v>
      </c>
      <c r="P159">
        <v>1</v>
      </c>
      <c r="Q159">
        <v>1</v>
      </c>
      <c r="R159">
        <v>0</v>
      </c>
    </row>
    <row r="160" spans="1:18" x14ac:dyDescent="0.3">
      <c r="A160">
        <v>1014</v>
      </c>
      <c r="B160">
        <v>4</v>
      </c>
      <c r="C160">
        <v>138</v>
      </c>
      <c r="D160">
        <v>1474</v>
      </c>
      <c r="E160">
        <v>-1</v>
      </c>
      <c r="F160" t="s">
        <v>210</v>
      </c>
      <c r="N160" t="s">
        <v>178</v>
      </c>
      <c r="O160">
        <v>10000</v>
      </c>
      <c r="P160">
        <v>0</v>
      </c>
      <c r="Q160">
        <v>1</v>
      </c>
      <c r="R160">
        <v>1</v>
      </c>
    </row>
    <row r="161" spans="1:18" x14ac:dyDescent="0.3">
      <c r="A161">
        <v>1015</v>
      </c>
      <c r="B161">
        <v>4</v>
      </c>
      <c r="C161">
        <v>141</v>
      </c>
      <c r="D161">
        <v>1475</v>
      </c>
      <c r="E161">
        <v>-1</v>
      </c>
      <c r="F161" t="s">
        <v>211</v>
      </c>
      <c r="N161" t="s">
        <v>183</v>
      </c>
      <c r="O161">
        <v>8000</v>
      </c>
      <c r="P161">
        <v>1</v>
      </c>
      <c r="Q161">
        <v>1</v>
      </c>
      <c r="R161">
        <v>1</v>
      </c>
    </row>
    <row r="162" spans="1:18" x14ac:dyDescent="0.3">
      <c r="A162">
        <v>767</v>
      </c>
      <c r="B162">
        <v>1</v>
      </c>
      <c r="C162">
        <v>141</v>
      </c>
      <c r="D162">
        <v>1296</v>
      </c>
      <c r="E162">
        <v>-1</v>
      </c>
      <c r="F162" t="s">
        <v>41</v>
      </c>
      <c r="G162">
        <v>635</v>
      </c>
      <c r="H162" t="s">
        <v>34</v>
      </c>
      <c r="I162">
        <v>635</v>
      </c>
      <c r="J162" t="s">
        <v>39</v>
      </c>
      <c r="K162">
        <v>1</v>
      </c>
      <c r="L162">
        <v>110000</v>
      </c>
      <c r="M162">
        <v>8000</v>
      </c>
      <c r="N162" t="s">
        <v>183</v>
      </c>
      <c r="O162">
        <v>8000</v>
      </c>
      <c r="P162">
        <v>1</v>
      </c>
      <c r="Q162">
        <v>1</v>
      </c>
      <c r="R162">
        <v>1</v>
      </c>
    </row>
    <row r="163" spans="1:18" x14ac:dyDescent="0.3">
      <c r="A163">
        <v>821</v>
      </c>
      <c r="B163">
        <v>3</v>
      </c>
      <c r="C163">
        <v>137</v>
      </c>
      <c r="D163">
        <v>1296</v>
      </c>
      <c r="E163">
        <v>-1</v>
      </c>
      <c r="F163" t="s">
        <v>41</v>
      </c>
      <c r="G163">
        <v>635</v>
      </c>
      <c r="H163" t="s">
        <v>34</v>
      </c>
      <c r="I163">
        <v>635</v>
      </c>
      <c r="J163" t="s">
        <v>39</v>
      </c>
      <c r="K163">
        <v>3</v>
      </c>
      <c r="L163">
        <v>110000</v>
      </c>
      <c r="M163">
        <v>6000</v>
      </c>
      <c r="N163" t="s">
        <v>175</v>
      </c>
      <c r="O163">
        <v>6000</v>
      </c>
      <c r="P163">
        <v>1</v>
      </c>
      <c r="Q163">
        <v>1</v>
      </c>
      <c r="R163">
        <v>0</v>
      </c>
    </row>
    <row r="164" spans="1:18" x14ac:dyDescent="0.3">
      <c r="A164">
        <v>870</v>
      </c>
      <c r="B164">
        <v>4</v>
      </c>
      <c r="C164">
        <v>142</v>
      </c>
      <c r="D164">
        <v>1296</v>
      </c>
      <c r="E164">
        <v>-1</v>
      </c>
      <c r="F164" t="s">
        <v>41</v>
      </c>
      <c r="G164">
        <v>635</v>
      </c>
      <c r="H164" t="s">
        <v>34</v>
      </c>
      <c r="I164">
        <v>635</v>
      </c>
      <c r="J164" t="s">
        <v>39</v>
      </c>
      <c r="K164">
        <v>4</v>
      </c>
      <c r="L164">
        <v>110000</v>
      </c>
      <c r="M164">
        <v>1000</v>
      </c>
      <c r="N164" t="s">
        <v>186</v>
      </c>
      <c r="O164">
        <v>1000</v>
      </c>
      <c r="P164">
        <v>0</v>
      </c>
      <c r="Q164">
        <v>0</v>
      </c>
      <c r="R164">
        <v>1</v>
      </c>
    </row>
    <row r="165" spans="1:18" x14ac:dyDescent="0.3">
      <c r="A165">
        <v>794</v>
      </c>
      <c r="B165">
        <v>2</v>
      </c>
      <c r="C165">
        <v>142</v>
      </c>
      <c r="D165">
        <v>1308</v>
      </c>
      <c r="E165">
        <v>-1</v>
      </c>
      <c r="F165" t="s">
        <v>45</v>
      </c>
      <c r="G165">
        <v>636</v>
      </c>
      <c r="H165" t="s">
        <v>34</v>
      </c>
      <c r="I165">
        <v>636</v>
      </c>
      <c r="J165" t="s">
        <v>43</v>
      </c>
      <c r="K165">
        <v>2</v>
      </c>
      <c r="L165">
        <v>60000</v>
      </c>
      <c r="M165">
        <v>1000</v>
      </c>
      <c r="N165" t="s">
        <v>186</v>
      </c>
      <c r="O165">
        <v>1000</v>
      </c>
      <c r="P165">
        <v>0</v>
      </c>
      <c r="Q165">
        <v>0</v>
      </c>
      <c r="R165">
        <v>1</v>
      </c>
    </row>
    <row r="166" spans="1:18" x14ac:dyDescent="0.3">
      <c r="A166">
        <v>771</v>
      </c>
      <c r="B166">
        <v>1</v>
      </c>
      <c r="C166">
        <v>137</v>
      </c>
      <c r="D166">
        <v>1298</v>
      </c>
      <c r="E166">
        <v>-1</v>
      </c>
      <c r="F166" t="s">
        <v>48</v>
      </c>
      <c r="G166">
        <v>637</v>
      </c>
      <c r="H166" t="s">
        <v>34</v>
      </c>
      <c r="I166">
        <v>637</v>
      </c>
      <c r="J166" t="s">
        <v>46</v>
      </c>
      <c r="K166">
        <v>1</v>
      </c>
      <c r="L166">
        <v>90000</v>
      </c>
      <c r="M166">
        <v>6000</v>
      </c>
      <c r="N166" t="s">
        <v>175</v>
      </c>
      <c r="O166">
        <v>6000</v>
      </c>
      <c r="P166">
        <v>1</v>
      </c>
      <c r="Q166">
        <v>1</v>
      </c>
      <c r="R166">
        <v>0</v>
      </c>
    </row>
    <row r="167" spans="1:18" x14ac:dyDescent="0.3">
      <c r="A167">
        <v>795</v>
      </c>
      <c r="B167">
        <v>2</v>
      </c>
      <c r="C167">
        <v>138</v>
      </c>
      <c r="D167">
        <v>1298</v>
      </c>
      <c r="E167">
        <v>-1</v>
      </c>
      <c r="F167" t="s">
        <v>48</v>
      </c>
      <c r="G167">
        <v>637</v>
      </c>
      <c r="H167" t="s">
        <v>34</v>
      </c>
      <c r="I167">
        <v>637</v>
      </c>
      <c r="J167" t="s">
        <v>46</v>
      </c>
      <c r="K167">
        <v>2</v>
      </c>
      <c r="L167">
        <v>90000</v>
      </c>
      <c r="M167">
        <v>10000</v>
      </c>
      <c r="N167" t="s">
        <v>178</v>
      </c>
      <c r="O167">
        <v>10000</v>
      </c>
      <c r="P167">
        <v>0</v>
      </c>
      <c r="Q167">
        <v>1</v>
      </c>
      <c r="R167">
        <v>1</v>
      </c>
    </row>
    <row r="168" spans="1:18" x14ac:dyDescent="0.3">
      <c r="A168">
        <v>823</v>
      </c>
      <c r="B168">
        <v>3</v>
      </c>
      <c r="C168">
        <v>140</v>
      </c>
      <c r="D168">
        <v>1298</v>
      </c>
      <c r="E168">
        <v>-1</v>
      </c>
      <c r="F168" t="s">
        <v>48</v>
      </c>
      <c r="G168">
        <v>637</v>
      </c>
      <c r="H168" t="s">
        <v>34</v>
      </c>
      <c r="I168">
        <v>637</v>
      </c>
      <c r="J168" t="s">
        <v>46</v>
      </c>
      <c r="K168">
        <v>3</v>
      </c>
      <c r="L168">
        <v>90000</v>
      </c>
      <c r="M168">
        <v>8000</v>
      </c>
      <c r="N168" t="s">
        <v>181</v>
      </c>
      <c r="O168">
        <v>8000</v>
      </c>
      <c r="P168">
        <v>1</v>
      </c>
      <c r="Q168">
        <v>1</v>
      </c>
      <c r="R168">
        <v>0</v>
      </c>
    </row>
    <row r="169" spans="1:18" x14ac:dyDescent="0.3">
      <c r="A169">
        <v>873</v>
      </c>
      <c r="B169">
        <v>4</v>
      </c>
      <c r="C169">
        <v>142</v>
      </c>
      <c r="D169">
        <v>1298</v>
      </c>
      <c r="E169">
        <v>-1</v>
      </c>
      <c r="F169" t="s">
        <v>48</v>
      </c>
      <c r="G169">
        <v>637</v>
      </c>
      <c r="H169" t="s">
        <v>34</v>
      </c>
      <c r="I169">
        <v>637</v>
      </c>
      <c r="J169" t="s">
        <v>46</v>
      </c>
      <c r="K169">
        <v>4</v>
      </c>
      <c r="L169">
        <v>90000</v>
      </c>
      <c r="M169">
        <v>9000</v>
      </c>
      <c r="N169" t="s">
        <v>186</v>
      </c>
      <c r="O169">
        <v>1000</v>
      </c>
      <c r="P169">
        <v>0</v>
      </c>
      <c r="Q169">
        <v>0</v>
      </c>
      <c r="R169">
        <v>1</v>
      </c>
    </row>
    <row r="170" spans="1:18" x14ac:dyDescent="0.3">
      <c r="A170">
        <v>874</v>
      </c>
      <c r="B170">
        <v>4</v>
      </c>
      <c r="C170">
        <v>141</v>
      </c>
      <c r="D170">
        <v>1298</v>
      </c>
      <c r="E170">
        <v>-1</v>
      </c>
      <c r="F170" t="s">
        <v>48</v>
      </c>
      <c r="G170">
        <v>637</v>
      </c>
      <c r="H170" t="s">
        <v>34</v>
      </c>
      <c r="I170">
        <v>637</v>
      </c>
      <c r="J170" t="s">
        <v>46</v>
      </c>
      <c r="K170">
        <v>4</v>
      </c>
      <c r="L170">
        <v>90000</v>
      </c>
      <c r="M170">
        <v>9000</v>
      </c>
      <c r="N170" t="s">
        <v>183</v>
      </c>
      <c r="O170">
        <v>8000</v>
      </c>
      <c r="P170">
        <v>1</v>
      </c>
      <c r="Q170">
        <v>1</v>
      </c>
      <c r="R170">
        <v>1</v>
      </c>
    </row>
    <row r="171" spans="1:18" x14ac:dyDescent="0.3">
      <c r="A171">
        <v>869</v>
      </c>
      <c r="B171">
        <v>4</v>
      </c>
      <c r="C171">
        <v>137</v>
      </c>
      <c r="D171">
        <v>1299</v>
      </c>
      <c r="E171">
        <v>-1</v>
      </c>
      <c r="F171" t="s">
        <v>51</v>
      </c>
      <c r="G171">
        <v>638</v>
      </c>
      <c r="H171" t="s">
        <v>34</v>
      </c>
      <c r="I171">
        <v>638</v>
      </c>
      <c r="J171" t="s">
        <v>49</v>
      </c>
      <c r="K171">
        <v>4</v>
      </c>
      <c r="L171">
        <v>130000</v>
      </c>
      <c r="M171">
        <v>6000</v>
      </c>
      <c r="N171" t="s">
        <v>175</v>
      </c>
      <c r="O171">
        <v>6000</v>
      </c>
      <c r="P171">
        <v>1</v>
      </c>
      <c r="Q171">
        <v>1</v>
      </c>
      <c r="R171">
        <v>0</v>
      </c>
    </row>
    <row r="172" spans="1:18" x14ac:dyDescent="0.3">
      <c r="A172">
        <v>837</v>
      </c>
      <c r="B172">
        <v>4</v>
      </c>
      <c r="C172">
        <v>138</v>
      </c>
      <c r="D172">
        <v>1357</v>
      </c>
      <c r="E172">
        <v>-1</v>
      </c>
      <c r="F172" t="s">
        <v>56</v>
      </c>
      <c r="G172">
        <v>639</v>
      </c>
      <c r="H172" t="s">
        <v>34</v>
      </c>
      <c r="I172">
        <v>639</v>
      </c>
      <c r="J172" t="s">
        <v>53</v>
      </c>
      <c r="K172">
        <v>4</v>
      </c>
      <c r="L172">
        <v>190000</v>
      </c>
      <c r="M172">
        <v>14000</v>
      </c>
      <c r="N172" t="s">
        <v>178</v>
      </c>
      <c r="O172">
        <v>10000</v>
      </c>
      <c r="P172">
        <v>0</v>
      </c>
      <c r="Q172">
        <v>1</v>
      </c>
      <c r="R172">
        <v>1</v>
      </c>
    </row>
    <row r="173" spans="1:18" x14ac:dyDescent="0.3">
      <c r="A173">
        <v>838</v>
      </c>
      <c r="B173">
        <v>4</v>
      </c>
      <c r="C173">
        <v>140</v>
      </c>
      <c r="D173">
        <v>1357</v>
      </c>
      <c r="E173">
        <v>-1</v>
      </c>
      <c r="F173" t="s">
        <v>56</v>
      </c>
      <c r="G173">
        <v>639</v>
      </c>
      <c r="H173" t="s">
        <v>34</v>
      </c>
      <c r="I173">
        <v>639</v>
      </c>
      <c r="J173" t="s">
        <v>53</v>
      </c>
      <c r="K173">
        <v>4</v>
      </c>
      <c r="L173">
        <v>190000</v>
      </c>
      <c r="M173">
        <v>14000</v>
      </c>
      <c r="N173" t="s">
        <v>181</v>
      </c>
      <c r="O173">
        <v>8000</v>
      </c>
      <c r="P173">
        <v>1</v>
      </c>
      <c r="Q173">
        <v>1</v>
      </c>
      <c r="R173">
        <v>0</v>
      </c>
    </row>
    <row r="174" spans="1:18" x14ac:dyDescent="0.3">
      <c r="A174">
        <v>871</v>
      </c>
      <c r="B174">
        <v>4</v>
      </c>
      <c r="C174">
        <v>137</v>
      </c>
      <c r="D174">
        <v>1357</v>
      </c>
      <c r="E174">
        <v>-1</v>
      </c>
      <c r="F174" t="s">
        <v>56</v>
      </c>
      <c r="G174">
        <v>639</v>
      </c>
      <c r="H174" t="s">
        <v>34</v>
      </c>
      <c r="I174">
        <v>639</v>
      </c>
      <c r="J174" t="s">
        <v>53</v>
      </c>
      <c r="K174">
        <v>4</v>
      </c>
      <c r="L174">
        <v>190000</v>
      </c>
      <c r="M174">
        <v>14000</v>
      </c>
      <c r="N174" t="s">
        <v>175</v>
      </c>
      <c r="O174">
        <v>6000</v>
      </c>
      <c r="P174">
        <v>1</v>
      </c>
      <c r="Q174">
        <v>1</v>
      </c>
      <c r="R174">
        <v>0</v>
      </c>
    </row>
    <row r="175" spans="1:18" x14ac:dyDescent="0.3">
      <c r="A175">
        <v>872</v>
      </c>
      <c r="B175">
        <v>4</v>
      </c>
      <c r="C175">
        <v>141</v>
      </c>
      <c r="D175">
        <v>1357</v>
      </c>
      <c r="E175">
        <v>-1</v>
      </c>
      <c r="F175" t="s">
        <v>56</v>
      </c>
      <c r="G175">
        <v>639</v>
      </c>
      <c r="H175" t="s">
        <v>34</v>
      </c>
      <c r="I175">
        <v>639</v>
      </c>
      <c r="J175" t="s">
        <v>53</v>
      </c>
      <c r="K175">
        <v>4</v>
      </c>
      <c r="L175">
        <v>190000</v>
      </c>
      <c r="M175">
        <v>14000</v>
      </c>
      <c r="N175" t="s">
        <v>183</v>
      </c>
      <c r="O175">
        <v>8000</v>
      </c>
      <c r="P175">
        <v>1</v>
      </c>
      <c r="Q175">
        <v>1</v>
      </c>
      <c r="R175">
        <v>1</v>
      </c>
    </row>
    <row r="176" spans="1:18" x14ac:dyDescent="0.3">
      <c r="A176">
        <v>824</v>
      </c>
      <c r="B176">
        <v>3</v>
      </c>
      <c r="C176">
        <v>137</v>
      </c>
      <c r="D176">
        <v>1297</v>
      </c>
      <c r="E176">
        <v>-1</v>
      </c>
      <c r="F176" t="s">
        <v>58</v>
      </c>
      <c r="G176">
        <v>640</v>
      </c>
      <c r="H176" t="s">
        <v>34</v>
      </c>
      <c r="I176">
        <v>640</v>
      </c>
      <c r="J176" t="s">
        <v>57</v>
      </c>
      <c r="K176">
        <v>3</v>
      </c>
      <c r="L176">
        <v>110000</v>
      </c>
      <c r="M176">
        <v>7000</v>
      </c>
      <c r="N176" t="s">
        <v>175</v>
      </c>
      <c r="O176">
        <v>6000</v>
      </c>
      <c r="P176">
        <v>1</v>
      </c>
      <c r="Q176">
        <v>1</v>
      </c>
      <c r="R176">
        <v>0</v>
      </c>
    </row>
    <row r="177" spans="1:18" x14ac:dyDescent="0.3">
      <c r="A177">
        <v>825</v>
      </c>
      <c r="B177">
        <v>3</v>
      </c>
      <c r="C177">
        <v>142</v>
      </c>
      <c r="D177">
        <v>1297</v>
      </c>
      <c r="E177">
        <v>-1</v>
      </c>
      <c r="F177" t="s">
        <v>58</v>
      </c>
      <c r="G177">
        <v>640</v>
      </c>
      <c r="H177" t="s">
        <v>34</v>
      </c>
      <c r="I177">
        <v>640</v>
      </c>
      <c r="J177" t="s">
        <v>57</v>
      </c>
      <c r="K177">
        <v>3</v>
      </c>
      <c r="L177">
        <v>110000</v>
      </c>
      <c r="M177">
        <v>7000</v>
      </c>
      <c r="N177" t="s">
        <v>186</v>
      </c>
      <c r="O177">
        <v>1000</v>
      </c>
      <c r="P177">
        <v>0</v>
      </c>
      <c r="Q177">
        <v>0</v>
      </c>
      <c r="R177">
        <v>1</v>
      </c>
    </row>
    <row r="178" spans="1:18" x14ac:dyDescent="0.3">
      <c r="A178">
        <v>782</v>
      </c>
      <c r="B178">
        <v>2</v>
      </c>
      <c r="C178">
        <v>141</v>
      </c>
      <c r="D178">
        <v>1288</v>
      </c>
      <c r="E178">
        <v>-1</v>
      </c>
      <c r="F178" t="s">
        <v>64</v>
      </c>
      <c r="G178">
        <v>644</v>
      </c>
      <c r="H178" t="s">
        <v>59</v>
      </c>
      <c r="I178">
        <v>644</v>
      </c>
      <c r="J178" t="s">
        <v>63</v>
      </c>
      <c r="K178">
        <v>2</v>
      </c>
      <c r="L178">
        <v>60000</v>
      </c>
      <c r="M178">
        <v>8000</v>
      </c>
      <c r="N178" t="s">
        <v>183</v>
      </c>
      <c r="O178">
        <v>8000</v>
      </c>
      <c r="P178">
        <v>1</v>
      </c>
      <c r="Q178">
        <v>1</v>
      </c>
      <c r="R178">
        <v>1</v>
      </c>
    </row>
    <row r="179" spans="1:18" x14ac:dyDescent="0.3">
      <c r="A179">
        <v>773</v>
      </c>
      <c r="B179">
        <v>2</v>
      </c>
      <c r="C179">
        <v>137</v>
      </c>
      <c r="D179">
        <v>1286</v>
      </c>
      <c r="E179">
        <v>-1</v>
      </c>
      <c r="F179" t="s">
        <v>66</v>
      </c>
      <c r="G179">
        <v>645</v>
      </c>
      <c r="H179" t="s">
        <v>59</v>
      </c>
      <c r="I179">
        <v>645</v>
      </c>
      <c r="J179" t="s">
        <v>65</v>
      </c>
      <c r="K179">
        <v>2</v>
      </c>
      <c r="L179">
        <v>90000</v>
      </c>
      <c r="M179">
        <v>6000</v>
      </c>
      <c r="N179" t="s">
        <v>175</v>
      </c>
      <c r="O179">
        <v>6000</v>
      </c>
      <c r="P179">
        <v>1</v>
      </c>
      <c r="Q179">
        <v>1</v>
      </c>
      <c r="R179">
        <v>0</v>
      </c>
    </row>
    <row r="180" spans="1:18" x14ac:dyDescent="0.3">
      <c r="A180">
        <v>802</v>
      </c>
      <c r="B180">
        <v>3</v>
      </c>
      <c r="C180">
        <v>140</v>
      </c>
      <c r="D180">
        <v>1286</v>
      </c>
      <c r="E180">
        <v>-1</v>
      </c>
      <c r="F180" t="s">
        <v>66</v>
      </c>
      <c r="G180">
        <v>645</v>
      </c>
      <c r="H180" t="s">
        <v>59</v>
      </c>
      <c r="I180">
        <v>645</v>
      </c>
      <c r="J180" t="s">
        <v>65</v>
      </c>
      <c r="K180">
        <v>3</v>
      </c>
      <c r="L180">
        <v>90000</v>
      </c>
      <c r="M180">
        <v>8000</v>
      </c>
      <c r="N180" t="s">
        <v>181</v>
      </c>
      <c r="O180">
        <v>8000</v>
      </c>
      <c r="P180">
        <v>1</v>
      </c>
      <c r="Q180">
        <v>1</v>
      </c>
      <c r="R180">
        <v>0</v>
      </c>
    </row>
    <row r="181" spans="1:18" x14ac:dyDescent="0.3">
      <c r="A181">
        <v>757</v>
      </c>
      <c r="B181">
        <v>1</v>
      </c>
      <c r="C181">
        <v>138</v>
      </c>
      <c r="D181">
        <v>1282</v>
      </c>
      <c r="E181">
        <v>-1</v>
      </c>
      <c r="F181" t="s">
        <v>58</v>
      </c>
      <c r="G181">
        <v>646</v>
      </c>
      <c r="H181" t="s">
        <v>59</v>
      </c>
      <c r="I181">
        <v>646</v>
      </c>
      <c r="J181" t="s">
        <v>67</v>
      </c>
      <c r="K181">
        <v>1</v>
      </c>
      <c r="L181">
        <v>130000</v>
      </c>
      <c r="M181">
        <v>33000</v>
      </c>
      <c r="N181" t="s">
        <v>178</v>
      </c>
      <c r="O181">
        <v>10000</v>
      </c>
      <c r="P181">
        <v>0</v>
      </c>
      <c r="Q181">
        <v>1</v>
      </c>
      <c r="R181">
        <v>1</v>
      </c>
    </row>
    <row r="182" spans="1:18" x14ac:dyDescent="0.3">
      <c r="A182">
        <v>758</v>
      </c>
      <c r="B182">
        <v>1</v>
      </c>
      <c r="C182">
        <v>137</v>
      </c>
      <c r="D182">
        <v>1282</v>
      </c>
      <c r="E182">
        <v>-1</v>
      </c>
      <c r="F182" t="s">
        <v>58</v>
      </c>
      <c r="G182">
        <v>646</v>
      </c>
      <c r="H182" t="s">
        <v>59</v>
      </c>
      <c r="I182">
        <v>646</v>
      </c>
      <c r="J182" t="s">
        <v>67</v>
      </c>
      <c r="K182">
        <v>1</v>
      </c>
      <c r="L182">
        <v>130000</v>
      </c>
      <c r="M182">
        <v>33000</v>
      </c>
      <c r="N182" t="s">
        <v>175</v>
      </c>
      <c r="O182">
        <v>6000</v>
      </c>
      <c r="P182">
        <v>1</v>
      </c>
      <c r="Q182">
        <v>1</v>
      </c>
      <c r="R182">
        <v>0</v>
      </c>
    </row>
    <row r="183" spans="1:18" x14ac:dyDescent="0.3">
      <c r="A183">
        <v>759</v>
      </c>
      <c r="B183">
        <v>1</v>
      </c>
      <c r="C183">
        <v>142</v>
      </c>
      <c r="D183">
        <v>1282</v>
      </c>
      <c r="E183">
        <v>-1</v>
      </c>
      <c r="F183" t="s">
        <v>58</v>
      </c>
      <c r="G183">
        <v>646</v>
      </c>
      <c r="H183" t="s">
        <v>59</v>
      </c>
      <c r="I183">
        <v>646</v>
      </c>
      <c r="J183" t="s">
        <v>67</v>
      </c>
      <c r="K183">
        <v>1</v>
      </c>
      <c r="L183">
        <v>130000</v>
      </c>
      <c r="M183">
        <v>33000</v>
      </c>
      <c r="N183" t="s">
        <v>186</v>
      </c>
      <c r="O183">
        <v>1000</v>
      </c>
      <c r="P183">
        <v>0</v>
      </c>
      <c r="Q183">
        <v>0</v>
      </c>
      <c r="R183">
        <v>1</v>
      </c>
    </row>
    <row r="184" spans="1:18" x14ac:dyDescent="0.3">
      <c r="A184">
        <v>760</v>
      </c>
      <c r="B184">
        <v>1</v>
      </c>
      <c r="C184">
        <v>140</v>
      </c>
      <c r="D184">
        <v>1282</v>
      </c>
      <c r="E184">
        <v>-1</v>
      </c>
      <c r="F184" t="s">
        <v>58</v>
      </c>
      <c r="G184">
        <v>646</v>
      </c>
      <c r="H184" t="s">
        <v>59</v>
      </c>
      <c r="I184">
        <v>646</v>
      </c>
      <c r="J184" t="s">
        <v>67</v>
      </c>
      <c r="K184">
        <v>1</v>
      </c>
      <c r="L184">
        <v>130000</v>
      </c>
      <c r="M184">
        <v>33000</v>
      </c>
      <c r="N184" t="s">
        <v>181</v>
      </c>
      <c r="O184">
        <v>8000</v>
      </c>
      <c r="P184">
        <v>1</v>
      </c>
      <c r="Q184">
        <v>1</v>
      </c>
      <c r="R184">
        <v>0</v>
      </c>
    </row>
    <row r="185" spans="1:18" x14ac:dyDescent="0.3">
      <c r="A185">
        <v>761</v>
      </c>
      <c r="B185">
        <v>1</v>
      </c>
      <c r="C185">
        <v>141</v>
      </c>
      <c r="D185">
        <v>1282</v>
      </c>
      <c r="E185">
        <v>-1</v>
      </c>
      <c r="F185" t="s">
        <v>58</v>
      </c>
      <c r="G185">
        <v>646</v>
      </c>
      <c r="H185" t="s">
        <v>59</v>
      </c>
      <c r="I185">
        <v>646</v>
      </c>
      <c r="J185" t="s">
        <v>67</v>
      </c>
      <c r="K185">
        <v>1</v>
      </c>
      <c r="L185">
        <v>130000</v>
      </c>
      <c r="M185">
        <v>33000</v>
      </c>
      <c r="N185" t="s">
        <v>183</v>
      </c>
      <c r="O185">
        <v>8000</v>
      </c>
      <c r="P185">
        <v>1</v>
      </c>
      <c r="Q185">
        <v>1</v>
      </c>
      <c r="R185">
        <v>1</v>
      </c>
    </row>
    <row r="186" spans="1:18" x14ac:dyDescent="0.3">
      <c r="A186">
        <v>808</v>
      </c>
      <c r="B186">
        <v>4</v>
      </c>
      <c r="C186">
        <v>138</v>
      </c>
      <c r="D186">
        <v>1347</v>
      </c>
      <c r="E186">
        <v>-1</v>
      </c>
      <c r="F186" t="s">
        <v>56</v>
      </c>
      <c r="G186">
        <v>647</v>
      </c>
      <c r="H186" t="s">
        <v>59</v>
      </c>
      <c r="I186">
        <v>647</v>
      </c>
      <c r="J186" t="s">
        <v>68</v>
      </c>
      <c r="K186">
        <v>4</v>
      </c>
      <c r="L186">
        <v>190000</v>
      </c>
      <c r="M186">
        <v>15000</v>
      </c>
      <c r="N186" t="s">
        <v>178</v>
      </c>
      <c r="O186">
        <v>10000</v>
      </c>
      <c r="P186">
        <v>0</v>
      </c>
      <c r="Q186">
        <v>1</v>
      </c>
      <c r="R186">
        <v>1</v>
      </c>
    </row>
    <row r="187" spans="1:18" x14ac:dyDescent="0.3">
      <c r="A187">
        <v>809</v>
      </c>
      <c r="B187">
        <v>4</v>
      </c>
      <c r="C187">
        <v>140</v>
      </c>
      <c r="D187">
        <v>1347</v>
      </c>
      <c r="E187">
        <v>-1</v>
      </c>
      <c r="F187" t="s">
        <v>56</v>
      </c>
      <c r="G187">
        <v>647</v>
      </c>
      <c r="H187" t="s">
        <v>59</v>
      </c>
      <c r="I187">
        <v>647</v>
      </c>
      <c r="J187" t="s">
        <v>68</v>
      </c>
      <c r="K187">
        <v>4</v>
      </c>
      <c r="L187">
        <v>190000</v>
      </c>
      <c r="M187">
        <v>15000</v>
      </c>
      <c r="N187" t="s">
        <v>181</v>
      </c>
      <c r="O187">
        <v>8000</v>
      </c>
      <c r="P187">
        <v>1</v>
      </c>
      <c r="Q187">
        <v>1</v>
      </c>
      <c r="R187">
        <v>0</v>
      </c>
    </row>
    <row r="188" spans="1:18" x14ac:dyDescent="0.3">
      <c r="A188">
        <v>864</v>
      </c>
      <c r="B188">
        <v>4</v>
      </c>
      <c r="C188">
        <v>137</v>
      </c>
      <c r="D188">
        <v>1347</v>
      </c>
      <c r="E188">
        <v>-1</v>
      </c>
      <c r="F188" t="s">
        <v>56</v>
      </c>
      <c r="G188">
        <v>647</v>
      </c>
      <c r="H188" t="s">
        <v>59</v>
      </c>
      <c r="I188">
        <v>647</v>
      </c>
      <c r="J188" t="s">
        <v>68</v>
      </c>
      <c r="K188">
        <v>4</v>
      </c>
      <c r="L188">
        <v>190000</v>
      </c>
      <c r="M188">
        <v>15000</v>
      </c>
      <c r="N188" t="s">
        <v>175</v>
      </c>
      <c r="O188">
        <v>6000</v>
      </c>
      <c r="P188">
        <v>1</v>
      </c>
      <c r="Q188">
        <v>1</v>
      </c>
      <c r="R188">
        <v>0</v>
      </c>
    </row>
    <row r="189" spans="1:18" x14ac:dyDescent="0.3">
      <c r="A189">
        <v>865</v>
      </c>
      <c r="B189">
        <v>4</v>
      </c>
      <c r="C189">
        <v>142</v>
      </c>
      <c r="D189">
        <v>1347</v>
      </c>
      <c r="E189">
        <v>-1</v>
      </c>
      <c r="F189" t="s">
        <v>56</v>
      </c>
      <c r="G189">
        <v>647</v>
      </c>
      <c r="H189" t="s">
        <v>59</v>
      </c>
      <c r="I189">
        <v>647</v>
      </c>
      <c r="J189" t="s">
        <v>68</v>
      </c>
      <c r="K189">
        <v>4</v>
      </c>
      <c r="L189">
        <v>190000</v>
      </c>
      <c r="M189">
        <v>15000</v>
      </c>
      <c r="N189" t="s">
        <v>186</v>
      </c>
      <c r="O189">
        <v>1000</v>
      </c>
      <c r="P189">
        <v>0</v>
      </c>
      <c r="Q189">
        <v>0</v>
      </c>
      <c r="R189">
        <v>1</v>
      </c>
    </row>
    <row r="190" spans="1:18" x14ac:dyDescent="0.3">
      <c r="A190">
        <v>866</v>
      </c>
      <c r="B190">
        <v>4</v>
      </c>
      <c r="C190">
        <v>141</v>
      </c>
      <c r="D190">
        <v>1347</v>
      </c>
      <c r="E190">
        <v>-1</v>
      </c>
      <c r="F190" t="s">
        <v>56</v>
      </c>
      <c r="G190">
        <v>647</v>
      </c>
      <c r="H190" t="s">
        <v>59</v>
      </c>
      <c r="I190">
        <v>647</v>
      </c>
      <c r="J190" t="s">
        <v>68</v>
      </c>
      <c r="K190">
        <v>4</v>
      </c>
      <c r="L190">
        <v>190000</v>
      </c>
      <c r="M190">
        <v>15000</v>
      </c>
      <c r="N190" t="s">
        <v>183</v>
      </c>
      <c r="O190">
        <v>8000</v>
      </c>
      <c r="P190">
        <v>1</v>
      </c>
      <c r="Q190">
        <v>1</v>
      </c>
      <c r="R190">
        <v>1</v>
      </c>
    </row>
    <row r="191" spans="1:18" x14ac:dyDescent="0.3">
      <c r="A191">
        <v>768</v>
      </c>
      <c r="B191">
        <v>1</v>
      </c>
      <c r="C191">
        <v>142</v>
      </c>
      <c r="D191">
        <v>1324</v>
      </c>
      <c r="E191">
        <v>-1</v>
      </c>
      <c r="F191" t="s">
        <v>71</v>
      </c>
      <c r="G191">
        <v>650</v>
      </c>
      <c r="H191" t="s">
        <v>69</v>
      </c>
      <c r="I191">
        <v>650</v>
      </c>
      <c r="J191" t="s">
        <v>70</v>
      </c>
      <c r="K191">
        <v>1</v>
      </c>
      <c r="L191">
        <v>75000</v>
      </c>
      <c r="M191">
        <v>1000</v>
      </c>
      <c r="N191" t="s">
        <v>186</v>
      </c>
      <c r="O191">
        <v>1000</v>
      </c>
      <c r="P191">
        <v>0</v>
      </c>
      <c r="Q191">
        <v>0</v>
      </c>
      <c r="R191">
        <v>1</v>
      </c>
    </row>
    <row r="192" spans="1:18" x14ac:dyDescent="0.3">
      <c r="A192">
        <v>806</v>
      </c>
      <c r="B192">
        <v>3</v>
      </c>
      <c r="C192">
        <v>141</v>
      </c>
      <c r="D192">
        <v>1324</v>
      </c>
      <c r="E192">
        <v>-1</v>
      </c>
      <c r="F192" t="s">
        <v>71</v>
      </c>
      <c r="G192">
        <v>650</v>
      </c>
      <c r="H192" t="s">
        <v>69</v>
      </c>
      <c r="I192">
        <v>650</v>
      </c>
      <c r="J192" t="s">
        <v>70</v>
      </c>
      <c r="K192">
        <v>3</v>
      </c>
      <c r="L192">
        <v>75000</v>
      </c>
      <c r="M192">
        <v>8000</v>
      </c>
      <c r="N192" t="s">
        <v>183</v>
      </c>
      <c r="O192">
        <v>8000</v>
      </c>
      <c r="P192">
        <v>1</v>
      </c>
      <c r="Q192">
        <v>1</v>
      </c>
      <c r="R192">
        <v>1</v>
      </c>
    </row>
    <row r="193" spans="1:18" x14ac:dyDescent="0.3">
      <c r="A193">
        <v>765</v>
      </c>
      <c r="B193">
        <v>1</v>
      </c>
      <c r="C193">
        <v>142</v>
      </c>
      <c r="D193">
        <v>1311</v>
      </c>
      <c r="E193">
        <v>-1</v>
      </c>
      <c r="F193" t="s">
        <v>41</v>
      </c>
      <c r="G193">
        <v>651</v>
      </c>
      <c r="H193" t="s">
        <v>69</v>
      </c>
      <c r="I193">
        <v>651</v>
      </c>
      <c r="J193" t="s">
        <v>72</v>
      </c>
      <c r="K193">
        <v>1</v>
      </c>
      <c r="L193">
        <v>110000</v>
      </c>
      <c r="M193">
        <v>9000</v>
      </c>
      <c r="N193" t="s">
        <v>186</v>
      </c>
      <c r="O193">
        <v>1000</v>
      </c>
      <c r="P193">
        <v>0</v>
      </c>
      <c r="Q193">
        <v>0</v>
      </c>
      <c r="R193">
        <v>1</v>
      </c>
    </row>
    <row r="194" spans="1:18" x14ac:dyDescent="0.3">
      <c r="A194">
        <v>766</v>
      </c>
      <c r="B194">
        <v>1</v>
      </c>
      <c r="C194">
        <v>141</v>
      </c>
      <c r="D194">
        <v>1311</v>
      </c>
      <c r="E194">
        <v>-1</v>
      </c>
      <c r="F194" t="s">
        <v>41</v>
      </c>
      <c r="G194">
        <v>651</v>
      </c>
      <c r="H194" t="s">
        <v>69</v>
      </c>
      <c r="I194">
        <v>651</v>
      </c>
      <c r="J194" t="s">
        <v>72</v>
      </c>
      <c r="K194">
        <v>1</v>
      </c>
      <c r="L194">
        <v>110000</v>
      </c>
      <c r="M194">
        <v>9000</v>
      </c>
      <c r="N194" t="s">
        <v>183</v>
      </c>
      <c r="O194">
        <v>8000</v>
      </c>
      <c r="P194">
        <v>1</v>
      </c>
      <c r="Q194">
        <v>1</v>
      </c>
      <c r="R194">
        <v>1</v>
      </c>
    </row>
    <row r="195" spans="1:18" x14ac:dyDescent="0.3">
      <c r="A195">
        <v>805</v>
      </c>
      <c r="B195">
        <v>3</v>
      </c>
      <c r="C195">
        <v>137</v>
      </c>
      <c r="D195">
        <v>1311</v>
      </c>
      <c r="E195">
        <v>-1</v>
      </c>
      <c r="F195" t="s">
        <v>41</v>
      </c>
      <c r="G195">
        <v>651</v>
      </c>
      <c r="H195" t="s">
        <v>69</v>
      </c>
      <c r="I195">
        <v>651</v>
      </c>
      <c r="J195" t="s">
        <v>72</v>
      </c>
      <c r="K195">
        <v>3</v>
      </c>
      <c r="L195">
        <v>110000</v>
      </c>
      <c r="M195">
        <v>6000</v>
      </c>
      <c r="N195" t="s">
        <v>175</v>
      </c>
      <c r="O195">
        <v>6000</v>
      </c>
      <c r="P195">
        <v>1</v>
      </c>
      <c r="Q195">
        <v>1</v>
      </c>
      <c r="R195">
        <v>0</v>
      </c>
    </row>
    <row r="196" spans="1:18" x14ac:dyDescent="0.3">
      <c r="A196">
        <v>764</v>
      </c>
      <c r="B196">
        <v>1</v>
      </c>
      <c r="C196">
        <v>140</v>
      </c>
      <c r="D196">
        <v>1321</v>
      </c>
      <c r="E196">
        <v>-1</v>
      </c>
      <c r="F196" t="s">
        <v>75</v>
      </c>
      <c r="G196">
        <v>653</v>
      </c>
      <c r="H196" t="s">
        <v>69</v>
      </c>
      <c r="I196">
        <v>653</v>
      </c>
      <c r="J196" t="s">
        <v>74</v>
      </c>
      <c r="K196">
        <v>1</v>
      </c>
      <c r="L196">
        <v>90000</v>
      </c>
      <c r="M196">
        <v>8000</v>
      </c>
      <c r="N196" t="s">
        <v>181</v>
      </c>
      <c r="O196">
        <v>8000</v>
      </c>
      <c r="P196">
        <v>1</v>
      </c>
      <c r="Q196">
        <v>1</v>
      </c>
      <c r="R196">
        <v>0</v>
      </c>
    </row>
    <row r="197" spans="1:18" x14ac:dyDescent="0.3">
      <c r="A197">
        <v>781</v>
      </c>
      <c r="B197">
        <v>2</v>
      </c>
      <c r="C197">
        <v>141</v>
      </c>
      <c r="D197">
        <v>1321</v>
      </c>
      <c r="E197">
        <v>-1</v>
      </c>
      <c r="F197" t="s">
        <v>75</v>
      </c>
      <c r="G197">
        <v>653</v>
      </c>
      <c r="H197" t="s">
        <v>69</v>
      </c>
      <c r="I197">
        <v>653</v>
      </c>
      <c r="J197" t="s">
        <v>74</v>
      </c>
      <c r="K197">
        <v>2</v>
      </c>
      <c r="L197">
        <v>90000</v>
      </c>
      <c r="M197">
        <v>8000</v>
      </c>
      <c r="N197" t="s">
        <v>183</v>
      </c>
      <c r="O197">
        <v>8000</v>
      </c>
      <c r="P197">
        <v>1</v>
      </c>
      <c r="Q197">
        <v>1</v>
      </c>
      <c r="R197">
        <v>1</v>
      </c>
    </row>
    <row r="198" spans="1:18" x14ac:dyDescent="0.3">
      <c r="A198">
        <v>850</v>
      </c>
      <c r="B198">
        <v>4</v>
      </c>
      <c r="C198">
        <v>138</v>
      </c>
      <c r="D198">
        <v>1366</v>
      </c>
      <c r="E198">
        <v>-1</v>
      </c>
      <c r="F198" t="s">
        <v>77</v>
      </c>
      <c r="G198">
        <v>654</v>
      </c>
      <c r="H198" t="s">
        <v>69</v>
      </c>
      <c r="I198">
        <v>654</v>
      </c>
      <c r="J198" t="s">
        <v>76</v>
      </c>
      <c r="K198">
        <v>4</v>
      </c>
      <c r="L198">
        <v>130000</v>
      </c>
      <c r="M198">
        <v>23000</v>
      </c>
      <c r="N198" t="s">
        <v>178</v>
      </c>
      <c r="O198">
        <v>10000</v>
      </c>
      <c r="P198">
        <v>0</v>
      </c>
      <c r="Q198">
        <v>1</v>
      </c>
      <c r="R198">
        <v>1</v>
      </c>
    </row>
    <row r="199" spans="1:18" x14ac:dyDescent="0.3">
      <c r="A199">
        <v>875</v>
      </c>
      <c r="B199">
        <v>4</v>
      </c>
      <c r="C199">
        <v>137</v>
      </c>
      <c r="D199">
        <v>1366</v>
      </c>
      <c r="E199">
        <v>-1</v>
      </c>
      <c r="F199" t="s">
        <v>77</v>
      </c>
      <c r="G199">
        <v>654</v>
      </c>
      <c r="H199" t="s">
        <v>69</v>
      </c>
      <c r="I199">
        <v>654</v>
      </c>
      <c r="J199" t="s">
        <v>76</v>
      </c>
      <c r="K199">
        <v>4</v>
      </c>
      <c r="L199">
        <v>130000</v>
      </c>
      <c r="M199">
        <v>23000</v>
      </c>
      <c r="N199" t="s">
        <v>175</v>
      </c>
      <c r="O199">
        <v>6000</v>
      </c>
      <c r="P199">
        <v>1</v>
      </c>
      <c r="Q199">
        <v>1</v>
      </c>
      <c r="R199">
        <v>0</v>
      </c>
    </row>
    <row r="200" spans="1:18" x14ac:dyDescent="0.3">
      <c r="A200">
        <v>876</v>
      </c>
      <c r="B200">
        <v>4</v>
      </c>
      <c r="C200">
        <v>142</v>
      </c>
      <c r="D200">
        <v>1366</v>
      </c>
      <c r="E200">
        <v>-1</v>
      </c>
      <c r="F200" t="s">
        <v>77</v>
      </c>
      <c r="G200">
        <v>654</v>
      </c>
      <c r="H200" t="s">
        <v>69</v>
      </c>
      <c r="I200">
        <v>654</v>
      </c>
      <c r="J200" t="s">
        <v>76</v>
      </c>
      <c r="K200">
        <v>4</v>
      </c>
      <c r="L200">
        <v>130000</v>
      </c>
      <c r="M200">
        <v>23000</v>
      </c>
      <c r="N200" t="s">
        <v>186</v>
      </c>
      <c r="O200">
        <v>1000</v>
      </c>
      <c r="P200">
        <v>0</v>
      </c>
      <c r="Q200">
        <v>0</v>
      </c>
      <c r="R200">
        <v>1</v>
      </c>
    </row>
    <row r="201" spans="1:18" x14ac:dyDescent="0.3">
      <c r="A201">
        <v>877</v>
      </c>
      <c r="B201">
        <v>4</v>
      </c>
      <c r="C201">
        <v>140</v>
      </c>
      <c r="D201">
        <v>1366</v>
      </c>
      <c r="E201">
        <v>-1</v>
      </c>
      <c r="F201" t="s">
        <v>77</v>
      </c>
      <c r="G201">
        <v>654</v>
      </c>
      <c r="H201" t="s">
        <v>69</v>
      </c>
      <c r="I201">
        <v>654</v>
      </c>
      <c r="J201" t="s">
        <v>76</v>
      </c>
      <c r="K201">
        <v>4</v>
      </c>
      <c r="L201">
        <v>130000</v>
      </c>
      <c r="M201">
        <v>23000</v>
      </c>
      <c r="N201" t="s">
        <v>181</v>
      </c>
      <c r="O201">
        <v>8000</v>
      </c>
      <c r="P201">
        <v>1</v>
      </c>
      <c r="Q201">
        <v>1</v>
      </c>
      <c r="R201">
        <v>0</v>
      </c>
    </row>
    <row r="202" spans="1:18" x14ac:dyDescent="0.3">
      <c r="A202">
        <v>878</v>
      </c>
      <c r="B202">
        <v>4</v>
      </c>
      <c r="C202">
        <v>141</v>
      </c>
      <c r="D202">
        <v>1366</v>
      </c>
      <c r="E202">
        <v>-1</v>
      </c>
      <c r="F202" t="s">
        <v>77</v>
      </c>
      <c r="G202">
        <v>654</v>
      </c>
      <c r="H202" t="s">
        <v>69</v>
      </c>
      <c r="I202">
        <v>654</v>
      </c>
      <c r="J202" t="s">
        <v>76</v>
      </c>
      <c r="K202">
        <v>4</v>
      </c>
      <c r="L202">
        <v>130000</v>
      </c>
      <c r="M202">
        <v>23000</v>
      </c>
      <c r="N202" t="s">
        <v>183</v>
      </c>
      <c r="O202">
        <v>8000</v>
      </c>
      <c r="P202">
        <v>1</v>
      </c>
      <c r="Q202">
        <v>1</v>
      </c>
      <c r="R202">
        <v>1</v>
      </c>
    </row>
    <row r="203" spans="1:18" x14ac:dyDescent="0.3">
      <c r="A203">
        <v>851</v>
      </c>
      <c r="B203">
        <v>4</v>
      </c>
      <c r="C203">
        <v>138</v>
      </c>
      <c r="D203">
        <v>1367</v>
      </c>
      <c r="E203">
        <v>-1</v>
      </c>
      <c r="F203" t="s">
        <v>56</v>
      </c>
      <c r="G203">
        <v>655</v>
      </c>
      <c r="H203" t="s">
        <v>69</v>
      </c>
      <c r="I203">
        <v>655</v>
      </c>
      <c r="J203" t="s">
        <v>78</v>
      </c>
      <c r="K203">
        <v>4</v>
      </c>
      <c r="L203">
        <v>190000</v>
      </c>
      <c r="M203">
        <v>15000</v>
      </c>
      <c r="N203" t="s">
        <v>178</v>
      </c>
      <c r="O203">
        <v>10000</v>
      </c>
      <c r="P203">
        <v>0</v>
      </c>
      <c r="Q203">
        <v>1</v>
      </c>
      <c r="R203">
        <v>1</v>
      </c>
    </row>
    <row r="204" spans="1:18" x14ac:dyDescent="0.3">
      <c r="A204">
        <v>852</v>
      </c>
      <c r="B204">
        <v>4</v>
      </c>
      <c r="C204">
        <v>140</v>
      </c>
      <c r="D204">
        <v>1367</v>
      </c>
      <c r="E204">
        <v>-1</v>
      </c>
      <c r="F204" t="s">
        <v>56</v>
      </c>
      <c r="G204">
        <v>655</v>
      </c>
      <c r="H204" t="s">
        <v>69</v>
      </c>
      <c r="I204">
        <v>655</v>
      </c>
      <c r="J204" t="s">
        <v>78</v>
      </c>
      <c r="K204">
        <v>4</v>
      </c>
      <c r="L204">
        <v>190000</v>
      </c>
      <c r="M204">
        <v>15000</v>
      </c>
      <c r="N204" t="s">
        <v>181</v>
      </c>
      <c r="O204">
        <v>8000</v>
      </c>
      <c r="P204">
        <v>1</v>
      </c>
      <c r="Q204">
        <v>1</v>
      </c>
      <c r="R204">
        <v>0</v>
      </c>
    </row>
    <row r="205" spans="1:18" x14ac:dyDescent="0.3">
      <c r="A205">
        <v>879</v>
      </c>
      <c r="B205">
        <v>4</v>
      </c>
      <c r="C205">
        <v>137</v>
      </c>
      <c r="D205">
        <v>1367</v>
      </c>
      <c r="E205">
        <v>-1</v>
      </c>
      <c r="F205" t="s">
        <v>56</v>
      </c>
      <c r="G205">
        <v>655</v>
      </c>
      <c r="H205" t="s">
        <v>69</v>
      </c>
      <c r="I205">
        <v>655</v>
      </c>
      <c r="J205" t="s">
        <v>78</v>
      </c>
      <c r="K205">
        <v>4</v>
      </c>
      <c r="L205">
        <v>190000</v>
      </c>
      <c r="M205">
        <v>15000</v>
      </c>
      <c r="N205" t="s">
        <v>175</v>
      </c>
      <c r="O205">
        <v>6000</v>
      </c>
      <c r="P205">
        <v>1</v>
      </c>
      <c r="Q205">
        <v>1</v>
      </c>
      <c r="R205">
        <v>0</v>
      </c>
    </row>
    <row r="206" spans="1:18" x14ac:dyDescent="0.3">
      <c r="A206">
        <v>880</v>
      </c>
      <c r="B206">
        <v>4</v>
      </c>
      <c r="C206">
        <v>142</v>
      </c>
      <c r="D206">
        <v>1367</v>
      </c>
      <c r="E206">
        <v>-1</v>
      </c>
      <c r="F206" t="s">
        <v>56</v>
      </c>
      <c r="G206">
        <v>655</v>
      </c>
      <c r="H206" t="s">
        <v>69</v>
      </c>
      <c r="I206">
        <v>655</v>
      </c>
      <c r="J206" t="s">
        <v>78</v>
      </c>
      <c r="K206">
        <v>4</v>
      </c>
      <c r="L206">
        <v>190000</v>
      </c>
      <c r="M206">
        <v>15000</v>
      </c>
      <c r="N206" t="s">
        <v>186</v>
      </c>
      <c r="O206">
        <v>1000</v>
      </c>
      <c r="P206">
        <v>0</v>
      </c>
      <c r="Q206">
        <v>0</v>
      </c>
      <c r="R206">
        <v>1</v>
      </c>
    </row>
    <row r="207" spans="1:18" x14ac:dyDescent="0.3">
      <c r="A207">
        <v>881</v>
      </c>
      <c r="B207">
        <v>4</v>
      </c>
      <c r="C207">
        <v>141</v>
      </c>
      <c r="D207">
        <v>1367</v>
      </c>
      <c r="E207">
        <v>-1</v>
      </c>
      <c r="F207" t="s">
        <v>56</v>
      </c>
      <c r="G207">
        <v>655</v>
      </c>
      <c r="H207" t="s">
        <v>69</v>
      </c>
      <c r="I207">
        <v>655</v>
      </c>
      <c r="J207" t="s">
        <v>78</v>
      </c>
      <c r="K207">
        <v>4</v>
      </c>
      <c r="L207">
        <v>190000</v>
      </c>
      <c r="M207">
        <v>15000</v>
      </c>
      <c r="N207" t="s">
        <v>183</v>
      </c>
      <c r="O207">
        <v>8000</v>
      </c>
      <c r="P207">
        <v>1</v>
      </c>
      <c r="Q207">
        <v>1</v>
      </c>
      <c r="R207">
        <v>1</v>
      </c>
    </row>
    <row r="208" spans="1:18" x14ac:dyDescent="0.3">
      <c r="A208">
        <v>885</v>
      </c>
      <c r="B208">
        <v>4</v>
      </c>
      <c r="C208">
        <v>138</v>
      </c>
      <c r="D208">
        <v>1378</v>
      </c>
      <c r="E208">
        <v>-1</v>
      </c>
      <c r="F208" t="s">
        <v>77</v>
      </c>
      <c r="G208">
        <v>659</v>
      </c>
      <c r="H208" t="s">
        <v>79</v>
      </c>
      <c r="I208">
        <v>659</v>
      </c>
      <c r="J208" t="s">
        <v>81</v>
      </c>
      <c r="K208">
        <v>4</v>
      </c>
      <c r="L208">
        <v>110000</v>
      </c>
      <c r="M208">
        <v>0</v>
      </c>
      <c r="N208" t="s">
        <v>178</v>
      </c>
      <c r="O208">
        <v>10000</v>
      </c>
      <c r="P208">
        <v>0</v>
      </c>
      <c r="Q208">
        <v>1</v>
      </c>
      <c r="R208">
        <v>1</v>
      </c>
    </row>
    <row r="209" spans="1:18" x14ac:dyDescent="0.3">
      <c r="A209">
        <v>899</v>
      </c>
      <c r="B209">
        <v>4</v>
      </c>
      <c r="C209">
        <v>137</v>
      </c>
      <c r="D209">
        <v>1378</v>
      </c>
      <c r="E209">
        <v>-1</v>
      </c>
      <c r="F209" t="s">
        <v>77</v>
      </c>
      <c r="G209">
        <v>659</v>
      </c>
      <c r="H209" t="s">
        <v>79</v>
      </c>
      <c r="I209">
        <v>659</v>
      </c>
      <c r="J209" t="s">
        <v>81</v>
      </c>
      <c r="K209">
        <v>4</v>
      </c>
      <c r="L209">
        <v>110000</v>
      </c>
      <c r="M209">
        <v>0</v>
      </c>
      <c r="N209" t="s">
        <v>175</v>
      </c>
      <c r="O209">
        <v>6000</v>
      </c>
      <c r="P209">
        <v>1</v>
      </c>
      <c r="Q209">
        <v>1</v>
      </c>
      <c r="R209">
        <v>0</v>
      </c>
    </row>
    <row r="210" spans="1:18" x14ac:dyDescent="0.3">
      <c r="A210">
        <v>900</v>
      </c>
      <c r="B210">
        <v>4</v>
      </c>
      <c r="C210">
        <v>142</v>
      </c>
      <c r="D210">
        <v>1378</v>
      </c>
      <c r="E210">
        <v>-1</v>
      </c>
      <c r="F210" t="s">
        <v>77</v>
      </c>
      <c r="G210">
        <v>659</v>
      </c>
      <c r="H210" t="s">
        <v>79</v>
      </c>
      <c r="I210">
        <v>659</v>
      </c>
      <c r="J210" t="s">
        <v>81</v>
      </c>
      <c r="K210">
        <v>4</v>
      </c>
      <c r="L210">
        <v>110000</v>
      </c>
      <c r="M210">
        <v>0</v>
      </c>
      <c r="N210" t="s">
        <v>186</v>
      </c>
      <c r="O210">
        <v>1000</v>
      </c>
      <c r="P210">
        <v>0</v>
      </c>
      <c r="Q210">
        <v>0</v>
      </c>
      <c r="R210">
        <v>1</v>
      </c>
    </row>
    <row r="211" spans="1:18" x14ac:dyDescent="0.3">
      <c r="A211">
        <v>901</v>
      </c>
      <c r="B211">
        <v>4</v>
      </c>
      <c r="C211">
        <v>140</v>
      </c>
      <c r="D211">
        <v>1378</v>
      </c>
      <c r="E211">
        <v>-1</v>
      </c>
      <c r="F211" t="s">
        <v>77</v>
      </c>
      <c r="G211">
        <v>659</v>
      </c>
      <c r="H211" t="s">
        <v>79</v>
      </c>
      <c r="I211">
        <v>659</v>
      </c>
      <c r="J211" t="s">
        <v>81</v>
      </c>
      <c r="K211">
        <v>4</v>
      </c>
      <c r="L211">
        <v>110000</v>
      </c>
      <c r="M211">
        <v>0</v>
      </c>
      <c r="N211" t="s">
        <v>181</v>
      </c>
      <c r="O211">
        <v>8000</v>
      </c>
      <c r="P211">
        <v>1</v>
      </c>
      <c r="Q211">
        <v>1</v>
      </c>
      <c r="R211">
        <v>0</v>
      </c>
    </row>
    <row r="212" spans="1:18" x14ac:dyDescent="0.3">
      <c r="A212">
        <v>902</v>
      </c>
      <c r="B212">
        <v>4</v>
      </c>
      <c r="C212">
        <v>141</v>
      </c>
      <c r="D212">
        <v>1378</v>
      </c>
      <c r="E212">
        <v>-1</v>
      </c>
      <c r="F212" t="s">
        <v>77</v>
      </c>
      <c r="G212">
        <v>659</v>
      </c>
      <c r="H212" t="s">
        <v>79</v>
      </c>
      <c r="I212">
        <v>659</v>
      </c>
      <c r="J212" t="s">
        <v>81</v>
      </c>
      <c r="K212">
        <v>4</v>
      </c>
      <c r="L212">
        <v>110000</v>
      </c>
      <c r="M212">
        <v>0</v>
      </c>
      <c r="N212" t="s">
        <v>183</v>
      </c>
      <c r="O212">
        <v>8000</v>
      </c>
      <c r="P212">
        <v>1</v>
      </c>
      <c r="Q212">
        <v>1</v>
      </c>
      <c r="R212">
        <v>1</v>
      </c>
    </row>
    <row r="213" spans="1:18" x14ac:dyDescent="0.3">
      <c r="A213">
        <v>835</v>
      </c>
      <c r="B213">
        <v>2</v>
      </c>
      <c r="C213">
        <v>141</v>
      </c>
      <c r="D213">
        <v>1334</v>
      </c>
      <c r="E213">
        <v>-1</v>
      </c>
      <c r="F213" t="s">
        <v>83</v>
      </c>
      <c r="G213">
        <v>660</v>
      </c>
      <c r="H213" t="s">
        <v>79</v>
      </c>
      <c r="I213">
        <v>660</v>
      </c>
      <c r="J213" t="s">
        <v>82</v>
      </c>
      <c r="K213">
        <v>2</v>
      </c>
      <c r="L213">
        <v>60000</v>
      </c>
      <c r="M213">
        <v>8000</v>
      </c>
      <c r="N213" t="s">
        <v>183</v>
      </c>
      <c r="O213">
        <v>8000</v>
      </c>
      <c r="P213">
        <v>1</v>
      </c>
      <c r="Q213">
        <v>1</v>
      </c>
      <c r="R213">
        <v>1</v>
      </c>
    </row>
    <row r="214" spans="1:18" x14ac:dyDescent="0.3">
      <c r="A214">
        <v>884</v>
      </c>
      <c r="B214">
        <v>3</v>
      </c>
      <c r="C214">
        <v>137</v>
      </c>
      <c r="D214">
        <v>1334</v>
      </c>
      <c r="E214">
        <v>-1</v>
      </c>
      <c r="F214" t="s">
        <v>83</v>
      </c>
      <c r="G214">
        <v>660</v>
      </c>
      <c r="H214" t="s">
        <v>79</v>
      </c>
      <c r="I214">
        <v>660</v>
      </c>
      <c r="J214" t="s">
        <v>82</v>
      </c>
      <c r="K214">
        <v>3</v>
      </c>
      <c r="L214">
        <v>60000</v>
      </c>
      <c r="M214">
        <v>6000</v>
      </c>
      <c r="N214" t="s">
        <v>175</v>
      </c>
      <c r="O214">
        <v>6000</v>
      </c>
      <c r="P214">
        <v>1</v>
      </c>
      <c r="Q214">
        <v>1</v>
      </c>
      <c r="R214">
        <v>0</v>
      </c>
    </row>
    <row r="215" spans="1:18" x14ac:dyDescent="0.3">
      <c r="A215">
        <v>791</v>
      </c>
      <c r="B215">
        <v>1</v>
      </c>
      <c r="C215">
        <v>137</v>
      </c>
      <c r="D215">
        <v>1328</v>
      </c>
      <c r="E215">
        <v>-1</v>
      </c>
      <c r="F215" t="s">
        <v>48</v>
      </c>
      <c r="G215">
        <v>661</v>
      </c>
      <c r="H215" t="s">
        <v>79</v>
      </c>
      <c r="I215">
        <v>661</v>
      </c>
      <c r="J215" t="s">
        <v>84</v>
      </c>
      <c r="K215">
        <v>1</v>
      </c>
      <c r="L215">
        <v>90000</v>
      </c>
      <c r="M215">
        <v>6000</v>
      </c>
      <c r="N215" t="s">
        <v>175</v>
      </c>
      <c r="O215">
        <v>6000</v>
      </c>
      <c r="P215">
        <v>1</v>
      </c>
      <c r="Q215">
        <v>1</v>
      </c>
      <c r="R215">
        <v>0</v>
      </c>
    </row>
    <row r="216" spans="1:18" x14ac:dyDescent="0.3">
      <c r="A216">
        <v>831</v>
      </c>
      <c r="B216">
        <v>2</v>
      </c>
      <c r="C216">
        <v>141</v>
      </c>
      <c r="D216">
        <v>1328</v>
      </c>
      <c r="E216">
        <v>-1</v>
      </c>
      <c r="F216" t="s">
        <v>48</v>
      </c>
      <c r="G216">
        <v>661</v>
      </c>
      <c r="H216" t="s">
        <v>79</v>
      </c>
      <c r="I216">
        <v>661</v>
      </c>
      <c r="J216" t="s">
        <v>84</v>
      </c>
      <c r="K216">
        <v>2</v>
      </c>
      <c r="L216">
        <v>90000</v>
      </c>
      <c r="M216">
        <v>8000</v>
      </c>
      <c r="N216" t="s">
        <v>183</v>
      </c>
      <c r="O216">
        <v>8000</v>
      </c>
      <c r="P216">
        <v>1</v>
      </c>
      <c r="Q216">
        <v>1</v>
      </c>
      <c r="R216">
        <v>1</v>
      </c>
    </row>
    <row r="217" spans="1:18" x14ac:dyDescent="0.3">
      <c r="A217">
        <v>905</v>
      </c>
      <c r="B217">
        <v>4</v>
      </c>
      <c r="C217">
        <v>140</v>
      </c>
      <c r="D217">
        <v>1328</v>
      </c>
      <c r="E217">
        <v>-1</v>
      </c>
      <c r="F217" t="s">
        <v>48</v>
      </c>
      <c r="G217">
        <v>661</v>
      </c>
      <c r="H217" t="s">
        <v>79</v>
      </c>
      <c r="I217">
        <v>661</v>
      </c>
      <c r="J217" t="s">
        <v>84</v>
      </c>
      <c r="K217">
        <v>4</v>
      </c>
      <c r="L217">
        <v>90000</v>
      </c>
      <c r="M217">
        <v>8000</v>
      </c>
      <c r="N217" t="s">
        <v>181</v>
      </c>
      <c r="O217">
        <v>8000</v>
      </c>
      <c r="P217">
        <v>1</v>
      </c>
      <c r="Q217">
        <v>1</v>
      </c>
      <c r="R217">
        <v>0</v>
      </c>
    </row>
    <row r="218" spans="1:18" x14ac:dyDescent="0.3">
      <c r="A218">
        <v>778</v>
      </c>
      <c r="B218">
        <v>1</v>
      </c>
      <c r="C218">
        <v>138</v>
      </c>
      <c r="D218">
        <v>1326</v>
      </c>
      <c r="E218">
        <v>-1</v>
      </c>
      <c r="F218" t="s">
        <v>41</v>
      </c>
      <c r="G218">
        <v>662</v>
      </c>
      <c r="H218" t="s">
        <v>79</v>
      </c>
      <c r="I218">
        <v>662</v>
      </c>
      <c r="J218" t="s">
        <v>85</v>
      </c>
      <c r="K218">
        <v>1</v>
      </c>
      <c r="L218">
        <v>130000</v>
      </c>
      <c r="M218">
        <v>24000</v>
      </c>
      <c r="N218" t="s">
        <v>178</v>
      </c>
      <c r="O218">
        <v>10000</v>
      </c>
      <c r="P218">
        <v>0</v>
      </c>
      <c r="Q218">
        <v>1</v>
      </c>
      <c r="R218">
        <v>1</v>
      </c>
    </row>
    <row r="219" spans="1:18" x14ac:dyDescent="0.3">
      <c r="A219">
        <v>779</v>
      </c>
      <c r="B219">
        <v>1</v>
      </c>
      <c r="C219">
        <v>137</v>
      </c>
      <c r="D219">
        <v>1326</v>
      </c>
      <c r="E219">
        <v>-1</v>
      </c>
      <c r="F219" t="s">
        <v>41</v>
      </c>
      <c r="G219">
        <v>662</v>
      </c>
      <c r="H219" t="s">
        <v>79</v>
      </c>
      <c r="I219">
        <v>662</v>
      </c>
      <c r="J219" t="s">
        <v>85</v>
      </c>
      <c r="K219">
        <v>1</v>
      </c>
      <c r="L219">
        <v>130000</v>
      </c>
      <c r="M219">
        <v>24000</v>
      </c>
      <c r="N219" t="s">
        <v>175</v>
      </c>
      <c r="O219">
        <v>6000</v>
      </c>
      <c r="P219">
        <v>1</v>
      </c>
      <c r="Q219">
        <v>1</v>
      </c>
      <c r="R219">
        <v>0</v>
      </c>
    </row>
    <row r="220" spans="1:18" x14ac:dyDescent="0.3">
      <c r="A220">
        <v>780</v>
      </c>
      <c r="B220">
        <v>1</v>
      </c>
      <c r="C220">
        <v>141</v>
      </c>
      <c r="D220">
        <v>1326</v>
      </c>
      <c r="E220">
        <v>-1</v>
      </c>
      <c r="F220" t="s">
        <v>41</v>
      </c>
      <c r="G220">
        <v>662</v>
      </c>
      <c r="H220" t="s">
        <v>79</v>
      </c>
      <c r="I220">
        <v>662</v>
      </c>
      <c r="J220" t="s">
        <v>85</v>
      </c>
      <c r="K220">
        <v>1</v>
      </c>
      <c r="L220">
        <v>130000</v>
      </c>
      <c r="M220">
        <v>24000</v>
      </c>
      <c r="N220" t="s">
        <v>183</v>
      </c>
      <c r="O220">
        <v>8000</v>
      </c>
      <c r="P220">
        <v>1</v>
      </c>
      <c r="Q220">
        <v>1</v>
      </c>
      <c r="R220">
        <v>1</v>
      </c>
    </row>
    <row r="221" spans="1:18" x14ac:dyDescent="0.3">
      <c r="A221">
        <v>827</v>
      </c>
      <c r="B221">
        <v>2</v>
      </c>
      <c r="C221">
        <v>140</v>
      </c>
      <c r="D221">
        <v>1326</v>
      </c>
      <c r="E221">
        <v>-1</v>
      </c>
      <c r="F221" t="s">
        <v>41</v>
      </c>
      <c r="G221">
        <v>662</v>
      </c>
      <c r="H221" t="s">
        <v>79</v>
      </c>
      <c r="I221">
        <v>662</v>
      </c>
      <c r="J221" t="s">
        <v>85</v>
      </c>
      <c r="K221">
        <v>2</v>
      </c>
      <c r="L221">
        <v>130000</v>
      </c>
      <c r="M221">
        <v>8000</v>
      </c>
      <c r="N221" t="s">
        <v>181</v>
      </c>
      <c r="O221">
        <v>8000</v>
      </c>
      <c r="P221">
        <v>1</v>
      </c>
      <c r="Q221">
        <v>1</v>
      </c>
      <c r="R221">
        <v>0</v>
      </c>
    </row>
    <row r="222" spans="1:18" x14ac:dyDescent="0.3">
      <c r="A222">
        <v>883</v>
      </c>
      <c r="B222">
        <v>3</v>
      </c>
      <c r="C222">
        <v>142</v>
      </c>
      <c r="D222">
        <v>1326</v>
      </c>
      <c r="E222">
        <v>-1</v>
      </c>
      <c r="F222" t="s">
        <v>41</v>
      </c>
      <c r="G222">
        <v>662</v>
      </c>
      <c r="H222" t="s">
        <v>79</v>
      </c>
      <c r="I222">
        <v>662</v>
      </c>
      <c r="J222" t="s">
        <v>85</v>
      </c>
      <c r="K222">
        <v>3</v>
      </c>
      <c r="L222">
        <v>130000</v>
      </c>
      <c r="M222">
        <v>1000</v>
      </c>
      <c r="N222" t="s">
        <v>186</v>
      </c>
      <c r="O222">
        <v>1000</v>
      </c>
      <c r="P222">
        <v>0</v>
      </c>
      <c r="Q222">
        <v>0</v>
      </c>
      <c r="R222">
        <v>1</v>
      </c>
    </row>
    <row r="223" spans="1:18" x14ac:dyDescent="0.3">
      <c r="A223">
        <v>886</v>
      </c>
      <c r="B223">
        <v>4</v>
      </c>
      <c r="C223">
        <v>138</v>
      </c>
      <c r="D223">
        <v>1379</v>
      </c>
      <c r="E223">
        <v>-1</v>
      </c>
      <c r="F223" t="s">
        <v>56</v>
      </c>
      <c r="G223">
        <v>663</v>
      </c>
      <c r="H223" t="s">
        <v>79</v>
      </c>
      <c r="I223">
        <v>663</v>
      </c>
      <c r="J223" t="s">
        <v>86</v>
      </c>
      <c r="K223">
        <v>4</v>
      </c>
      <c r="L223">
        <v>190000</v>
      </c>
      <c r="M223">
        <v>0</v>
      </c>
      <c r="N223" t="s">
        <v>178</v>
      </c>
      <c r="O223">
        <v>10000</v>
      </c>
      <c r="P223">
        <v>0</v>
      </c>
      <c r="Q223">
        <v>1</v>
      </c>
      <c r="R223">
        <v>1</v>
      </c>
    </row>
    <row r="224" spans="1:18" x14ac:dyDescent="0.3">
      <c r="A224">
        <v>887</v>
      </c>
      <c r="B224">
        <v>4</v>
      </c>
      <c r="C224">
        <v>140</v>
      </c>
      <c r="D224">
        <v>1379</v>
      </c>
      <c r="E224">
        <v>-1</v>
      </c>
      <c r="F224" t="s">
        <v>56</v>
      </c>
      <c r="G224">
        <v>663</v>
      </c>
      <c r="H224" t="s">
        <v>79</v>
      </c>
      <c r="I224">
        <v>663</v>
      </c>
      <c r="J224" t="s">
        <v>86</v>
      </c>
      <c r="K224">
        <v>4</v>
      </c>
      <c r="L224">
        <v>190000</v>
      </c>
      <c r="M224">
        <v>0</v>
      </c>
      <c r="N224" t="s">
        <v>181</v>
      </c>
      <c r="O224">
        <v>8000</v>
      </c>
      <c r="P224">
        <v>1</v>
      </c>
      <c r="Q224">
        <v>1</v>
      </c>
      <c r="R224">
        <v>0</v>
      </c>
    </row>
    <row r="225" spans="1:18" x14ac:dyDescent="0.3">
      <c r="A225">
        <v>903</v>
      </c>
      <c r="B225">
        <v>4</v>
      </c>
      <c r="C225">
        <v>137</v>
      </c>
      <c r="D225">
        <v>1379</v>
      </c>
      <c r="E225">
        <v>-1</v>
      </c>
      <c r="F225" t="s">
        <v>56</v>
      </c>
      <c r="G225">
        <v>663</v>
      </c>
      <c r="H225" t="s">
        <v>79</v>
      </c>
      <c r="I225">
        <v>663</v>
      </c>
      <c r="J225" t="s">
        <v>86</v>
      </c>
      <c r="K225">
        <v>4</v>
      </c>
      <c r="L225">
        <v>190000</v>
      </c>
      <c r="M225">
        <v>0</v>
      </c>
      <c r="N225" t="s">
        <v>175</v>
      </c>
      <c r="O225">
        <v>6000</v>
      </c>
      <c r="P225">
        <v>1</v>
      </c>
      <c r="Q225">
        <v>1</v>
      </c>
      <c r="R225">
        <v>0</v>
      </c>
    </row>
    <row r="226" spans="1:18" x14ac:dyDescent="0.3">
      <c r="A226">
        <v>904</v>
      </c>
      <c r="B226">
        <v>4</v>
      </c>
      <c r="C226">
        <v>141</v>
      </c>
      <c r="D226">
        <v>1379</v>
      </c>
      <c r="E226">
        <v>-1</v>
      </c>
      <c r="F226" t="s">
        <v>56</v>
      </c>
      <c r="G226">
        <v>663</v>
      </c>
      <c r="H226" t="s">
        <v>79</v>
      </c>
      <c r="I226">
        <v>663</v>
      </c>
      <c r="J226" t="s">
        <v>86</v>
      </c>
      <c r="K226">
        <v>4</v>
      </c>
      <c r="L226">
        <v>190000</v>
      </c>
      <c r="M226">
        <v>0</v>
      </c>
      <c r="N226" t="s">
        <v>183</v>
      </c>
      <c r="O226">
        <v>8000</v>
      </c>
      <c r="P226">
        <v>1</v>
      </c>
      <c r="Q226">
        <v>1</v>
      </c>
      <c r="R226">
        <v>1</v>
      </c>
    </row>
    <row r="227" spans="1:18" x14ac:dyDescent="0.3">
      <c r="A227">
        <v>772</v>
      </c>
      <c r="B227">
        <v>1</v>
      </c>
      <c r="C227">
        <v>141</v>
      </c>
      <c r="D227">
        <v>1329</v>
      </c>
      <c r="E227">
        <v>-1</v>
      </c>
      <c r="F227" t="s">
        <v>51</v>
      </c>
      <c r="G227">
        <v>664</v>
      </c>
      <c r="H227" t="s">
        <v>79</v>
      </c>
      <c r="I227">
        <v>664</v>
      </c>
      <c r="J227" t="s">
        <v>87</v>
      </c>
      <c r="K227">
        <v>1</v>
      </c>
      <c r="L227">
        <v>110000</v>
      </c>
      <c r="M227">
        <v>0</v>
      </c>
      <c r="N227" t="s">
        <v>183</v>
      </c>
      <c r="O227">
        <v>8000</v>
      </c>
      <c r="P227">
        <v>1</v>
      </c>
      <c r="Q227">
        <v>1</v>
      </c>
      <c r="R227">
        <v>1</v>
      </c>
    </row>
    <row r="228" spans="1:18" x14ac:dyDescent="0.3">
      <c r="A228">
        <v>786</v>
      </c>
      <c r="B228">
        <v>1</v>
      </c>
      <c r="C228">
        <v>138</v>
      </c>
      <c r="D228">
        <v>1329</v>
      </c>
      <c r="E228">
        <v>-1</v>
      </c>
      <c r="F228" t="s">
        <v>51</v>
      </c>
      <c r="G228">
        <v>664</v>
      </c>
      <c r="H228" t="s">
        <v>79</v>
      </c>
      <c r="I228">
        <v>664</v>
      </c>
      <c r="J228" t="s">
        <v>87</v>
      </c>
      <c r="K228">
        <v>1</v>
      </c>
      <c r="L228">
        <v>110000</v>
      </c>
      <c r="M228">
        <v>0</v>
      </c>
      <c r="N228" t="s">
        <v>178</v>
      </c>
      <c r="O228">
        <v>10000</v>
      </c>
      <c r="P228">
        <v>0</v>
      </c>
      <c r="Q228">
        <v>1</v>
      </c>
      <c r="R228">
        <v>1</v>
      </c>
    </row>
    <row r="229" spans="1:18" x14ac:dyDescent="0.3">
      <c r="A229">
        <v>787</v>
      </c>
      <c r="B229">
        <v>1</v>
      </c>
      <c r="C229">
        <v>137</v>
      </c>
      <c r="D229">
        <v>1329</v>
      </c>
      <c r="E229">
        <v>-1</v>
      </c>
      <c r="F229" t="s">
        <v>51</v>
      </c>
      <c r="G229">
        <v>664</v>
      </c>
      <c r="H229" t="s">
        <v>79</v>
      </c>
      <c r="I229">
        <v>664</v>
      </c>
      <c r="J229" t="s">
        <v>87</v>
      </c>
      <c r="K229">
        <v>1</v>
      </c>
      <c r="L229">
        <v>110000</v>
      </c>
      <c r="M229">
        <v>0</v>
      </c>
      <c r="N229" t="s">
        <v>175</v>
      </c>
      <c r="O229">
        <v>6000</v>
      </c>
      <c r="P229">
        <v>1</v>
      </c>
      <c r="Q229">
        <v>1</v>
      </c>
      <c r="R229">
        <v>0</v>
      </c>
    </row>
    <row r="230" spans="1:18" x14ac:dyDescent="0.3">
      <c r="A230">
        <v>788</v>
      </c>
      <c r="B230">
        <v>1</v>
      </c>
      <c r="C230">
        <v>140</v>
      </c>
      <c r="D230">
        <v>1329</v>
      </c>
      <c r="E230">
        <v>-1</v>
      </c>
      <c r="F230" t="s">
        <v>51</v>
      </c>
      <c r="G230">
        <v>664</v>
      </c>
      <c r="H230" t="s">
        <v>79</v>
      </c>
      <c r="I230">
        <v>664</v>
      </c>
      <c r="J230" t="s">
        <v>87</v>
      </c>
      <c r="K230">
        <v>1</v>
      </c>
      <c r="L230">
        <v>110000</v>
      </c>
      <c r="M230">
        <v>0</v>
      </c>
      <c r="N230" t="s">
        <v>181</v>
      </c>
      <c r="O230">
        <v>8000</v>
      </c>
      <c r="P230">
        <v>1</v>
      </c>
      <c r="Q230">
        <v>1</v>
      </c>
      <c r="R230">
        <v>0</v>
      </c>
    </row>
    <row r="231" spans="1:18" x14ac:dyDescent="0.3">
      <c r="A231">
        <v>826</v>
      </c>
      <c r="B231">
        <v>2</v>
      </c>
      <c r="C231">
        <v>142</v>
      </c>
      <c r="D231">
        <v>1329</v>
      </c>
      <c r="E231">
        <v>-1</v>
      </c>
      <c r="F231" t="s">
        <v>51</v>
      </c>
      <c r="G231">
        <v>664</v>
      </c>
      <c r="H231" t="s">
        <v>79</v>
      </c>
      <c r="I231">
        <v>664</v>
      </c>
      <c r="J231" t="s">
        <v>87</v>
      </c>
      <c r="K231">
        <v>2</v>
      </c>
      <c r="L231">
        <v>110000</v>
      </c>
      <c r="M231">
        <v>24000</v>
      </c>
      <c r="N231" t="s">
        <v>186</v>
      </c>
      <c r="O231">
        <v>1000</v>
      </c>
      <c r="P231">
        <v>0</v>
      </c>
      <c r="Q231">
        <v>0</v>
      </c>
      <c r="R231">
        <v>1</v>
      </c>
    </row>
    <row r="232" spans="1:18" x14ac:dyDescent="0.3">
      <c r="A232">
        <v>924</v>
      </c>
      <c r="B232">
        <v>1</v>
      </c>
      <c r="C232">
        <v>142</v>
      </c>
      <c r="D232">
        <v>1417</v>
      </c>
      <c r="E232">
        <v>-1</v>
      </c>
      <c r="F232" t="s">
        <v>71</v>
      </c>
      <c r="G232">
        <v>666</v>
      </c>
      <c r="H232" t="s">
        <v>88</v>
      </c>
      <c r="I232">
        <v>666</v>
      </c>
      <c r="J232" t="s">
        <v>89</v>
      </c>
      <c r="K232">
        <v>1</v>
      </c>
      <c r="L232">
        <v>75000</v>
      </c>
      <c r="M232">
        <v>1000</v>
      </c>
      <c r="N232" t="s">
        <v>186</v>
      </c>
      <c r="O232">
        <v>1000</v>
      </c>
      <c r="P232">
        <v>0</v>
      </c>
      <c r="Q232">
        <v>0</v>
      </c>
      <c r="R232">
        <v>1</v>
      </c>
    </row>
    <row r="233" spans="1:18" x14ac:dyDescent="0.3">
      <c r="A233">
        <v>962</v>
      </c>
      <c r="B233">
        <v>2</v>
      </c>
      <c r="C233">
        <v>141</v>
      </c>
      <c r="D233">
        <v>1404</v>
      </c>
      <c r="E233">
        <v>-1</v>
      </c>
      <c r="F233" t="s">
        <v>41</v>
      </c>
      <c r="G233">
        <v>667</v>
      </c>
      <c r="H233" t="s">
        <v>88</v>
      </c>
      <c r="I233">
        <v>667</v>
      </c>
      <c r="J233" t="s">
        <v>90</v>
      </c>
      <c r="K233">
        <v>2</v>
      </c>
      <c r="L233">
        <v>110000</v>
      </c>
      <c r="M233">
        <v>8000</v>
      </c>
      <c r="N233" t="s">
        <v>183</v>
      </c>
      <c r="O233">
        <v>8000</v>
      </c>
      <c r="P233">
        <v>1</v>
      </c>
      <c r="Q233">
        <v>1</v>
      </c>
      <c r="R233">
        <v>1</v>
      </c>
    </row>
    <row r="234" spans="1:18" x14ac:dyDescent="0.3">
      <c r="A234">
        <v>1016</v>
      </c>
      <c r="B234">
        <v>3</v>
      </c>
      <c r="C234">
        <v>137</v>
      </c>
      <c r="D234">
        <v>1404</v>
      </c>
      <c r="E234">
        <v>-1</v>
      </c>
      <c r="F234" t="s">
        <v>41</v>
      </c>
      <c r="G234">
        <v>667</v>
      </c>
      <c r="H234" t="s">
        <v>88</v>
      </c>
      <c r="I234">
        <v>667</v>
      </c>
      <c r="J234" t="s">
        <v>90</v>
      </c>
      <c r="K234">
        <v>3</v>
      </c>
      <c r="L234">
        <v>110000</v>
      </c>
      <c r="M234">
        <v>7000</v>
      </c>
      <c r="N234" t="s">
        <v>175</v>
      </c>
      <c r="O234">
        <v>6000</v>
      </c>
      <c r="P234">
        <v>1</v>
      </c>
      <c r="Q234">
        <v>1</v>
      </c>
      <c r="R234">
        <v>0</v>
      </c>
    </row>
    <row r="235" spans="1:18" x14ac:dyDescent="0.3">
      <c r="A235">
        <v>1017</v>
      </c>
      <c r="B235">
        <v>3</v>
      </c>
      <c r="C235">
        <v>142</v>
      </c>
      <c r="D235">
        <v>1404</v>
      </c>
      <c r="E235">
        <v>-1</v>
      </c>
      <c r="F235" t="s">
        <v>41</v>
      </c>
      <c r="G235">
        <v>667</v>
      </c>
      <c r="H235" t="s">
        <v>88</v>
      </c>
      <c r="I235">
        <v>667</v>
      </c>
      <c r="J235" t="s">
        <v>90</v>
      </c>
      <c r="K235">
        <v>3</v>
      </c>
      <c r="L235">
        <v>110000</v>
      </c>
      <c r="M235">
        <v>7000</v>
      </c>
      <c r="N235" t="s">
        <v>186</v>
      </c>
      <c r="O235">
        <v>1000</v>
      </c>
      <c r="P235">
        <v>0</v>
      </c>
      <c r="Q235">
        <v>0</v>
      </c>
      <c r="R235">
        <v>1</v>
      </c>
    </row>
    <row r="236" spans="1:18" x14ac:dyDescent="0.3">
      <c r="A236">
        <v>925</v>
      </c>
      <c r="B236">
        <v>1</v>
      </c>
      <c r="C236">
        <v>137</v>
      </c>
      <c r="D236">
        <v>1406</v>
      </c>
      <c r="E236">
        <v>-1</v>
      </c>
      <c r="F236" t="s">
        <v>48</v>
      </c>
      <c r="G236">
        <v>669</v>
      </c>
      <c r="H236" t="s">
        <v>88</v>
      </c>
      <c r="I236">
        <v>669</v>
      </c>
      <c r="J236" t="s">
        <v>92</v>
      </c>
      <c r="K236">
        <v>1</v>
      </c>
      <c r="L236">
        <v>90000</v>
      </c>
      <c r="M236">
        <v>6000</v>
      </c>
      <c r="N236" t="s">
        <v>175</v>
      </c>
      <c r="O236">
        <v>6000</v>
      </c>
      <c r="P236">
        <v>1</v>
      </c>
      <c r="Q236">
        <v>1</v>
      </c>
      <c r="R236">
        <v>0</v>
      </c>
    </row>
    <row r="237" spans="1:18" x14ac:dyDescent="0.3">
      <c r="A237">
        <v>963</v>
      </c>
      <c r="B237">
        <v>2</v>
      </c>
      <c r="C237">
        <v>140</v>
      </c>
      <c r="D237">
        <v>1406</v>
      </c>
      <c r="E237">
        <v>-1</v>
      </c>
      <c r="F237" t="s">
        <v>48</v>
      </c>
      <c r="G237">
        <v>669</v>
      </c>
      <c r="H237" t="s">
        <v>88</v>
      </c>
      <c r="I237">
        <v>669</v>
      </c>
      <c r="J237" t="s">
        <v>92</v>
      </c>
      <c r="K237">
        <v>2</v>
      </c>
      <c r="L237">
        <v>90000</v>
      </c>
      <c r="M237">
        <v>8000</v>
      </c>
      <c r="N237" t="s">
        <v>181</v>
      </c>
      <c r="O237">
        <v>8000</v>
      </c>
      <c r="P237">
        <v>1</v>
      </c>
      <c r="Q237">
        <v>1</v>
      </c>
      <c r="R237">
        <v>0</v>
      </c>
    </row>
    <row r="238" spans="1:18" x14ac:dyDescent="0.3">
      <c r="A238">
        <v>1020</v>
      </c>
      <c r="B238">
        <v>3</v>
      </c>
      <c r="C238">
        <v>141</v>
      </c>
      <c r="D238">
        <v>1406</v>
      </c>
      <c r="E238">
        <v>-1</v>
      </c>
      <c r="F238" t="s">
        <v>48</v>
      </c>
      <c r="G238">
        <v>669</v>
      </c>
      <c r="H238" t="s">
        <v>88</v>
      </c>
      <c r="I238">
        <v>669</v>
      </c>
      <c r="J238" t="s">
        <v>92</v>
      </c>
      <c r="K238">
        <v>3</v>
      </c>
      <c r="L238">
        <v>90000</v>
      </c>
      <c r="M238">
        <v>8000</v>
      </c>
      <c r="N238" t="s">
        <v>183</v>
      </c>
      <c r="O238">
        <v>8000</v>
      </c>
      <c r="P238">
        <v>1</v>
      </c>
      <c r="Q238">
        <v>1</v>
      </c>
      <c r="R238">
        <v>1</v>
      </c>
    </row>
    <row r="239" spans="1:18" x14ac:dyDescent="0.3">
      <c r="A239">
        <v>923</v>
      </c>
      <c r="B239">
        <v>1</v>
      </c>
      <c r="C239">
        <v>141</v>
      </c>
      <c r="D239">
        <v>1410</v>
      </c>
      <c r="E239">
        <v>-1</v>
      </c>
      <c r="F239" t="s">
        <v>94</v>
      </c>
      <c r="G239">
        <v>670</v>
      </c>
      <c r="H239" t="s">
        <v>88</v>
      </c>
      <c r="I239">
        <v>670</v>
      </c>
      <c r="J239" t="s">
        <v>93</v>
      </c>
      <c r="K239">
        <v>1</v>
      </c>
      <c r="L239">
        <v>130000</v>
      </c>
      <c r="M239">
        <v>8000</v>
      </c>
      <c r="N239" t="s">
        <v>183</v>
      </c>
      <c r="O239">
        <v>8000</v>
      </c>
      <c r="P239">
        <v>1</v>
      </c>
      <c r="Q239">
        <v>1</v>
      </c>
      <c r="R239">
        <v>1</v>
      </c>
    </row>
    <row r="240" spans="1:18" x14ac:dyDescent="0.3">
      <c r="A240">
        <v>968</v>
      </c>
      <c r="B240">
        <v>2</v>
      </c>
      <c r="C240">
        <v>137</v>
      </c>
      <c r="D240">
        <v>1410</v>
      </c>
      <c r="E240">
        <v>-1</v>
      </c>
      <c r="F240" t="s">
        <v>94</v>
      </c>
      <c r="G240">
        <v>670</v>
      </c>
      <c r="H240" t="s">
        <v>88</v>
      </c>
      <c r="I240">
        <v>670</v>
      </c>
      <c r="J240" t="s">
        <v>93</v>
      </c>
      <c r="K240">
        <v>2</v>
      </c>
      <c r="L240">
        <v>130000</v>
      </c>
      <c r="M240">
        <v>14000</v>
      </c>
      <c r="N240" t="s">
        <v>175</v>
      </c>
      <c r="O240">
        <v>6000</v>
      </c>
      <c r="P240">
        <v>1</v>
      </c>
      <c r="Q240">
        <v>1</v>
      </c>
      <c r="R240">
        <v>0</v>
      </c>
    </row>
    <row r="241" spans="1:18" x14ac:dyDescent="0.3">
      <c r="A241">
        <v>969</v>
      </c>
      <c r="B241">
        <v>2</v>
      </c>
      <c r="C241">
        <v>140</v>
      </c>
      <c r="D241">
        <v>1410</v>
      </c>
      <c r="E241">
        <v>-1</v>
      </c>
      <c r="F241" t="s">
        <v>94</v>
      </c>
      <c r="G241">
        <v>670</v>
      </c>
      <c r="H241" t="s">
        <v>88</v>
      </c>
      <c r="I241">
        <v>670</v>
      </c>
      <c r="J241" t="s">
        <v>93</v>
      </c>
      <c r="K241">
        <v>2</v>
      </c>
      <c r="L241">
        <v>130000</v>
      </c>
      <c r="M241">
        <v>14000</v>
      </c>
      <c r="N241" t="s">
        <v>181</v>
      </c>
      <c r="O241">
        <v>8000</v>
      </c>
      <c r="P241">
        <v>1</v>
      </c>
      <c r="Q241">
        <v>1</v>
      </c>
      <c r="R241">
        <v>0</v>
      </c>
    </row>
    <row r="242" spans="1:18" x14ac:dyDescent="0.3">
      <c r="A242">
        <v>1018</v>
      </c>
      <c r="B242">
        <v>3</v>
      </c>
      <c r="C242">
        <v>138</v>
      </c>
      <c r="D242">
        <v>1410</v>
      </c>
      <c r="E242">
        <v>-1</v>
      </c>
      <c r="F242" t="s">
        <v>94</v>
      </c>
      <c r="G242">
        <v>670</v>
      </c>
      <c r="H242" t="s">
        <v>88</v>
      </c>
      <c r="I242">
        <v>670</v>
      </c>
      <c r="J242" t="s">
        <v>93</v>
      </c>
      <c r="K242">
        <v>3</v>
      </c>
      <c r="L242">
        <v>130000</v>
      </c>
      <c r="M242">
        <v>11000</v>
      </c>
      <c r="N242" t="s">
        <v>178</v>
      </c>
      <c r="O242">
        <v>10000</v>
      </c>
      <c r="P242">
        <v>0</v>
      </c>
      <c r="Q242">
        <v>1</v>
      </c>
      <c r="R242">
        <v>1</v>
      </c>
    </row>
    <row r="243" spans="1:18" x14ac:dyDescent="0.3">
      <c r="A243">
        <v>1019</v>
      </c>
      <c r="B243">
        <v>3</v>
      </c>
      <c r="C243">
        <v>142</v>
      </c>
      <c r="D243">
        <v>1410</v>
      </c>
      <c r="E243">
        <v>-1</v>
      </c>
      <c r="F243" t="s">
        <v>94</v>
      </c>
      <c r="G243">
        <v>670</v>
      </c>
      <c r="H243" t="s">
        <v>88</v>
      </c>
      <c r="I243">
        <v>670</v>
      </c>
      <c r="J243" t="s">
        <v>93</v>
      </c>
      <c r="K243">
        <v>3</v>
      </c>
      <c r="L243">
        <v>130000</v>
      </c>
      <c r="M243">
        <v>11000</v>
      </c>
      <c r="N243" t="s">
        <v>186</v>
      </c>
      <c r="O243">
        <v>1000</v>
      </c>
      <c r="P243">
        <v>0</v>
      </c>
      <c r="Q243">
        <v>0</v>
      </c>
      <c r="R243">
        <v>1</v>
      </c>
    </row>
    <row r="244" spans="1:18" x14ac:dyDescent="0.3">
      <c r="A244">
        <v>1023</v>
      </c>
      <c r="B244">
        <v>4</v>
      </c>
      <c r="C244">
        <v>138</v>
      </c>
      <c r="D244">
        <v>1477</v>
      </c>
      <c r="E244">
        <v>-1</v>
      </c>
      <c r="F244" t="s">
        <v>56</v>
      </c>
      <c r="G244">
        <v>671</v>
      </c>
      <c r="H244" t="s">
        <v>88</v>
      </c>
      <c r="I244">
        <v>671</v>
      </c>
      <c r="J244" t="s">
        <v>95</v>
      </c>
      <c r="K244">
        <v>4</v>
      </c>
      <c r="L244">
        <v>190000</v>
      </c>
      <c r="M244">
        <v>14000</v>
      </c>
      <c r="N244" t="s">
        <v>178</v>
      </c>
      <c r="O244">
        <v>10000</v>
      </c>
      <c r="P244">
        <v>0</v>
      </c>
      <c r="Q244">
        <v>1</v>
      </c>
      <c r="R244">
        <v>1</v>
      </c>
    </row>
    <row r="245" spans="1:18" x14ac:dyDescent="0.3">
      <c r="A245">
        <v>1024</v>
      </c>
      <c r="B245">
        <v>4</v>
      </c>
      <c r="C245">
        <v>140</v>
      </c>
      <c r="D245">
        <v>1477</v>
      </c>
      <c r="E245">
        <v>-1</v>
      </c>
      <c r="F245" t="s">
        <v>56</v>
      </c>
      <c r="G245">
        <v>671</v>
      </c>
      <c r="H245" t="s">
        <v>88</v>
      </c>
      <c r="I245">
        <v>671</v>
      </c>
      <c r="J245" t="s">
        <v>95</v>
      </c>
      <c r="K245">
        <v>4</v>
      </c>
      <c r="L245">
        <v>190000</v>
      </c>
      <c r="M245">
        <v>14000</v>
      </c>
      <c r="N245" t="s">
        <v>181</v>
      </c>
      <c r="O245">
        <v>8000</v>
      </c>
      <c r="P245">
        <v>1</v>
      </c>
      <c r="Q245">
        <v>1</v>
      </c>
      <c r="R245">
        <v>0</v>
      </c>
    </row>
    <row r="246" spans="1:18" x14ac:dyDescent="0.3">
      <c r="A246">
        <v>1067</v>
      </c>
      <c r="B246">
        <v>4</v>
      </c>
      <c r="C246">
        <v>137</v>
      </c>
      <c r="D246">
        <v>1477</v>
      </c>
      <c r="E246">
        <v>-1</v>
      </c>
      <c r="F246" t="s">
        <v>56</v>
      </c>
      <c r="G246">
        <v>671</v>
      </c>
      <c r="H246" t="s">
        <v>88</v>
      </c>
      <c r="I246">
        <v>671</v>
      </c>
      <c r="J246" t="s">
        <v>95</v>
      </c>
      <c r="K246">
        <v>4</v>
      </c>
      <c r="L246">
        <v>190000</v>
      </c>
      <c r="M246">
        <v>14000</v>
      </c>
      <c r="N246" t="s">
        <v>175</v>
      </c>
      <c r="O246">
        <v>6000</v>
      </c>
      <c r="P246">
        <v>1</v>
      </c>
      <c r="Q246">
        <v>1</v>
      </c>
      <c r="R246">
        <v>0</v>
      </c>
    </row>
    <row r="247" spans="1:18" x14ac:dyDescent="0.3">
      <c r="A247">
        <v>1068</v>
      </c>
      <c r="B247">
        <v>4</v>
      </c>
      <c r="C247">
        <v>141</v>
      </c>
      <c r="D247">
        <v>1477</v>
      </c>
      <c r="E247">
        <v>-1</v>
      </c>
      <c r="F247" t="s">
        <v>56</v>
      </c>
      <c r="G247">
        <v>671</v>
      </c>
      <c r="H247" t="s">
        <v>88</v>
      </c>
      <c r="I247">
        <v>671</v>
      </c>
      <c r="J247" t="s">
        <v>95</v>
      </c>
      <c r="K247">
        <v>4</v>
      </c>
      <c r="L247">
        <v>190000</v>
      </c>
      <c r="M247">
        <v>14000</v>
      </c>
      <c r="N247" t="s">
        <v>183</v>
      </c>
      <c r="O247">
        <v>8000</v>
      </c>
      <c r="P247">
        <v>1</v>
      </c>
      <c r="Q247">
        <v>1</v>
      </c>
      <c r="R247">
        <v>1</v>
      </c>
    </row>
    <row r="248" spans="1:18" x14ac:dyDescent="0.3">
      <c r="A248">
        <v>948</v>
      </c>
      <c r="B248">
        <v>2</v>
      </c>
      <c r="C248">
        <v>142</v>
      </c>
      <c r="D248">
        <v>1421</v>
      </c>
      <c r="E248">
        <v>-1</v>
      </c>
      <c r="F248" t="s">
        <v>48</v>
      </c>
      <c r="G248">
        <v>674</v>
      </c>
      <c r="H248" t="s">
        <v>97</v>
      </c>
      <c r="I248">
        <v>674</v>
      </c>
      <c r="J248" t="s">
        <v>98</v>
      </c>
      <c r="K248">
        <v>2</v>
      </c>
      <c r="L248">
        <v>75000</v>
      </c>
      <c r="M248">
        <v>1000</v>
      </c>
      <c r="N248" t="s">
        <v>186</v>
      </c>
      <c r="O248">
        <v>1000</v>
      </c>
      <c r="P248">
        <v>0</v>
      </c>
      <c r="Q248">
        <v>0</v>
      </c>
      <c r="R248">
        <v>1</v>
      </c>
    </row>
    <row r="249" spans="1:18" x14ac:dyDescent="0.3">
      <c r="A249">
        <v>985</v>
      </c>
      <c r="B249">
        <v>3</v>
      </c>
      <c r="C249">
        <v>137</v>
      </c>
      <c r="D249">
        <v>1421</v>
      </c>
      <c r="E249">
        <v>-1</v>
      </c>
      <c r="F249" t="s">
        <v>48</v>
      </c>
      <c r="G249">
        <v>674</v>
      </c>
      <c r="H249" t="s">
        <v>97</v>
      </c>
      <c r="I249">
        <v>674</v>
      </c>
      <c r="J249" t="s">
        <v>98</v>
      </c>
      <c r="K249">
        <v>3</v>
      </c>
      <c r="L249">
        <v>75000</v>
      </c>
      <c r="M249">
        <v>14000</v>
      </c>
      <c r="N249" t="s">
        <v>175</v>
      </c>
      <c r="O249">
        <v>6000</v>
      </c>
      <c r="P249">
        <v>1</v>
      </c>
      <c r="Q249">
        <v>1</v>
      </c>
      <c r="R249">
        <v>0</v>
      </c>
    </row>
    <row r="250" spans="1:18" x14ac:dyDescent="0.3">
      <c r="A250">
        <v>986</v>
      </c>
      <c r="B250">
        <v>3</v>
      </c>
      <c r="C250">
        <v>140</v>
      </c>
      <c r="D250">
        <v>1421</v>
      </c>
      <c r="E250">
        <v>-1</v>
      </c>
      <c r="F250" t="s">
        <v>48</v>
      </c>
      <c r="G250">
        <v>674</v>
      </c>
      <c r="H250" t="s">
        <v>97</v>
      </c>
      <c r="I250">
        <v>674</v>
      </c>
      <c r="J250" t="s">
        <v>98</v>
      </c>
      <c r="K250">
        <v>3</v>
      </c>
      <c r="L250">
        <v>75000</v>
      </c>
      <c r="M250">
        <v>14000</v>
      </c>
      <c r="N250" t="s">
        <v>181</v>
      </c>
      <c r="O250">
        <v>8000</v>
      </c>
      <c r="P250">
        <v>1</v>
      </c>
      <c r="Q250">
        <v>1</v>
      </c>
      <c r="R250">
        <v>0</v>
      </c>
    </row>
    <row r="251" spans="1:18" x14ac:dyDescent="0.3">
      <c r="A251">
        <v>917</v>
      </c>
      <c r="B251">
        <v>1</v>
      </c>
      <c r="C251">
        <v>141</v>
      </c>
      <c r="D251">
        <v>1419</v>
      </c>
      <c r="E251">
        <v>-1</v>
      </c>
      <c r="F251" t="s">
        <v>41</v>
      </c>
      <c r="G251">
        <v>675</v>
      </c>
      <c r="H251" t="s">
        <v>97</v>
      </c>
      <c r="I251">
        <v>675</v>
      </c>
      <c r="J251" t="s">
        <v>99</v>
      </c>
      <c r="K251">
        <v>1</v>
      </c>
      <c r="L251">
        <v>110000</v>
      </c>
      <c r="M251">
        <v>8000</v>
      </c>
      <c r="N251" t="s">
        <v>183</v>
      </c>
      <c r="O251">
        <v>8000</v>
      </c>
      <c r="P251">
        <v>1</v>
      </c>
      <c r="Q251">
        <v>1</v>
      </c>
      <c r="R251">
        <v>1</v>
      </c>
    </row>
    <row r="252" spans="1:18" x14ac:dyDescent="0.3">
      <c r="A252">
        <v>949</v>
      </c>
      <c r="B252">
        <v>2</v>
      </c>
      <c r="C252">
        <v>137</v>
      </c>
      <c r="D252">
        <v>1419</v>
      </c>
      <c r="E252">
        <v>-1</v>
      </c>
      <c r="F252" t="s">
        <v>41</v>
      </c>
      <c r="G252">
        <v>675</v>
      </c>
      <c r="H252" t="s">
        <v>97</v>
      </c>
      <c r="I252">
        <v>675</v>
      </c>
      <c r="J252" t="s">
        <v>99</v>
      </c>
      <c r="K252">
        <v>2</v>
      </c>
      <c r="L252">
        <v>110000</v>
      </c>
      <c r="M252">
        <v>7000</v>
      </c>
      <c r="N252" t="s">
        <v>175</v>
      </c>
      <c r="O252">
        <v>6000</v>
      </c>
      <c r="P252">
        <v>1</v>
      </c>
      <c r="Q252">
        <v>1</v>
      </c>
      <c r="R252">
        <v>0</v>
      </c>
    </row>
    <row r="253" spans="1:18" x14ac:dyDescent="0.3">
      <c r="A253">
        <v>950</v>
      </c>
      <c r="B253">
        <v>2</v>
      </c>
      <c r="C253">
        <v>142</v>
      </c>
      <c r="D253">
        <v>1419</v>
      </c>
      <c r="E253">
        <v>-1</v>
      </c>
      <c r="F253" t="s">
        <v>41</v>
      </c>
      <c r="G253">
        <v>675</v>
      </c>
      <c r="H253" t="s">
        <v>97</v>
      </c>
      <c r="I253">
        <v>675</v>
      </c>
      <c r="J253" t="s">
        <v>99</v>
      </c>
      <c r="K253">
        <v>2</v>
      </c>
      <c r="L253">
        <v>110000</v>
      </c>
      <c r="M253">
        <v>7000</v>
      </c>
      <c r="N253" t="s">
        <v>186</v>
      </c>
      <c r="O253">
        <v>1000</v>
      </c>
      <c r="P253">
        <v>0</v>
      </c>
      <c r="Q253">
        <v>0</v>
      </c>
      <c r="R253">
        <v>1</v>
      </c>
    </row>
    <row r="254" spans="1:18" x14ac:dyDescent="0.3">
      <c r="A254">
        <v>978</v>
      </c>
      <c r="B254">
        <v>3</v>
      </c>
      <c r="C254">
        <v>138</v>
      </c>
      <c r="D254">
        <v>1419</v>
      </c>
      <c r="E254">
        <v>-1</v>
      </c>
      <c r="F254" t="s">
        <v>41</v>
      </c>
      <c r="G254">
        <v>675</v>
      </c>
      <c r="H254" t="s">
        <v>97</v>
      </c>
      <c r="I254">
        <v>675</v>
      </c>
      <c r="J254" t="s">
        <v>99</v>
      </c>
      <c r="K254">
        <v>3</v>
      </c>
      <c r="L254">
        <v>110000</v>
      </c>
      <c r="M254">
        <v>18000</v>
      </c>
      <c r="N254" t="s">
        <v>178</v>
      </c>
      <c r="O254">
        <v>10000</v>
      </c>
      <c r="P254">
        <v>0</v>
      </c>
      <c r="Q254">
        <v>1</v>
      </c>
      <c r="R254">
        <v>1</v>
      </c>
    </row>
    <row r="255" spans="1:18" x14ac:dyDescent="0.3">
      <c r="A255">
        <v>979</v>
      </c>
      <c r="B255">
        <v>3</v>
      </c>
      <c r="C255">
        <v>140</v>
      </c>
      <c r="D255">
        <v>1419</v>
      </c>
      <c r="E255">
        <v>-1</v>
      </c>
      <c r="F255" t="s">
        <v>41</v>
      </c>
      <c r="G255">
        <v>675</v>
      </c>
      <c r="H255" t="s">
        <v>97</v>
      </c>
      <c r="I255">
        <v>675</v>
      </c>
      <c r="J255" t="s">
        <v>99</v>
      </c>
      <c r="K255">
        <v>3</v>
      </c>
      <c r="L255">
        <v>110000</v>
      </c>
      <c r="M255">
        <v>18000</v>
      </c>
      <c r="N255" t="s">
        <v>181</v>
      </c>
      <c r="O255">
        <v>8000</v>
      </c>
      <c r="P255">
        <v>1</v>
      </c>
      <c r="Q255">
        <v>1</v>
      </c>
      <c r="R255">
        <v>0</v>
      </c>
    </row>
    <row r="256" spans="1:18" x14ac:dyDescent="0.3">
      <c r="A256">
        <v>987</v>
      </c>
      <c r="B256">
        <v>3</v>
      </c>
      <c r="C256">
        <v>137</v>
      </c>
      <c r="D256">
        <v>1427</v>
      </c>
      <c r="E256">
        <v>-1</v>
      </c>
      <c r="F256" t="s">
        <v>83</v>
      </c>
      <c r="G256">
        <v>676</v>
      </c>
      <c r="H256" t="s">
        <v>97</v>
      </c>
      <c r="I256">
        <v>676</v>
      </c>
      <c r="J256" t="s">
        <v>100</v>
      </c>
      <c r="K256">
        <v>3</v>
      </c>
      <c r="L256">
        <v>60000</v>
      </c>
      <c r="M256">
        <v>6000</v>
      </c>
      <c r="N256" t="s">
        <v>175</v>
      </c>
      <c r="O256">
        <v>6000</v>
      </c>
      <c r="P256">
        <v>1</v>
      </c>
      <c r="Q256">
        <v>1</v>
      </c>
      <c r="R256">
        <v>0</v>
      </c>
    </row>
    <row r="257" spans="1:18" x14ac:dyDescent="0.3">
      <c r="A257">
        <v>1063</v>
      </c>
      <c r="B257">
        <v>4</v>
      </c>
      <c r="C257">
        <v>142</v>
      </c>
      <c r="D257">
        <v>1427</v>
      </c>
      <c r="E257">
        <v>-1</v>
      </c>
      <c r="F257" t="s">
        <v>83</v>
      </c>
      <c r="G257">
        <v>676</v>
      </c>
      <c r="H257" t="s">
        <v>97</v>
      </c>
      <c r="I257">
        <v>676</v>
      </c>
      <c r="J257" t="s">
        <v>100</v>
      </c>
      <c r="K257">
        <v>4</v>
      </c>
      <c r="L257">
        <v>60000</v>
      </c>
      <c r="M257">
        <v>9000</v>
      </c>
      <c r="N257" t="s">
        <v>186</v>
      </c>
      <c r="O257">
        <v>1000</v>
      </c>
      <c r="P257">
        <v>0</v>
      </c>
      <c r="Q257">
        <v>0</v>
      </c>
      <c r="R257">
        <v>1</v>
      </c>
    </row>
    <row r="258" spans="1:18" x14ac:dyDescent="0.3">
      <c r="A258">
        <v>1064</v>
      </c>
      <c r="B258">
        <v>4</v>
      </c>
      <c r="C258">
        <v>140</v>
      </c>
      <c r="D258">
        <v>1427</v>
      </c>
      <c r="E258">
        <v>-1</v>
      </c>
      <c r="F258" t="s">
        <v>83</v>
      </c>
      <c r="G258">
        <v>676</v>
      </c>
      <c r="H258" t="s">
        <v>97</v>
      </c>
      <c r="I258">
        <v>676</v>
      </c>
      <c r="J258" t="s">
        <v>100</v>
      </c>
      <c r="K258">
        <v>4</v>
      </c>
      <c r="L258">
        <v>60000</v>
      </c>
      <c r="M258">
        <v>9000</v>
      </c>
      <c r="N258" t="s">
        <v>181</v>
      </c>
      <c r="O258">
        <v>8000</v>
      </c>
      <c r="P258">
        <v>1</v>
      </c>
      <c r="Q258">
        <v>1</v>
      </c>
      <c r="R258">
        <v>0</v>
      </c>
    </row>
    <row r="259" spans="1:18" x14ac:dyDescent="0.3">
      <c r="A259">
        <v>1039</v>
      </c>
      <c r="B259">
        <v>4</v>
      </c>
      <c r="C259">
        <v>142</v>
      </c>
      <c r="D259">
        <v>1488</v>
      </c>
      <c r="E259">
        <v>-1</v>
      </c>
      <c r="F259" t="s">
        <v>102</v>
      </c>
      <c r="G259">
        <v>677</v>
      </c>
      <c r="H259" t="s">
        <v>97</v>
      </c>
      <c r="I259">
        <v>677</v>
      </c>
      <c r="J259" t="s">
        <v>101</v>
      </c>
      <c r="K259">
        <v>4</v>
      </c>
      <c r="L259">
        <v>90000</v>
      </c>
      <c r="M259">
        <v>14000</v>
      </c>
      <c r="N259" t="s">
        <v>186</v>
      </c>
      <c r="O259">
        <v>1000</v>
      </c>
      <c r="P259">
        <v>0</v>
      </c>
      <c r="Q259">
        <v>0</v>
      </c>
      <c r="R259">
        <v>1</v>
      </c>
    </row>
    <row r="260" spans="1:18" x14ac:dyDescent="0.3">
      <c r="A260">
        <v>1065</v>
      </c>
      <c r="B260">
        <v>4</v>
      </c>
      <c r="C260">
        <v>137</v>
      </c>
      <c r="D260">
        <v>1488</v>
      </c>
      <c r="E260">
        <v>-1</v>
      </c>
      <c r="F260" t="s">
        <v>102</v>
      </c>
      <c r="G260">
        <v>677</v>
      </c>
      <c r="H260" t="s">
        <v>97</v>
      </c>
      <c r="I260">
        <v>677</v>
      </c>
      <c r="J260" t="s">
        <v>101</v>
      </c>
      <c r="K260">
        <v>4</v>
      </c>
      <c r="L260">
        <v>90000</v>
      </c>
      <c r="M260">
        <v>14000</v>
      </c>
      <c r="N260" t="s">
        <v>175</v>
      </c>
      <c r="O260">
        <v>6000</v>
      </c>
      <c r="P260">
        <v>1</v>
      </c>
      <c r="Q260">
        <v>1</v>
      </c>
      <c r="R260">
        <v>0</v>
      </c>
    </row>
    <row r="261" spans="1:18" x14ac:dyDescent="0.3">
      <c r="A261">
        <v>1066</v>
      </c>
      <c r="B261">
        <v>4</v>
      </c>
      <c r="C261">
        <v>141</v>
      </c>
      <c r="D261">
        <v>1488</v>
      </c>
      <c r="E261">
        <v>-1</v>
      </c>
      <c r="F261" t="s">
        <v>102</v>
      </c>
      <c r="G261">
        <v>677</v>
      </c>
      <c r="H261" t="s">
        <v>97</v>
      </c>
      <c r="I261">
        <v>677</v>
      </c>
      <c r="J261" t="s">
        <v>101</v>
      </c>
      <c r="K261">
        <v>4</v>
      </c>
      <c r="L261">
        <v>90000</v>
      </c>
      <c r="M261">
        <v>14000</v>
      </c>
      <c r="N261" t="s">
        <v>183</v>
      </c>
      <c r="O261">
        <v>8000</v>
      </c>
      <c r="P261">
        <v>1</v>
      </c>
      <c r="Q261">
        <v>1</v>
      </c>
      <c r="R261">
        <v>1</v>
      </c>
    </row>
    <row r="262" spans="1:18" x14ac:dyDescent="0.3">
      <c r="A262">
        <v>918</v>
      </c>
      <c r="B262">
        <v>1</v>
      </c>
      <c r="C262">
        <v>138</v>
      </c>
      <c r="D262">
        <v>1420</v>
      </c>
      <c r="E262">
        <v>-1</v>
      </c>
      <c r="F262" t="s">
        <v>58</v>
      </c>
      <c r="G262">
        <v>678</v>
      </c>
      <c r="H262" t="s">
        <v>97</v>
      </c>
      <c r="I262">
        <v>678</v>
      </c>
      <c r="J262" t="s">
        <v>103</v>
      </c>
      <c r="K262">
        <v>1</v>
      </c>
      <c r="L262">
        <v>130000</v>
      </c>
      <c r="M262">
        <v>33000</v>
      </c>
      <c r="N262" t="s">
        <v>178</v>
      </c>
      <c r="O262">
        <v>10000</v>
      </c>
      <c r="P262">
        <v>0</v>
      </c>
      <c r="Q262">
        <v>1</v>
      </c>
      <c r="R262">
        <v>1</v>
      </c>
    </row>
    <row r="263" spans="1:18" x14ac:dyDescent="0.3">
      <c r="A263">
        <v>919</v>
      </c>
      <c r="B263">
        <v>1</v>
      </c>
      <c r="C263">
        <v>137</v>
      </c>
      <c r="D263">
        <v>1420</v>
      </c>
      <c r="E263">
        <v>-1</v>
      </c>
      <c r="F263" t="s">
        <v>58</v>
      </c>
      <c r="G263">
        <v>678</v>
      </c>
      <c r="H263" t="s">
        <v>97</v>
      </c>
      <c r="I263">
        <v>678</v>
      </c>
      <c r="J263" t="s">
        <v>103</v>
      </c>
      <c r="K263">
        <v>1</v>
      </c>
      <c r="L263">
        <v>130000</v>
      </c>
      <c r="M263">
        <v>33000</v>
      </c>
      <c r="N263" t="s">
        <v>175</v>
      </c>
      <c r="O263">
        <v>6000</v>
      </c>
      <c r="P263">
        <v>1</v>
      </c>
      <c r="Q263">
        <v>1</v>
      </c>
      <c r="R263">
        <v>0</v>
      </c>
    </row>
    <row r="264" spans="1:18" x14ac:dyDescent="0.3">
      <c r="A264">
        <v>920</v>
      </c>
      <c r="B264">
        <v>1</v>
      </c>
      <c r="C264">
        <v>142</v>
      </c>
      <c r="D264">
        <v>1420</v>
      </c>
      <c r="E264">
        <v>-1</v>
      </c>
      <c r="F264" t="s">
        <v>58</v>
      </c>
      <c r="G264">
        <v>678</v>
      </c>
      <c r="H264" t="s">
        <v>97</v>
      </c>
      <c r="I264">
        <v>678</v>
      </c>
      <c r="J264" t="s">
        <v>103</v>
      </c>
      <c r="K264">
        <v>1</v>
      </c>
      <c r="L264">
        <v>130000</v>
      </c>
      <c r="M264">
        <v>33000</v>
      </c>
      <c r="N264" t="s">
        <v>186</v>
      </c>
      <c r="O264">
        <v>1000</v>
      </c>
      <c r="P264">
        <v>0</v>
      </c>
      <c r="Q264">
        <v>0</v>
      </c>
      <c r="R264">
        <v>1</v>
      </c>
    </row>
    <row r="265" spans="1:18" x14ac:dyDescent="0.3">
      <c r="A265">
        <v>921</v>
      </c>
      <c r="B265">
        <v>1</v>
      </c>
      <c r="C265">
        <v>140</v>
      </c>
      <c r="D265">
        <v>1420</v>
      </c>
      <c r="E265">
        <v>-1</v>
      </c>
      <c r="F265" t="s">
        <v>58</v>
      </c>
      <c r="G265">
        <v>678</v>
      </c>
      <c r="H265" t="s">
        <v>97</v>
      </c>
      <c r="I265">
        <v>678</v>
      </c>
      <c r="J265" t="s">
        <v>103</v>
      </c>
      <c r="K265">
        <v>1</v>
      </c>
      <c r="L265">
        <v>130000</v>
      </c>
      <c r="M265">
        <v>33000</v>
      </c>
      <c r="N265" t="s">
        <v>181</v>
      </c>
      <c r="O265">
        <v>8000</v>
      </c>
      <c r="P265">
        <v>1</v>
      </c>
      <c r="Q265">
        <v>1</v>
      </c>
      <c r="R265">
        <v>0</v>
      </c>
    </row>
    <row r="266" spans="1:18" x14ac:dyDescent="0.3">
      <c r="A266">
        <v>922</v>
      </c>
      <c r="B266">
        <v>1</v>
      </c>
      <c r="C266">
        <v>141</v>
      </c>
      <c r="D266">
        <v>1420</v>
      </c>
      <c r="E266">
        <v>-1</v>
      </c>
      <c r="F266" t="s">
        <v>58</v>
      </c>
      <c r="G266">
        <v>678</v>
      </c>
      <c r="H266" t="s">
        <v>97</v>
      </c>
      <c r="I266">
        <v>678</v>
      </c>
      <c r="J266" t="s">
        <v>103</v>
      </c>
      <c r="K266">
        <v>1</v>
      </c>
      <c r="L266">
        <v>130000</v>
      </c>
      <c r="M266">
        <v>33000</v>
      </c>
      <c r="N266" t="s">
        <v>183</v>
      </c>
      <c r="O266">
        <v>8000</v>
      </c>
      <c r="P266">
        <v>1</v>
      </c>
      <c r="Q266">
        <v>1</v>
      </c>
      <c r="R266">
        <v>1</v>
      </c>
    </row>
    <row r="267" spans="1:18" x14ac:dyDescent="0.3">
      <c r="A267">
        <v>1037</v>
      </c>
      <c r="B267">
        <v>4</v>
      </c>
      <c r="C267">
        <v>138</v>
      </c>
      <c r="D267">
        <v>1487</v>
      </c>
      <c r="E267">
        <v>-1</v>
      </c>
      <c r="F267" t="s">
        <v>56</v>
      </c>
      <c r="G267">
        <v>679</v>
      </c>
      <c r="H267" t="s">
        <v>97</v>
      </c>
      <c r="I267">
        <v>679</v>
      </c>
      <c r="J267" t="s">
        <v>104</v>
      </c>
      <c r="K267">
        <v>4</v>
      </c>
      <c r="L267">
        <v>190000</v>
      </c>
      <c r="M267">
        <v>15000</v>
      </c>
      <c r="N267" t="s">
        <v>178</v>
      </c>
      <c r="O267">
        <v>10000</v>
      </c>
      <c r="P267">
        <v>0</v>
      </c>
      <c r="Q267">
        <v>1</v>
      </c>
      <c r="R267">
        <v>1</v>
      </c>
    </row>
    <row r="268" spans="1:18" x14ac:dyDescent="0.3">
      <c r="A268">
        <v>1038</v>
      </c>
      <c r="B268">
        <v>4</v>
      </c>
      <c r="C268">
        <v>140</v>
      </c>
      <c r="D268">
        <v>1487</v>
      </c>
      <c r="E268">
        <v>-1</v>
      </c>
      <c r="F268" t="s">
        <v>56</v>
      </c>
      <c r="G268">
        <v>679</v>
      </c>
      <c r="H268" t="s">
        <v>97</v>
      </c>
      <c r="I268">
        <v>679</v>
      </c>
      <c r="J268" t="s">
        <v>104</v>
      </c>
      <c r="K268">
        <v>4</v>
      </c>
      <c r="L268">
        <v>190000</v>
      </c>
      <c r="M268">
        <v>15000</v>
      </c>
      <c r="N268" t="s">
        <v>181</v>
      </c>
      <c r="O268">
        <v>8000</v>
      </c>
      <c r="P268">
        <v>1</v>
      </c>
      <c r="Q268">
        <v>1</v>
      </c>
      <c r="R268">
        <v>0</v>
      </c>
    </row>
    <row r="269" spans="1:18" x14ac:dyDescent="0.3">
      <c r="A269">
        <v>1059</v>
      </c>
      <c r="B269">
        <v>4</v>
      </c>
      <c r="C269">
        <v>137</v>
      </c>
      <c r="D269">
        <v>1487</v>
      </c>
      <c r="E269">
        <v>-1</v>
      </c>
      <c r="F269" t="s">
        <v>56</v>
      </c>
      <c r="G269">
        <v>679</v>
      </c>
      <c r="H269" t="s">
        <v>97</v>
      </c>
      <c r="I269">
        <v>679</v>
      </c>
      <c r="J269" t="s">
        <v>104</v>
      </c>
      <c r="K269">
        <v>4</v>
      </c>
      <c r="L269">
        <v>190000</v>
      </c>
      <c r="M269">
        <v>15000</v>
      </c>
      <c r="N269" t="s">
        <v>175</v>
      </c>
      <c r="O269">
        <v>6000</v>
      </c>
      <c r="P269">
        <v>1</v>
      </c>
      <c r="Q269">
        <v>1</v>
      </c>
      <c r="R269">
        <v>0</v>
      </c>
    </row>
    <row r="270" spans="1:18" x14ac:dyDescent="0.3">
      <c r="A270">
        <v>1060</v>
      </c>
      <c r="B270">
        <v>4</v>
      </c>
      <c r="C270">
        <v>142</v>
      </c>
      <c r="D270">
        <v>1487</v>
      </c>
      <c r="E270">
        <v>-1</v>
      </c>
      <c r="F270" t="s">
        <v>56</v>
      </c>
      <c r="G270">
        <v>679</v>
      </c>
      <c r="H270" t="s">
        <v>97</v>
      </c>
      <c r="I270">
        <v>679</v>
      </c>
      <c r="J270" t="s">
        <v>104</v>
      </c>
      <c r="K270">
        <v>4</v>
      </c>
      <c r="L270">
        <v>190000</v>
      </c>
      <c r="M270">
        <v>15000</v>
      </c>
      <c r="N270" t="s">
        <v>186</v>
      </c>
      <c r="O270">
        <v>1000</v>
      </c>
      <c r="P270">
        <v>0</v>
      </c>
      <c r="Q270">
        <v>0</v>
      </c>
      <c r="R270">
        <v>1</v>
      </c>
    </row>
    <row r="271" spans="1:18" x14ac:dyDescent="0.3">
      <c r="A271">
        <v>1061</v>
      </c>
      <c r="B271">
        <v>4</v>
      </c>
      <c r="C271">
        <v>141</v>
      </c>
      <c r="D271">
        <v>1487</v>
      </c>
      <c r="E271">
        <v>-1</v>
      </c>
      <c r="F271" t="s">
        <v>56</v>
      </c>
      <c r="G271">
        <v>679</v>
      </c>
      <c r="H271" t="s">
        <v>97</v>
      </c>
      <c r="I271">
        <v>679</v>
      </c>
      <c r="J271" t="s">
        <v>104</v>
      </c>
      <c r="K271">
        <v>4</v>
      </c>
      <c r="L271">
        <v>190000</v>
      </c>
      <c r="M271">
        <v>15000</v>
      </c>
      <c r="N271" t="s">
        <v>183</v>
      </c>
      <c r="O271">
        <v>8000</v>
      </c>
      <c r="P271">
        <v>1</v>
      </c>
      <c r="Q271">
        <v>1</v>
      </c>
      <c r="R271">
        <v>1</v>
      </c>
    </row>
    <row r="272" spans="1:18" x14ac:dyDescent="0.3">
      <c r="A272">
        <v>971</v>
      </c>
      <c r="B272">
        <v>3</v>
      </c>
      <c r="C272">
        <v>142</v>
      </c>
      <c r="D272">
        <v>1399</v>
      </c>
      <c r="E272">
        <v>-1</v>
      </c>
      <c r="F272" t="s">
        <v>75</v>
      </c>
      <c r="G272">
        <v>682</v>
      </c>
      <c r="H272" t="s">
        <v>105</v>
      </c>
      <c r="I272">
        <v>682</v>
      </c>
      <c r="J272" t="s">
        <v>106</v>
      </c>
      <c r="K272">
        <v>3</v>
      </c>
      <c r="L272">
        <v>75000</v>
      </c>
      <c r="M272">
        <v>1000</v>
      </c>
      <c r="N272" t="s">
        <v>186</v>
      </c>
      <c r="O272">
        <v>1000</v>
      </c>
      <c r="P272">
        <v>0</v>
      </c>
      <c r="Q272">
        <v>0</v>
      </c>
      <c r="R272">
        <v>1</v>
      </c>
    </row>
    <row r="273" spans="1:18" x14ac:dyDescent="0.3">
      <c r="A273">
        <v>934</v>
      </c>
      <c r="B273">
        <v>1</v>
      </c>
      <c r="C273">
        <v>141</v>
      </c>
      <c r="D273">
        <v>1400</v>
      </c>
      <c r="E273">
        <v>-1</v>
      </c>
      <c r="F273" t="s">
        <v>37</v>
      </c>
      <c r="G273">
        <v>683</v>
      </c>
      <c r="H273" t="s">
        <v>105</v>
      </c>
      <c r="I273">
        <v>683</v>
      </c>
      <c r="J273" t="s">
        <v>107</v>
      </c>
      <c r="K273">
        <v>1</v>
      </c>
      <c r="L273">
        <v>110000</v>
      </c>
      <c r="M273">
        <v>8000</v>
      </c>
      <c r="N273" t="s">
        <v>183</v>
      </c>
      <c r="O273">
        <v>8000</v>
      </c>
      <c r="P273">
        <v>1</v>
      </c>
      <c r="Q273">
        <v>1</v>
      </c>
      <c r="R273">
        <v>1</v>
      </c>
    </row>
    <row r="274" spans="1:18" x14ac:dyDescent="0.3">
      <c r="A274">
        <v>958</v>
      </c>
      <c r="B274">
        <v>2</v>
      </c>
      <c r="C274">
        <v>138</v>
      </c>
      <c r="D274">
        <v>1400</v>
      </c>
      <c r="E274">
        <v>-1</v>
      </c>
      <c r="F274" t="s">
        <v>37</v>
      </c>
      <c r="G274">
        <v>683</v>
      </c>
      <c r="H274" t="s">
        <v>105</v>
      </c>
      <c r="I274">
        <v>683</v>
      </c>
      <c r="J274" t="s">
        <v>107</v>
      </c>
      <c r="K274">
        <v>2</v>
      </c>
      <c r="L274">
        <v>110000</v>
      </c>
      <c r="M274">
        <v>10000</v>
      </c>
      <c r="N274" t="s">
        <v>178</v>
      </c>
      <c r="O274">
        <v>10000</v>
      </c>
      <c r="P274">
        <v>0</v>
      </c>
      <c r="Q274">
        <v>1</v>
      </c>
      <c r="R274">
        <v>1</v>
      </c>
    </row>
    <row r="275" spans="1:18" x14ac:dyDescent="0.3">
      <c r="A275">
        <v>974</v>
      </c>
      <c r="B275">
        <v>3</v>
      </c>
      <c r="C275">
        <v>140</v>
      </c>
      <c r="D275">
        <v>1400</v>
      </c>
      <c r="E275">
        <v>-1</v>
      </c>
      <c r="F275" t="s">
        <v>37</v>
      </c>
      <c r="G275">
        <v>683</v>
      </c>
      <c r="H275" t="s">
        <v>105</v>
      </c>
      <c r="I275">
        <v>683</v>
      </c>
      <c r="J275" t="s">
        <v>107</v>
      </c>
      <c r="K275">
        <v>3</v>
      </c>
      <c r="L275">
        <v>110000</v>
      </c>
      <c r="M275">
        <v>8000</v>
      </c>
      <c r="N275" t="s">
        <v>181</v>
      </c>
      <c r="O275">
        <v>8000</v>
      </c>
      <c r="P275">
        <v>1</v>
      </c>
      <c r="Q275">
        <v>1</v>
      </c>
      <c r="R275">
        <v>0</v>
      </c>
    </row>
    <row r="276" spans="1:18" x14ac:dyDescent="0.3">
      <c r="A276">
        <v>1058</v>
      </c>
      <c r="B276">
        <v>4</v>
      </c>
      <c r="C276">
        <v>137</v>
      </c>
      <c r="D276">
        <v>1400</v>
      </c>
      <c r="E276">
        <v>-1</v>
      </c>
      <c r="F276" t="s">
        <v>37</v>
      </c>
      <c r="G276">
        <v>683</v>
      </c>
      <c r="H276" t="s">
        <v>105</v>
      </c>
      <c r="I276">
        <v>683</v>
      </c>
      <c r="J276" t="s">
        <v>107</v>
      </c>
      <c r="K276">
        <v>4</v>
      </c>
      <c r="L276">
        <v>110000</v>
      </c>
      <c r="M276">
        <v>6000</v>
      </c>
      <c r="N276" t="s">
        <v>175</v>
      </c>
      <c r="O276">
        <v>6000</v>
      </c>
      <c r="P276">
        <v>1</v>
      </c>
      <c r="Q276">
        <v>1</v>
      </c>
      <c r="R276">
        <v>0</v>
      </c>
    </row>
    <row r="277" spans="1:18" x14ac:dyDescent="0.3">
      <c r="A277">
        <v>911</v>
      </c>
      <c r="B277">
        <v>1</v>
      </c>
      <c r="C277">
        <v>142</v>
      </c>
      <c r="D277">
        <v>1402</v>
      </c>
      <c r="E277">
        <v>-1</v>
      </c>
      <c r="F277" t="s">
        <v>71</v>
      </c>
      <c r="G277">
        <v>684</v>
      </c>
      <c r="H277" t="s">
        <v>105</v>
      </c>
      <c r="I277">
        <v>684</v>
      </c>
      <c r="J277" t="s">
        <v>108</v>
      </c>
      <c r="K277">
        <v>1</v>
      </c>
      <c r="L277">
        <v>60000</v>
      </c>
      <c r="M277">
        <v>1000</v>
      </c>
      <c r="N277" t="s">
        <v>186</v>
      </c>
      <c r="O277">
        <v>1000</v>
      </c>
      <c r="P277">
        <v>0</v>
      </c>
      <c r="Q277">
        <v>0</v>
      </c>
      <c r="R277">
        <v>1</v>
      </c>
    </row>
    <row r="278" spans="1:18" x14ac:dyDescent="0.3">
      <c r="A278">
        <v>991</v>
      </c>
      <c r="B278">
        <v>4</v>
      </c>
      <c r="C278">
        <v>142</v>
      </c>
      <c r="D278">
        <v>1458</v>
      </c>
      <c r="E278">
        <v>-1</v>
      </c>
      <c r="F278" t="s">
        <v>102</v>
      </c>
      <c r="G278">
        <v>685</v>
      </c>
      <c r="H278" t="s">
        <v>105</v>
      </c>
      <c r="I278">
        <v>685</v>
      </c>
      <c r="J278" t="s">
        <v>109</v>
      </c>
      <c r="K278">
        <v>4</v>
      </c>
      <c r="L278">
        <v>90000</v>
      </c>
      <c r="M278">
        <v>6000</v>
      </c>
      <c r="N278" t="s">
        <v>186</v>
      </c>
      <c r="O278">
        <v>1000</v>
      </c>
      <c r="P278">
        <v>0</v>
      </c>
      <c r="Q278">
        <v>0</v>
      </c>
      <c r="R278">
        <v>1</v>
      </c>
    </row>
    <row r="279" spans="1:18" x14ac:dyDescent="0.3">
      <c r="A279">
        <v>1062</v>
      </c>
      <c r="B279">
        <v>4</v>
      </c>
      <c r="C279">
        <v>137</v>
      </c>
      <c r="D279">
        <v>1458</v>
      </c>
      <c r="E279">
        <v>-1</v>
      </c>
      <c r="F279" t="s">
        <v>102</v>
      </c>
      <c r="G279">
        <v>685</v>
      </c>
      <c r="H279" t="s">
        <v>105</v>
      </c>
      <c r="I279">
        <v>685</v>
      </c>
      <c r="J279" t="s">
        <v>109</v>
      </c>
      <c r="K279">
        <v>4</v>
      </c>
      <c r="L279">
        <v>90000</v>
      </c>
      <c r="M279">
        <v>6000</v>
      </c>
      <c r="N279" t="s">
        <v>175</v>
      </c>
      <c r="O279">
        <v>6000</v>
      </c>
      <c r="P279">
        <v>1</v>
      </c>
      <c r="Q279">
        <v>1</v>
      </c>
      <c r="R279">
        <v>0</v>
      </c>
    </row>
    <row r="280" spans="1:18" x14ac:dyDescent="0.3">
      <c r="A280">
        <v>906</v>
      </c>
      <c r="B280">
        <v>1</v>
      </c>
      <c r="C280">
        <v>137</v>
      </c>
      <c r="D280">
        <v>1397</v>
      </c>
      <c r="E280">
        <v>-1</v>
      </c>
      <c r="F280" t="s">
        <v>83</v>
      </c>
      <c r="G280">
        <v>686</v>
      </c>
      <c r="H280" t="s">
        <v>105</v>
      </c>
      <c r="I280">
        <v>686</v>
      </c>
      <c r="J280" t="s">
        <v>110</v>
      </c>
      <c r="K280">
        <v>1</v>
      </c>
      <c r="L280">
        <v>130000</v>
      </c>
      <c r="M280">
        <v>14000</v>
      </c>
      <c r="N280" t="s">
        <v>175</v>
      </c>
      <c r="O280">
        <v>6000</v>
      </c>
      <c r="P280">
        <v>1</v>
      </c>
      <c r="Q280">
        <v>1</v>
      </c>
      <c r="R280">
        <v>0</v>
      </c>
    </row>
    <row r="281" spans="1:18" x14ac:dyDescent="0.3">
      <c r="A281">
        <v>907</v>
      </c>
      <c r="B281">
        <v>1</v>
      </c>
      <c r="C281">
        <v>140</v>
      </c>
      <c r="D281">
        <v>1397</v>
      </c>
      <c r="E281">
        <v>-1</v>
      </c>
      <c r="F281" t="s">
        <v>83</v>
      </c>
      <c r="G281">
        <v>686</v>
      </c>
      <c r="H281" t="s">
        <v>105</v>
      </c>
      <c r="I281">
        <v>686</v>
      </c>
      <c r="J281" t="s">
        <v>110</v>
      </c>
      <c r="K281">
        <v>1</v>
      </c>
      <c r="L281">
        <v>130000</v>
      </c>
      <c r="M281">
        <v>14000</v>
      </c>
      <c r="N281" t="s">
        <v>181</v>
      </c>
      <c r="O281">
        <v>8000</v>
      </c>
      <c r="P281">
        <v>1</v>
      </c>
      <c r="Q281">
        <v>1</v>
      </c>
      <c r="R281">
        <v>0</v>
      </c>
    </row>
    <row r="282" spans="1:18" x14ac:dyDescent="0.3">
      <c r="A282">
        <v>954</v>
      </c>
      <c r="B282">
        <v>2</v>
      </c>
      <c r="C282">
        <v>138</v>
      </c>
      <c r="D282">
        <v>1397</v>
      </c>
      <c r="E282">
        <v>-1</v>
      </c>
      <c r="F282" t="s">
        <v>83</v>
      </c>
      <c r="G282">
        <v>686</v>
      </c>
      <c r="H282" t="s">
        <v>105</v>
      </c>
      <c r="I282">
        <v>686</v>
      </c>
      <c r="J282" t="s">
        <v>110</v>
      </c>
      <c r="K282">
        <v>2</v>
      </c>
      <c r="L282">
        <v>130000</v>
      </c>
      <c r="M282">
        <v>18000</v>
      </c>
      <c r="N282" t="s">
        <v>178</v>
      </c>
      <c r="O282">
        <v>10000</v>
      </c>
      <c r="P282">
        <v>0</v>
      </c>
      <c r="Q282">
        <v>1</v>
      </c>
      <c r="R282">
        <v>1</v>
      </c>
    </row>
    <row r="283" spans="1:18" x14ac:dyDescent="0.3">
      <c r="A283">
        <v>955</v>
      </c>
      <c r="B283">
        <v>2</v>
      </c>
      <c r="C283">
        <v>141</v>
      </c>
      <c r="D283">
        <v>1397</v>
      </c>
      <c r="E283">
        <v>-1</v>
      </c>
      <c r="F283" t="s">
        <v>83</v>
      </c>
      <c r="G283">
        <v>686</v>
      </c>
      <c r="H283" t="s">
        <v>105</v>
      </c>
      <c r="I283">
        <v>686</v>
      </c>
      <c r="J283" t="s">
        <v>110</v>
      </c>
      <c r="K283">
        <v>2</v>
      </c>
      <c r="L283">
        <v>130000</v>
      </c>
      <c r="M283">
        <v>18000</v>
      </c>
      <c r="N283" t="s">
        <v>183</v>
      </c>
      <c r="O283">
        <v>8000</v>
      </c>
      <c r="P283">
        <v>1</v>
      </c>
      <c r="Q283">
        <v>1</v>
      </c>
      <c r="R283">
        <v>1</v>
      </c>
    </row>
    <row r="284" spans="1:18" x14ac:dyDescent="0.3">
      <c r="A284">
        <v>970</v>
      </c>
      <c r="B284">
        <v>3</v>
      </c>
      <c r="C284">
        <v>142</v>
      </c>
      <c r="D284">
        <v>1397</v>
      </c>
      <c r="E284">
        <v>-1</v>
      </c>
      <c r="F284" t="s">
        <v>83</v>
      </c>
      <c r="G284">
        <v>686</v>
      </c>
      <c r="H284" t="s">
        <v>105</v>
      </c>
      <c r="I284">
        <v>686</v>
      </c>
      <c r="J284" t="s">
        <v>110</v>
      </c>
      <c r="K284">
        <v>3</v>
      </c>
      <c r="L284">
        <v>130000</v>
      </c>
      <c r="M284">
        <v>1000</v>
      </c>
      <c r="N284" t="s">
        <v>186</v>
      </c>
      <c r="O284">
        <v>1000</v>
      </c>
      <c r="P284">
        <v>0</v>
      </c>
      <c r="Q284">
        <v>0</v>
      </c>
      <c r="R284">
        <v>1</v>
      </c>
    </row>
    <row r="285" spans="1:18" x14ac:dyDescent="0.3">
      <c r="A285">
        <v>939</v>
      </c>
      <c r="B285">
        <v>1</v>
      </c>
      <c r="C285">
        <v>138</v>
      </c>
      <c r="D285">
        <v>1389</v>
      </c>
      <c r="E285">
        <v>-1</v>
      </c>
      <c r="F285" t="s">
        <v>41</v>
      </c>
      <c r="G285">
        <v>687</v>
      </c>
      <c r="H285" t="s">
        <v>105</v>
      </c>
      <c r="I285">
        <v>687</v>
      </c>
      <c r="J285" t="s">
        <v>111</v>
      </c>
      <c r="K285">
        <v>1</v>
      </c>
      <c r="L285">
        <v>190000</v>
      </c>
      <c r="M285">
        <v>33000</v>
      </c>
      <c r="N285" t="s">
        <v>178</v>
      </c>
      <c r="O285">
        <v>10000</v>
      </c>
      <c r="P285">
        <v>0</v>
      </c>
      <c r="Q285">
        <v>1</v>
      </c>
      <c r="R285">
        <v>1</v>
      </c>
    </row>
    <row r="286" spans="1:18" x14ac:dyDescent="0.3">
      <c r="A286">
        <v>940</v>
      </c>
      <c r="B286">
        <v>1</v>
      </c>
      <c r="C286">
        <v>137</v>
      </c>
      <c r="D286">
        <v>1389</v>
      </c>
      <c r="E286">
        <v>-1</v>
      </c>
      <c r="F286" t="s">
        <v>41</v>
      </c>
      <c r="G286">
        <v>687</v>
      </c>
      <c r="H286" t="s">
        <v>105</v>
      </c>
      <c r="I286">
        <v>687</v>
      </c>
      <c r="J286" t="s">
        <v>111</v>
      </c>
      <c r="K286">
        <v>1</v>
      </c>
      <c r="L286">
        <v>190000</v>
      </c>
      <c r="M286">
        <v>33000</v>
      </c>
      <c r="N286" t="s">
        <v>175</v>
      </c>
      <c r="O286">
        <v>6000</v>
      </c>
      <c r="P286">
        <v>1</v>
      </c>
      <c r="Q286">
        <v>1</v>
      </c>
      <c r="R286">
        <v>0</v>
      </c>
    </row>
    <row r="287" spans="1:18" x14ac:dyDescent="0.3">
      <c r="A287">
        <v>941</v>
      </c>
      <c r="B287">
        <v>1</v>
      </c>
      <c r="C287">
        <v>142</v>
      </c>
      <c r="D287">
        <v>1389</v>
      </c>
      <c r="E287">
        <v>-1</v>
      </c>
      <c r="F287" t="s">
        <v>41</v>
      </c>
      <c r="G287">
        <v>687</v>
      </c>
      <c r="H287" t="s">
        <v>105</v>
      </c>
      <c r="I287">
        <v>687</v>
      </c>
      <c r="J287" t="s">
        <v>111</v>
      </c>
      <c r="K287">
        <v>1</v>
      </c>
      <c r="L287">
        <v>190000</v>
      </c>
      <c r="M287">
        <v>33000</v>
      </c>
      <c r="N287" t="s">
        <v>186</v>
      </c>
      <c r="O287">
        <v>1000</v>
      </c>
      <c r="P287">
        <v>0</v>
      </c>
      <c r="Q287">
        <v>0</v>
      </c>
      <c r="R287">
        <v>1</v>
      </c>
    </row>
    <row r="288" spans="1:18" x14ac:dyDescent="0.3">
      <c r="A288">
        <v>942</v>
      </c>
      <c r="B288">
        <v>1</v>
      </c>
      <c r="C288">
        <v>140</v>
      </c>
      <c r="D288">
        <v>1389</v>
      </c>
      <c r="E288">
        <v>-1</v>
      </c>
      <c r="F288" t="s">
        <v>41</v>
      </c>
      <c r="G288">
        <v>687</v>
      </c>
      <c r="H288" t="s">
        <v>105</v>
      </c>
      <c r="I288">
        <v>687</v>
      </c>
      <c r="J288" t="s">
        <v>111</v>
      </c>
      <c r="K288">
        <v>1</v>
      </c>
      <c r="L288">
        <v>190000</v>
      </c>
      <c r="M288">
        <v>33000</v>
      </c>
      <c r="N288" t="s">
        <v>181</v>
      </c>
      <c r="O288">
        <v>8000</v>
      </c>
      <c r="P288">
        <v>1</v>
      </c>
      <c r="Q288">
        <v>1</v>
      </c>
      <c r="R288">
        <v>0</v>
      </c>
    </row>
    <row r="289" spans="1:18" x14ac:dyDescent="0.3">
      <c r="A289">
        <v>943</v>
      </c>
      <c r="B289">
        <v>1</v>
      </c>
      <c r="C289">
        <v>141</v>
      </c>
      <c r="D289">
        <v>1389</v>
      </c>
      <c r="E289">
        <v>-1</v>
      </c>
      <c r="F289" t="s">
        <v>41</v>
      </c>
      <c r="G289">
        <v>687</v>
      </c>
      <c r="H289" t="s">
        <v>105</v>
      </c>
      <c r="I289">
        <v>687</v>
      </c>
      <c r="J289" t="s">
        <v>111</v>
      </c>
      <c r="K289">
        <v>1</v>
      </c>
      <c r="L289">
        <v>190000</v>
      </c>
      <c r="M289">
        <v>33000</v>
      </c>
      <c r="N289" t="s">
        <v>183</v>
      </c>
      <c r="O289">
        <v>8000</v>
      </c>
      <c r="P289">
        <v>1</v>
      </c>
      <c r="Q289">
        <v>1</v>
      </c>
      <c r="R289">
        <v>1</v>
      </c>
    </row>
    <row r="290" spans="1:18" x14ac:dyDescent="0.3">
      <c r="A290">
        <v>933</v>
      </c>
      <c r="B290">
        <v>1</v>
      </c>
      <c r="C290">
        <v>137</v>
      </c>
      <c r="D290">
        <v>1436</v>
      </c>
      <c r="E290">
        <v>-1</v>
      </c>
      <c r="F290" t="s">
        <v>48</v>
      </c>
      <c r="G290">
        <v>690</v>
      </c>
      <c r="H290" t="s">
        <v>112</v>
      </c>
      <c r="I290">
        <v>690</v>
      </c>
      <c r="J290" t="s">
        <v>113</v>
      </c>
      <c r="K290">
        <v>1</v>
      </c>
      <c r="L290">
        <v>75000</v>
      </c>
      <c r="M290">
        <v>6000</v>
      </c>
      <c r="N290" t="s">
        <v>175</v>
      </c>
      <c r="O290">
        <v>6000</v>
      </c>
      <c r="P290">
        <v>1</v>
      </c>
      <c r="Q290">
        <v>1</v>
      </c>
      <c r="R290">
        <v>0</v>
      </c>
    </row>
    <row r="291" spans="1:18" x14ac:dyDescent="0.3">
      <c r="A291">
        <v>977</v>
      </c>
      <c r="B291">
        <v>3</v>
      </c>
      <c r="C291">
        <v>138</v>
      </c>
      <c r="D291">
        <v>1436</v>
      </c>
      <c r="E291">
        <v>-1</v>
      </c>
      <c r="F291" t="s">
        <v>48</v>
      </c>
      <c r="G291">
        <v>690</v>
      </c>
      <c r="H291" t="s">
        <v>112</v>
      </c>
      <c r="I291">
        <v>690</v>
      </c>
      <c r="J291" t="s">
        <v>113</v>
      </c>
      <c r="K291">
        <v>3</v>
      </c>
      <c r="L291">
        <v>75000</v>
      </c>
      <c r="M291">
        <v>10000</v>
      </c>
      <c r="N291" t="s">
        <v>178</v>
      </c>
      <c r="O291">
        <v>10000</v>
      </c>
      <c r="P291">
        <v>0</v>
      </c>
      <c r="Q291">
        <v>1</v>
      </c>
      <c r="R291">
        <v>1</v>
      </c>
    </row>
    <row r="292" spans="1:18" x14ac:dyDescent="0.3">
      <c r="A292">
        <v>928</v>
      </c>
      <c r="B292">
        <v>1</v>
      </c>
      <c r="C292">
        <v>141</v>
      </c>
      <c r="D292">
        <v>1435</v>
      </c>
      <c r="E292">
        <v>-1</v>
      </c>
      <c r="F292" t="s">
        <v>58</v>
      </c>
      <c r="G292">
        <v>691</v>
      </c>
      <c r="H292" t="s">
        <v>112</v>
      </c>
      <c r="I292">
        <v>691</v>
      </c>
      <c r="J292" t="s">
        <v>114</v>
      </c>
      <c r="K292">
        <v>1</v>
      </c>
      <c r="L292">
        <v>110000</v>
      </c>
      <c r="M292">
        <v>8000</v>
      </c>
      <c r="N292" t="s">
        <v>183</v>
      </c>
      <c r="O292">
        <v>8000</v>
      </c>
      <c r="P292">
        <v>1</v>
      </c>
      <c r="Q292">
        <v>1</v>
      </c>
      <c r="R292">
        <v>1</v>
      </c>
    </row>
    <row r="293" spans="1:18" x14ac:dyDescent="0.3">
      <c r="A293">
        <v>956</v>
      </c>
      <c r="B293">
        <v>2</v>
      </c>
      <c r="C293">
        <v>137</v>
      </c>
      <c r="D293">
        <v>1435</v>
      </c>
      <c r="E293">
        <v>-1</v>
      </c>
      <c r="F293" t="s">
        <v>58</v>
      </c>
      <c r="G293">
        <v>691</v>
      </c>
      <c r="H293" t="s">
        <v>112</v>
      </c>
      <c r="I293">
        <v>691</v>
      </c>
      <c r="J293" t="s">
        <v>114</v>
      </c>
      <c r="K293">
        <v>2</v>
      </c>
      <c r="L293">
        <v>110000</v>
      </c>
      <c r="M293">
        <v>14000</v>
      </c>
      <c r="N293" t="s">
        <v>175</v>
      </c>
      <c r="O293">
        <v>6000</v>
      </c>
      <c r="P293">
        <v>1</v>
      </c>
      <c r="Q293">
        <v>1</v>
      </c>
      <c r="R293">
        <v>0</v>
      </c>
    </row>
    <row r="294" spans="1:18" x14ac:dyDescent="0.3">
      <c r="A294">
        <v>957</v>
      </c>
      <c r="B294">
        <v>2</v>
      </c>
      <c r="C294">
        <v>140</v>
      </c>
      <c r="D294">
        <v>1435</v>
      </c>
      <c r="E294">
        <v>-1</v>
      </c>
      <c r="F294" t="s">
        <v>58</v>
      </c>
      <c r="G294">
        <v>691</v>
      </c>
      <c r="H294" t="s">
        <v>112</v>
      </c>
      <c r="I294">
        <v>691</v>
      </c>
      <c r="J294" t="s">
        <v>114</v>
      </c>
      <c r="K294">
        <v>2</v>
      </c>
      <c r="L294">
        <v>110000</v>
      </c>
      <c r="M294">
        <v>14000</v>
      </c>
      <c r="N294" t="s">
        <v>181</v>
      </c>
      <c r="O294">
        <v>8000</v>
      </c>
      <c r="P294">
        <v>1</v>
      </c>
      <c r="Q294">
        <v>1</v>
      </c>
      <c r="R294">
        <v>0</v>
      </c>
    </row>
    <row r="295" spans="1:18" x14ac:dyDescent="0.3">
      <c r="A295">
        <v>975</v>
      </c>
      <c r="B295">
        <v>3</v>
      </c>
      <c r="C295">
        <v>138</v>
      </c>
      <c r="D295">
        <v>1435</v>
      </c>
      <c r="E295">
        <v>-1</v>
      </c>
      <c r="F295" t="s">
        <v>58</v>
      </c>
      <c r="G295">
        <v>691</v>
      </c>
      <c r="H295" t="s">
        <v>112</v>
      </c>
      <c r="I295">
        <v>691</v>
      </c>
      <c r="J295" t="s">
        <v>114</v>
      </c>
      <c r="K295">
        <v>3</v>
      </c>
      <c r="L295">
        <v>110000</v>
      </c>
      <c r="M295">
        <v>11000</v>
      </c>
      <c r="N295" t="s">
        <v>178</v>
      </c>
      <c r="O295">
        <v>10000</v>
      </c>
      <c r="P295">
        <v>0</v>
      </c>
      <c r="Q295">
        <v>1</v>
      </c>
      <c r="R295">
        <v>1</v>
      </c>
    </row>
    <row r="296" spans="1:18" x14ac:dyDescent="0.3">
      <c r="A296">
        <v>976</v>
      </c>
      <c r="B296">
        <v>3</v>
      </c>
      <c r="C296">
        <v>142</v>
      </c>
      <c r="D296">
        <v>1435</v>
      </c>
      <c r="E296">
        <v>-1</v>
      </c>
      <c r="F296" t="s">
        <v>58</v>
      </c>
      <c r="G296">
        <v>691</v>
      </c>
      <c r="H296" t="s">
        <v>112</v>
      </c>
      <c r="I296">
        <v>691</v>
      </c>
      <c r="J296" t="s">
        <v>114</v>
      </c>
      <c r="K296">
        <v>3</v>
      </c>
      <c r="L296">
        <v>110000</v>
      </c>
      <c r="M296">
        <v>11000</v>
      </c>
      <c r="N296" t="s">
        <v>186</v>
      </c>
      <c r="O296">
        <v>1000</v>
      </c>
      <c r="P296">
        <v>0</v>
      </c>
      <c r="Q296">
        <v>0</v>
      </c>
      <c r="R296">
        <v>1</v>
      </c>
    </row>
    <row r="297" spans="1:18" x14ac:dyDescent="0.3">
      <c r="A297">
        <v>1005</v>
      </c>
      <c r="B297">
        <v>4</v>
      </c>
      <c r="C297">
        <v>142</v>
      </c>
      <c r="D297">
        <v>1468</v>
      </c>
      <c r="E297">
        <v>-1</v>
      </c>
      <c r="F297" t="s">
        <v>102</v>
      </c>
      <c r="G297">
        <v>693</v>
      </c>
      <c r="H297" t="s">
        <v>112</v>
      </c>
      <c r="I297">
        <v>693</v>
      </c>
      <c r="J297" t="s">
        <v>115</v>
      </c>
      <c r="K297">
        <v>4</v>
      </c>
      <c r="L297">
        <v>90000</v>
      </c>
      <c r="M297">
        <v>6000</v>
      </c>
      <c r="N297" t="s">
        <v>186</v>
      </c>
      <c r="O297">
        <v>1000</v>
      </c>
      <c r="P297">
        <v>0</v>
      </c>
      <c r="Q297">
        <v>0</v>
      </c>
      <c r="R297">
        <v>1</v>
      </c>
    </row>
    <row r="298" spans="1:18" x14ac:dyDescent="0.3">
      <c r="A298">
        <v>1053</v>
      </c>
      <c r="B298">
        <v>4</v>
      </c>
      <c r="C298">
        <v>137</v>
      </c>
      <c r="D298">
        <v>1468</v>
      </c>
      <c r="E298">
        <v>-1</v>
      </c>
      <c r="F298" t="s">
        <v>102</v>
      </c>
      <c r="G298">
        <v>693</v>
      </c>
      <c r="H298" t="s">
        <v>112</v>
      </c>
      <c r="I298">
        <v>693</v>
      </c>
      <c r="J298" t="s">
        <v>115</v>
      </c>
      <c r="K298">
        <v>4</v>
      </c>
      <c r="L298">
        <v>90000</v>
      </c>
      <c r="M298">
        <v>6000</v>
      </c>
      <c r="N298" t="s">
        <v>175</v>
      </c>
      <c r="O298">
        <v>6000</v>
      </c>
      <c r="P298">
        <v>1</v>
      </c>
      <c r="Q298">
        <v>1</v>
      </c>
      <c r="R298">
        <v>0</v>
      </c>
    </row>
    <row r="299" spans="1:18" x14ac:dyDescent="0.3">
      <c r="A299">
        <v>1002</v>
      </c>
      <c r="B299">
        <v>4</v>
      </c>
      <c r="C299">
        <v>138</v>
      </c>
      <c r="D299">
        <v>1466</v>
      </c>
      <c r="E299">
        <v>-1</v>
      </c>
      <c r="F299" t="s">
        <v>77</v>
      </c>
      <c r="G299">
        <v>694</v>
      </c>
      <c r="H299" t="s">
        <v>112</v>
      </c>
      <c r="I299">
        <v>694</v>
      </c>
      <c r="J299" t="s">
        <v>116</v>
      </c>
      <c r="K299">
        <v>4</v>
      </c>
      <c r="L299">
        <v>130000</v>
      </c>
      <c r="M299">
        <v>23000</v>
      </c>
      <c r="N299" t="s">
        <v>178</v>
      </c>
      <c r="O299">
        <v>10000</v>
      </c>
      <c r="P299">
        <v>0</v>
      </c>
      <c r="Q299">
        <v>1</v>
      </c>
      <c r="R299">
        <v>1</v>
      </c>
    </row>
    <row r="300" spans="1:18" x14ac:dyDescent="0.3">
      <c r="A300">
        <v>1054</v>
      </c>
      <c r="B300">
        <v>4</v>
      </c>
      <c r="C300">
        <v>137</v>
      </c>
      <c r="D300">
        <v>1466</v>
      </c>
      <c r="E300">
        <v>-1</v>
      </c>
      <c r="F300" t="s">
        <v>77</v>
      </c>
      <c r="G300">
        <v>694</v>
      </c>
      <c r="H300" t="s">
        <v>112</v>
      </c>
      <c r="I300">
        <v>694</v>
      </c>
      <c r="J300" t="s">
        <v>116</v>
      </c>
      <c r="K300">
        <v>4</v>
      </c>
      <c r="L300">
        <v>130000</v>
      </c>
      <c r="M300">
        <v>23000</v>
      </c>
      <c r="N300" t="s">
        <v>175</v>
      </c>
      <c r="O300">
        <v>6000</v>
      </c>
      <c r="P300">
        <v>1</v>
      </c>
      <c r="Q300">
        <v>1</v>
      </c>
      <c r="R300">
        <v>0</v>
      </c>
    </row>
    <row r="301" spans="1:18" x14ac:dyDescent="0.3">
      <c r="A301">
        <v>1055</v>
      </c>
      <c r="B301">
        <v>4</v>
      </c>
      <c r="C301">
        <v>142</v>
      </c>
      <c r="D301">
        <v>1466</v>
      </c>
      <c r="E301">
        <v>-1</v>
      </c>
      <c r="F301" t="s">
        <v>77</v>
      </c>
      <c r="G301">
        <v>694</v>
      </c>
      <c r="H301" t="s">
        <v>112</v>
      </c>
      <c r="I301">
        <v>694</v>
      </c>
      <c r="J301" t="s">
        <v>116</v>
      </c>
      <c r="K301">
        <v>4</v>
      </c>
      <c r="L301">
        <v>130000</v>
      </c>
      <c r="M301">
        <v>23000</v>
      </c>
      <c r="N301" t="s">
        <v>186</v>
      </c>
      <c r="O301">
        <v>1000</v>
      </c>
      <c r="P301">
        <v>0</v>
      </c>
      <c r="Q301">
        <v>0</v>
      </c>
      <c r="R301">
        <v>1</v>
      </c>
    </row>
    <row r="302" spans="1:18" x14ac:dyDescent="0.3">
      <c r="A302">
        <v>1056</v>
      </c>
      <c r="B302">
        <v>4</v>
      </c>
      <c r="C302">
        <v>140</v>
      </c>
      <c r="D302">
        <v>1466</v>
      </c>
      <c r="E302">
        <v>-1</v>
      </c>
      <c r="F302" t="s">
        <v>77</v>
      </c>
      <c r="G302">
        <v>694</v>
      </c>
      <c r="H302" t="s">
        <v>112</v>
      </c>
      <c r="I302">
        <v>694</v>
      </c>
      <c r="J302" t="s">
        <v>116</v>
      </c>
      <c r="K302">
        <v>4</v>
      </c>
      <c r="L302">
        <v>130000</v>
      </c>
      <c r="M302">
        <v>23000</v>
      </c>
      <c r="N302" t="s">
        <v>181</v>
      </c>
      <c r="O302">
        <v>8000</v>
      </c>
      <c r="P302">
        <v>1</v>
      </c>
      <c r="Q302">
        <v>1</v>
      </c>
      <c r="R302">
        <v>0</v>
      </c>
    </row>
    <row r="303" spans="1:18" x14ac:dyDescent="0.3">
      <c r="A303">
        <v>1057</v>
      </c>
      <c r="B303">
        <v>4</v>
      </c>
      <c r="C303">
        <v>141</v>
      </c>
      <c r="D303">
        <v>1466</v>
      </c>
      <c r="E303">
        <v>-1</v>
      </c>
      <c r="F303" t="s">
        <v>77</v>
      </c>
      <c r="G303">
        <v>694</v>
      </c>
      <c r="H303" t="s">
        <v>112</v>
      </c>
      <c r="I303">
        <v>694</v>
      </c>
      <c r="J303" t="s">
        <v>116</v>
      </c>
      <c r="K303">
        <v>4</v>
      </c>
      <c r="L303">
        <v>130000</v>
      </c>
      <c r="M303">
        <v>23000</v>
      </c>
      <c r="N303" t="s">
        <v>183</v>
      </c>
      <c r="O303">
        <v>8000</v>
      </c>
      <c r="P303">
        <v>1</v>
      </c>
      <c r="Q303">
        <v>1</v>
      </c>
      <c r="R303">
        <v>1</v>
      </c>
    </row>
    <row r="304" spans="1:18" x14ac:dyDescent="0.3">
      <c r="A304">
        <v>1003</v>
      </c>
      <c r="B304">
        <v>4</v>
      </c>
      <c r="C304">
        <v>138</v>
      </c>
      <c r="D304">
        <v>1467</v>
      </c>
      <c r="E304">
        <v>-1</v>
      </c>
      <c r="F304" t="s">
        <v>56</v>
      </c>
      <c r="G304">
        <v>695</v>
      </c>
      <c r="H304" t="s">
        <v>112</v>
      </c>
      <c r="I304">
        <v>695</v>
      </c>
      <c r="J304" t="s">
        <v>118</v>
      </c>
      <c r="K304">
        <v>4</v>
      </c>
      <c r="L304">
        <v>190000</v>
      </c>
      <c r="M304">
        <v>15000</v>
      </c>
      <c r="N304" t="s">
        <v>178</v>
      </c>
      <c r="O304">
        <v>10000</v>
      </c>
      <c r="P304">
        <v>0</v>
      </c>
      <c r="Q304">
        <v>1</v>
      </c>
      <c r="R304">
        <v>1</v>
      </c>
    </row>
    <row r="305" spans="1:18" x14ac:dyDescent="0.3">
      <c r="A305">
        <v>1004</v>
      </c>
      <c r="B305">
        <v>4</v>
      </c>
      <c r="C305">
        <v>140</v>
      </c>
      <c r="D305">
        <v>1467</v>
      </c>
      <c r="E305">
        <v>-1</v>
      </c>
      <c r="F305" t="s">
        <v>56</v>
      </c>
      <c r="G305">
        <v>695</v>
      </c>
      <c r="H305" t="s">
        <v>112</v>
      </c>
      <c r="I305">
        <v>695</v>
      </c>
      <c r="J305" t="s">
        <v>118</v>
      </c>
      <c r="K305">
        <v>4</v>
      </c>
      <c r="L305">
        <v>190000</v>
      </c>
      <c r="M305">
        <v>15000</v>
      </c>
      <c r="N305" t="s">
        <v>181</v>
      </c>
      <c r="O305">
        <v>8000</v>
      </c>
      <c r="P305">
        <v>1</v>
      </c>
      <c r="Q305">
        <v>1</v>
      </c>
      <c r="R305">
        <v>0</v>
      </c>
    </row>
    <row r="306" spans="1:18" x14ac:dyDescent="0.3">
      <c r="A306">
        <v>1050</v>
      </c>
      <c r="B306">
        <v>4</v>
      </c>
      <c r="C306">
        <v>137</v>
      </c>
      <c r="D306">
        <v>1467</v>
      </c>
      <c r="E306">
        <v>-1</v>
      </c>
      <c r="F306" t="s">
        <v>56</v>
      </c>
      <c r="G306">
        <v>695</v>
      </c>
      <c r="H306" t="s">
        <v>112</v>
      </c>
      <c r="I306">
        <v>695</v>
      </c>
      <c r="J306" t="s">
        <v>118</v>
      </c>
      <c r="K306">
        <v>4</v>
      </c>
      <c r="L306">
        <v>190000</v>
      </c>
      <c r="M306">
        <v>15000</v>
      </c>
      <c r="N306" t="s">
        <v>175</v>
      </c>
      <c r="O306">
        <v>6000</v>
      </c>
      <c r="P306">
        <v>1</v>
      </c>
      <c r="Q306">
        <v>1</v>
      </c>
      <c r="R306">
        <v>0</v>
      </c>
    </row>
    <row r="307" spans="1:18" x14ac:dyDescent="0.3">
      <c r="A307">
        <v>1051</v>
      </c>
      <c r="B307">
        <v>4</v>
      </c>
      <c r="C307">
        <v>142</v>
      </c>
      <c r="D307">
        <v>1467</v>
      </c>
      <c r="E307">
        <v>-1</v>
      </c>
      <c r="F307" t="s">
        <v>56</v>
      </c>
      <c r="G307">
        <v>695</v>
      </c>
      <c r="H307" t="s">
        <v>112</v>
      </c>
      <c r="I307">
        <v>695</v>
      </c>
      <c r="J307" t="s">
        <v>118</v>
      </c>
      <c r="K307">
        <v>4</v>
      </c>
      <c r="L307">
        <v>190000</v>
      </c>
      <c r="M307">
        <v>15000</v>
      </c>
      <c r="N307" t="s">
        <v>186</v>
      </c>
      <c r="O307">
        <v>1000</v>
      </c>
      <c r="P307">
        <v>0</v>
      </c>
      <c r="Q307">
        <v>0</v>
      </c>
      <c r="R307">
        <v>1</v>
      </c>
    </row>
    <row r="308" spans="1:18" x14ac:dyDescent="0.3">
      <c r="A308">
        <v>1052</v>
      </c>
      <c r="B308">
        <v>4</v>
      </c>
      <c r="C308">
        <v>141</v>
      </c>
      <c r="D308">
        <v>1467</v>
      </c>
      <c r="E308">
        <v>-1</v>
      </c>
      <c r="F308" t="s">
        <v>56</v>
      </c>
      <c r="G308">
        <v>695</v>
      </c>
      <c r="H308" t="s">
        <v>112</v>
      </c>
      <c r="I308">
        <v>695</v>
      </c>
      <c r="J308" t="s">
        <v>118</v>
      </c>
      <c r="K308">
        <v>4</v>
      </c>
      <c r="L308">
        <v>190000</v>
      </c>
      <c r="M308">
        <v>15000</v>
      </c>
      <c r="N308" t="s">
        <v>183</v>
      </c>
      <c r="O308">
        <v>8000</v>
      </c>
      <c r="P308">
        <v>1</v>
      </c>
      <c r="Q308">
        <v>1</v>
      </c>
      <c r="R308">
        <v>1</v>
      </c>
    </row>
    <row r="309" spans="1:18" x14ac:dyDescent="0.3">
      <c r="A309">
        <v>935</v>
      </c>
      <c r="B309">
        <v>1</v>
      </c>
      <c r="C309">
        <v>137</v>
      </c>
      <c r="D309">
        <v>1440</v>
      </c>
      <c r="E309">
        <v>-1</v>
      </c>
      <c r="F309" t="s">
        <v>94</v>
      </c>
      <c r="G309">
        <v>696</v>
      </c>
      <c r="H309" t="s">
        <v>112</v>
      </c>
      <c r="I309">
        <v>696</v>
      </c>
      <c r="J309" t="s">
        <v>119</v>
      </c>
      <c r="K309">
        <v>1</v>
      </c>
      <c r="L309">
        <v>110000</v>
      </c>
      <c r="M309">
        <v>23000</v>
      </c>
      <c r="N309" t="s">
        <v>175</v>
      </c>
      <c r="O309">
        <v>6000</v>
      </c>
      <c r="P309">
        <v>1</v>
      </c>
      <c r="Q309">
        <v>1</v>
      </c>
      <c r="R309">
        <v>0</v>
      </c>
    </row>
    <row r="310" spans="1:18" x14ac:dyDescent="0.3">
      <c r="A310">
        <v>936</v>
      </c>
      <c r="B310">
        <v>1</v>
      </c>
      <c r="C310">
        <v>142</v>
      </c>
      <c r="D310">
        <v>1440</v>
      </c>
      <c r="E310">
        <v>-1</v>
      </c>
      <c r="F310" t="s">
        <v>94</v>
      </c>
      <c r="G310">
        <v>696</v>
      </c>
      <c r="H310" t="s">
        <v>112</v>
      </c>
      <c r="I310">
        <v>696</v>
      </c>
      <c r="J310" t="s">
        <v>119</v>
      </c>
      <c r="K310">
        <v>1</v>
      </c>
      <c r="L310">
        <v>110000</v>
      </c>
      <c r="M310">
        <v>23000</v>
      </c>
      <c r="N310" t="s">
        <v>186</v>
      </c>
      <c r="O310">
        <v>1000</v>
      </c>
      <c r="P310">
        <v>0</v>
      </c>
      <c r="Q310">
        <v>0</v>
      </c>
      <c r="R310">
        <v>1</v>
      </c>
    </row>
    <row r="311" spans="1:18" x14ac:dyDescent="0.3">
      <c r="A311">
        <v>937</v>
      </c>
      <c r="B311">
        <v>1</v>
      </c>
      <c r="C311">
        <v>140</v>
      </c>
      <c r="D311">
        <v>1440</v>
      </c>
      <c r="E311">
        <v>-1</v>
      </c>
      <c r="F311" t="s">
        <v>94</v>
      </c>
      <c r="G311">
        <v>696</v>
      </c>
      <c r="H311" t="s">
        <v>112</v>
      </c>
      <c r="I311">
        <v>696</v>
      </c>
      <c r="J311" t="s">
        <v>119</v>
      </c>
      <c r="K311">
        <v>1</v>
      </c>
      <c r="L311">
        <v>110000</v>
      </c>
      <c r="M311">
        <v>23000</v>
      </c>
      <c r="N311" t="s">
        <v>181</v>
      </c>
      <c r="O311">
        <v>8000</v>
      </c>
      <c r="P311">
        <v>1</v>
      </c>
      <c r="Q311">
        <v>1</v>
      </c>
      <c r="R311">
        <v>0</v>
      </c>
    </row>
    <row r="312" spans="1:18" x14ac:dyDescent="0.3">
      <c r="A312">
        <v>938</v>
      </c>
      <c r="B312">
        <v>1</v>
      </c>
      <c r="C312">
        <v>141</v>
      </c>
      <c r="D312">
        <v>1440</v>
      </c>
      <c r="E312">
        <v>-1</v>
      </c>
      <c r="F312" t="s">
        <v>94</v>
      </c>
      <c r="G312">
        <v>696</v>
      </c>
      <c r="H312" t="s">
        <v>112</v>
      </c>
      <c r="I312">
        <v>696</v>
      </c>
      <c r="J312" t="s">
        <v>119</v>
      </c>
      <c r="K312">
        <v>1</v>
      </c>
      <c r="L312">
        <v>110000</v>
      </c>
      <c r="M312">
        <v>23000</v>
      </c>
      <c r="N312" t="s">
        <v>183</v>
      </c>
      <c r="O312">
        <v>8000</v>
      </c>
      <c r="P312">
        <v>1</v>
      </c>
      <c r="Q312">
        <v>1</v>
      </c>
      <c r="R312">
        <v>1</v>
      </c>
    </row>
    <row r="313" spans="1:18" x14ac:dyDescent="0.3">
      <c r="A313">
        <v>951</v>
      </c>
      <c r="B313">
        <v>2</v>
      </c>
      <c r="C313">
        <v>138</v>
      </c>
      <c r="D313">
        <v>1440</v>
      </c>
      <c r="E313">
        <v>-1</v>
      </c>
      <c r="F313" t="s">
        <v>94</v>
      </c>
      <c r="G313">
        <v>696</v>
      </c>
      <c r="H313" t="s">
        <v>112</v>
      </c>
      <c r="I313">
        <v>696</v>
      </c>
      <c r="J313" t="s">
        <v>119</v>
      </c>
      <c r="K313">
        <v>2</v>
      </c>
      <c r="L313">
        <v>110000</v>
      </c>
      <c r="M313">
        <v>10000</v>
      </c>
      <c r="N313" t="s">
        <v>178</v>
      </c>
      <c r="O313">
        <v>10000</v>
      </c>
      <c r="P313">
        <v>0</v>
      </c>
      <c r="Q313">
        <v>1</v>
      </c>
      <c r="R31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7"/>
  <sheetViews>
    <sheetView workbookViewId="0"/>
  </sheetViews>
  <sheetFormatPr defaultRowHeight="14.4" x14ac:dyDescent="0.3"/>
  <sheetData>
    <row r="1" spans="1:21" s="1" customFormat="1" x14ac:dyDescent="0.3">
      <c r="A1" s="1" t="s">
        <v>156</v>
      </c>
      <c r="B1" s="1" t="s">
        <v>212</v>
      </c>
      <c r="C1" s="1" t="s">
        <v>213</v>
      </c>
      <c r="D1" s="1" t="s">
        <v>214</v>
      </c>
      <c r="E1" s="1" t="s">
        <v>215</v>
      </c>
      <c r="F1" s="1" t="s">
        <v>216</v>
      </c>
      <c r="G1" s="1" t="s">
        <v>217</v>
      </c>
      <c r="H1" s="1" t="s">
        <v>198</v>
      </c>
      <c r="I1" s="1" t="s">
        <v>218</v>
      </c>
      <c r="J1" s="1" t="s">
        <v>219</v>
      </c>
      <c r="K1" s="1" t="s">
        <v>139</v>
      </c>
      <c r="L1" s="1" t="s">
        <v>138</v>
      </c>
      <c r="M1" s="1" t="s">
        <v>220</v>
      </c>
      <c r="N1" s="1" t="s">
        <v>221</v>
      </c>
      <c r="O1" s="1" t="s">
        <v>222</v>
      </c>
      <c r="P1" s="1" t="s">
        <v>223</v>
      </c>
      <c r="Q1" s="1" t="s">
        <v>224</v>
      </c>
      <c r="R1" s="1" t="s">
        <v>225</v>
      </c>
      <c r="S1" s="1" t="s">
        <v>226</v>
      </c>
      <c r="T1" s="1" t="s">
        <v>146</v>
      </c>
      <c r="U1" s="1" t="s">
        <v>199</v>
      </c>
    </row>
    <row r="2" spans="1:21" x14ac:dyDescent="0.3">
      <c r="A2">
        <v>1295</v>
      </c>
      <c r="B2" t="s">
        <v>227</v>
      </c>
      <c r="C2" t="s">
        <v>228</v>
      </c>
      <c r="D2">
        <v>9</v>
      </c>
      <c r="E2">
        <v>425000</v>
      </c>
      <c r="F2">
        <v>0</v>
      </c>
      <c r="G2">
        <v>425000</v>
      </c>
      <c r="I2">
        <v>0</v>
      </c>
      <c r="J2" t="s">
        <v>229</v>
      </c>
      <c r="K2">
        <v>9</v>
      </c>
      <c r="L2">
        <v>6</v>
      </c>
      <c r="M2">
        <v>0</v>
      </c>
      <c r="N2">
        <v>0</v>
      </c>
      <c r="S2">
        <v>245</v>
      </c>
      <c r="T2">
        <v>89</v>
      </c>
    </row>
    <row r="3" spans="1:21" x14ac:dyDescent="0.3">
      <c r="A3">
        <v>1296</v>
      </c>
      <c r="B3" t="s">
        <v>41</v>
      </c>
      <c r="C3" t="s">
        <v>230</v>
      </c>
      <c r="D3">
        <v>6</v>
      </c>
      <c r="E3">
        <v>200000</v>
      </c>
      <c r="F3">
        <v>0</v>
      </c>
      <c r="G3">
        <v>200000</v>
      </c>
      <c r="H3">
        <v>200000</v>
      </c>
      <c r="I3">
        <v>2</v>
      </c>
      <c r="J3" t="s">
        <v>231</v>
      </c>
      <c r="K3">
        <v>9</v>
      </c>
      <c r="L3">
        <v>6</v>
      </c>
      <c r="M3">
        <v>10</v>
      </c>
      <c r="N3">
        <v>6</v>
      </c>
      <c r="S3">
        <v>248</v>
      </c>
      <c r="T3">
        <v>89</v>
      </c>
      <c r="U3">
        <v>635</v>
      </c>
    </row>
    <row r="4" spans="1:21" x14ac:dyDescent="0.3">
      <c r="A4">
        <v>1297</v>
      </c>
      <c r="B4" t="s">
        <v>58</v>
      </c>
      <c r="C4" t="s">
        <v>232</v>
      </c>
      <c r="D4">
        <v>6</v>
      </c>
      <c r="E4">
        <v>200000</v>
      </c>
      <c r="F4">
        <v>0</v>
      </c>
      <c r="G4">
        <v>200000</v>
      </c>
      <c r="H4">
        <v>245000</v>
      </c>
      <c r="I4">
        <v>1</v>
      </c>
      <c r="J4" t="s">
        <v>231</v>
      </c>
      <c r="K4">
        <v>9</v>
      </c>
      <c r="L4">
        <v>6</v>
      </c>
      <c r="M4">
        <v>10</v>
      </c>
      <c r="N4">
        <v>6</v>
      </c>
      <c r="S4">
        <v>249</v>
      </c>
      <c r="T4">
        <v>89</v>
      </c>
      <c r="U4">
        <v>640</v>
      </c>
    </row>
    <row r="5" spans="1:21" x14ac:dyDescent="0.3">
      <c r="A5">
        <v>1298</v>
      </c>
      <c r="B5" t="s">
        <v>48</v>
      </c>
      <c r="C5" t="s">
        <v>233</v>
      </c>
      <c r="D5">
        <v>3</v>
      </c>
      <c r="E5">
        <v>100000</v>
      </c>
      <c r="F5">
        <v>0</v>
      </c>
      <c r="G5">
        <v>100000</v>
      </c>
      <c r="H5">
        <v>100000</v>
      </c>
      <c r="I5">
        <v>3</v>
      </c>
      <c r="J5" t="s">
        <v>231</v>
      </c>
      <c r="K5">
        <v>9</v>
      </c>
      <c r="L5">
        <v>6</v>
      </c>
      <c r="M5">
        <v>10</v>
      </c>
      <c r="N5">
        <v>7</v>
      </c>
      <c r="S5">
        <v>251</v>
      </c>
      <c r="T5">
        <v>89</v>
      </c>
      <c r="U5">
        <v>637</v>
      </c>
    </row>
    <row r="6" spans="1:21" x14ac:dyDescent="0.3">
      <c r="A6">
        <v>1299</v>
      </c>
      <c r="B6" t="s">
        <v>51</v>
      </c>
      <c r="C6" t="s">
        <v>234</v>
      </c>
      <c r="D6">
        <v>8</v>
      </c>
      <c r="E6">
        <v>300000</v>
      </c>
      <c r="F6">
        <v>0</v>
      </c>
      <c r="G6">
        <v>300000</v>
      </c>
      <c r="H6">
        <v>300000</v>
      </c>
      <c r="I6">
        <v>1</v>
      </c>
      <c r="J6" t="s">
        <v>231</v>
      </c>
      <c r="K6">
        <v>9</v>
      </c>
      <c r="L6">
        <v>4</v>
      </c>
      <c r="M6">
        <v>9</v>
      </c>
      <c r="N6">
        <v>5</v>
      </c>
      <c r="P6">
        <v>1</v>
      </c>
      <c r="R6">
        <v>1</v>
      </c>
      <c r="S6">
        <v>252</v>
      </c>
      <c r="T6">
        <v>89</v>
      </c>
      <c r="U6">
        <v>638</v>
      </c>
    </row>
    <row r="7" spans="1:21" x14ac:dyDescent="0.3">
      <c r="A7">
        <v>1300</v>
      </c>
      <c r="B7" t="s">
        <v>55</v>
      </c>
      <c r="C7" t="s">
        <v>235</v>
      </c>
      <c r="D7">
        <v>8</v>
      </c>
      <c r="E7">
        <v>300000</v>
      </c>
      <c r="F7">
        <v>0</v>
      </c>
      <c r="G7">
        <v>300000</v>
      </c>
      <c r="H7">
        <v>300000</v>
      </c>
      <c r="I7">
        <v>3</v>
      </c>
      <c r="J7" t="s">
        <v>236</v>
      </c>
      <c r="K7">
        <v>9</v>
      </c>
      <c r="L7">
        <v>4</v>
      </c>
      <c r="M7">
        <v>9</v>
      </c>
      <c r="N7">
        <v>5</v>
      </c>
      <c r="P7">
        <v>1</v>
      </c>
      <c r="S7">
        <v>253</v>
      </c>
      <c r="T7">
        <v>89</v>
      </c>
    </row>
    <row r="8" spans="1:21" x14ac:dyDescent="0.3">
      <c r="A8">
        <v>1301</v>
      </c>
      <c r="B8" t="s">
        <v>66</v>
      </c>
      <c r="C8" t="s">
        <v>237</v>
      </c>
      <c r="D8">
        <v>5</v>
      </c>
      <c r="E8">
        <v>160000</v>
      </c>
      <c r="F8">
        <v>0</v>
      </c>
      <c r="G8">
        <v>160000</v>
      </c>
      <c r="I8">
        <v>0</v>
      </c>
      <c r="J8" t="s">
        <v>229</v>
      </c>
      <c r="K8">
        <v>9</v>
      </c>
      <c r="L8">
        <v>4</v>
      </c>
      <c r="M8">
        <v>0</v>
      </c>
      <c r="N8">
        <v>0</v>
      </c>
      <c r="P8">
        <v>1</v>
      </c>
      <c r="R8">
        <v>1</v>
      </c>
      <c r="S8">
        <v>255</v>
      </c>
      <c r="T8">
        <v>89</v>
      </c>
    </row>
    <row r="9" spans="1:21" x14ac:dyDescent="0.3">
      <c r="A9">
        <v>1302</v>
      </c>
      <c r="B9" t="s">
        <v>94</v>
      </c>
      <c r="C9" t="s">
        <v>238</v>
      </c>
      <c r="D9">
        <v>5</v>
      </c>
      <c r="E9">
        <v>160000</v>
      </c>
      <c r="F9">
        <v>0</v>
      </c>
      <c r="G9">
        <v>160000</v>
      </c>
      <c r="I9">
        <v>0</v>
      </c>
      <c r="J9" t="s">
        <v>229</v>
      </c>
      <c r="K9">
        <v>9</v>
      </c>
      <c r="L9">
        <v>4</v>
      </c>
      <c r="M9">
        <v>0</v>
      </c>
      <c r="N9">
        <v>0</v>
      </c>
      <c r="P9">
        <v>1</v>
      </c>
      <c r="R9">
        <v>1</v>
      </c>
      <c r="S9">
        <v>256</v>
      </c>
      <c r="T9">
        <v>89</v>
      </c>
    </row>
    <row r="10" spans="1:21" x14ac:dyDescent="0.3">
      <c r="A10">
        <v>1303</v>
      </c>
      <c r="B10" t="s">
        <v>64</v>
      </c>
      <c r="C10" t="s">
        <v>239</v>
      </c>
      <c r="D10">
        <v>2</v>
      </c>
      <c r="E10">
        <v>80000</v>
      </c>
      <c r="F10">
        <v>0</v>
      </c>
      <c r="G10">
        <v>80000</v>
      </c>
      <c r="I10">
        <v>0</v>
      </c>
      <c r="J10" t="s">
        <v>229</v>
      </c>
      <c r="K10">
        <v>9</v>
      </c>
      <c r="L10">
        <v>4</v>
      </c>
      <c r="M10">
        <v>0</v>
      </c>
      <c r="N10">
        <v>0</v>
      </c>
      <c r="P10">
        <v>1</v>
      </c>
      <c r="R10">
        <v>1</v>
      </c>
      <c r="S10">
        <v>260</v>
      </c>
      <c r="T10">
        <v>89</v>
      </c>
    </row>
    <row r="11" spans="1:21" x14ac:dyDescent="0.3">
      <c r="A11">
        <v>1304</v>
      </c>
      <c r="B11" t="s">
        <v>83</v>
      </c>
      <c r="C11" t="s">
        <v>240</v>
      </c>
      <c r="D11">
        <v>2</v>
      </c>
      <c r="E11">
        <v>80000</v>
      </c>
      <c r="F11">
        <v>0</v>
      </c>
      <c r="G11">
        <v>80000</v>
      </c>
      <c r="I11">
        <v>0</v>
      </c>
      <c r="J11" t="s">
        <v>229</v>
      </c>
      <c r="K11">
        <v>9</v>
      </c>
      <c r="L11">
        <v>4</v>
      </c>
      <c r="M11">
        <v>0</v>
      </c>
      <c r="N11">
        <v>0</v>
      </c>
      <c r="P11">
        <v>1</v>
      </c>
      <c r="R11">
        <v>1</v>
      </c>
      <c r="S11">
        <v>261</v>
      </c>
      <c r="T11">
        <v>89</v>
      </c>
    </row>
    <row r="12" spans="1:21" x14ac:dyDescent="0.3">
      <c r="A12">
        <v>1305</v>
      </c>
      <c r="B12" t="s">
        <v>117</v>
      </c>
      <c r="C12" t="s">
        <v>241</v>
      </c>
      <c r="D12">
        <v>6</v>
      </c>
      <c r="E12">
        <v>200000</v>
      </c>
      <c r="F12">
        <v>0</v>
      </c>
      <c r="G12">
        <v>200000</v>
      </c>
      <c r="I12">
        <v>0</v>
      </c>
      <c r="J12" t="s">
        <v>229</v>
      </c>
      <c r="K12">
        <v>6</v>
      </c>
      <c r="L12">
        <v>6</v>
      </c>
      <c r="M12">
        <v>0</v>
      </c>
      <c r="N12">
        <v>0</v>
      </c>
      <c r="O12">
        <v>4</v>
      </c>
      <c r="Q12">
        <v>4</v>
      </c>
      <c r="S12">
        <v>262</v>
      </c>
      <c r="T12">
        <v>89</v>
      </c>
    </row>
    <row r="13" spans="1:21" x14ac:dyDescent="0.3">
      <c r="A13">
        <v>1306</v>
      </c>
      <c r="B13" t="s">
        <v>75</v>
      </c>
      <c r="C13" t="s">
        <v>242</v>
      </c>
      <c r="D13">
        <v>4</v>
      </c>
      <c r="E13">
        <v>125000</v>
      </c>
      <c r="F13">
        <v>0</v>
      </c>
      <c r="G13">
        <v>125000</v>
      </c>
      <c r="I13">
        <v>0</v>
      </c>
      <c r="J13" t="s">
        <v>229</v>
      </c>
      <c r="K13">
        <v>6</v>
      </c>
      <c r="L13">
        <v>6</v>
      </c>
      <c r="M13">
        <v>0</v>
      </c>
      <c r="N13">
        <v>0</v>
      </c>
      <c r="O13">
        <v>4</v>
      </c>
      <c r="Q13">
        <v>4</v>
      </c>
      <c r="S13">
        <v>265</v>
      </c>
      <c r="T13">
        <v>89</v>
      </c>
    </row>
    <row r="14" spans="1:21" x14ac:dyDescent="0.3">
      <c r="A14">
        <v>1307</v>
      </c>
      <c r="B14" t="s">
        <v>37</v>
      </c>
      <c r="C14" t="s">
        <v>243</v>
      </c>
      <c r="D14">
        <v>4</v>
      </c>
      <c r="E14">
        <v>125000</v>
      </c>
      <c r="F14">
        <v>0</v>
      </c>
      <c r="G14">
        <v>125000</v>
      </c>
      <c r="H14">
        <v>125000</v>
      </c>
      <c r="I14">
        <v>0</v>
      </c>
      <c r="J14" t="s">
        <v>231</v>
      </c>
      <c r="K14">
        <v>6</v>
      </c>
      <c r="L14">
        <v>6</v>
      </c>
      <c r="M14">
        <v>0</v>
      </c>
      <c r="N14">
        <v>0</v>
      </c>
      <c r="O14">
        <v>4</v>
      </c>
      <c r="Q14">
        <v>4</v>
      </c>
      <c r="S14">
        <v>266</v>
      </c>
      <c r="T14">
        <v>89</v>
      </c>
      <c r="U14">
        <v>634</v>
      </c>
    </row>
    <row r="15" spans="1:21" x14ac:dyDescent="0.3">
      <c r="A15">
        <v>1308</v>
      </c>
      <c r="B15" t="s">
        <v>45</v>
      </c>
      <c r="C15" t="s">
        <v>244</v>
      </c>
      <c r="D15">
        <v>2</v>
      </c>
      <c r="E15">
        <v>70000</v>
      </c>
      <c r="F15">
        <v>0</v>
      </c>
      <c r="G15">
        <v>70000</v>
      </c>
      <c r="H15">
        <v>70000</v>
      </c>
      <c r="I15">
        <v>0</v>
      </c>
      <c r="J15" t="s">
        <v>231</v>
      </c>
      <c r="K15">
        <v>6</v>
      </c>
      <c r="L15">
        <v>6</v>
      </c>
      <c r="M15">
        <v>7</v>
      </c>
      <c r="N15">
        <v>6</v>
      </c>
      <c r="O15">
        <v>4</v>
      </c>
      <c r="Q15">
        <v>4</v>
      </c>
      <c r="S15">
        <v>270</v>
      </c>
      <c r="T15">
        <v>89</v>
      </c>
      <c r="U15">
        <v>636</v>
      </c>
    </row>
    <row r="16" spans="1:21" x14ac:dyDescent="0.3">
      <c r="A16">
        <v>1309</v>
      </c>
      <c r="B16" t="s">
        <v>71</v>
      </c>
      <c r="C16" t="s">
        <v>245</v>
      </c>
      <c r="D16">
        <v>2</v>
      </c>
      <c r="E16">
        <v>70000</v>
      </c>
      <c r="F16">
        <v>0</v>
      </c>
      <c r="G16">
        <v>70000</v>
      </c>
      <c r="I16">
        <v>0</v>
      </c>
      <c r="J16" t="s">
        <v>229</v>
      </c>
      <c r="K16">
        <v>6</v>
      </c>
      <c r="L16">
        <v>6</v>
      </c>
      <c r="M16">
        <v>0</v>
      </c>
      <c r="N16">
        <v>0</v>
      </c>
      <c r="O16">
        <v>4</v>
      </c>
      <c r="Q16">
        <v>4</v>
      </c>
      <c r="S16">
        <v>271</v>
      </c>
      <c r="T16">
        <v>89</v>
      </c>
    </row>
    <row r="17" spans="1:21" x14ac:dyDescent="0.3">
      <c r="A17">
        <v>1342</v>
      </c>
      <c r="B17" t="s">
        <v>204</v>
      </c>
      <c r="C17" t="s">
        <v>246</v>
      </c>
      <c r="D17">
        <v>4</v>
      </c>
      <c r="E17">
        <v>125000</v>
      </c>
      <c r="F17">
        <v>0</v>
      </c>
      <c r="G17">
        <v>125000</v>
      </c>
      <c r="I17">
        <v>0</v>
      </c>
      <c r="J17" t="s">
        <v>229</v>
      </c>
      <c r="K17">
        <v>6</v>
      </c>
      <c r="L17">
        <v>6</v>
      </c>
      <c r="M17">
        <v>1</v>
      </c>
      <c r="N17">
        <v>0</v>
      </c>
      <c r="O17">
        <v>4</v>
      </c>
      <c r="Q17">
        <v>4</v>
      </c>
      <c r="S17">
        <v>267</v>
      </c>
      <c r="T17">
        <v>89</v>
      </c>
    </row>
    <row r="18" spans="1:21" x14ac:dyDescent="0.3">
      <c r="A18">
        <v>1343</v>
      </c>
      <c r="B18" t="s">
        <v>205</v>
      </c>
      <c r="C18" t="s">
        <v>247</v>
      </c>
      <c r="D18">
        <v>4</v>
      </c>
      <c r="E18">
        <v>125000</v>
      </c>
      <c r="F18">
        <v>0</v>
      </c>
      <c r="G18">
        <v>125000</v>
      </c>
      <c r="I18">
        <v>0</v>
      </c>
      <c r="J18" t="s">
        <v>229</v>
      </c>
      <c r="K18">
        <v>6</v>
      </c>
      <c r="L18">
        <v>6</v>
      </c>
      <c r="M18">
        <v>1</v>
      </c>
      <c r="N18">
        <v>1</v>
      </c>
      <c r="O18">
        <v>4</v>
      </c>
      <c r="Q18">
        <v>4</v>
      </c>
      <c r="S18">
        <v>268</v>
      </c>
      <c r="T18">
        <v>89</v>
      </c>
    </row>
    <row r="19" spans="1:21" x14ac:dyDescent="0.3">
      <c r="A19">
        <v>1356</v>
      </c>
      <c r="B19" t="s">
        <v>77</v>
      </c>
      <c r="C19" t="s">
        <v>248</v>
      </c>
      <c r="D19">
        <v>6</v>
      </c>
      <c r="E19">
        <v>200000</v>
      </c>
      <c r="F19">
        <v>0</v>
      </c>
      <c r="G19">
        <v>200000</v>
      </c>
      <c r="I19">
        <v>0</v>
      </c>
      <c r="J19" t="s">
        <v>236</v>
      </c>
      <c r="K19">
        <v>9</v>
      </c>
      <c r="L19">
        <v>6</v>
      </c>
      <c r="M19">
        <v>1</v>
      </c>
      <c r="N19">
        <v>1</v>
      </c>
      <c r="S19">
        <v>246</v>
      </c>
      <c r="T19">
        <v>89</v>
      </c>
    </row>
    <row r="20" spans="1:21" x14ac:dyDescent="0.3">
      <c r="A20">
        <v>1357</v>
      </c>
      <c r="B20" t="s">
        <v>56</v>
      </c>
      <c r="C20" t="s">
        <v>249</v>
      </c>
      <c r="D20">
        <v>9</v>
      </c>
      <c r="E20">
        <v>425000</v>
      </c>
      <c r="F20">
        <v>0</v>
      </c>
      <c r="G20">
        <v>425000</v>
      </c>
      <c r="H20">
        <v>425000</v>
      </c>
      <c r="I20">
        <v>2</v>
      </c>
      <c r="J20" t="s">
        <v>231</v>
      </c>
      <c r="K20">
        <v>9</v>
      </c>
      <c r="L20">
        <v>6</v>
      </c>
      <c r="M20">
        <v>10</v>
      </c>
      <c r="N20">
        <v>7</v>
      </c>
      <c r="S20">
        <v>247</v>
      </c>
      <c r="T20">
        <v>89</v>
      </c>
      <c r="U20">
        <v>639</v>
      </c>
    </row>
    <row r="21" spans="1:21" x14ac:dyDescent="0.3">
      <c r="A21">
        <v>1358</v>
      </c>
      <c r="B21" t="s">
        <v>102</v>
      </c>
      <c r="C21" t="s">
        <v>250</v>
      </c>
      <c r="D21">
        <v>3</v>
      </c>
      <c r="E21">
        <v>100000</v>
      </c>
      <c r="F21">
        <v>0</v>
      </c>
      <c r="G21">
        <v>100000</v>
      </c>
      <c r="I21">
        <v>0</v>
      </c>
      <c r="J21" t="s">
        <v>236</v>
      </c>
      <c r="K21">
        <v>9</v>
      </c>
      <c r="L21">
        <v>6</v>
      </c>
      <c r="M21">
        <v>1</v>
      </c>
      <c r="N21">
        <v>0</v>
      </c>
      <c r="S21">
        <v>250</v>
      </c>
      <c r="T21">
        <v>89</v>
      </c>
    </row>
    <row r="22" spans="1:21" x14ac:dyDescent="0.3">
      <c r="A22">
        <v>1359</v>
      </c>
      <c r="B22" t="s">
        <v>62</v>
      </c>
      <c r="C22" t="s">
        <v>251</v>
      </c>
      <c r="D22">
        <v>8</v>
      </c>
      <c r="E22">
        <v>300000</v>
      </c>
      <c r="F22">
        <v>0</v>
      </c>
      <c r="G22">
        <v>300000</v>
      </c>
      <c r="I22">
        <v>0</v>
      </c>
      <c r="J22" t="s">
        <v>236</v>
      </c>
      <c r="K22">
        <v>9</v>
      </c>
      <c r="L22">
        <v>4</v>
      </c>
      <c r="M22">
        <v>0</v>
      </c>
      <c r="N22">
        <v>0</v>
      </c>
      <c r="S22">
        <v>254</v>
      </c>
      <c r="T22">
        <v>89</v>
      </c>
    </row>
    <row r="23" spans="1:21" x14ac:dyDescent="0.3">
      <c r="A23">
        <v>1360</v>
      </c>
      <c r="B23" t="s">
        <v>206</v>
      </c>
      <c r="C23" t="s">
        <v>252</v>
      </c>
      <c r="D23">
        <v>5</v>
      </c>
      <c r="E23">
        <v>160000</v>
      </c>
      <c r="F23">
        <v>0</v>
      </c>
      <c r="G23">
        <v>160000</v>
      </c>
      <c r="I23">
        <v>0</v>
      </c>
      <c r="J23" t="s">
        <v>236</v>
      </c>
      <c r="K23">
        <v>9</v>
      </c>
      <c r="L23">
        <v>4</v>
      </c>
      <c r="M23">
        <v>2</v>
      </c>
      <c r="N23">
        <v>2</v>
      </c>
      <c r="S23">
        <v>257</v>
      </c>
      <c r="T23">
        <v>89</v>
      </c>
    </row>
    <row r="24" spans="1:21" x14ac:dyDescent="0.3">
      <c r="A24">
        <v>1361</v>
      </c>
      <c r="B24" t="s">
        <v>207</v>
      </c>
      <c r="C24" t="s">
        <v>253</v>
      </c>
      <c r="D24">
        <v>5</v>
      </c>
      <c r="E24">
        <v>160000</v>
      </c>
      <c r="F24">
        <v>0</v>
      </c>
      <c r="G24">
        <v>160000</v>
      </c>
      <c r="I24">
        <v>0</v>
      </c>
      <c r="J24" t="s">
        <v>236</v>
      </c>
      <c r="K24">
        <v>9</v>
      </c>
      <c r="L24">
        <v>4</v>
      </c>
      <c r="M24">
        <v>2</v>
      </c>
      <c r="N24">
        <v>2</v>
      </c>
      <c r="S24">
        <v>258</v>
      </c>
      <c r="T24">
        <v>89</v>
      </c>
    </row>
    <row r="25" spans="1:21" x14ac:dyDescent="0.3">
      <c r="A25">
        <v>1362</v>
      </c>
      <c r="B25" t="s">
        <v>208</v>
      </c>
      <c r="C25" t="s">
        <v>254</v>
      </c>
      <c r="D25">
        <v>2</v>
      </c>
      <c r="E25">
        <v>80000</v>
      </c>
      <c r="F25">
        <v>0</v>
      </c>
      <c r="G25">
        <v>80000</v>
      </c>
      <c r="I25">
        <v>0</v>
      </c>
      <c r="J25" t="s">
        <v>236</v>
      </c>
      <c r="K25">
        <v>9</v>
      </c>
      <c r="L25">
        <v>4</v>
      </c>
      <c r="M25">
        <v>1</v>
      </c>
      <c r="N25">
        <v>2</v>
      </c>
      <c r="S25">
        <v>259</v>
      </c>
      <c r="T25">
        <v>89</v>
      </c>
    </row>
    <row r="26" spans="1:21" x14ac:dyDescent="0.3">
      <c r="A26">
        <v>1363</v>
      </c>
      <c r="B26" t="s">
        <v>209</v>
      </c>
      <c r="C26" t="s">
        <v>255</v>
      </c>
      <c r="D26">
        <v>6</v>
      </c>
      <c r="E26">
        <v>200000</v>
      </c>
      <c r="F26">
        <v>0</v>
      </c>
      <c r="G26">
        <v>200000</v>
      </c>
      <c r="I26">
        <v>0</v>
      </c>
      <c r="J26" t="s">
        <v>236</v>
      </c>
      <c r="K26">
        <v>6</v>
      </c>
      <c r="L26">
        <v>6</v>
      </c>
      <c r="M26">
        <v>1</v>
      </c>
      <c r="N26">
        <v>1</v>
      </c>
      <c r="O26">
        <v>4</v>
      </c>
      <c r="Q26">
        <v>4</v>
      </c>
      <c r="S26">
        <v>263</v>
      </c>
      <c r="T26">
        <v>89</v>
      </c>
    </row>
    <row r="27" spans="1:21" x14ac:dyDescent="0.3">
      <c r="A27">
        <v>1364</v>
      </c>
      <c r="B27" t="s">
        <v>210</v>
      </c>
      <c r="C27" t="s">
        <v>256</v>
      </c>
      <c r="D27">
        <v>6</v>
      </c>
      <c r="E27">
        <v>200000</v>
      </c>
      <c r="F27">
        <v>0</v>
      </c>
      <c r="G27">
        <v>200000</v>
      </c>
      <c r="I27">
        <v>0</v>
      </c>
      <c r="J27" t="s">
        <v>236</v>
      </c>
      <c r="K27">
        <v>6</v>
      </c>
      <c r="L27">
        <v>6</v>
      </c>
      <c r="M27">
        <v>1</v>
      </c>
      <c r="N27">
        <v>2</v>
      </c>
      <c r="O27">
        <v>4</v>
      </c>
      <c r="Q27">
        <v>4</v>
      </c>
      <c r="S27">
        <v>264</v>
      </c>
      <c r="T27">
        <v>89</v>
      </c>
    </row>
    <row r="28" spans="1:21" x14ac:dyDescent="0.3">
      <c r="A28">
        <v>1365</v>
      </c>
      <c r="B28" t="s">
        <v>211</v>
      </c>
      <c r="C28" t="s">
        <v>257</v>
      </c>
      <c r="D28">
        <v>2</v>
      </c>
      <c r="E28">
        <v>70000</v>
      </c>
      <c r="F28">
        <v>0</v>
      </c>
      <c r="G28">
        <v>70000</v>
      </c>
      <c r="I28">
        <v>0</v>
      </c>
      <c r="J28" t="s">
        <v>236</v>
      </c>
      <c r="K28">
        <v>6</v>
      </c>
      <c r="L28">
        <v>6</v>
      </c>
      <c r="M28">
        <v>1</v>
      </c>
      <c r="N28">
        <v>1</v>
      </c>
      <c r="O28">
        <v>4</v>
      </c>
      <c r="Q28">
        <v>4</v>
      </c>
      <c r="S28">
        <v>269</v>
      </c>
      <c r="T28">
        <v>89</v>
      </c>
    </row>
    <row r="29" spans="1:21" x14ac:dyDescent="0.3">
      <c r="A29">
        <v>1280</v>
      </c>
      <c r="B29" t="s">
        <v>227</v>
      </c>
      <c r="C29" t="s">
        <v>228</v>
      </c>
      <c r="D29">
        <v>9</v>
      </c>
      <c r="E29">
        <v>425000</v>
      </c>
      <c r="F29">
        <v>0</v>
      </c>
      <c r="G29">
        <v>425000</v>
      </c>
      <c r="I29">
        <v>0</v>
      </c>
      <c r="J29" t="s">
        <v>229</v>
      </c>
      <c r="K29">
        <v>9</v>
      </c>
      <c r="L29">
        <v>6</v>
      </c>
      <c r="M29">
        <v>0</v>
      </c>
      <c r="N29">
        <v>0</v>
      </c>
      <c r="O29">
        <v>3</v>
      </c>
      <c r="P29">
        <v>4</v>
      </c>
      <c r="Q29">
        <v>3</v>
      </c>
      <c r="R29">
        <v>4</v>
      </c>
      <c r="S29">
        <v>245</v>
      </c>
      <c r="T29">
        <v>90</v>
      </c>
    </row>
    <row r="30" spans="1:21" x14ac:dyDescent="0.3">
      <c r="A30">
        <v>1281</v>
      </c>
      <c r="B30" t="s">
        <v>41</v>
      </c>
      <c r="C30" t="s">
        <v>230</v>
      </c>
      <c r="D30">
        <v>6</v>
      </c>
      <c r="E30">
        <v>200000</v>
      </c>
      <c r="F30">
        <v>0</v>
      </c>
      <c r="G30">
        <v>200000</v>
      </c>
      <c r="H30">
        <v>220000</v>
      </c>
      <c r="I30">
        <v>1</v>
      </c>
      <c r="J30" t="s">
        <v>236</v>
      </c>
      <c r="K30">
        <v>9</v>
      </c>
      <c r="L30">
        <v>6</v>
      </c>
      <c r="M30">
        <v>10</v>
      </c>
      <c r="N30">
        <v>7</v>
      </c>
      <c r="O30">
        <v>3</v>
      </c>
      <c r="P30">
        <v>4</v>
      </c>
      <c r="Q30">
        <v>3</v>
      </c>
      <c r="R30">
        <v>4</v>
      </c>
      <c r="S30">
        <v>248</v>
      </c>
      <c r="T30">
        <v>90</v>
      </c>
    </row>
    <row r="31" spans="1:21" x14ac:dyDescent="0.3">
      <c r="A31">
        <v>1282</v>
      </c>
      <c r="B31" t="s">
        <v>58</v>
      </c>
      <c r="C31" t="s">
        <v>232</v>
      </c>
      <c r="D31">
        <v>6</v>
      </c>
      <c r="E31">
        <v>200000</v>
      </c>
      <c r="F31">
        <v>0</v>
      </c>
      <c r="G31">
        <v>200000</v>
      </c>
      <c r="H31">
        <v>200000</v>
      </c>
      <c r="I31">
        <v>3</v>
      </c>
      <c r="J31" t="s">
        <v>231</v>
      </c>
      <c r="K31">
        <v>9</v>
      </c>
      <c r="L31">
        <v>6</v>
      </c>
      <c r="M31">
        <v>10</v>
      </c>
      <c r="N31">
        <v>7</v>
      </c>
      <c r="O31">
        <v>3</v>
      </c>
      <c r="P31">
        <v>4</v>
      </c>
      <c r="Q31">
        <v>3</v>
      </c>
      <c r="R31">
        <v>4</v>
      </c>
      <c r="S31">
        <v>249</v>
      </c>
      <c r="T31">
        <v>90</v>
      </c>
      <c r="U31">
        <v>646</v>
      </c>
    </row>
    <row r="32" spans="1:21" x14ac:dyDescent="0.3">
      <c r="A32">
        <v>1283</v>
      </c>
      <c r="B32" t="s">
        <v>48</v>
      </c>
      <c r="C32" t="s">
        <v>233</v>
      </c>
      <c r="D32">
        <v>3</v>
      </c>
      <c r="E32">
        <v>100000</v>
      </c>
      <c r="F32">
        <v>0</v>
      </c>
      <c r="G32">
        <v>100000</v>
      </c>
      <c r="H32">
        <v>100000</v>
      </c>
      <c r="I32">
        <v>0</v>
      </c>
      <c r="J32" t="s">
        <v>231</v>
      </c>
      <c r="K32">
        <v>9</v>
      </c>
      <c r="L32">
        <v>6</v>
      </c>
      <c r="M32">
        <v>0</v>
      </c>
      <c r="N32">
        <v>0</v>
      </c>
      <c r="O32">
        <v>3</v>
      </c>
      <c r="P32">
        <v>4</v>
      </c>
      <c r="Q32">
        <v>3</v>
      </c>
      <c r="R32">
        <v>4</v>
      </c>
      <c r="S32">
        <v>251</v>
      </c>
      <c r="T32">
        <v>90</v>
      </c>
      <c r="U32">
        <v>642</v>
      </c>
    </row>
    <row r="33" spans="1:21" x14ac:dyDescent="0.3">
      <c r="A33">
        <v>1284</v>
      </c>
      <c r="B33" t="s">
        <v>51</v>
      </c>
      <c r="C33" t="s">
        <v>234</v>
      </c>
      <c r="D33">
        <v>8</v>
      </c>
      <c r="E33">
        <v>300000</v>
      </c>
      <c r="F33">
        <v>0</v>
      </c>
      <c r="G33">
        <v>300000</v>
      </c>
      <c r="H33">
        <v>400000</v>
      </c>
      <c r="I33">
        <v>3</v>
      </c>
      <c r="J33" t="s">
        <v>236</v>
      </c>
      <c r="K33">
        <v>9</v>
      </c>
      <c r="L33">
        <v>4</v>
      </c>
      <c r="M33">
        <v>10</v>
      </c>
      <c r="N33">
        <v>5</v>
      </c>
      <c r="O33">
        <v>3</v>
      </c>
      <c r="P33">
        <v>4</v>
      </c>
      <c r="Q33">
        <v>3</v>
      </c>
      <c r="R33">
        <v>4</v>
      </c>
      <c r="S33">
        <v>252</v>
      </c>
      <c r="T33">
        <v>90</v>
      </c>
    </row>
    <row r="34" spans="1:21" x14ac:dyDescent="0.3">
      <c r="A34">
        <v>1285</v>
      </c>
      <c r="B34" t="s">
        <v>55</v>
      </c>
      <c r="C34" t="s">
        <v>235</v>
      </c>
      <c r="D34">
        <v>8</v>
      </c>
      <c r="E34">
        <v>300000</v>
      </c>
      <c r="F34">
        <v>0</v>
      </c>
      <c r="G34">
        <v>300000</v>
      </c>
      <c r="I34">
        <v>0</v>
      </c>
      <c r="J34" t="s">
        <v>229</v>
      </c>
      <c r="K34">
        <v>9</v>
      </c>
      <c r="L34">
        <v>4</v>
      </c>
      <c r="M34">
        <v>0</v>
      </c>
      <c r="N34">
        <v>0</v>
      </c>
      <c r="O34">
        <v>3</v>
      </c>
      <c r="P34">
        <v>4</v>
      </c>
      <c r="Q34">
        <v>3</v>
      </c>
      <c r="R34">
        <v>4</v>
      </c>
      <c r="S34">
        <v>253</v>
      </c>
      <c r="T34">
        <v>90</v>
      </c>
    </row>
    <row r="35" spans="1:21" x14ac:dyDescent="0.3">
      <c r="A35">
        <v>1286</v>
      </c>
      <c r="B35" t="s">
        <v>66</v>
      </c>
      <c r="C35" t="s">
        <v>237</v>
      </c>
      <c r="D35">
        <v>5</v>
      </c>
      <c r="E35">
        <v>160000</v>
      </c>
      <c r="F35">
        <v>0</v>
      </c>
      <c r="G35">
        <v>160000</v>
      </c>
      <c r="H35">
        <v>160000</v>
      </c>
      <c r="I35">
        <v>2</v>
      </c>
      <c r="J35" t="s">
        <v>231</v>
      </c>
      <c r="K35">
        <v>9</v>
      </c>
      <c r="L35">
        <v>4</v>
      </c>
      <c r="M35">
        <v>9</v>
      </c>
      <c r="N35">
        <v>5</v>
      </c>
      <c r="O35">
        <v>3</v>
      </c>
      <c r="P35">
        <v>4</v>
      </c>
      <c r="Q35">
        <v>3</v>
      </c>
      <c r="R35">
        <v>4</v>
      </c>
      <c r="S35">
        <v>255</v>
      </c>
      <c r="T35">
        <v>90</v>
      </c>
      <c r="U35">
        <v>645</v>
      </c>
    </row>
    <row r="36" spans="1:21" x14ac:dyDescent="0.3">
      <c r="A36">
        <v>1287</v>
      </c>
      <c r="B36" t="s">
        <v>94</v>
      </c>
      <c r="C36" t="s">
        <v>238</v>
      </c>
      <c r="D36">
        <v>5</v>
      </c>
      <c r="E36">
        <v>160000</v>
      </c>
      <c r="F36">
        <v>0</v>
      </c>
      <c r="G36">
        <v>160000</v>
      </c>
      <c r="I36">
        <v>0</v>
      </c>
      <c r="J36" t="s">
        <v>229</v>
      </c>
      <c r="K36">
        <v>9</v>
      </c>
      <c r="L36">
        <v>4</v>
      </c>
      <c r="M36">
        <v>0</v>
      </c>
      <c r="N36">
        <v>0</v>
      </c>
      <c r="O36">
        <v>3</v>
      </c>
      <c r="P36">
        <v>4</v>
      </c>
      <c r="Q36">
        <v>3</v>
      </c>
      <c r="R36">
        <v>4</v>
      </c>
      <c r="S36">
        <v>256</v>
      </c>
      <c r="T36">
        <v>90</v>
      </c>
    </row>
    <row r="37" spans="1:21" x14ac:dyDescent="0.3">
      <c r="A37">
        <v>1288</v>
      </c>
      <c r="B37" t="s">
        <v>64</v>
      </c>
      <c r="C37" t="s">
        <v>239</v>
      </c>
      <c r="D37">
        <v>2</v>
      </c>
      <c r="E37">
        <v>80000</v>
      </c>
      <c r="F37">
        <v>0</v>
      </c>
      <c r="G37">
        <v>80000</v>
      </c>
      <c r="H37">
        <v>80000</v>
      </c>
      <c r="I37">
        <v>1</v>
      </c>
      <c r="J37" t="s">
        <v>231</v>
      </c>
      <c r="K37">
        <v>9</v>
      </c>
      <c r="L37">
        <v>4</v>
      </c>
      <c r="M37">
        <v>10</v>
      </c>
      <c r="N37">
        <v>5</v>
      </c>
      <c r="O37">
        <v>3</v>
      </c>
      <c r="P37">
        <v>4</v>
      </c>
      <c r="Q37">
        <v>3</v>
      </c>
      <c r="R37">
        <v>4</v>
      </c>
      <c r="S37">
        <v>260</v>
      </c>
      <c r="T37">
        <v>90</v>
      </c>
      <c r="U37">
        <v>644</v>
      </c>
    </row>
    <row r="38" spans="1:21" x14ac:dyDescent="0.3">
      <c r="A38">
        <v>1289</v>
      </c>
      <c r="B38" t="s">
        <v>83</v>
      </c>
      <c r="C38" t="s">
        <v>240</v>
      </c>
      <c r="D38">
        <v>2</v>
      </c>
      <c r="E38">
        <v>80000</v>
      </c>
      <c r="F38">
        <v>0</v>
      </c>
      <c r="G38">
        <v>80000</v>
      </c>
      <c r="I38">
        <v>0</v>
      </c>
      <c r="J38" t="s">
        <v>229</v>
      </c>
      <c r="K38">
        <v>9</v>
      </c>
      <c r="L38">
        <v>4</v>
      </c>
      <c r="M38">
        <v>0</v>
      </c>
      <c r="N38">
        <v>0</v>
      </c>
      <c r="O38">
        <v>3</v>
      </c>
      <c r="P38">
        <v>4</v>
      </c>
      <c r="Q38">
        <v>3</v>
      </c>
      <c r="R38">
        <v>4</v>
      </c>
      <c r="S38">
        <v>261</v>
      </c>
      <c r="T38">
        <v>90</v>
      </c>
    </row>
    <row r="39" spans="1:21" x14ac:dyDescent="0.3">
      <c r="A39">
        <v>1290</v>
      </c>
      <c r="B39" t="s">
        <v>117</v>
      </c>
      <c r="C39" t="s">
        <v>241</v>
      </c>
      <c r="D39">
        <v>6</v>
      </c>
      <c r="E39">
        <v>200000</v>
      </c>
      <c r="F39">
        <v>0</v>
      </c>
      <c r="G39">
        <v>200000</v>
      </c>
      <c r="I39">
        <v>0</v>
      </c>
      <c r="J39" t="s">
        <v>229</v>
      </c>
      <c r="K39">
        <v>6</v>
      </c>
      <c r="L39">
        <v>6</v>
      </c>
      <c r="M39">
        <v>0</v>
      </c>
      <c r="N39">
        <v>0</v>
      </c>
      <c r="O39">
        <v>4</v>
      </c>
      <c r="P39">
        <v>4</v>
      </c>
      <c r="Q39">
        <v>4</v>
      </c>
      <c r="R39">
        <v>4</v>
      </c>
      <c r="S39">
        <v>262</v>
      </c>
      <c r="T39">
        <v>90</v>
      </c>
    </row>
    <row r="40" spans="1:21" x14ac:dyDescent="0.3">
      <c r="A40">
        <v>1291</v>
      </c>
      <c r="B40" t="s">
        <v>75</v>
      </c>
      <c r="C40" t="s">
        <v>242</v>
      </c>
      <c r="D40">
        <v>4</v>
      </c>
      <c r="E40">
        <v>125000</v>
      </c>
      <c r="F40">
        <v>0</v>
      </c>
      <c r="G40">
        <v>125000</v>
      </c>
      <c r="I40">
        <v>0</v>
      </c>
      <c r="J40" t="s">
        <v>229</v>
      </c>
      <c r="K40">
        <v>6</v>
      </c>
      <c r="L40">
        <v>6</v>
      </c>
      <c r="M40">
        <v>0</v>
      </c>
      <c r="N40">
        <v>0</v>
      </c>
      <c r="O40">
        <v>4</v>
      </c>
      <c r="P40">
        <v>4</v>
      </c>
      <c r="Q40">
        <v>4</v>
      </c>
      <c r="R40">
        <v>4</v>
      </c>
      <c r="S40">
        <v>265</v>
      </c>
      <c r="T40">
        <v>90</v>
      </c>
    </row>
    <row r="41" spans="1:21" x14ac:dyDescent="0.3">
      <c r="A41">
        <v>1292</v>
      </c>
      <c r="B41" t="s">
        <v>37</v>
      </c>
      <c r="C41" t="s">
        <v>243</v>
      </c>
      <c r="D41">
        <v>4</v>
      </c>
      <c r="E41">
        <v>125000</v>
      </c>
      <c r="F41">
        <v>0</v>
      </c>
      <c r="G41">
        <v>125000</v>
      </c>
      <c r="I41">
        <v>0</v>
      </c>
      <c r="J41" t="s">
        <v>229</v>
      </c>
      <c r="K41">
        <v>6</v>
      </c>
      <c r="L41">
        <v>6</v>
      </c>
      <c r="M41">
        <v>0</v>
      </c>
      <c r="N41">
        <v>0</v>
      </c>
      <c r="O41">
        <v>4</v>
      </c>
      <c r="P41">
        <v>4</v>
      </c>
      <c r="Q41">
        <v>4</v>
      </c>
      <c r="R41">
        <v>4</v>
      </c>
      <c r="S41">
        <v>266</v>
      </c>
      <c r="T41">
        <v>90</v>
      </c>
    </row>
    <row r="42" spans="1:21" x14ac:dyDescent="0.3">
      <c r="A42">
        <v>1293</v>
      </c>
      <c r="B42" t="s">
        <v>45</v>
      </c>
      <c r="C42" t="s">
        <v>244</v>
      </c>
      <c r="D42">
        <v>2</v>
      </c>
      <c r="E42">
        <v>70000</v>
      </c>
      <c r="F42">
        <v>0</v>
      </c>
      <c r="G42">
        <v>70000</v>
      </c>
      <c r="I42">
        <v>0</v>
      </c>
      <c r="J42" t="s">
        <v>229</v>
      </c>
      <c r="K42">
        <v>6</v>
      </c>
      <c r="L42">
        <v>6</v>
      </c>
      <c r="M42">
        <v>0</v>
      </c>
      <c r="N42">
        <v>0</v>
      </c>
      <c r="O42">
        <v>4</v>
      </c>
      <c r="P42">
        <v>4</v>
      </c>
      <c r="Q42">
        <v>4</v>
      </c>
      <c r="R42">
        <v>4</v>
      </c>
      <c r="S42">
        <v>270</v>
      </c>
      <c r="T42">
        <v>90</v>
      </c>
    </row>
    <row r="43" spans="1:21" x14ac:dyDescent="0.3">
      <c r="A43">
        <v>1294</v>
      </c>
      <c r="B43" t="s">
        <v>71</v>
      </c>
      <c r="C43" t="s">
        <v>245</v>
      </c>
      <c r="D43">
        <v>2</v>
      </c>
      <c r="E43">
        <v>70000</v>
      </c>
      <c r="F43">
        <v>0</v>
      </c>
      <c r="G43">
        <v>70000</v>
      </c>
      <c r="I43">
        <v>0</v>
      </c>
      <c r="J43" t="s">
        <v>229</v>
      </c>
      <c r="K43">
        <v>6</v>
      </c>
      <c r="L43">
        <v>6</v>
      </c>
      <c r="M43">
        <v>0</v>
      </c>
      <c r="N43">
        <v>0</v>
      </c>
      <c r="O43">
        <v>4</v>
      </c>
      <c r="P43">
        <v>4</v>
      </c>
      <c r="Q43">
        <v>4</v>
      </c>
      <c r="R43">
        <v>4</v>
      </c>
      <c r="S43">
        <v>271</v>
      </c>
      <c r="T43">
        <v>90</v>
      </c>
    </row>
    <row r="44" spans="1:21" x14ac:dyDescent="0.3">
      <c r="A44">
        <v>1340</v>
      </c>
      <c r="B44" t="s">
        <v>204</v>
      </c>
      <c r="C44" t="s">
        <v>246</v>
      </c>
      <c r="D44">
        <v>4</v>
      </c>
      <c r="E44">
        <v>125000</v>
      </c>
      <c r="F44">
        <v>0</v>
      </c>
      <c r="G44">
        <v>125000</v>
      </c>
      <c r="I44">
        <v>0</v>
      </c>
      <c r="J44" t="s">
        <v>229</v>
      </c>
      <c r="K44">
        <v>6</v>
      </c>
      <c r="L44">
        <v>6</v>
      </c>
      <c r="M44">
        <v>1</v>
      </c>
      <c r="N44">
        <v>0</v>
      </c>
      <c r="O44">
        <v>4</v>
      </c>
      <c r="P44">
        <v>4</v>
      </c>
      <c r="Q44">
        <v>4</v>
      </c>
      <c r="R44">
        <v>4</v>
      </c>
      <c r="S44">
        <v>267</v>
      </c>
      <c r="T44">
        <v>90</v>
      </c>
    </row>
    <row r="45" spans="1:21" x14ac:dyDescent="0.3">
      <c r="A45">
        <v>1341</v>
      </c>
      <c r="B45" t="s">
        <v>205</v>
      </c>
      <c r="C45" t="s">
        <v>247</v>
      </c>
      <c r="D45">
        <v>4</v>
      </c>
      <c r="E45">
        <v>125000</v>
      </c>
      <c r="F45">
        <v>0</v>
      </c>
      <c r="G45">
        <v>125000</v>
      </c>
      <c r="I45">
        <v>0</v>
      </c>
      <c r="J45" t="s">
        <v>229</v>
      </c>
      <c r="K45">
        <v>6</v>
      </c>
      <c r="L45">
        <v>6</v>
      </c>
      <c r="M45">
        <v>1</v>
      </c>
      <c r="N45">
        <v>1</v>
      </c>
      <c r="O45">
        <v>4</v>
      </c>
      <c r="P45">
        <v>4</v>
      </c>
      <c r="Q45">
        <v>4</v>
      </c>
      <c r="R45">
        <v>4</v>
      </c>
      <c r="S45">
        <v>268</v>
      </c>
      <c r="T45">
        <v>90</v>
      </c>
    </row>
    <row r="46" spans="1:21" x14ac:dyDescent="0.3">
      <c r="A46">
        <v>1346</v>
      </c>
      <c r="B46" t="s">
        <v>77</v>
      </c>
      <c r="C46" t="s">
        <v>248</v>
      </c>
      <c r="D46">
        <v>6</v>
      </c>
      <c r="E46">
        <v>200000</v>
      </c>
      <c r="F46">
        <v>0</v>
      </c>
      <c r="G46">
        <v>200000</v>
      </c>
      <c r="I46">
        <v>0</v>
      </c>
      <c r="J46" t="s">
        <v>236</v>
      </c>
      <c r="K46">
        <v>9</v>
      </c>
      <c r="L46">
        <v>6</v>
      </c>
      <c r="M46">
        <v>1</v>
      </c>
      <c r="N46">
        <v>1</v>
      </c>
      <c r="P46">
        <v>4</v>
      </c>
      <c r="R46">
        <v>4</v>
      </c>
      <c r="S46">
        <v>246</v>
      </c>
      <c r="T46">
        <v>90</v>
      </c>
    </row>
    <row r="47" spans="1:21" x14ac:dyDescent="0.3">
      <c r="A47">
        <v>1347</v>
      </c>
      <c r="B47" t="s">
        <v>56</v>
      </c>
      <c r="C47" t="s">
        <v>249</v>
      </c>
      <c r="D47">
        <v>9</v>
      </c>
      <c r="E47">
        <v>425000</v>
      </c>
      <c r="F47">
        <v>0</v>
      </c>
      <c r="G47">
        <v>425000</v>
      </c>
      <c r="H47">
        <v>425000</v>
      </c>
      <c r="I47">
        <v>2</v>
      </c>
      <c r="J47" t="s">
        <v>231</v>
      </c>
      <c r="K47">
        <v>9</v>
      </c>
      <c r="L47">
        <v>6</v>
      </c>
      <c r="M47">
        <v>10</v>
      </c>
      <c r="N47">
        <v>7</v>
      </c>
      <c r="P47">
        <v>4</v>
      </c>
      <c r="S47">
        <v>247</v>
      </c>
      <c r="T47">
        <v>90</v>
      </c>
      <c r="U47">
        <v>647</v>
      </c>
    </row>
    <row r="48" spans="1:21" x14ac:dyDescent="0.3">
      <c r="A48">
        <v>1348</v>
      </c>
      <c r="B48" t="s">
        <v>102</v>
      </c>
      <c r="C48" t="s">
        <v>250</v>
      </c>
      <c r="D48">
        <v>3</v>
      </c>
      <c r="E48">
        <v>100000</v>
      </c>
      <c r="F48">
        <v>0</v>
      </c>
      <c r="G48">
        <v>100000</v>
      </c>
      <c r="I48">
        <v>0</v>
      </c>
      <c r="J48" t="s">
        <v>236</v>
      </c>
      <c r="K48">
        <v>9</v>
      </c>
      <c r="L48">
        <v>6</v>
      </c>
      <c r="M48">
        <v>1</v>
      </c>
      <c r="N48">
        <v>0</v>
      </c>
      <c r="P48">
        <v>4</v>
      </c>
      <c r="R48">
        <v>4</v>
      </c>
      <c r="S48">
        <v>250</v>
      </c>
      <c r="T48">
        <v>90</v>
      </c>
    </row>
    <row r="49" spans="1:21" x14ac:dyDescent="0.3">
      <c r="A49">
        <v>1349</v>
      </c>
      <c r="B49" t="s">
        <v>62</v>
      </c>
      <c r="C49" t="s">
        <v>251</v>
      </c>
      <c r="D49">
        <v>8</v>
      </c>
      <c r="E49">
        <v>300000</v>
      </c>
      <c r="F49">
        <v>0</v>
      </c>
      <c r="G49">
        <v>300000</v>
      </c>
      <c r="H49">
        <v>300000</v>
      </c>
      <c r="I49">
        <v>0</v>
      </c>
      <c r="J49" t="s">
        <v>231</v>
      </c>
      <c r="K49">
        <v>9</v>
      </c>
      <c r="L49">
        <v>4</v>
      </c>
      <c r="M49">
        <v>0</v>
      </c>
      <c r="N49">
        <v>0</v>
      </c>
      <c r="P49">
        <v>4</v>
      </c>
      <c r="R49">
        <v>4</v>
      </c>
      <c r="S49">
        <v>254</v>
      </c>
      <c r="T49">
        <v>90</v>
      </c>
      <c r="U49">
        <v>643</v>
      </c>
    </row>
    <row r="50" spans="1:21" x14ac:dyDescent="0.3">
      <c r="A50">
        <v>1350</v>
      </c>
      <c r="B50" t="s">
        <v>206</v>
      </c>
      <c r="C50" t="s">
        <v>252</v>
      </c>
      <c r="D50">
        <v>5</v>
      </c>
      <c r="E50">
        <v>160000</v>
      </c>
      <c r="F50">
        <v>0</v>
      </c>
      <c r="G50">
        <v>160000</v>
      </c>
      <c r="I50">
        <v>0</v>
      </c>
      <c r="J50" t="s">
        <v>236</v>
      </c>
      <c r="K50">
        <v>9</v>
      </c>
      <c r="L50">
        <v>4</v>
      </c>
      <c r="M50">
        <v>2</v>
      </c>
      <c r="N50">
        <v>2</v>
      </c>
      <c r="P50">
        <v>4</v>
      </c>
      <c r="R50">
        <v>4</v>
      </c>
      <c r="S50">
        <v>257</v>
      </c>
      <c r="T50">
        <v>90</v>
      </c>
    </row>
    <row r="51" spans="1:21" x14ac:dyDescent="0.3">
      <c r="A51">
        <v>1351</v>
      </c>
      <c r="B51" t="s">
        <v>207</v>
      </c>
      <c r="C51" t="s">
        <v>253</v>
      </c>
      <c r="D51">
        <v>5</v>
      </c>
      <c r="E51">
        <v>160000</v>
      </c>
      <c r="F51">
        <v>0</v>
      </c>
      <c r="G51">
        <v>160000</v>
      </c>
      <c r="I51">
        <v>0</v>
      </c>
      <c r="J51" t="s">
        <v>236</v>
      </c>
      <c r="K51">
        <v>9</v>
      </c>
      <c r="L51">
        <v>4</v>
      </c>
      <c r="M51">
        <v>2</v>
      </c>
      <c r="N51">
        <v>2</v>
      </c>
      <c r="P51">
        <v>4</v>
      </c>
      <c r="R51">
        <v>4</v>
      </c>
      <c r="S51">
        <v>258</v>
      </c>
      <c r="T51">
        <v>90</v>
      </c>
    </row>
    <row r="52" spans="1:21" x14ac:dyDescent="0.3">
      <c r="A52">
        <v>1352</v>
      </c>
      <c r="B52" t="s">
        <v>208</v>
      </c>
      <c r="C52" t="s">
        <v>254</v>
      </c>
      <c r="D52">
        <v>2</v>
      </c>
      <c r="E52">
        <v>80000</v>
      </c>
      <c r="F52">
        <v>0</v>
      </c>
      <c r="G52">
        <v>80000</v>
      </c>
      <c r="I52">
        <v>0</v>
      </c>
      <c r="J52" t="s">
        <v>236</v>
      </c>
      <c r="K52">
        <v>9</v>
      </c>
      <c r="L52">
        <v>4</v>
      </c>
      <c r="M52">
        <v>1</v>
      </c>
      <c r="N52">
        <v>2</v>
      </c>
      <c r="P52">
        <v>4</v>
      </c>
      <c r="R52">
        <v>4</v>
      </c>
      <c r="S52">
        <v>259</v>
      </c>
      <c r="T52">
        <v>90</v>
      </c>
    </row>
    <row r="53" spans="1:21" x14ac:dyDescent="0.3">
      <c r="A53">
        <v>1353</v>
      </c>
      <c r="B53" t="s">
        <v>209</v>
      </c>
      <c r="C53" t="s">
        <v>255</v>
      </c>
      <c r="D53">
        <v>6</v>
      </c>
      <c r="E53">
        <v>200000</v>
      </c>
      <c r="F53">
        <v>0</v>
      </c>
      <c r="G53">
        <v>200000</v>
      </c>
      <c r="I53">
        <v>0</v>
      </c>
      <c r="J53" t="s">
        <v>236</v>
      </c>
      <c r="K53">
        <v>6</v>
      </c>
      <c r="L53">
        <v>6</v>
      </c>
      <c r="M53">
        <v>1</v>
      </c>
      <c r="N53">
        <v>1</v>
      </c>
      <c r="O53">
        <v>4</v>
      </c>
      <c r="P53">
        <v>4</v>
      </c>
      <c r="Q53">
        <v>4</v>
      </c>
      <c r="R53">
        <v>4</v>
      </c>
      <c r="S53">
        <v>263</v>
      </c>
      <c r="T53">
        <v>90</v>
      </c>
    </row>
    <row r="54" spans="1:21" x14ac:dyDescent="0.3">
      <c r="A54">
        <v>1354</v>
      </c>
      <c r="B54" t="s">
        <v>210</v>
      </c>
      <c r="C54" t="s">
        <v>256</v>
      </c>
      <c r="D54">
        <v>6</v>
      </c>
      <c r="E54">
        <v>200000</v>
      </c>
      <c r="F54">
        <v>0</v>
      </c>
      <c r="G54">
        <v>200000</v>
      </c>
      <c r="I54">
        <v>0</v>
      </c>
      <c r="J54" t="s">
        <v>236</v>
      </c>
      <c r="K54">
        <v>6</v>
      </c>
      <c r="L54">
        <v>6</v>
      </c>
      <c r="M54">
        <v>1</v>
      </c>
      <c r="N54">
        <v>2</v>
      </c>
      <c r="O54">
        <v>4</v>
      </c>
      <c r="P54">
        <v>4</v>
      </c>
      <c r="Q54">
        <v>4</v>
      </c>
      <c r="S54">
        <v>264</v>
      </c>
      <c r="T54">
        <v>90</v>
      </c>
    </row>
    <row r="55" spans="1:21" x14ac:dyDescent="0.3">
      <c r="A55">
        <v>1355</v>
      </c>
      <c r="B55" t="s">
        <v>211</v>
      </c>
      <c r="C55" t="s">
        <v>257</v>
      </c>
      <c r="D55">
        <v>2</v>
      </c>
      <c r="E55">
        <v>70000</v>
      </c>
      <c r="F55">
        <v>0</v>
      </c>
      <c r="G55">
        <v>70000</v>
      </c>
      <c r="I55">
        <v>0</v>
      </c>
      <c r="J55" t="s">
        <v>236</v>
      </c>
      <c r="K55">
        <v>6</v>
      </c>
      <c r="L55">
        <v>6</v>
      </c>
      <c r="M55">
        <v>1</v>
      </c>
      <c r="N55">
        <v>1</v>
      </c>
      <c r="O55">
        <v>4</v>
      </c>
      <c r="P55">
        <v>4</v>
      </c>
      <c r="Q55">
        <v>4</v>
      </c>
      <c r="R55">
        <v>4</v>
      </c>
      <c r="S55">
        <v>269</v>
      </c>
      <c r="T55">
        <v>90</v>
      </c>
    </row>
    <row r="56" spans="1:21" x14ac:dyDescent="0.3">
      <c r="A56">
        <v>1310</v>
      </c>
      <c r="B56" t="s">
        <v>227</v>
      </c>
      <c r="C56" t="s">
        <v>228</v>
      </c>
      <c r="D56">
        <v>9</v>
      </c>
      <c r="E56">
        <v>425000</v>
      </c>
      <c r="F56">
        <v>0</v>
      </c>
      <c r="G56">
        <v>425000</v>
      </c>
      <c r="I56">
        <v>0</v>
      </c>
      <c r="J56" t="s">
        <v>229</v>
      </c>
      <c r="K56">
        <v>9</v>
      </c>
      <c r="L56">
        <v>6</v>
      </c>
      <c r="M56">
        <v>0</v>
      </c>
      <c r="N56">
        <v>0</v>
      </c>
      <c r="O56">
        <v>4</v>
      </c>
      <c r="P56">
        <v>2</v>
      </c>
      <c r="Q56">
        <v>4</v>
      </c>
      <c r="R56">
        <v>2</v>
      </c>
      <c r="S56">
        <v>245</v>
      </c>
      <c r="T56">
        <v>91</v>
      </c>
    </row>
    <row r="57" spans="1:21" x14ac:dyDescent="0.3">
      <c r="A57">
        <v>1311</v>
      </c>
      <c r="B57" t="s">
        <v>41</v>
      </c>
      <c r="C57" t="s">
        <v>230</v>
      </c>
      <c r="D57">
        <v>6</v>
      </c>
      <c r="E57">
        <v>200000</v>
      </c>
      <c r="F57">
        <v>0</v>
      </c>
      <c r="G57">
        <v>200000</v>
      </c>
      <c r="H57">
        <v>200000</v>
      </c>
      <c r="I57">
        <v>2</v>
      </c>
      <c r="J57" t="s">
        <v>231</v>
      </c>
      <c r="K57">
        <v>9</v>
      </c>
      <c r="L57">
        <v>6</v>
      </c>
      <c r="M57">
        <v>9</v>
      </c>
      <c r="N57">
        <v>7</v>
      </c>
      <c r="O57">
        <v>4</v>
      </c>
      <c r="P57">
        <v>2</v>
      </c>
      <c r="Q57">
        <v>4</v>
      </c>
      <c r="R57">
        <v>2</v>
      </c>
      <c r="S57">
        <v>248</v>
      </c>
      <c r="T57">
        <v>91</v>
      </c>
      <c r="U57">
        <v>651</v>
      </c>
    </row>
    <row r="58" spans="1:21" x14ac:dyDescent="0.3">
      <c r="A58">
        <v>1312</v>
      </c>
      <c r="B58" t="s">
        <v>58</v>
      </c>
      <c r="C58" t="s">
        <v>232</v>
      </c>
      <c r="D58">
        <v>6</v>
      </c>
      <c r="E58">
        <v>200000</v>
      </c>
      <c r="F58">
        <v>0</v>
      </c>
      <c r="G58">
        <v>200000</v>
      </c>
      <c r="I58">
        <v>0</v>
      </c>
      <c r="J58" t="s">
        <v>229</v>
      </c>
      <c r="K58">
        <v>9</v>
      </c>
      <c r="L58">
        <v>6</v>
      </c>
      <c r="M58">
        <v>0</v>
      </c>
      <c r="N58">
        <v>0</v>
      </c>
      <c r="O58">
        <v>4</v>
      </c>
      <c r="P58">
        <v>2</v>
      </c>
      <c r="Q58">
        <v>4</v>
      </c>
      <c r="R58">
        <v>2</v>
      </c>
      <c r="S58">
        <v>249</v>
      </c>
      <c r="T58">
        <v>91</v>
      </c>
    </row>
    <row r="59" spans="1:21" x14ac:dyDescent="0.3">
      <c r="A59">
        <v>1313</v>
      </c>
      <c r="B59" t="s">
        <v>48</v>
      </c>
      <c r="C59" t="s">
        <v>233</v>
      </c>
      <c r="D59">
        <v>3</v>
      </c>
      <c r="E59">
        <v>100000</v>
      </c>
      <c r="F59">
        <v>0</v>
      </c>
      <c r="G59">
        <v>100000</v>
      </c>
      <c r="H59">
        <v>100000</v>
      </c>
      <c r="I59">
        <v>0</v>
      </c>
      <c r="J59" t="s">
        <v>231</v>
      </c>
      <c r="K59">
        <v>9</v>
      </c>
      <c r="L59">
        <v>6</v>
      </c>
      <c r="M59">
        <v>0</v>
      </c>
      <c r="N59">
        <v>0</v>
      </c>
      <c r="O59">
        <v>4</v>
      </c>
      <c r="P59">
        <v>2</v>
      </c>
      <c r="Q59">
        <v>4</v>
      </c>
      <c r="R59">
        <v>2</v>
      </c>
      <c r="S59">
        <v>251</v>
      </c>
      <c r="T59">
        <v>91</v>
      </c>
      <c r="U59">
        <v>652</v>
      </c>
    </row>
    <row r="60" spans="1:21" x14ac:dyDescent="0.3">
      <c r="A60">
        <v>1314</v>
      </c>
      <c r="B60" t="s">
        <v>51</v>
      </c>
      <c r="C60" t="s">
        <v>234</v>
      </c>
      <c r="D60">
        <v>8</v>
      </c>
      <c r="E60">
        <v>300000</v>
      </c>
      <c r="F60">
        <v>0</v>
      </c>
      <c r="G60">
        <v>300000</v>
      </c>
      <c r="H60">
        <v>300000</v>
      </c>
      <c r="I60">
        <v>3</v>
      </c>
      <c r="J60" t="s">
        <v>236</v>
      </c>
      <c r="K60">
        <v>9</v>
      </c>
      <c r="L60">
        <v>4</v>
      </c>
      <c r="M60">
        <v>10</v>
      </c>
      <c r="N60">
        <v>5</v>
      </c>
      <c r="O60">
        <v>4</v>
      </c>
      <c r="P60">
        <v>4</v>
      </c>
      <c r="Q60">
        <v>4</v>
      </c>
      <c r="R60">
        <v>4</v>
      </c>
      <c r="S60">
        <v>252</v>
      </c>
      <c r="T60">
        <v>91</v>
      </c>
    </row>
    <row r="61" spans="1:21" x14ac:dyDescent="0.3">
      <c r="A61">
        <v>1315</v>
      </c>
      <c r="B61" t="s">
        <v>55</v>
      </c>
      <c r="C61" t="s">
        <v>235</v>
      </c>
      <c r="D61">
        <v>8</v>
      </c>
      <c r="E61">
        <v>300000</v>
      </c>
      <c r="F61">
        <v>0</v>
      </c>
      <c r="G61">
        <v>300000</v>
      </c>
      <c r="H61">
        <v>300000</v>
      </c>
      <c r="I61">
        <v>0</v>
      </c>
      <c r="J61" t="s">
        <v>236</v>
      </c>
      <c r="K61">
        <v>9</v>
      </c>
      <c r="L61">
        <v>4</v>
      </c>
      <c r="M61">
        <v>0</v>
      </c>
      <c r="N61">
        <v>0</v>
      </c>
      <c r="O61">
        <v>4</v>
      </c>
      <c r="P61">
        <v>4</v>
      </c>
      <c r="Q61">
        <v>4</v>
      </c>
      <c r="R61">
        <v>4</v>
      </c>
      <c r="S61">
        <v>253</v>
      </c>
      <c r="T61">
        <v>91</v>
      </c>
    </row>
    <row r="62" spans="1:21" x14ac:dyDescent="0.3">
      <c r="A62">
        <v>1316</v>
      </c>
      <c r="B62" t="s">
        <v>66</v>
      </c>
      <c r="C62" t="s">
        <v>237</v>
      </c>
      <c r="D62">
        <v>5</v>
      </c>
      <c r="E62">
        <v>160000</v>
      </c>
      <c r="F62">
        <v>0</v>
      </c>
      <c r="G62">
        <v>160000</v>
      </c>
      <c r="I62">
        <v>0</v>
      </c>
      <c r="J62" t="s">
        <v>229</v>
      </c>
      <c r="K62">
        <v>9</v>
      </c>
      <c r="L62">
        <v>4</v>
      </c>
      <c r="M62">
        <v>0</v>
      </c>
      <c r="N62">
        <v>0</v>
      </c>
      <c r="O62">
        <v>4</v>
      </c>
      <c r="P62">
        <v>4</v>
      </c>
      <c r="Q62">
        <v>4</v>
      </c>
      <c r="R62">
        <v>4</v>
      </c>
      <c r="S62">
        <v>255</v>
      </c>
      <c r="T62">
        <v>91</v>
      </c>
    </row>
    <row r="63" spans="1:21" x14ac:dyDescent="0.3">
      <c r="A63">
        <v>1317</v>
      </c>
      <c r="B63" t="s">
        <v>94</v>
      </c>
      <c r="C63" t="s">
        <v>238</v>
      </c>
      <c r="D63">
        <v>5</v>
      </c>
      <c r="E63">
        <v>160000</v>
      </c>
      <c r="F63">
        <v>0</v>
      </c>
      <c r="G63">
        <v>160000</v>
      </c>
      <c r="I63">
        <v>0</v>
      </c>
      <c r="J63" t="s">
        <v>229</v>
      </c>
      <c r="K63">
        <v>9</v>
      </c>
      <c r="L63">
        <v>4</v>
      </c>
      <c r="M63">
        <v>0</v>
      </c>
      <c r="N63">
        <v>0</v>
      </c>
      <c r="O63">
        <v>4</v>
      </c>
      <c r="P63">
        <v>4</v>
      </c>
      <c r="Q63">
        <v>4</v>
      </c>
      <c r="R63">
        <v>4</v>
      </c>
      <c r="S63">
        <v>256</v>
      </c>
      <c r="T63">
        <v>91</v>
      </c>
    </row>
    <row r="64" spans="1:21" x14ac:dyDescent="0.3">
      <c r="A64">
        <v>1318</v>
      </c>
      <c r="B64" t="s">
        <v>64</v>
      </c>
      <c r="C64" t="s">
        <v>239</v>
      </c>
      <c r="D64">
        <v>2</v>
      </c>
      <c r="E64">
        <v>80000</v>
      </c>
      <c r="F64">
        <v>0</v>
      </c>
      <c r="G64">
        <v>80000</v>
      </c>
      <c r="I64">
        <v>0</v>
      </c>
      <c r="J64" t="s">
        <v>229</v>
      </c>
      <c r="K64">
        <v>9</v>
      </c>
      <c r="L64">
        <v>4</v>
      </c>
      <c r="M64">
        <v>0</v>
      </c>
      <c r="N64">
        <v>0</v>
      </c>
      <c r="O64">
        <v>4</v>
      </c>
      <c r="P64">
        <v>4</v>
      </c>
      <c r="Q64">
        <v>4</v>
      </c>
      <c r="R64">
        <v>4</v>
      </c>
      <c r="S64">
        <v>260</v>
      </c>
      <c r="T64">
        <v>91</v>
      </c>
    </row>
    <row r="65" spans="1:21" x14ac:dyDescent="0.3">
      <c r="A65">
        <v>1319</v>
      </c>
      <c r="B65" t="s">
        <v>83</v>
      </c>
      <c r="C65" t="s">
        <v>240</v>
      </c>
      <c r="D65">
        <v>2</v>
      </c>
      <c r="E65">
        <v>80000</v>
      </c>
      <c r="F65">
        <v>0</v>
      </c>
      <c r="G65">
        <v>80000</v>
      </c>
      <c r="I65">
        <v>0</v>
      </c>
      <c r="J65" t="s">
        <v>229</v>
      </c>
      <c r="K65">
        <v>9</v>
      </c>
      <c r="L65">
        <v>4</v>
      </c>
      <c r="M65">
        <v>0</v>
      </c>
      <c r="N65">
        <v>0</v>
      </c>
      <c r="O65">
        <v>4</v>
      </c>
      <c r="P65">
        <v>4</v>
      </c>
      <c r="Q65">
        <v>4</v>
      </c>
      <c r="R65">
        <v>4</v>
      </c>
      <c r="S65">
        <v>261</v>
      </c>
      <c r="T65">
        <v>91</v>
      </c>
    </row>
    <row r="66" spans="1:21" x14ac:dyDescent="0.3">
      <c r="A66">
        <v>1320</v>
      </c>
      <c r="B66" t="s">
        <v>117</v>
      </c>
      <c r="C66" t="s">
        <v>241</v>
      </c>
      <c r="D66">
        <v>6</v>
      </c>
      <c r="E66">
        <v>200000</v>
      </c>
      <c r="F66">
        <v>0</v>
      </c>
      <c r="G66">
        <v>200000</v>
      </c>
      <c r="I66">
        <v>0</v>
      </c>
      <c r="J66" t="s">
        <v>229</v>
      </c>
      <c r="K66">
        <v>6</v>
      </c>
      <c r="L66">
        <v>6</v>
      </c>
      <c r="M66">
        <v>0</v>
      </c>
      <c r="N66">
        <v>0</v>
      </c>
      <c r="O66">
        <v>4</v>
      </c>
      <c r="P66">
        <v>2</v>
      </c>
      <c r="Q66">
        <v>4</v>
      </c>
      <c r="R66">
        <v>2</v>
      </c>
      <c r="S66">
        <v>262</v>
      </c>
      <c r="T66">
        <v>91</v>
      </c>
    </row>
    <row r="67" spans="1:21" x14ac:dyDescent="0.3">
      <c r="A67">
        <v>1321</v>
      </c>
      <c r="B67" t="s">
        <v>75</v>
      </c>
      <c r="C67" t="s">
        <v>242</v>
      </c>
      <c r="D67">
        <v>4</v>
      </c>
      <c r="E67">
        <v>125000</v>
      </c>
      <c r="F67">
        <v>0</v>
      </c>
      <c r="G67">
        <v>125000</v>
      </c>
      <c r="H67">
        <v>125000</v>
      </c>
      <c r="I67">
        <v>2</v>
      </c>
      <c r="J67" t="s">
        <v>231</v>
      </c>
      <c r="K67">
        <v>6</v>
      </c>
      <c r="L67">
        <v>6</v>
      </c>
      <c r="M67">
        <v>7</v>
      </c>
      <c r="N67">
        <v>7</v>
      </c>
      <c r="O67">
        <v>4</v>
      </c>
      <c r="P67">
        <v>2</v>
      </c>
      <c r="Q67">
        <v>4</v>
      </c>
      <c r="R67">
        <v>2</v>
      </c>
      <c r="S67">
        <v>265</v>
      </c>
      <c r="T67">
        <v>91</v>
      </c>
      <c r="U67">
        <v>653</v>
      </c>
    </row>
    <row r="68" spans="1:21" x14ac:dyDescent="0.3">
      <c r="A68">
        <v>1322</v>
      </c>
      <c r="B68" t="s">
        <v>37</v>
      </c>
      <c r="C68" t="s">
        <v>243</v>
      </c>
      <c r="D68">
        <v>4</v>
      </c>
      <c r="E68">
        <v>125000</v>
      </c>
      <c r="F68">
        <v>0</v>
      </c>
      <c r="G68">
        <v>125000</v>
      </c>
      <c r="I68">
        <v>0</v>
      </c>
      <c r="J68" t="s">
        <v>229</v>
      </c>
      <c r="K68">
        <v>6</v>
      </c>
      <c r="L68">
        <v>6</v>
      </c>
      <c r="M68">
        <v>0</v>
      </c>
      <c r="N68">
        <v>0</v>
      </c>
      <c r="O68">
        <v>4</v>
      </c>
      <c r="P68">
        <v>2</v>
      </c>
      <c r="Q68">
        <v>4</v>
      </c>
      <c r="R68">
        <v>2</v>
      </c>
      <c r="S68">
        <v>266</v>
      </c>
      <c r="T68">
        <v>91</v>
      </c>
    </row>
    <row r="69" spans="1:21" x14ac:dyDescent="0.3">
      <c r="A69">
        <v>1323</v>
      </c>
      <c r="B69" t="s">
        <v>45</v>
      </c>
      <c r="C69" t="s">
        <v>244</v>
      </c>
      <c r="D69">
        <v>2</v>
      </c>
      <c r="E69">
        <v>70000</v>
      </c>
      <c r="F69">
        <v>0</v>
      </c>
      <c r="G69">
        <v>70000</v>
      </c>
      <c r="I69">
        <v>0</v>
      </c>
      <c r="J69" t="s">
        <v>229</v>
      </c>
      <c r="K69">
        <v>6</v>
      </c>
      <c r="L69">
        <v>6</v>
      </c>
      <c r="M69">
        <v>0</v>
      </c>
      <c r="N69">
        <v>0</v>
      </c>
      <c r="O69">
        <v>4</v>
      </c>
      <c r="P69">
        <v>2</v>
      </c>
      <c r="Q69">
        <v>4</v>
      </c>
      <c r="R69">
        <v>2</v>
      </c>
      <c r="S69">
        <v>270</v>
      </c>
      <c r="T69">
        <v>91</v>
      </c>
    </row>
    <row r="70" spans="1:21" x14ac:dyDescent="0.3">
      <c r="A70">
        <v>1324</v>
      </c>
      <c r="B70" t="s">
        <v>71</v>
      </c>
      <c r="C70" t="s">
        <v>245</v>
      </c>
      <c r="D70">
        <v>2</v>
      </c>
      <c r="E70">
        <v>70000</v>
      </c>
      <c r="F70">
        <v>0</v>
      </c>
      <c r="G70">
        <v>70000</v>
      </c>
      <c r="H70">
        <v>70000</v>
      </c>
      <c r="I70">
        <v>1</v>
      </c>
      <c r="J70" t="s">
        <v>231</v>
      </c>
      <c r="K70">
        <v>6</v>
      </c>
      <c r="L70">
        <v>6</v>
      </c>
      <c r="M70">
        <v>7</v>
      </c>
      <c r="N70">
        <v>7</v>
      </c>
      <c r="O70">
        <v>4</v>
      </c>
      <c r="P70">
        <v>2</v>
      </c>
      <c r="Q70">
        <v>4</v>
      </c>
      <c r="R70">
        <v>2</v>
      </c>
      <c r="S70">
        <v>271</v>
      </c>
      <c r="T70">
        <v>91</v>
      </c>
      <c r="U70">
        <v>650</v>
      </c>
    </row>
    <row r="71" spans="1:21" x14ac:dyDescent="0.3">
      <c r="A71">
        <v>1344</v>
      </c>
      <c r="B71" t="s">
        <v>204</v>
      </c>
      <c r="C71" t="s">
        <v>246</v>
      </c>
      <c r="D71">
        <v>4</v>
      </c>
      <c r="E71">
        <v>125000</v>
      </c>
      <c r="F71">
        <v>0</v>
      </c>
      <c r="G71">
        <v>125000</v>
      </c>
      <c r="I71">
        <v>0</v>
      </c>
      <c r="J71" t="s">
        <v>229</v>
      </c>
      <c r="K71">
        <v>6</v>
      </c>
      <c r="L71">
        <v>6</v>
      </c>
      <c r="M71">
        <v>1</v>
      </c>
      <c r="N71">
        <v>0</v>
      </c>
      <c r="O71">
        <v>4</v>
      </c>
      <c r="Q71">
        <v>4</v>
      </c>
      <c r="S71">
        <v>267</v>
      </c>
      <c r="T71">
        <v>91</v>
      </c>
    </row>
    <row r="72" spans="1:21" x14ac:dyDescent="0.3">
      <c r="A72">
        <v>1345</v>
      </c>
      <c r="B72" t="s">
        <v>205</v>
      </c>
      <c r="C72" t="s">
        <v>247</v>
      </c>
      <c r="D72">
        <v>4</v>
      </c>
      <c r="E72">
        <v>125000</v>
      </c>
      <c r="F72">
        <v>0</v>
      </c>
      <c r="G72">
        <v>125000</v>
      </c>
      <c r="I72">
        <v>0</v>
      </c>
      <c r="J72" t="s">
        <v>229</v>
      </c>
      <c r="K72">
        <v>6</v>
      </c>
      <c r="L72">
        <v>6</v>
      </c>
      <c r="M72">
        <v>1</v>
      </c>
      <c r="N72">
        <v>1</v>
      </c>
      <c r="O72">
        <v>4</v>
      </c>
      <c r="Q72">
        <v>4</v>
      </c>
      <c r="S72">
        <v>268</v>
      </c>
      <c r="T72">
        <v>91</v>
      </c>
    </row>
    <row r="73" spans="1:21" x14ac:dyDescent="0.3">
      <c r="A73">
        <v>1366</v>
      </c>
      <c r="B73" t="s">
        <v>77</v>
      </c>
      <c r="C73" t="s">
        <v>248</v>
      </c>
      <c r="D73">
        <v>6</v>
      </c>
      <c r="E73">
        <v>200000</v>
      </c>
      <c r="F73">
        <v>0</v>
      </c>
      <c r="G73">
        <v>200000</v>
      </c>
      <c r="H73">
        <v>200000</v>
      </c>
      <c r="I73">
        <v>3</v>
      </c>
      <c r="J73" t="s">
        <v>231</v>
      </c>
      <c r="K73">
        <v>9</v>
      </c>
      <c r="L73">
        <v>6</v>
      </c>
      <c r="M73">
        <v>10</v>
      </c>
      <c r="N73">
        <v>7</v>
      </c>
      <c r="O73">
        <v>4</v>
      </c>
      <c r="S73">
        <v>246</v>
      </c>
      <c r="T73">
        <v>91</v>
      </c>
      <c r="U73">
        <v>654</v>
      </c>
    </row>
    <row r="74" spans="1:21" x14ac:dyDescent="0.3">
      <c r="A74">
        <v>1367</v>
      </c>
      <c r="B74" t="s">
        <v>56</v>
      </c>
      <c r="C74" t="s">
        <v>249</v>
      </c>
      <c r="D74">
        <v>9</v>
      </c>
      <c r="E74">
        <v>425000</v>
      </c>
      <c r="F74">
        <v>0</v>
      </c>
      <c r="G74">
        <v>425000</v>
      </c>
      <c r="H74">
        <v>425000</v>
      </c>
      <c r="I74">
        <v>2</v>
      </c>
      <c r="J74" t="s">
        <v>231</v>
      </c>
      <c r="K74">
        <v>9</v>
      </c>
      <c r="L74">
        <v>6</v>
      </c>
      <c r="M74">
        <v>10</v>
      </c>
      <c r="N74">
        <v>7</v>
      </c>
      <c r="O74">
        <v>4</v>
      </c>
      <c r="S74">
        <v>247</v>
      </c>
      <c r="T74">
        <v>91</v>
      </c>
      <c r="U74">
        <v>655</v>
      </c>
    </row>
    <row r="75" spans="1:21" x14ac:dyDescent="0.3">
      <c r="A75">
        <v>1368</v>
      </c>
      <c r="B75" t="s">
        <v>102</v>
      </c>
      <c r="C75" t="s">
        <v>250</v>
      </c>
      <c r="D75">
        <v>3</v>
      </c>
      <c r="E75">
        <v>100000</v>
      </c>
      <c r="F75">
        <v>0</v>
      </c>
      <c r="G75">
        <v>100000</v>
      </c>
      <c r="I75">
        <v>0</v>
      </c>
      <c r="J75" t="s">
        <v>236</v>
      </c>
      <c r="K75">
        <v>9</v>
      </c>
      <c r="L75">
        <v>6</v>
      </c>
      <c r="M75">
        <v>1</v>
      </c>
      <c r="N75">
        <v>0</v>
      </c>
      <c r="O75">
        <v>4</v>
      </c>
      <c r="S75">
        <v>250</v>
      </c>
      <c r="T75">
        <v>91</v>
      </c>
    </row>
    <row r="76" spans="1:21" x14ac:dyDescent="0.3">
      <c r="A76">
        <v>1369</v>
      </c>
      <c r="B76" t="s">
        <v>62</v>
      </c>
      <c r="C76" t="s">
        <v>251</v>
      </c>
      <c r="D76">
        <v>8</v>
      </c>
      <c r="E76">
        <v>300000</v>
      </c>
      <c r="F76">
        <v>0</v>
      </c>
      <c r="G76">
        <v>300000</v>
      </c>
      <c r="I76">
        <v>0</v>
      </c>
      <c r="J76" t="s">
        <v>236</v>
      </c>
      <c r="K76">
        <v>9</v>
      </c>
      <c r="L76">
        <v>4</v>
      </c>
      <c r="M76">
        <v>0</v>
      </c>
      <c r="N76">
        <v>0</v>
      </c>
      <c r="O76">
        <v>4</v>
      </c>
      <c r="P76">
        <v>4</v>
      </c>
      <c r="Q76">
        <v>4</v>
      </c>
      <c r="R76">
        <v>4</v>
      </c>
      <c r="S76">
        <v>254</v>
      </c>
      <c r="T76">
        <v>91</v>
      </c>
    </row>
    <row r="77" spans="1:21" x14ac:dyDescent="0.3">
      <c r="A77">
        <v>1370</v>
      </c>
      <c r="B77" t="s">
        <v>206</v>
      </c>
      <c r="C77" t="s">
        <v>252</v>
      </c>
      <c r="D77">
        <v>5</v>
      </c>
      <c r="E77">
        <v>160000</v>
      </c>
      <c r="F77">
        <v>0</v>
      </c>
      <c r="G77">
        <v>160000</v>
      </c>
      <c r="I77">
        <v>0</v>
      </c>
      <c r="J77" t="s">
        <v>236</v>
      </c>
      <c r="K77">
        <v>9</v>
      </c>
      <c r="L77">
        <v>4</v>
      </c>
      <c r="M77">
        <v>2</v>
      </c>
      <c r="N77">
        <v>2</v>
      </c>
      <c r="O77">
        <v>4</v>
      </c>
      <c r="P77">
        <v>4</v>
      </c>
      <c r="S77">
        <v>257</v>
      </c>
      <c r="T77">
        <v>91</v>
      </c>
    </row>
    <row r="78" spans="1:21" x14ac:dyDescent="0.3">
      <c r="A78">
        <v>1371</v>
      </c>
      <c r="B78" t="s">
        <v>207</v>
      </c>
      <c r="C78" t="s">
        <v>253</v>
      </c>
      <c r="D78">
        <v>5</v>
      </c>
      <c r="E78">
        <v>160000</v>
      </c>
      <c r="F78">
        <v>0</v>
      </c>
      <c r="G78">
        <v>160000</v>
      </c>
      <c r="I78">
        <v>0</v>
      </c>
      <c r="J78" t="s">
        <v>236</v>
      </c>
      <c r="K78">
        <v>9</v>
      </c>
      <c r="L78">
        <v>4</v>
      </c>
      <c r="M78">
        <v>2</v>
      </c>
      <c r="N78">
        <v>2</v>
      </c>
      <c r="O78">
        <v>4</v>
      </c>
      <c r="P78">
        <v>4</v>
      </c>
      <c r="S78">
        <v>258</v>
      </c>
      <c r="T78">
        <v>91</v>
      </c>
    </row>
    <row r="79" spans="1:21" x14ac:dyDescent="0.3">
      <c r="A79">
        <v>1372</v>
      </c>
      <c r="B79" t="s">
        <v>208</v>
      </c>
      <c r="C79" t="s">
        <v>254</v>
      </c>
      <c r="D79">
        <v>2</v>
      </c>
      <c r="E79">
        <v>80000</v>
      </c>
      <c r="F79">
        <v>0</v>
      </c>
      <c r="G79">
        <v>80000</v>
      </c>
      <c r="I79">
        <v>0</v>
      </c>
      <c r="J79" t="s">
        <v>236</v>
      </c>
      <c r="K79">
        <v>9</v>
      </c>
      <c r="L79">
        <v>4</v>
      </c>
      <c r="M79">
        <v>1</v>
      </c>
      <c r="N79">
        <v>2</v>
      </c>
      <c r="O79">
        <v>4</v>
      </c>
      <c r="P79">
        <v>4</v>
      </c>
      <c r="S79">
        <v>259</v>
      </c>
      <c r="T79">
        <v>91</v>
      </c>
    </row>
    <row r="80" spans="1:21" x14ac:dyDescent="0.3">
      <c r="A80">
        <v>1373</v>
      </c>
      <c r="B80" t="s">
        <v>209</v>
      </c>
      <c r="C80" t="s">
        <v>255</v>
      </c>
      <c r="D80">
        <v>6</v>
      </c>
      <c r="E80">
        <v>200000</v>
      </c>
      <c r="F80">
        <v>0</v>
      </c>
      <c r="G80">
        <v>200000</v>
      </c>
      <c r="I80">
        <v>0</v>
      </c>
      <c r="J80" t="s">
        <v>236</v>
      </c>
      <c r="K80">
        <v>6</v>
      </c>
      <c r="L80">
        <v>6</v>
      </c>
      <c r="M80">
        <v>1</v>
      </c>
      <c r="N80">
        <v>1</v>
      </c>
      <c r="O80">
        <v>4</v>
      </c>
      <c r="Q80">
        <v>4</v>
      </c>
      <c r="S80">
        <v>263</v>
      </c>
      <c r="T80">
        <v>91</v>
      </c>
    </row>
    <row r="81" spans="1:21" x14ac:dyDescent="0.3">
      <c r="A81">
        <v>1374</v>
      </c>
      <c r="B81" t="s">
        <v>210</v>
      </c>
      <c r="C81" t="s">
        <v>256</v>
      </c>
      <c r="D81">
        <v>6</v>
      </c>
      <c r="E81">
        <v>200000</v>
      </c>
      <c r="F81">
        <v>0</v>
      </c>
      <c r="G81">
        <v>200000</v>
      </c>
      <c r="I81">
        <v>0</v>
      </c>
      <c r="J81" t="s">
        <v>236</v>
      </c>
      <c r="K81">
        <v>6</v>
      </c>
      <c r="L81">
        <v>6</v>
      </c>
      <c r="M81">
        <v>1</v>
      </c>
      <c r="N81">
        <v>2</v>
      </c>
      <c r="O81">
        <v>4</v>
      </c>
      <c r="Q81">
        <v>4</v>
      </c>
      <c r="S81">
        <v>264</v>
      </c>
      <c r="T81">
        <v>91</v>
      </c>
    </row>
    <row r="82" spans="1:21" x14ac:dyDescent="0.3">
      <c r="A82">
        <v>1375</v>
      </c>
      <c r="B82" t="s">
        <v>211</v>
      </c>
      <c r="C82" t="s">
        <v>257</v>
      </c>
      <c r="D82">
        <v>2</v>
      </c>
      <c r="E82">
        <v>70000</v>
      </c>
      <c r="F82">
        <v>0</v>
      </c>
      <c r="G82">
        <v>70000</v>
      </c>
      <c r="I82">
        <v>0</v>
      </c>
      <c r="J82" t="s">
        <v>236</v>
      </c>
      <c r="K82">
        <v>6</v>
      </c>
      <c r="L82">
        <v>6</v>
      </c>
      <c r="M82">
        <v>1</v>
      </c>
      <c r="N82">
        <v>1</v>
      </c>
      <c r="O82">
        <v>4</v>
      </c>
      <c r="Q82">
        <v>4</v>
      </c>
      <c r="S82">
        <v>269</v>
      </c>
      <c r="T82">
        <v>91</v>
      </c>
    </row>
    <row r="83" spans="1:21" x14ac:dyDescent="0.3">
      <c r="A83">
        <v>1325</v>
      </c>
      <c r="B83" t="s">
        <v>227</v>
      </c>
      <c r="C83" t="s">
        <v>228</v>
      </c>
      <c r="D83">
        <v>9</v>
      </c>
      <c r="E83">
        <v>425000</v>
      </c>
      <c r="F83">
        <v>0</v>
      </c>
      <c r="G83">
        <v>425000</v>
      </c>
      <c r="I83">
        <v>0</v>
      </c>
      <c r="J83" t="s">
        <v>229</v>
      </c>
      <c r="K83">
        <v>9</v>
      </c>
      <c r="L83">
        <v>6</v>
      </c>
      <c r="M83">
        <v>0</v>
      </c>
      <c r="N83">
        <v>0</v>
      </c>
      <c r="P83">
        <v>3</v>
      </c>
      <c r="R83">
        <v>3</v>
      </c>
      <c r="S83">
        <v>245</v>
      </c>
      <c r="T83">
        <v>92</v>
      </c>
    </row>
    <row r="84" spans="1:21" x14ac:dyDescent="0.3">
      <c r="A84">
        <v>1326</v>
      </c>
      <c r="B84" t="s">
        <v>41</v>
      </c>
      <c r="C84" t="s">
        <v>230</v>
      </c>
      <c r="D84">
        <v>6</v>
      </c>
      <c r="E84">
        <v>200000</v>
      </c>
      <c r="F84">
        <v>0</v>
      </c>
      <c r="G84">
        <v>200000</v>
      </c>
      <c r="H84">
        <v>200000</v>
      </c>
      <c r="I84">
        <v>3</v>
      </c>
      <c r="J84" t="s">
        <v>231</v>
      </c>
      <c r="K84">
        <v>9</v>
      </c>
      <c r="L84">
        <v>6</v>
      </c>
      <c r="M84">
        <v>10</v>
      </c>
      <c r="N84">
        <v>6</v>
      </c>
      <c r="P84">
        <v>3</v>
      </c>
      <c r="R84">
        <v>3</v>
      </c>
      <c r="S84">
        <v>248</v>
      </c>
      <c r="T84">
        <v>92</v>
      </c>
      <c r="U84">
        <v>662</v>
      </c>
    </row>
    <row r="85" spans="1:21" x14ac:dyDescent="0.3">
      <c r="A85">
        <v>1327</v>
      </c>
      <c r="B85" t="s">
        <v>58</v>
      </c>
      <c r="C85" t="s">
        <v>232</v>
      </c>
      <c r="D85">
        <v>6</v>
      </c>
      <c r="E85">
        <v>200000</v>
      </c>
      <c r="F85">
        <v>0</v>
      </c>
      <c r="G85">
        <v>200000</v>
      </c>
      <c r="H85">
        <v>240000</v>
      </c>
      <c r="I85">
        <v>3</v>
      </c>
      <c r="J85" t="s">
        <v>236</v>
      </c>
      <c r="K85">
        <v>9</v>
      </c>
      <c r="L85">
        <v>6</v>
      </c>
      <c r="M85">
        <v>10</v>
      </c>
      <c r="N85">
        <v>6</v>
      </c>
      <c r="P85">
        <v>3</v>
      </c>
      <c r="R85">
        <v>3</v>
      </c>
      <c r="S85">
        <v>249</v>
      </c>
      <c r="T85">
        <v>92</v>
      </c>
    </row>
    <row r="86" spans="1:21" x14ac:dyDescent="0.3">
      <c r="A86">
        <v>1328</v>
      </c>
      <c r="B86" t="s">
        <v>48</v>
      </c>
      <c r="C86" t="s">
        <v>233</v>
      </c>
      <c r="D86">
        <v>3</v>
      </c>
      <c r="E86">
        <v>100000</v>
      </c>
      <c r="F86">
        <v>0</v>
      </c>
      <c r="G86">
        <v>100000</v>
      </c>
      <c r="H86">
        <v>100000</v>
      </c>
      <c r="I86">
        <v>3</v>
      </c>
      <c r="J86" t="s">
        <v>231</v>
      </c>
      <c r="K86">
        <v>9</v>
      </c>
      <c r="L86">
        <v>6</v>
      </c>
      <c r="M86">
        <v>9</v>
      </c>
      <c r="N86">
        <v>7</v>
      </c>
      <c r="P86">
        <v>3</v>
      </c>
      <c r="R86">
        <v>3</v>
      </c>
      <c r="S86">
        <v>251</v>
      </c>
      <c r="T86">
        <v>92</v>
      </c>
      <c r="U86">
        <v>661</v>
      </c>
    </row>
    <row r="87" spans="1:21" x14ac:dyDescent="0.3">
      <c r="A87">
        <v>1329</v>
      </c>
      <c r="B87" t="s">
        <v>51</v>
      </c>
      <c r="C87" t="s">
        <v>234</v>
      </c>
      <c r="D87">
        <v>8</v>
      </c>
      <c r="E87">
        <v>300000</v>
      </c>
      <c r="F87">
        <v>0</v>
      </c>
      <c r="G87">
        <v>300000</v>
      </c>
      <c r="H87">
        <v>300000</v>
      </c>
      <c r="I87">
        <v>3</v>
      </c>
      <c r="J87" t="s">
        <v>231</v>
      </c>
      <c r="K87">
        <v>9</v>
      </c>
      <c r="L87">
        <v>4</v>
      </c>
      <c r="M87">
        <v>10</v>
      </c>
      <c r="N87">
        <v>4</v>
      </c>
      <c r="P87">
        <v>4</v>
      </c>
      <c r="R87">
        <v>4</v>
      </c>
      <c r="S87">
        <v>252</v>
      </c>
      <c r="T87">
        <v>92</v>
      </c>
      <c r="U87">
        <v>664</v>
      </c>
    </row>
    <row r="88" spans="1:21" x14ac:dyDescent="0.3">
      <c r="A88">
        <v>1330</v>
      </c>
      <c r="B88" t="s">
        <v>55</v>
      </c>
      <c r="C88" t="s">
        <v>235</v>
      </c>
      <c r="D88">
        <v>8</v>
      </c>
      <c r="E88">
        <v>300000</v>
      </c>
      <c r="F88">
        <v>0</v>
      </c>
      <c r="G88">
        <v>300000</v>
      </c>
      <c r="I88">
        <v>0</v>
      </c>
      <c r="J88" t="s">
        <v>229</v>
      </c>
      <c r="K88">
        <v>9</v>
      </c>
      <c r="L88">
        <v>4</v>
      </c>
      <c r="M88">
        <v>0</v>
      </c>
      <c r="N88">
        <v>0</v>
      </c>
      <c r="P88">
        <v>4</v>
      </c>
      <c r="R88">
        <v>4</v>
      </c>
      <c r="S88">
        <v>253</v>
      </c>
      <c r="T88">
        <v>92</v>
      </c>
    </row>
    <row r="89" spans="1:21" x14ac:dyDescent="0.3">
      <c r="A89">
        <v>1331</v>
      </c>
      <c r="B89" t="s">
        <v>66</v>
      </c>
      <c r="C89" t="s">
        <v>237</v>
      </c>
      <c r="D89">
        <v>5</v>
      </c>
      <c r="E89">
        <v>160000</v>
      </c>
      <c r="F89">
        <v>0</v>
      </c>
      <c r="G89">
        <v>160000</v>
      </c>
      <c r="H89">
        <v>200000</v>
      </c>
      <c r="I89">
        <v>3</v>
      </c>
      <c r="J89" t="s">
        <v>236</v>
      </c>
      <c r="K89">
        <v>9</v>
      </c>
      <c r="L89">
        <v>4</v>
      </c>
      <c r="M89">
        <v>9</v>
      </c>
      <c r="N89">
        <v>5</v>
      </c>
      <c r="P89">
        <v>4</v>
      </c>
      <c r="R89">
        <v>4</v>
      </c>
      <c r="S89">
        <v>255</v>
      </c>
      <c r="T89">
        <v>92</v>
      </c>
    </row>
    <row r="90" spans="1:21" x14ac:dyDescent="0.3">
      <c r="A90">
        <v>1332</v>
      </c>
      <c r="B90" t="s">
        <v>94</v>
      </c>
      <c r="C90" t="s">
        <v>238</v>
      </c>
      <c r="D90">
        <v>5</v>
      </c>
      <c r="E90">
        <v>160000</v>
      </c>
      <c r="F90">
        <v>0</v>
      </c>
      <c r="G90">
        <v>160000</v>
      </c>
      <c r="I90">
        <v>0</v>
      </c>
      <c r="J90" t="s">
        <v>229</v>
      </c>
      <c r="K90">
        <v>9</v>
      </c>
      <c r="L90">
        <v>4</v>
      </c>
      <c r="M90">
        <v>0</v>
      </c>
      <c r="N90">
        <v>0</v>
      </c>
      <c r="P90">
        <v>4</v>
      </c>
      <c r="R90">
        <v>4</v>
      </c>
      <c r="S90">
        <v>256</v>
      </c>
      <c r="T90">
        <v>92</v>
      </c>
    </row>
    <row r="91" spans="1:21" x14ac:dyDescent="0.3">
      <c r="A91">
        <v>1333</v>
      </c>
      <c r="B91" t="s">
        <v>64</v>
      </c>
      <c r="C91" t="s">
        <v>239</v>
      </c>
      <c r="D91">
        <v>2</v>
      </c>
      <c r="E91">
        <v>80000</v>
      </c>
      <c r="F91">
        <v>0</v>
      </c>
      <c r="G91">
        <v>80000</v>
      </c>
      <c r="I91">
        <v>0</v>
      </c>
      <c r="J91" t="s">
        <v>229</v>
      </c>
      <c r="K91">
        <v>9</v>
      </c>
      <c r="L91">
        <v>4</v>
      </c>
      <c r="M91">
        <v>0</v>
      </c>
      <c r="N91">
        <v>0</v>
      </c>
      <c r="P91">
        <v>4</v>
      </c>
      <c r="R91">
        <v>4</v>
      </c>
      <c r="S91">
        <v>260</v>
      </c>
      <c r="T91">
        <v>92</v>
      </c>
    </row>
    <row r="92" spans="1:21" x14ac:dyDescent="0.3">
      <c r="A92">
        <v>1334</v>
      </c>
      <c r="B92" t="s">
        <v>83</v>
      </c>
      <c r="C92" t="s">
        <v>240</v>
      </c>
      <c r="D92">
        <v>2</v>
      </c>
      <c r="E92">
        <v>80000</v>
      </c>
      <c r="F92">
        <v>0</v>
      </c>
      <c r="G92">
        <v>80000</v>
      </c>
      <c r="H92">
        <v>80000</v>
      </c>
      <c r="I92">
        <v>2</v>
      </c>
      <c r="J92" t="s">
        <v>231</v>
      </c>
      <c r="K92">
        <v>9</v>
      </c>
      <c r="L92">
        <v>4</v>
      </c>
      <c r="M92">
        <v>9</v>
      </c>
      <c r="N92">
        <v>5</v>
      </c>
      <c r="P92">
        <v>4</v>
      </c>
      <c r="R92">
        <v>4</v>
      </c>
      <c r="S92">
        <v>261</v>
      </c>
      <c r="T92">
        <v>92</v>
      </c>
      <c r="U92">
        <v>660</v>
      </c>
    </row>
    <row r="93" spans="1:21" x14ac:dyDescent="0.3">
      <c r="A93">
        <v>1335</v>
      </c>
      <c r="B93" t="s">
        <v>117</v>
      </c>
      <c r="C93" t="s">
        <v>241</v>
      </c>
      <c r="D93">
        <v>6</v>
      </c>
      <c r="E93">
        <v>200000</v>
      </c>
      <c r="F93">
        <v>0</v>
      </c>
      <c r="G93">
        <v>200000</v>
      </c>
      <c r="I93">
        <v>0</v>
      </c>
      <c r="J93" t="s">
        <v>229</v>
      </c>
      <c r="K93">
        <v>6</v>
      </c>
      <c r="L93">
        <v>6</v>
      </c>
      <c r="M93">
        <v>0</v>
      </c>
      <c r="N93">
        <v>0</v>
      </c>
      <c r="O93">
        <v>3</v>
      </c>
      <c r="P93">
        <v>3</v>
      </c>
      <c r="Q93">
        <v>3</v>
      </c>
      <c r="R93">
        <v>3</v>
      </c>
      <c r="S93">
        <v>262</v>
      </c>
      <c r="T93">
        <v>92</v>
      </c>
    </row>
    <row r="94" spans="1:21" x14ac:dyDescent="0.3">
      <c r="A94">
        <v>1336</v>
      </c>
      <c r="B94" t="s">
        <v>75</v>
      </c>
      <c r="C94" t="s">
        <v>242</v>
      </c>
      <c r="D94">
        <v>4</v>
      </c>
      <c r="E94">
        <v>125000</v>
      </c>
      <c r="F94">
        <v>0</v>
      </c>
      <c r="G94">
        <v>125000</v>
      </c>
      <c r="I94">
        <v>0</v>
      </c>
      <c r="J94" t="s">
        <v>229</v>
      </c>
      <c r="K94">
        <v>6</v>
      </c>
      <c r="L94">
        <v>6</v>
      </c>
      <c r="M94">
        <v>0</v>
      </c>
      <c r="N94">
        <v>0</v>
      </c>
      <c r="O94">
        <v>3</v>
      </c>
      <c r="P94">
        <v>3</v>
      </c>
      <c r="Q94">
        <v>3</v>
      </c>
      <c r="R94">
        <v>3</v>
      </c>
      <c r="S94">
        <v>265</v>
      </c>
      <c r="T94">
        <v>92</v>
      </c>
    </row>
    <row r="95" spans="1:21" x14ac:dyDescent="0.3">
      <c r="A95">
        <v>1337</v>
      </c>
      <c r="B95" t="s">
        <v>37</v>
      </c>
      <c r="C95" t="s">
        <v>243</v>
      </c>
      <c r="D95">
        <v>4</v>
      </c>
      <c r="E95">
        <v>125000</v>
      </c>
      <c r="F95">
        <v>0</v>
      </c>
      <c r="G95">
        <v>125000</v>
      </c>
      <c r="I95">
        <v>0</v>
      </c>
      <c r="J95" t="s">
        <v>229</v>
      </c>
      <c r="K95">
        <v>6</v>
      </c>
      <c r="L95">
        <v>6</v>
      </c>
      <c r="M95">
        <v>0</v>
      </c>
      <c r="N95">
        <v>0</v>
      </c>
      <c r="O95">
        <v>3</v>
      </c>
      <c r="P95">
        <v>3</v>
      </c>
      <c r="Q95">
        <v>3</v>
      </c>
      <c r="R95">
        <v>3</v>
      </c>
      <c r="S95">
        <v>266</v>
      </c>
      <c r="T95">
        <v>92</v>
      </c>
    </row>
    <row r="96" spans="1:21" x14ac:dyDescent="0.3">
      <c r="A96">
        <v>1338</v>
      </c>
      <c r="B96" t="s">
        <v>45</v>
      </c>
      <c r="C96" t="s">
        <v>244</v>
      </c>
      <c r="D96">
        <v>2</v>
      </c>
      <c r="E96">
        <v>70000</v>
      </c>
      <c r="F96">
        <v>0</v>
      </c>
      <c r="G96">
        <v>70000</v>
      </c>
      <c r="I96">
        <v>0</v>
      </c>
      <c r="J96" t="s">
        <v>229</v>
      </c>
      <c r="K96">
        <v>6</v>
      </c>
      <c r="L96">
        <v>6</v>
      </c>
      <c r="M96">
        <v>0</v>
      </c>
      <c r="N96">
        <v>0</v>
      </c>
      <c r="O96">
        <v>3</v>
      </c>
      <c r="P96">
        <v>3</v>
      </c>
      <c r="Q96">
        <v>3</v>
      </c>
      <c r="R96">
        <v>3</v>
      </c>
      <c r="S96">
        <v>270</v>
      </c>
      <c r="T96">
        <v>92</v>
      </c>
    </row>
    <row r="97" spans="1:21" x14ac:dyDescent="0.3">
      <c r="A97">
        <v>1339</v>
      </c>
      <c r="B97" t="s">
        <v>71</v>
      </c>
      <c r="C97" t="s">
        <v>245</v>
      </c>
      <c r="D97">
        <v>2</v>
      </c>
      <c r="E97">
        <v>70000</v>
      </c>
      <c r="F97">
        <v>0</v>
      </c>
      <c r="G97">
        <v>70000</v>
      </c>
      <c r="I97">
        <v>0</v>
      </c>
      <c r="J97" t="s">
        <v>229</v>
      </c>
      <c r="K97">
        <v>6</v>
      </c>
      <c r="L97">
        <v>6</v>
      </c>
      <c r="M97">
        <v>0</v>
      </c>
      <c r="N97">
        <v>0</v>
      </c>
      <c r="O97">
        <v>3</v>
      </c>
      <c r="P97">
        <v>3</v>
      </c>
      <c r="Q97">
        <v>3</v>
      </c>
      <c r="R97">
        <v>3</v>
      </c>
      <c r="S97">
        <v>271</v>
      </c>
      <c r="T97">
        <v>92</v>
      </c>
    </row>
    <row r="98" spans="1:21" x14ac:dyDescent="0.3">
      <c r="A98">
        <v>1376</v>
      </c>
      <c r="B98" t="s">
        <v>204</v>
      </c>
      <c r="C98" t="s">
        <v>246</v>
      </c>
      <c r="D98">
        <v>4</v>
      </c>
      <c r="E98">
        <v>125000</v>
      </c>
      <c r="F98">
        <v>0</v>
      </c>
      <c r="G98">
        <v>125000</v>
      </c>
      <c r="I98">
        <v>0</v>
      </c>
      <c r="J98" t="s">
        <v>229</v>
      </c>
      <c r="K98">
        <v>6</v>
      </c>
      <c r="L98">
        <v>6</v>
      </c>
      <c r="M98">
        <v>1</v>
      </c>
      <c r="N98">
        <v>0</v>
      </c>
      <c r="O98">
        <v>3</v>
      </c>
      <c r="P98">
        <v>3</v>
      </c>
      <c r="Q98">
        <v>3</v>
      </c>
      <c r="R98">
        <v>3</v>
      </c>
      <c r="S98">
        <v>267</v>
      </c>
      <c r="T98">
        <v>92</v>
      </c>
    </row>
    <row r="99" spans="1:21" x14ac:dyDescent="0.3">
      <c r="A99">
        <v>1377</v>
      </c>
      <c r="B99" t="s">
        <v>205</v>
      </c>
      <c r="C99" t="s">
        <v>247</v>
      </c>
      <c r="D99">
        <v>4</v>
      </c>
      <c r="E99">
        <v>125000</v>
      </c>
      <c r="F99">
        <v>0</v>
      </c>
      <c r="G99">
        <v>125000</v>
      </c>
      <c r="I99">
        <v>0</v>
      </c>
      <c r="J99" t="s">
        <v>229</v>
      </c>
      <c r="K99">
        <v>6</v>
      </c>
      <c r="L99">
        <v>6</v>
      </c>
      <c r="M99">
        <v>1</v>
      </c>
      <c r="N99">
        <v>1</v>
      </c>
      <c r="O99">
        <v>3</v>
      </c>
      <c r="P99">
        <v>3</v>
      </c>
      <c r="Q99">
        <v>3</v>
      </c>
      <c r="R99">
        <v>3</v>
      </c>
      <c r="S99">
        <v>268</v>
      </c>
      <c r="T99">
        <v>92</v>
      </c>
    </row>
    <row r="100" spans="1:21" x14ac:dyDescent="0.3">
      <c r="A100">
        <v>1378</v>
      </c>
      <c r="B100" t="s">
        <v>77</v>
      </c>
      <c r="C100" t="s">
        <v>248</v>
      </c>
      <c r="D100">
        <v>6</v>
      </c>
      <c r="E100">
        <v>200000</v>
      </c>
      <c r="F100">
        <v>0</v>
      </c>
      <c r="G100">
        <v>200000</v>
      </c>
      <c r="H100">
        <v>200000</v>
      </c>
      <c r="I100">
        <v>3</v>
      </c>
      <c r="J100" t="s">
        <v>231</v>
      </c>
      <c r="K100">
        <v>9</v>
      </c>
      <c r="L100">
        <v>6</v>
      </c>
      <c r="M100">
        <v>10</v>
      </c>
      <c r="N100">
        <v>7</v>
      </c>
      <c r="S100">
        <v>246</v>
      </c>
      <c r="T100">
        <v>92</v>
      </c>
      <c r="U100">
        <v>659</v>
      </c>
    </row>
    <row r="101" spans="1:21" x14ac:dyDescent="0.3">
      <c r="A101">
        <v>1379</v>
      </c>
      <c r="B101" t="s">
        <v>56</v>
      </c>
      <c r="C101" t="s">
        <v>249</v>
      </c>
      <c r="D101">
        <v>9</v>
      </c>
      <c r="E101">
        <v>425000</v>
      </c>
      <c r="F101">
        <v>0</v>
      </c>
      <c r="G101">
        <v>425000</v>
      </c>
      <c r="H101">
        <v>425000</v>
      </c>
      <c r="I101">
        <v>2</v>
      </c>
      <c r="J101" t="s">
        <v>231</v>
      </c>
      <c r="K101">
        <v>9</v>
      </c>
      <c r="L101">
        <v>6</v>
      </c>
      <c r="M101">
        <v>10</v>
      </c>
      <c r="N101">
        <v>7</v>
      </c>
      <c r="S101">
        <v>247</v>
      </c>
      <c r="T101">
        <v>92</v>
      </c>
      <c r="U101">
        <v>663</v>
      </c>
    </row>
    <row r="102" spans="1:21" x14ac:dyDescent="0.3">
      <c r="A102">
        <v>1380</v>
      </c>
      <c r="B102" t="s">
        <v>102</v>
      </c>
      <c r="C102" t="s">
        <v>250</v>
      </c>
      <c r="D102">
        <v>3</v>
      </c>
      <c r="E102">
        <v>100000</v>
      </c>
      <c r="F102">
        <v>0</v>
      </c>
      <c r="G102">
        <v>100000</v>
      </c>
      <c r="I102">
        <v>0</v>
      </c>
      <c r="J102" t="s">
        <v>236</v>
      </c>
      <c r="K102">
        <v>9</v>
      </c>
      <c r="L102">
        <v>6</v>
      </c>
      <c r="M102">
        <v>1</v>
      </c>
      <c r="N102">
        <v>0</v>
      </c>
      <c r="S102">
        <v>250</v>
      </c>
      <c r="T102">
        <v>92</v>
      </c>
    </row>
    <row r="103" spans="1:21" x14ac:dyDescent="0.3">
      <c r="A103">
        <v>1381</v>
      </c>
      <c r="B103" t="s">
        <v>62</v>
      </c>
      <c r="C103" t="s">
        <v>251</v>
      </c>
      <c r="D103">
        <v>8</v>
      </c>
      <c r="E103">
        <v>300000</v>
      </c>
      <c r="F103">
        <v>0</v>
      </c>
      <c r="G103">
        <v>300000</v>
      </c>
      <c r="I103">
        <v>0</v>
      </c>
      <c r="J103" t="s">
        <v>236</v>
      </c>
      <c r="K103">
        <v>9</v>
      </c>
      <c r="L103">
        <v>4</v>
      </c>
      <c r="M103">
        <v>0</v>
      </c>
      <c r="N103">
        <v>0</v>
      </c>
      <c r="P103">
        <v>4</v>
      </c>
      <c r="R103">
        <v>4</v>
      </c>
      <c r="S103">
        <v>254</v>
      </c>
      <c r="T103">
        <v>92</v>
      </c>
    </row>
    <row r="104" spans="1:21" x14ac:dyDescent="0.3">
      <c r="A104">
        <v>1382</v>
      </c>
      <c r="B104" t="s">
        <v>206</v>
      </c>
      <c r="C104" t="s">
        <v>252</v>
      </c>
      <c r="D104">
        <v>5</v>
      </c>
      <c r="E104">
        <v>160000</v>
      </c>
      <c r="F104">
        <v>0</v>
      </c>
      <c r="G104">
        <v>160000</v>
      </c>
      <c r="I104">
        <v>0</v>
      </c>
      <c r="J104" t="s">
        <v>236</v>
      </c>
      <c r="K104">
        <v>9</v>
      </c>
      <c r="L104">
        <v>4</v>
      </c>
      <c r="M104">
        <v>2</v>
      </c>
      <c r="N104">
        <v>2</v>
      </c>
      <c r="P104">
        <v>4</v>
      </c>
      <c r="S104">
        <v>257</v>
      </c>
      <c r="T104">
        <v>92</v>
      </c>
    </row>
    <row r="105" spans="1:21" x14ac:dyDescent="0.3">
      <c r="A105">
        <v>1383</v>
      </c>
      <c r="B105" t="s">
        <v>207</v>
      </c>
      <c r="C105" t="s">
        <v>253</v>
      </c>
      <c r="D105">
        <v>5</v>
      </c>
      <c r="E105">
        <v>160000</v>
      </c>
      <c r="F105">
        <v>0</v>
      </c>
      <c r="G105">
        <v>160000</v>
      </c>
      <c r="I105">
        <v>0</v>
      </c>
      <c r="J105" t="s">
        <v>236</v>
      </c>
      <c r="K105">
        <v>9</v>
      </c>
      <c r="L105">
        <v>4</v>
      </c>
      <c r="M105">
        <v>2</v>
      </c>
      <c r="N105">
        <v>2</v>
      </c>
      <c r="P105">
        <v>4</v>
      </c>
      <c r="S105">
        <v>258</v>
      </c>
      <c r="T105">
        <v>92</v>
      </c>
    </row>
    <row r="106" spans="1:21" x14ac:dyDescent="0.3">
      <c r="A106">
        <v>1384</v>
      </c>
      <c r="B106" t="s">
        <v>208</v>
      </c>
      <c r="C106" t="s">
        <v>254</v>
      </c>
      <c r="D106">
        <v>2</v>
      </c>
      <c r="E106">
        <v>80000</v>
      </c>
      <c r="F106">
        <v>0</v>
      </c>
      <c r="G106">
        <v>80000</v>
      </c>
      <c r="I106">
        <v>0</v>
      </c>
      <c r="J106" t="s">
        <v>236</v>
      </c>
      <c r="K106">
        <v>9</v>
      </c>
      <c r="L106">
        <v>4</v>
      </c>
      <c r="M106">
        <v>1</v>
      </c>
      <c r="N106">
        <v>2</v>
      </c>
      <c r="P106">
        <v>4</v>
      </c>
      <c r="S106">
        <v>259</v>
      </c>
      <c r="T106">
        <v>92</v>
      </c>
    </row>
    <row r="107" spans="1:21" x14ac:dyDescent="0.3">
      <c r="A107">
        <v>1385</v>
      </c>
      <c r="B107" t="s">
        <v>209</v>
      </c>
      <c r="C107" t="s">
        <v>255</v>
      </c>
      <c r="D107">
        <v>6</v>
      </c>
      <c r="E107">
        <v>200000</v>
      </c>
      <c r="F107">
        <v>0</v>
      </c>
      <c r="G107">
        <v>200000</v>
      </c>
      <c r="I107">
        <v>0</v>
      </c>
      <c r="J107" t="s">
        <v>236</v>
      </c>
      <c r="K107">
        <v>6</v>
      </c>
      <c r="L107">
        <v>6</v>
      </c>
      <c r="M107">
        <v>1</v>
      </c>
      <c r="N107">
        <v>1</v>
      </c>
      <c r="S107">
        <v>263</v>
      </c>
      <c r="T107">
        <v>92</v>
      </c>
    </row>
    <row r="108" spans="1:21" x14ac:dyDescent="0.3">
      <c r="A108">
        <v>1386</v>
      </c>
      <c r="B108" t="s">
        <v>210</v>
      </c>
      <c r="C108" t="s">
        <v>256</v>
      </c>
      <c r="D108">
        <v>6</v>
      </c>
      <c r="E108">
        <v>200000</v>
      </c>
      <c r="F108">
        <v>0</v>
      </c>
      <c r="G108">
        <v>200000</v>
      </c>
      <c r="I108">
        <v>0</v>
      </c>
      <c r="J108" t="s">
        <v>236</v>
      </c>
      <c r="K108">
        <v>6</v>
      </c>
      <c r="L108">
        <v>6</v>
      </c>
      <c r="M108">
        <v>1</v>
      </c>
      <c r="N108">
        <v>2</v>
      </c>
      <c r="S108">
        <v>264</v>
      </c>
      <c r="T108">
        <v>92</v>
      </c>
    </row>
    <row r="109" spans="1:21" x14ac:dyDescent="0.3">
      <c r="A109">
        <v>1387</v>
      </c>
      <c r="B109" t="s">
        <v>211</v>
      </c>
      <c r="C109" t="s">
        <v>257</v>
      </c>
      <c r="D109">
        <v>2</v>
      </c>
      <c r="E109">
        <v>70000</v>
      </c>
      <c r="F109">
        <v>0</v>
      </c>
      <c r="G109">
        <v>70000</v>
      </c>
      <c r="I109">
        <v>0</v>
      </c>
      <c r="J109" t="s">
        <v>236</v>
      </c>
      <c r="K109">
        <v>6</v>
      </c>
      <c r="L109">
        <v>6</v>
      </c>
      <c r="M109">
        <v>1</v>
      </c>
      <c r="N109">
        <v>1</v>
      </c>
      <c r="S109">
        <v>269</v>
      </c>
      <c r="T109">
        <v>92</v>
      </c>
    </row>
    <row r="110" spans="1:21" x14ac:dyDescent="0.3">
      <c r="A110">
        <v>1403</v>
      </c>
      <c r="B110" t="s">
        <v>227</v>
      </c>
      <c r="C110" t="s">
        <v>228</v>
      </c>
      <c r="D110">
        <v>9</v>
      </c>
      <c r="E110">
        <v>425000</v>
      </c>
      <c r="F110">
        <v>0</v>
      </c>
      <c r="G110">
        <v>425000</v>
      </c>
      <c r="I110">
        <v>0</v>
      </c>
      <c r="J110" t="s">
        <v>229</v>
      </c>
      <c r="K110">
        <v>9</v>
      </c>
      <c r="L110">
        <v>6</v>
      </c>
      <c r="M110">
        <v>0</v>
      </c>
      <c r="N110">
        <v>0</v>
      </c>
      <c r="O110">
        <v>2</v>
      </c>
      <c r="P110">
        <v>4</v>
      </c>
      <c r="Q110">
        <v>2</v>
      </c>
      <c r="R110">
        <v>4</v>
      </c>
      <c r="S110">
        <v>245</v>
      </c>
      <c r="T110">
        <v>93</v>
      </c>
    </row>
    <row r="111" spans="1:21" x14ac:dyDescent="0.3">
      <c r="A111">
        <v>1404</v>
      </c>
      <c r="B111" t="s">
        <v>41</v>
      </c>
      <c r="C111" t="s">
        <v>230</v>
      </c>
      <c r="D111">
        <v>6</v>
      </c>
      <c r="E111">
        <v>200000</v>
      </c>
      <c r="F111">
        <v>0</v>
      </c>
      <c r="G111">
        <v>200000</v>
      </c>
      <c r="H111">
        <v>200000</v>
      </c>
      <c r="I111">
        <v>2</v>
      </c>
      <c r="J111" t="s">
        <v>231</v>
      </c>
      <c r="K111">
        <v>9</v>
      </c>
      <c r="L111">
        <v>6</v>
      </c>
      <c r="M111">
        <v>10</v>
      </c>
      <c r="N111">
        <v>6</v>
      </c>
      <c r="O111">
        <v>2</v>
      </c>
      <c r="P111">
        <v>4</v>
      </c>
      <c r="Q111">
        <v>2</v>
      </c>
      <c r="R111">
        <v>4</v>
      </c>
      <c r="S111">
        <v>248</v>
      </c>
      <c r="T111">
        <v>93</v>
      </c>
      <c r="U111">
        <v>667</v>
      </c>
    </row>
    <row r="112" spans="1:21" x14ac:dyDescent="0.3">
      <c r="A112">
        <v>1405</v>
      </c>
      <c r="B112" t="s">
        <v>58</v>
      </c>
      <c r="C112" t="s">
        <v>232</v>
      </c>
      <c r="D112">
        <v>6</v>
      </c>
      <c r="E112">
        <v>200000</v>
      </c>
      <c r="F112">
        <v>0</v>
      </c>
      <c r="G112">
        <v>200000</v>
      </c>
      <c r="H112">
        <v>270000</v>
      </c>
      <c r="I112">
        <v>0</v>
      </c>
      <c r="J112" t="s">
        <v>231</v>
      </c>
      <c r="K112">
        <v>9</v>
      </c>
      <c r="L112">
        <v>6</v>
      </c>
      <c r="M112">
        <v>0</v>
      </c>
      <c r="N112">
        <v>0</v>
      </c>
      <c r="O112">
        <v>2</v>
      </c>
      <c r="P112">
        <v>4</v>
      </c>
      <c r="Q112">
        <v>2</v>
      </c>
      <c r="R112">
        <v>4</v>
      </c>
      <c r="S112">
        <v>249</v>
      </c>
      <c r="T112">
        <v>93</v>
      </c>
      <c r="U112">
        <v>672</v>
      </c>
    </row>
    <row r="113" spans="1:21" x14ac:dyDescent="0.3">
      <c r="A113">
        <v>1406</v>
      </c>
      <c r="B113" t="s">
        <v>48</v>
      </c>
      <c r="C113" t="s">
        <v>233</v>
      </c>
      <c r="D113">
        <v>3</v>
      </c>
      <c r="E113">
        <v>100000</v>
      </c>
      <c r="F113">
        <v>0</v>
      </c>
      <c r="G113">
        <v>100000</v>
      </c>
      <c r="H113">
        <v>100000</v>
      </c>
      <c r="I113">
        <v>3</v>
      </c>
      <c r="J113" t="s">
        <v>231</v>
      </c>
      <c r="K113">
        <v>9</v>
      </c>
      <c r="L113">
        <v>6</v>
      </c>
      <c r="M113">
        <v>10</v>
      </c>
      <c r="N113">
        <v>7</v>
      </c>
      <c r="O113">
        <v>2</v>
      </c>
      <c r="P113">
        <v>4</v>
      </c>
      <c r="Q113">
        <v>2</v>
      </c>
      <c r="R113">
        <v>4</v>
      </c>
      <c r="S113">
        <v>251</v>
      </c>
      <c r="T113">
        <v>93</v>
      </c>
      <c r="U113">
        <v>669</v>
      </c>
    </row>
    <row r="114" spans="1:21" x14ac:dyDescent="0.3">
      <c r="A114">
        <v>1407</v>
      </c>
      <c r="B114" t="s">
        <v>51</v>
      </c>
      <c r="C114" t="s">
        <v>234</v>
      </c>
      <c r="D114">
        <v>8</v>
      </c>
      <c r="E114">
        <v>300000</v>
      </c>
      <c r="F114">
        <v>0</v>
      </c>
      <c r="G114">
        <v>300000</v>
      </c>
      <c r="H114">
        <v>300000</v>
      </c>
      <c r="I114">
        <v>3</v>
      </c>
      <c r="J114" t="s">
        <v>236</v>
      </c>
      <c r="K114">
        <v>9</v>
      </c>
      <c r="L114">
        <v>4</v>
      </c>
      <c r="M114">
        <v>10</v>
      </c>
      <c r="N114">
        <v>4</v>
      </c>
      <c r="O114">
        <v>2</v>
      </c>
      <c r="P114">
        <v>4</v>
      </c>
      <c r="Q114">
        <v>2</v>
      </c>
      <c r="R114">
        <v>4</v>
      </c>
      <c r="S114">
        <v>252</v>
      </c>
      <c r="T114">
        <v>93</v>
      </c>
    </row>
    <row r="115" spans="1:21" x14ac:dyDescent="0.3">
      <c r="A115">
        <v>1408</v>
      </c>
      <c r="B115" t="s">
        <v>55</v>
      </c>
      <c r="C115" t="s">
        <v>235</v>
      </c>
      <c r="D115">
        <v>8</v>
      </c>
      <c r="E115">
        <v>300000</v>
      </c>
      <c r="F115">
        <v>0</v>
      </c>
      <c r="G115">
        <v>300000</v>
      </c>
      <c r="I115">
        <v>0</v>
      </c>
      <c r="J115" t="s">
        <v>229</v>
      </c>
      <c r="K115">
        <v>9</v>
      </c>
      <c r="L115">
        <v>4</v>
      </c>
      <c r="M115">
        <v>0</v>
      </c>
      <c r="N115">
        <v>0</v>
      </c>
      <c r="O115">
        <v>2</v>
      </c>
      <c r="P115">
        <v>4</v>
      </c>
      <c r="Q115">
        <v>2</v>
      </c>
      <c r="R115">
        <v>4</v>
      </c>
      <c r="S115">
        <v>253</v>
      </c>
      <c r="T115">
        <v>93</v>
      </c>
    </row>
    <row r="116" spans="1:21" x14ac:dyDescent="0.3">
      <c r="A116">
        <v>1409</v>
      </c>
      <c r="B116" t="s">
        <v>66</v>
      </c>
      <c r="C116" t="s">
        <v>237</v>
      </c>
      <c r="D116">
        <v>5</v>
      </c>
      <c r="E116">
        <v>160000</v>
      </c>
      <c r="F116">
        <v>0</v>
      </c>
      <c r="G116">
        <v>160000</v>
      </c>
      <c r="I116">
        <v>0</v>
      </c>
      <c r="J116" t="s">
        <v>229</v>
      </c>
      <c r="K116">
        <v>9</v>
      </c>
      <c r="L116">
        <v>4</v>
      </c>
      <c r="M116">
        <v>0</v>
      </c>
      <c r="N116">
        <v>0</v>
      </c>
      <c r="O116">
        <v>2</v>
      </c>
      <c r="P116">
        <v>4</v>
      </c>
      <c r="Q116">
        <v>2</v>
      </c>
      <c r="R116">
        <v>4</v>
      </c>
      <c r="S116">
        <v>255</v>
      </c>
      <c r="T116">
        <v>93</v>
      </c>
    </row>
    <row r="117" spans="1:21" x14ac:dyDescent="0.3">
      <c r="A117">
        <v>1410</v>
      </c>
      <c r="B117" t="s">
        <v>94</v>
      </c>
      <c r="C117" t="s">
        <v>238</v>
      </c>
      <c r="D117">
        <v>5</v>
      </c>
      <c r="E117">
        <v>160000</v>
      </c>
      <c r="F117">
        <v>0</v>
      </c>
      <c r="G117">
        <v>160000</v>
      </c>
      <c r="H117">
        <v>160000</v>
      </c>
      <c r="I117">
        <v>3</v>
      </c>
      <c r="J117" t="s">
        <v>231</v>
      </c>
      <c r="K117">
        <v>9</v>
      </c>
      <c r="L117">
        <v>4</v>
      </c>
      <c r="M117">
        <v>10</v>
      </c>
      <c r="N117">
        <v>4</v>
      </c>
      <c r="O117">
        <v>2</v>
      </c>
      <c r="P117">
        <v>4</v>
      </c>
      <c r="Q117">
        <v>2</v>
      </c>
      <c r="R117">
        <v>4</v>
      </c>
      <c r="S117">
        <v>256</v>
      </c>
      <c r="T117">
        <v>93</v>
      </c>
      <c r="U117">
        <v>670</v>
      </c>
    </row>
    <row r="118" spans="1:21" x14ac:dyDescent="0.3">
      <c r="A118">
        <v>1411</v>
      </c>
      <c r="B118" t="s">
        <v>64</v>
      </c>
      <c r="C118" t="s">
        <v>239</v>
      </c>
      <c r="D118">
        <v>2</v>
      </c>
      <c r="E118">
        <v>80000</v>
      </c>
      <c r="F118">
        <v>0</v>
      </c>
      <c r="G118">
        <v>80000</v>
      </c>
      <c r="I118">
        <v>0</v>
      </c>
      <c r="J118" t="s">
        <v>229</v>
      </c>
      <c r="K118">
        <v>9</v>
      </c>
      <c r="L118">
        <v>4</v>
      </c>
      <c r="M118">
        <v>0</v>
      </c>
      <c r="N118">
        <v>0</v>
      </c>
      <c r="O118">
        <v>2</v>
      </c>
      <c r="P118">
        <v>4</v>
      </c>
      <c r="Q118">
        <v>2</v>
      </c>
      <c r="R118">
        <v>4</v>
      </c>
      <c r="S118">
        <v>260</v>
      </c>
      <c r="T118">
        <v>93</v>
      </c>
    </row>
    <row r="119" spans="1:21" x14ac:dyDescent="0.3">
      <c r="A119">
        <v>1412</v>
      </c>
      <c r="B119" t="s">
        <v>83</v>
      </c>
      <c r="C119" t="s">
        <v>240</v>
      </c>
      <c r="D119">
        <v>2</v>
      </c>
      <c r="E119">
        <v>80000</v>
      </c>
      <c r="F119">
        <v>0</v>
      </c>
      <c r="G119">
        <v>80000</v>
      </c>
      <c r="I119">
        <v>0</v>
      </c>
      <c r="J119" t="s">
        <v>229</v>
      </c>
      <c r="K119">
        <v>9</v>
      </c>
      <c r="L119">
        <v>4</v>
      </c>
      <c r="M119">
        <v>0</v>
      </c>
      <c r="N119">
        <v>0</v>
      </c>
      <c r="O119">
        <v>2</v>
      </c>
      <c r="P119">
        <v>4</v>
      </c>
      <c r="Q119">
        <v>2</v>
      </c>
      <c r="R119">
        <v>4</v>
      </c>
      <c r="S119">
        <v>261</v>
      </c>
      <c r="T119">
        <v>93</v>
      </c>
    </row>
    <row r="120" spans="1:21" x14ac:dyDescent="0.3">
      <c r="A120">
        <v>1413</v>
      </c>
      <c r="B120" t="s">
        <v>117</v>
      </c>
      <c r="C120" t="s">
        <v>241</v>
      </c>
      <c r="D120">
        <v>6</v>
      </c>
      <c r="E120">
        <v>200000</v>
      </c>
      <c r="F120">
        <v>0</v>
      </c>
      <c r="G120">
        <v>200000</v>
      </c>
      <c r="I120">
        <v>0</v>
      </c>
      <c r="J120" t="s">
        <v>229</v>
      </c>
      <c r="K120">
        <v>6</v>
      </c>
      <c r="L120">
        <v>6</v>
      </c>
      <c r="M120">
        <v>0</v>
      </c>
      <c r="N120">
        <v>0</v>
      </c>
      <c r="O120">
        <v>4</v>
      </c>
      <c r="P120">
        <v>4</v>
      </c>
      <c r="Q120">
        <v>4</v>
      </c>
      <c r="R120">
        <v>4</v>
      </c>
      <c r="S120">
        <v>262</v>
      </c>
      <c r="T120">
        <v>93</v>
      </c>
    </row>
    <row r="121" spans="1:21" x14ac:dyDescent="0.3">
      <c r="A121">
        <v>1414</v>
      </c>
      <c r="B121" t="s">
        <v>75</v>
      </c>
      <c r="C121" t="s">
        <v>242</v>
      </c>
      <c r="D121">
        <v>4</v>
      </c>
      <c r="E121">
        <v>125000</v>
      </c>
      <c r="F121">
        <v>0</v>
      </c>
      <c r="G121">
        <v>125000</v>
      </c>
      <c r="I121">
        <v>0</v>
      </c>
      <c r="J121" t="s">
        <v>229</v>
      </c>
      <c r="K121">
        <v>6</v>
      </c>
      <c r="L121">
        <v>6</v>
      </c>
      <c r="M121">
        <v>0</v>
      </c>
      <c r="N121">
        <v>0</v>
      </c>
      <c r="O121">
        <v>4</v>
      </c>
      <c r="P121">
        <v>4</v>
      </c>
      <c r="Q121">
        <v>4</v>
      </c>
      <c r="R121">
        <v>4</v>
      </c>
      <c r="S121">
        <v>265</v>
      </c>
      <c r="T121">
        <v>93</v>
      </c>
    </row>
    <row r="122" spans="1:21" x14ac:dyDescent="0.3">
      <c r="A122">
        <v>1415</v>
      </c>
      <c r="B122" t="s">
        <v>37</v>
      </c>
      <c r="C122" t="s">
        <v>243</v>
      </c>
      <c r="D122">
        <v>4</v>
      </c>
      <c r="E122">
        <v>125000</v>
      </c>
      <c r="F122">
        <v>0</v>
      </c>
      <c r="G122">
        <v>125000</v>
      </c>
      <c r="I122">
        <v>0</v>
      </c>
      <c r="J122" t="s">
        <v>229</v>
      </c>
      <c r="K122">
        <v>6</v>
      </c>
      <c r="L122">
        <v>6</v>
      </c>
      <c r="M122">
        <v>0</v>
      </c>
      <c r="N122">
        <v>0</v>
      </c>
      <c r="O122">
        <v>4</v>
      </c>
      <c r="P122">
        <v>4</v>
      </c>
      <c r="Q122">
        <v>4</v>
      </c>
      <c r="R122">
        <v>4</v>
      </c>
      <c r="S122">
        <v>266</v>
      </c>
      <c r="T122">
        <v>93</v>
      </c>
    </row>
    <row r="123" spans="1:21" x14ac:dyDescent="0.3">
      <c r="A123">
        <v>1416</v>
      </c>
      <c r="B123" t="s">
        <v>45</v>
      </c>
      <c r="C123" t="s">
        <v>244</v>
      </c>
      <c r="D123">
        <v>2</v>
      </c>
      <c r="E123">
        <v>70000</v>
      </c>
      <c r="F123">
        <v>0</v>
      </c>
      <c r="G123">
        <v>70000</v>
      </c>
      <c r="H123">
        <v>70000</v>
      </c>
      <c r="I123">
        <v>0</v>
      </c>
      <c r="J123" t="s">
        <v>231</v>
      </c>
      <c r="K123">
        <v>6</v>
      </c>
      <c r="L123">
        <v>6</v>
      </c>
      <c r="M123">
        <v>0</v>
      </c>
      <c r="N123">
        <v>0</v>
      </c>
      <c r="O123">
        <v>4</v>
      </c>
      <c r="P123">
        <v>4</v>
      </c>
      <c r="Q123">
        <v>4</v>
      </c>
      <c r="R123">
        <v>4</v>
      </c>
      <c r="S123">
        <v>270</v>
      </c>
      <c r="T123">
        <v>93</v>
      </c>
      <c r="U123">
        <v>668</v>
      </c>
    </row>
    <row r="124" spans="1:21" x14ac:dyDescent="0.3">
      <c r="A124">
        <v>1417</v>
      </c>
      <c r="B124" t="s">
        <v>71</v>
      </c>
      <c r="C124" t="s">
        <v>245</v>
      </c>
      <c r="D124">
        <v>2</v>
      </c>
      <c r="E124">
        <v>70000</v>
      </c>
      <c r="F124">
        <v>0</v>
      </c>
      <c r="G124">
        <v>70000</v>
      </c>
      <c r="H124">
        <v>70000</v>
      </c>
      <c r="I124">
        <v>0</v>
      </c>
      <c r="J124" t="s">
        <v>231</v>
      </c>
      <c r="K124">
        <v>6</v>
      </c>
      <c r="L124">
        <v>6</v>
      </c>
      <c r="M124">
        <v>7</v>
      </c>
      <c r="N124">
        <v>6</v>
      </c>
      <c r="O124">
        <v>4</v>
      </c>
      <c r="P124">
        <v>4</v>
      </c>
      <c r="Q124">
        <v>4</v>
      </c>
      <c r="R124">
        <v>4</v>
      </c>
      <c r="S124">
        <v>271</v>
      </c>
      <c r="T124">
        <v>93</v>
      </c>
      <c r="U124">
        <v>666</v>
      </c>
    </row>
    <row r="125" spans="1:21" x14ac:dyDescent="0.3">
      <c r="A125">
        <v>1454</v>
      </c>
      <c r="B125" t="s">
        <v>204</v>
      </c>
      <c r="C125" t="s">
        <v>246</v>
      </c>
      <c r="D125">
        <v>4</v>
      </c>
      <c r="E125">
        <v>125000</v>
      </c>
      <c r="F125">
        <v>0</v>
      </c>
      <c r="G125">
        <v>125000</v>
      </c>
      <c r="I125">
        <v>0</v>
      </c>
      <c r="J125" t="s">
        <v>229</v>
      </c>
      <c r="K125">
        <v>6</v>
      </c>
      <c r="L125">
        <v>6</v>
      </c>
      <c r="M125">
        <v>1</v>
      </c>
      <c r="N125">
        <v>0</v>
      </c>
      <c r="O125">
        <v>4</v>
      </c>
      <c r="P125">
        <v>4</v>
      </c>
      <c r="Q125">
        <v>4</v>
      </c>
      <c r="R125">
        <v>4</v>
      </c>
      <c r="S125">
        <v>267</v>
      </c>
      <c r="T125">
        <v>93</v>
      </c>
    </row>
    <row r="126" spans="1:21" x14ac:dyDescent="0.3">
      <c r="A126">
        <v>1455</v>
      </c>
      <c r="B126" t="s">
        <v>205</v>
      </c>
      <c r="C126" t="s">
        <v>247</v>
      </c>
      <c r="D126">
        <v>4</v>
      </c>
      <c r="E126">
        <v>125000</v>
      </c>
      <c r="F126">
        <v>0</v>
      </c>
      <c r="G126">
        <v>125000</v>
      </c>
      <c r="I126">
        <v>0</v>
      </c>
      <c r="J126" t="s">
        <v>229</v>
      </c>
      <c r="K126">
        <v>6</v>
      </c>
      <c r="L126">
        <v>6</v>
      </c>
      <c r="M126">
        <v>1</v>
      </c>
      <c r="N126">
        <v>1</v>
      </c>
      <c r="O126">
        <v>4</v>
      </c>
      <c r="P126">
        <v>4</v>
      </c>
      <c r="Q126">
        <v>4</v>
      </c>
      <c r="R126">
        <v>4</v>
      </c>
      <c r="S126">
        <v>268</v>
      </c>
      <c r="T126">
        <v>93</v>
      </c>
    </row>
    <row r="127" spans="1:21" x14ac:dyDescent="0.3">
      <c r="A127">
        <v>1476</v>
      </c>
      <c r="B127" t="s">
        <v>77</v>
      </c>
      <c r="C127" t="s">
        <v>248</v>
      </c>
      <c r="D127">
        <v>6</v>
      </c>
      <c r="E127">
        <v>200000</v>
      </c>
      <c r="F127">
        <v>0</v>
      </c>
      <c r="G127">
        <v>200000</v>
      </c>
      <c r="I127">
        <v>0</v>
      </c>
      <c r="J127" t="s">
        <v>236</v>
      </c>
      <c r="K127">
        <v>9</v>
      </c>
      <c r="L127">
        <v>6</v>
      </c>
      <c r="M127">
        <v>1</v>
      </c>
      <c r="N127">
        <v>1</v>
      </c>
      <c r="P127">
        <v>4</v>
      </c>
      <c r="R127">
        <v>4</v>
      </c>
      <c r="S127">
        <v>246</v>
      </c>
      <c r="T127">
        <v>93</v>
      </c>
    </row>
    <row r="128" spans="1:21" x14ac:dyDescent="0.3">
      <c r="A128">
        <v>1477</v>
      </c>
      <c r="B128" t="s">
        <v>56</v>
      </c>
      <c r="C128" t="s">
        <v>249</v>
      </c>
      <c r="D128">
        <v>9</v>
      </c>
      <c r="E128">
        <v>425000</v>
      </c>
      <c r="F128">
        <v>0</v>
      </c>
      <c r="G128">
        <v>425000</v>
      </c>
      <c r="H128">
        <v>425000</v>
      </c>
      <c r="I128">
        <v>2</v>
      </c>
      <c r="J128" t="s">
        <v>231</v>
      </c>
      <c r="K128">
        <v>9</v>
      </c>
      <c r="L128">
        <v>6</v>
      </c>
      <c r="M128">
        <v>10</v>
      </c>
      <c r="N128">
        <v>7</v>
      </c>
      <c r="P128">
        <v>4</v>
      </c>
      <c r="S128">
        <v>247</v>
      </c>
      <c r="T128">
        <v>93</v>
      </c>
      <c r="U128">
        <v>671</v>
      </c>
    </row>
    <row r="129" spans="1:21" x14ac:dyDescent="0.3">
      <c r="A129">
        <v>1478</v>
      </c>
      <c r="B129" t="s">
        <v>102</v>
      </c>
      <c r="C129" t="s">
        <v>250</v>
      </c>
      <c r="D129">
        <v>3</v>
      </c>
      <c r="E129">
        <v>100000</v>
      </c>
      <c r="F129">
        <v>0</v>
      </c>
      <c r="G129">
        <v>100000</v>
      </c>
      <c r="I129">
        <v>0</v>
      </c>
      <c r="J129" t="s">
        <v>236</v>
      </c>
      <c r="K129">
        <v>9</v>
      </c>
      <c r="L129">
        <v>6</v>
      </c>
      <c r="M129">
        <v>1</v>
      </c>
      <c r="N129">
        <v>0</v>
      </c>
      <c r="P129">
        <v>4</v>
      </c>
      <c r="R129">
        <v>4</v>
      </c>
      <c r="S129">
        <v>250</v>
      </c>
      <c r="T129">
        <v>93</v>
      </c>
    </row>
    <row r="130" spans="1:21" x14ac:dyDescent="0.3">
      <c r="A130">
        <v>1479</v>
      </c>
      <c r="B130" t="s">
        <v>62</v>
      </c>
      <c r="C130" t="s">
        <v>251</v>
      </c>
      <c r="D130">
        <v>8</v>
      </c>
      <c r="E130">
        <v>300000</v>
      </c>
      <c r="F130">
        <v>0</v>
      </c>
      <c r="G130">
        <v>300000</v>
      </c>
      <c r="I130">
        <v>0</v>
      </c>
      <c r="J130" t="s">
        <v>236</v>
      </c>
      <c r="K130">
        <v>9</v>
      </c>
      <c r="L130">
        <v>4</v>
      </c>
      <c r="M130">
        <v>0</v>
      </c>
      <c r="N130">
        <v>0</v>
      </c>
      <c r="P130">
        <v>4</v>
      </c>
      <c r="R130">
        <v>4</v>
      </c>
      <c r="S130">
        <v>254</v>
      </c>
      <c r="T130">
        <v>93</v>
      </c>
    </row>
    <row r="131" spans="1:21" x14ac:dyDescent="0.3">
      <c r="A131">
        <v>1480</v>
      </c>
      <c r="B131" t="s">
        <v>206</v>
      </c>
      <c r="C131" t="s">
        <v>252</v>
      </c>
      <c r="D131">
        <v>5</v>
      </c>
      <c r="E131">
        <v>160000</v>
      </c>
      <c r="F131">
        <v>0</v>
      </c>
      <c r="G131">
        <v>160000</v>
      </c>
      <c r="I131">
        <v>0</v>
      </c>
      <c r="J131" t="s">
        <v>236</v>
      </c>
      <c r="K131">
        <v>9</v>
      </c>
      <c r="L131">
        <v>4</v>
      </c>
      <c r="M131">
        <v>2</v>
      </c>
      <c r="N131">
        <v>2</v>
      </c>
      <c r="P131">
        <v>4</v>
      </c>
      <c r="R131">
        <v>4</v>
      </c>
      <c r="S131">
        <v>257</v>
      </c>
      <c r="T131">
        <v>93</v>
      </c>
    </row>
    <row r="132" spans="1:21" x14ac:dyDescent="0.3">
      <c r="A132">
        <v>1481</v>
      </c>
      <c r="B132" t="s">
        <v>207</v>
      </c>
      <c r="C132" t="s">
        <v>253</v>
      </c>
      <c r="D132">
        <v>5</v>
      </c>
      <c r="E132">
        <v>160000</v>
      </c>
      <c r="F132">
        <v>0</v>
      </c>
      <c r="G132">
        <v>160000</v>
      </c>
      <c r="I132">
        <v>0</v>
      </c>
      <c r="J132" t="s">
        <v>236</v>
      </c>
      <c r="K132">
        <v>9</v>
      </c>
      <c r="L132">
        <v>4</v>
      </c>
      <c r="M132">
        <v>2</v>
      </c>
      <c r="N132">
        <v>2</v>
      </c>
      <c r="P132">
        <v>4</v>
      </c>
      <c r="R132">
        <v>4</v>
      </c>
      <c r="S132">
        <v>258</v>
      </c>
      <c r="T132">
        <v>93</v>
      </c>
    </row>
    <row r="133" spans="1:21" x14ac:dyDescent="0.3">
      <c r="A133">
        <v>1482</v>
      </c>
      <c r="B133" t="s">
        <v>208</v>
      </c>
      <c r="C133" t="s">
        <v>254</v>
      </c>
      <c r="D133">
        <v>2</v>
      </c>
      <c r="E133">
        <v>80000</v>
      </c>
      <c r="F133">
        <v>0</v>
      </c>
      <c r="G133">
        <v>80000</v>
      </c>
      <c r="I133">
        <v>0</v>
      </c>
      <c r="J133" t="s">
        <v>236</v>
      </c>
      <c r="K133">
        <v>9</v>
      </c>
      <c r="L133">
        <v>4</v>
      </c>
      <c r="M133">
        <v>1</v>
      </c>
      <c r="N133">
        <v>2</v>
      </c>
      <c r="P133">
        <v>4</v>
      </c>
      <c r="R133">
        <v>4</v>
      </c>
      <c r="S133">
        <v>259</v>
      </c>
      <c r="T133">
        <v>93</v>
      </c>
    </row>
    <row r="134" spans="1:21" x14ac:dyDescent="0.3">
      <c r="A134">
        <v>1483</v>
      </c>
      <c r="B134" t="s">
        <v>209</v>
      </c>
      <c r="C134" t="s">
        <v>255</v>
      </c>
      <c r="D134">
        <v>6</v>
      </c>
      <c r="E134">
        <v>200000</v>
      </c>
      <c r="F134">
        <v>0</v>
      </c>
      <c r="G134">
        <v>200000</v>
      </c>
      <c r="I134">
        <v>0</v>
      </c>
      <c r="J134" t="s">
        <v>236</v>
      </c>
      <c r="K134">
        <v>6</v>
      </c>
      <c r="L134">
        <v>6</v>
      </c>
      <c r="M134">
        <v>1</v>
      </c>
      <c r="N134">
        <v>1</v>
      </c>
      <c r="O134">
        <v>4</v>
      </c>
      <c r="P134">
        <v>4</v>
      </c>
      <c r="Q134">
        <v>4</v>
      </c>
      <c r="R134">
        <v>4</v>
      </c>
      <c r="S134">
        <v>263</v>
      </c>
      <c r="T134">
        <v>93</v>
      </c>
    </row>
    <row r="135" spans="1:21" x14ac:dyDescent="0.3">
      <c r="A135">
        <v>1484</v>
      </c>
      <c r="B135" t="s">
        <v>210</v>
      </c>
      <c r="C135" t="s">
        <v>256</v>
      </c>
      <c r="D135">
        <v>6</v>
      </c>
      <c r="E135">
        <v>200000</v>
      </c>
      <c r="F135">
        <v>0</v>
      </c>
      <c r="G135">
        <v>200000</v>
      </c>
      <c r="I135">
        <v>0</v>
      </c>
      <c r="J135" t="s">
        <v>236</v>
      </c>
      <c r="K135">
        <v>6</v>
      </c>
      <c r="L135">
        <v>6</v>
      </c>
      <c r="M135">
        <v>1</v>
      </c>
      <c r="N135">
        <v>2</v>
      </c>
      <c r="O135">
        <v>4</v>
      </c>
      <c r="P135">
        <v>4</v>
      </c>
      <c r="Q135">
        <v>4</v>
      </c>
      <c r="S135">
        <v>264</v>
      </c>
      <c r="T135">
        <v>93</v>
      </c>
    </row>
    <row r="136" spans="1:21" x14ac:dyDescent="0.3">
      <c r="A136">
        <v>1485</v>
      </c>
      <c r="B136" t="s">
        <v>211</v>
      </c>
      <c r="C136" t="s">
        <v>257</v>
      </c>
      <c r="D136">
        <v>2</v>
      </c>
      <c r="E136">
        <v>70000</v>
      </c>
      <c r="F136">
        <v>0</v>
      </c>
      <c r="G136">
        <v>70000</v>
      </c>
      <c r="I136">
        <v>0</v>
      </c>
      <c r="J136" t="s">
        <v>236</v>
      </c>
      <c r="K136">
        <v>6</v>
      </c>
      <c r="L136">
        <v>6</v>
      </c>
      <c r="M136">
        <v>1</v>
      </c>
      <c r="N136">
        <v>1</v>
      </c>
      <c r="O136">
        <v>4</v>
      </c>
      <c r="P136">
        <v>4</v>
      </c>
      <c r="Q136">
        <v>4</v>
      </c>
      <c r="R136">
        <v>4</v>
      </c>
      <c r="S136">
        <v>269</v>
      </c>
      <c r="T136">
        <v>93</v>
      </c>
    </row>
    <row r="137" spans="1:21" x14ac:dyDescent="0.3">
      <c r="A137">
        <v>1418</v>
      </c>
      <c r="B137" t="s">
        <v>227</v>
      </c>
      <c r="C137" t="s">
        <v>228</v>
      </c>
      <c r="D137">
        <v>9</v>
      </c>
      <c r="E137">
        <v>425000</v>
      </c>
      <c r="F137">
        <v>0</v>
      </c>
      <c r="G137">
        <v>425000</v>
      </c>
      <c r="I137">
        <v>0</v>
      </c>
      <c r="J137" t="s">
        <v>229</v>
      </c>
      <c r="K137">
        <v>9</v>
      </c>
      <c r="L137">
        <v>6</v>
      </c>
      <c r="M137">
        <v>0</v>
      </c>
      <c r="N137">
        <v>0</v>
      </c>
      <c r="O137">
        <v>3</v>
      </c>
      <c r="P137">
        <v>3</v>
      </c>
      <c r="Q137">
        <v>3</v>
      </c>
      <c r="R137">
        <v>3</v>
      </c>
      <c r="S137">
        <v>245</v>
      </c>
      <c r="T137">
        <v>94</v>
      </c>
    </row>
    <row r="138" spans="1:21" x14ac:dyDescent="0.3">
      <c r="A138">
        <v>1419</v>
      </c>
      <c r="B138" t="s">
        <v>41</v>
      </c>
      <c r="C138" t="s">
        <v>230</v>
      </c>
      <c r="D138">
        <v>6</v>
      </c>
      <c r="E138">
        <v>200000</v>
      </c>
      <c r="F138">
        <v>0</v>
      </c>
      <c r="G138">
        <v>200000</v>
      </c>
      <c r="H138">
        <v>200000</v>
      </c>
      <c r="I138">
        <v>3</v>
      </c>
      <c r="J138" t="s">
        <v>231</v>
      </c>
      <c r="K138">
        <v>9</v>
      </c>
      <c r="L138">
        <v>6</v>
      </c>
      <c r="M138">
        <v>9</v>
      </c>
      <c r="N138">
        <v>7</v>
      </c>
      <c r="O138">
        <v>3</v>
      </c>
      <c r="P138">
        <v>3</v>
      </c>
      <c r="Q138">
        <v>3</v>
      </c>
      <c r="S138">
        <v>248</v>
      </c>
      <c r="T138">
        <v>94</v>
      </c>
      <c r="U138">
        <v>675</v>
      </c>
    </row>
    <row r="139" spans="1:21" x14ac:dyDescent="0.3">
      <c r="A139">
        <v>1420</v>
      </c>
      <c r="B139" t="s">
        <v>58</v>
      </c>
      <c r="C139" t="s">
        <v>232</v>
      </c>
      <c r="D139">
        <v>6</v>
      </c>
      <c r="E139">
        <v>200000</v>
      </c>
      <c r="F139">
        <v>0</v>
      </c>
      <c r="G139">
        <v>200000</v>
      </c>
      <c r="H139">
        <v>200000</v>
      </c>
      <c r="I139">
        <v>3</v>
      </c>
      <c r="J139" t="s">
        <v>231</v>
      </c>
      <c r="K139">
        <v>9</v>
      </c>
      <c r="L139">
        <v>6</v>
      </c>
      <c r="M139">
        <v>10</v>
      </c>
      <c r="N139">
        <v>7</v>
      </c>
      <c r="O139">
        <v>3</v>
      </c>
      <c r="P139">
        <v>3</v>
      </c>
      <c r="Q139">
        <v>3</v>
      </c>
      <c r="R139">
        <v>3</v>
      </c>
      <c r="S139">
        <v>249</v>
      </c>
      <c r="T139">
        <v>94</v>
      </c>
      <c r="U139">
        <v>678</v>
      </c>
    </row>
    <row r="140" spans="1:21" x14ac:dyDescent="0.3">
      <c r="A140">
        <v>1421</v>
      </c>
      <c r="B140" t="s">
        <v>48</v>
      </c>
      <c r="C140" t="s">
        <v>233</v>
      </c>
      <c r="D140">
        <v>3</v>
      </c>
      <c r="E140">
        <v>100000</v>
      </c>
      <c r="F140">
        <v>0</v>
      </c>
      <c r="G140">
        <v>100000</v>
      </c>
      <c r="H140">
        <v>100000</v>
      </c>
      <c r="I140">
        <v>2</v>
      </c>
      <c r="J140" t="s">
        <v>231</v>
      </c>
      <c r="K140">
        <v>9</v>
      </c>
      <c r="L140">
        <v>6</v>
      </c>
      <c r="M140">
        <v>9</v>
      </c>
      <c r="N140">
        <v>7</v>
      </c>
      <c r="O140">
        <v>3</v>
      </c>
      <c r="P140">
        <v>3</v>
      </c>
      <c r="Q140">
        <v>3</v>
      </c>
      <c r="R140">
        <v>1</v>
      </c>
      <c r="S140">
        <v>251</v>
      </c>
      <c r="T140">
        <v>94</v>
      </c>
      <c r="U140">
        <v>674</v>
      </c>
    </row>
    <row r="141" spans="1:21" x14ac:dyDescent="0.3">
      <c r="A141">
        <v>1422</v>
      </c>
      <c r="B141" t="s">
        <v>51</v>
      </c>
      <c r="C141" t="s">
        <v>234</v>
      </c>
      <c r="D141">
        <v>8</v>
      </c>
      <c r="E141">
        <v>300000</v>
      </c>
      <c r="F141">
        <v>0</v>
      </c>
      <c r="G141">
        <v>300000</v>
      </c>
      <c r="I141">
        <v>0</v>
      </c>
      <c r="J141" t="s">
        <v>229</v>
      </c>
      <c r="K141">
        <v>9</v>
      </c>
      <c r="L141">
        <v>4</v>
      </c>
      <c r="M141">
        <v>0</v>
      </c>
      <c r="N141">
        <v>0</v>
      </c>
      <c r="O141">
        <v>3</v>
      </c>
      <c r="P141">
        <v>3</v>
      </c>
      <c r="Q141">
        <v>3</v>
      </c>
      <c r="R141">
        <v>3</v>
      </c>
      <c r="S141">
        <v>252</v>
      </c>
      <c r="T141">
        <v>94</v>
      </c>
    </row>
    <row r="142" spans="1:21" x14ac:dyDescent="0.3">
      <c r="A142">
        <v>1423</v>
      </c>
      <c r="B142" t="s">
        <v>55</v>
      </c>
      <c r="C142" t="s">
        <v>235</v>
      </c>
      <c r="D142">
        <v>8</v>
      </c>
      <c r="E142">
        <v>300000</v>
      </c>
      <c r="F142">
        <v>0</v>
      </c>
      <c r="G142">
        <v>300000</v>
      </c>
      <c r="H142">
        <v>350000</v>
      </c>
      <c r="I142">
        <v>3</v>
      </c>
      <c r="J142" t="s">
        <v>236</v>
      </c>
      <c r="K142">
        <v>9</v>
      </c>
      <c r="L142">
        <v>4</v>
      </c>
      <c r="M142">
        <v>10</v>
      </c>
      <c r="N142">
        <v>5</v>
      </c>
      <c r="O142">
        <v>3</v>
      </c>
      <c r="P142">
        <v>3</v>
      </c>
      <c r="Q142">
        <v>3</v>
      </c>
      <c r="R142">
        <v>3</v>
      </c>
      <c r="S142">
        <v>253</v>
      </c>
      <c r="T142">
        <v>94</v>
      </c>
    </row>
    <row r="143" spans="1:21" x14ac:dyDescent="0.3">
      <c r="A143">
        <v>1424</v>
      </c>
      <c r="B143" t="s">
        <v>66</v>
      </c>
      <c r="C143" t="s">
        <v>237</v>
      </c>
      <c r="D143">
        <v>5</v>
      </c>
      <c r="E143">
        <v>160000</v>
      </c>
      <c r="F143">
        <v>0</v>
      </c>
      <c r="G143">
        <v>160000</v>
      </c>
      <c r="I143">
        <v>0</v>
      </c>
      <c r="J143" t="s">
        <v>229</v>
      </c>
      <c r="K143">
        <v>9</v>
      </c>
      <c r="L143">
        <v>4</v>
      </c>
      <c r="M143">
        <v>0</v>
      </c>
      <c r="N143">
        <v>0</v>
      </c>
      <c r="O143">
        <v>3</v>
      </c>
      <c r="P143">
        <v>3</v>
      </c>
      <c r="Q143">
        <v>3</v>
      </c>
      <c r="R143">
        <v>3</v>
      </c>
      <c r="S143">
        <v>255</v>
      </c>
      <c r="T143">
        <v>94</v>
      </c>
    </row>
    <row r="144" spans="1:21" x14ac:dyDescent="0.3">
      <c r="A144">
        <v>1425</v>
      </c>
      <c r="B144" t="s">
        <v>94</v>
      </c>
      <c r="C144" t="s">
        <v>238</v>
      </c>
      <c r="D144">
        <v>5</v>
      </c>
      <c r="E144">
        <v>160000</v>
      </c>
      <c r="F144">
        <v>0</v>
      </c>
      <c r="G144">
        <v>160000</v>
      </c>
      <c r="I144">
        <v>0</v>
      </c>
      <c r="J144" t="s">
        <v>229</v>
      </c>
      <c r="K144">
        <v>9</v>
      </c>
      <c r="L144">
        <v>4</v>
      </c>
      <c r="M144">
        <v>0</v>
      </c>
      <c r="N144">
        <v>0</v>
      </c>
      <c r="O144">
        <v>3</v>
      </c>
      <c r="P144">
        <v>3</v>
      </c>
      <c r="Q144">
        <v>3</v>
      </c>
      <c r="R144">
        <v>3</v>
      </c>
      <c r="S144">
        <v>256</v>
      </c>
      <c r="T144">
        <v>94</v>
      </c>
    </row>
    <row r="145" spans="1:21" x14ac:dyDescent="0.3">
      <c r="A145">
        <v>1426</v>
      </c>
      <c r="B145" t="s">
        <v>64</v>
      </c>
      <c r="C145" t="s">
        <v>239</v>
      </c>
      <c r="D145">
        <v>2</v>
      </c>
      <c r="E145">
        <v>80000</v>
      </c>
      <c r="F145">
        <v>0</v>
      </c>
      <c r="G145">
        <v>80000</v>
      </c>
      <c r="I145">
        <v>0</v>
      </c>
      <c r="J145" t="s">
        <v>229</v>
      </c>
      <c r="K145">
        <v>9</v>
      </c>
      <c r="L145">
        <v>4</v>
      </c>
      <c r="M145">
        <v>0</v>
      </c>
      <c r="N145">
        <v>0</v>
      </c>
      <c r="O145">
        <v>3</v>
      </c>
      <c r="P145">
        <v>3</v>
      </c>
      <c r="Q145">
        <v>3</v>
      </c>
      <c r="R145">
        <v>3</v>
      </c>
      <c r="S145">
        <v>260</v>
      </c>
      <c r="T145">
        <v>94</v>
      </c>
    </row>
    <row r="146" spans="1:21" x14ac:dyDescent="0.3">
      <c r="A146">
        <v>1427</v>
      </c>
      <c r="B146" t="s">
        <v>83</v>
      </c>
      <c r="C146" t="s">
        <v>240</v>
      </c>
      <c r="D146">
        <v>2</v>
      </c>
      <c r="E146">
        <v>80000</v>
      </c>
      <c r="F146">
        <v>0</v>
      </c>
      <c r="G146">
        <v>80000</v>
      </c>
      <c r="H146">
        <v>80000</v>
      </c>
      <c r="I146">
        <v>2</v>
      </c>
      <c r="J146" t="s">
        <v>231</v>
      </c>
      <c r="K146">
        <v>9</v>
      </c>
      <c r="L146">
        <v>4</v>
      </c>
      <c r="M146">
        <v>9</v>
      </c>
      <c r="N146">
        <v>5</v>
      </c>
      <c r="O146">
        <v>3</v>
      </c>
      <c r="P146">
        <v>3</v>
      </c>
      <c r="Q146">
        <v>3</v>
      </c>
      <c r="R146">
        <v>3</v>
      </c>
      <c r="S146">
        <v>261</v>
      </c>
      <c r="T146">
        <v>94</v>
      </c>
      <c r="U146">
        <v>676</v>
      </c>
    </row>
    <row r="147" spans="1:21" x14ac:dyDescent="0.3">
      <c r="A147">
        <v>1428</v>
      </c>
      <c r="B147" t="s">
        <v>117</v>
      </c>
      <c r="C147" t="s">
        <v>241</v>
      </c>
      <c r="D147">
        <v>6</v>
      </c>
      <c r="E147">
        <v>200000</v>
      </c>
      <c r="F147">
        <v>0</v>
      </c>
      <c r="G147">
        <v>200000</v>
      </c>
      <c r="I147">
        <v>0</v>
      </c>
      <c r="J147" t="s">
        <v>229</v>
      </c>
      <c r="K147">
        <v>6</v>
      </c>
      <c r="L147">
        <v>6</v>
      </c>
      <c r="M147">
        <v>0</v>
      </c>
      <c r="N147">
        <v>0</v>
      </c>
      <c r="O147">
        <v>4</v>
      </c>
      <c r="P147">
        <v>3</v>
      </c>
      <c r="Q147">
        <v>4</v>
      </c>
      <c r="R147">
        <v>3</v>
      </c>
      <c r="S147">
        <v>262</v>
      </c>
      <c r="T147">
        <v>94</v>
      </c>
    </row>
    <row r="148" spans="1:21" x14ac:dyDescent="0.3">
      <c r="A148">
        <v>1429</v>
      </c>
      <c r="B148" t="s">
        <v>75</v>
      </c>
      <c r="C148" t="s">
        <v>242</v>
      </c>
      <c r="D148">
        <v>4</v>
      </c>
      <c r="E148">
        <v>125000</v>
      </c>
      <c r="F148">
        <v>0</v>
      </c>
      <c r="G148">
        <v>125000</v>
      </c>
      <c r="H148">
        <v>125000</v>
      </c>
      <c r="I148">
        <v>1</v>
      </c>
      <c r="J148" t="s">
        <v>236</v>
      </c>
      <c r="K148">
        <v>6</v>
      </c>
      <c r="L148">
        <v>6</v>
      </c>
      <c r="M148">
        <v>7</v>
      </c>
      <c r="N148">
        <v>7</v>
      </c>
      <c r="O148">
        <v>4</v>
      </c>
      <c r="P148">
        <v>3</v>
      </c>
      <c r="Q148">
        <v>4</v>
      </c>
      <c r="R148">
        <v>3</v>
      </c>
      <c r="S148">
        <v>265</v>
      </c>
      <c r="T148">
        <v>94</v>
      </c>
    </row>
    <row r="149" spans="1:21" x14ac:dyDescent="0.3">
      <c r="A149">
        <v>1430</v>
      </c>
      <c r="B149" t="s">
        <v>37</v>
      </c>
      <c r="C149" t="s">
        <v>243</v>
      </c>
      <c r="D149">
        <v>4</v>
      </c>
      <c r="E149">
        <v>125000</v>
      </c>
      <c r="F149">
        <v>0</v>
      </c>
      <c r="G149">
        <v>125000</v>
      </c>
      <c r="I149">
        <v>0</v>
      </c>
      <c r="J149" t="s">
        <v>229</v>
      </c>
      <c r="K149">
        <v>6</v>
      </c>
      <c r="L149">
        <v>6</v>
      </c>
      <c r="M149">
        <v>0</v>
      </c>
      <c r="N149">
        <v>0</v>
      </c>
      <c r="O149">
        <v>4</v>
      </c>
      <c r="P149">
        <v>3</v>
      </c>
      <c r="Q149">
        <v>4</v>
      </c>
      <c r="R149">
        <v>3</v>
      </c>
      <c r="S149">
        <v>266</v>
      </c>
      <c r="T149">
        <v>94</v>
      </c>
    </row>
    <row r="150" spans="1:21" x14ac:dyDescent="0.3">
      <c r="A150">
        <v>1431</v>
      </c>
      <c r="B150" t="s">
        <v>45</v>
      </c>
      <c r="C150" t="s">
        <v>244</v>
      </c>
      <c r="D150">
        <v>2</v>
      </c>
      <c r="E150">
        <v>70000</v>
      </c>
      <c r="F150">
        <v>0</v>
      </c>
      <c r="G150">
        <v>70000</v>
      </c>
      <c r="I150">
        <v>0</v>
      </c>
      <c r="J150" t="s">
        <v>229</v>
      </c>
      <c r="K150">
        <v>6</v>
      </c>
      <c r="L150">
        <v>6</v>
      </c>
      <c r="M150">
        <v>0</v>
      </c>
      <c r="N150">
        <v>0</v>
      </c>
      <c r="O150">
        <v>4</v>
      </c>
      <c r="P150">
        <v>3</v>
      </c>
      <c r="Q150">
        <v>4</v>
      </c>
      <c r="R150">
        <v>3</v>
      </c>
      <c r="S150">
        <v>270</v>
      </c>
      <c r="T150">
        <v>94</v>
      </c>
    </row>
    <row r="151" spans="1:21" x14ac:dyDescent="0.3">
      <c r="A151">
        <v>1432</v>
      </c>
      <c r="B151" t="s">
        <v>71</v>
      </c>
      <c r="C151" t="s">
        <v>245</v>
      </c>
      <c r="D151">
        <v>2</v>
      </c>
      <c r="E151">
        <v>70000</v>
      </c>
      <c r="F151">
        <v>0</v>
      </c>
      <c r="G151">
        <v>70000</v>
      </c>
      <c r="I151">
        <v>0</v>
      </c>
      <c r="J151" t="s">
        <v>229</v>
      </c>
      <c r="K151">
        <v>6</v>
      </c>
      <c r="L151">
        <v>6</v>
      </c>
      <c r="M151">
        <v>0</v>
      </c>
      <c r="N151">
        <v>0</v>
      </c>
      <c r="O151">
        <v>4</v>
      </c>
      <c r="P151">
        <v>3</v>
      </c>
      <c r="Q151">
        <v>4</v>
      </c>
      <c r="R151">
        <v>3</v>
      </c>
      <c r="S151">
        <v>271</v>
      </c>
      <c r="T151">
        <v>94</v>
      </c>
    </row>
    <row r="152" spans="1:21" x14ac:dyDescent="0.3">
      <c r="A152">
        <v>1448</v>
      </c>
      <c r="B152" t="s">
        <v>204</v>
      </c>
      <c r="C152" t="s">
        <v>246</v>
      </c>
      <c r="D152">
        <v>4</v>
      </c>
      <c r="E152">
        <v>125000</v>
      </c>
      <c r="F152">
        <v>0</v>
      </c>
      <c r="G152">
        <v>125000</v>
      </c>
      <c r="I152">
        <v>0</v>
      </c>
      <c r="J152" t="s">
        <v>229</v>
      </c>
      <c r="K152">
        <v>6</v>
      </c>
      <c r="L152">
        <v>6</v>
      </c>
      <c r="M152">
        <v>1</v>
      </c>
      <c r="N152">
        <v>0</v>
      </c>
      <c r="O152">
        <v>4</v>
      </c>
      <c r="P152">
        <v>3</v>
      </c>
      <c r="Q152">
        <v>4</v>
      </c>
      <c r="R152">
        <v>3</v>
      </c>
      <c r="S152">
        <v>267</v>
      </c>
      <c r="T152">
        <v>94</v>
      </c>
    </row>
    <row r="153" spans="1:21" x14ac:dyDescent="0.3">
      <c r="A153">
        <v>1449</v>
      </c>
      <c r="B153" t="s">
        <v>205</v>
      </c>
      <c r="C153" t="s">
        <v>247</v>
      </c>
      <c r="D153">
        <v>4</v>
      </c>
      <c r="E153">
        <v>125000</v>
      </c>
      <c r="F153">
        <v>0</v>
      </c>
      <c r="G153">
        <v>125000</v>
      </c>
      <c r="I153">
        <v>0</v>
      </c>
      <c r="J153" t="s">
        <v>229</v>
      </c>
      <c r="K153">
        <v>6</v>
      </c>
      <c r="L153">
        <v>6</v>
      </c>
      <c r="M153">
        <v>1</v>
      </c>
      <c r="N153">
        <v>1</v>
      </c>
      <c r="O153">
        <v>4</v>
      </c>
      <c r="P153">
        <v>3</v>
      </c>
      <c r="Q153">
        <v>4</v>
      </c>
      <c r="R153">
        <v>3</v>
      </c>
      <c r="S153">
        <v>268</v>
      </c>
      <c r="T153">
        <v>94</v>
      </c>
    </row>
    <row r="154" spans="1:21" x14ac:dyDescent="0.3">
      <c r="A154">
        <v>1486</v>
      </c>
      <c r="B154" t="s">
        <v>77</v>
      </c>
      <c r="C154" t="s">
        <v>248</v>
      </c>
      <c r="D154">
        <v>6</v>
      </c>
      <c r="E154">
        <v>200000</v>
      </c>
      <c r="F154">
        <v>0</v>
      </c>
      <c r="G154">
        <v>200000</v>
      </c>
      <c r="I154">
        <v>0</v>
      </c>
      <c r="J154" t="s">
        <v>236</v>
      </c>
      <c r="K154">
        <v>9</v>
      </c>
      <c r="L154">
        <v>6</v>
      </c>
      <c r="M154">
        <v>1</v>
      </c>
      <c r="N154">
        <v>1</v>
      </c>
      <c r="S154">
        <v>246</v>
      </c>
      <c r="T154">
        <v>94</v>
      </c>
    </row>
    <row r="155" spans="1:21" x14ac:dyDescent="0.3">
      <c r="A155">
        <v>1487</v>
      </c>
      <c r="B155" t="s">
        <v>56</v>
      </c>
      <c r="C155" t="s">
        <v>249</v>
      </c>
      <c r="D155">
        <v>9</v>
      </c>
      <c r="E155">
        <v>425000</v>
      </c>
      <c r="F155">
        <v>0</v>
      </c>
      <c r="G155">
        <v>425000</v>
      </c>
      <c r="H155">
        <v>425000</v>
      </c>
      <c r="I155">
        <v>2</v>
      </c>
      <c r="J155" t="s">
        <v>231</v>
      </c>
      <c r="K155">
        <v>9</v>
      </c>
      <c r="L155">
        <v>6</v>
      </c>
      <c r="M155">
        <v>10</v>
      </c>
      <c r="N155">
        <v>7</v>
      </c>
      <c r="S155">
        <v>247</v>
      </c>
      <c r="T155">
        <v>94</v>
      </c>
      <c r="U155">
        <v>679</v>
      </c>
    </row>
    <row r="156" spans="1:21" x14ac:dyDescent="0.3">
      <c r="A156">
        <v>1488</v>
      </c>
      <c r="B156" t="s">
        <v>102</v>
      </c>
      <c r="C156" t="s">
        <v>250</v>
      </c>
      <c r="D156">
        <v>3</v>
      </c>
      <c r="E156">
        <v>100000</v>
      </c>
      <c r="F156">
        <v>0</v>
      </c>
      <c r="G156">
        <v>100000</v>
      </c>
      <c r="H156">
        <v>111000</v>
      </c>
      <c r="I156">
        <v>2</v>
      </c>
      <c r="J156" t="s">
        <v>231</v>
      </c>
      <c r="K156">
        <v>9</v>
      </c>
      <c r="L156">
        <v>6</v>
      </c>
      <c r="M156">
        <v>10</v>
      </c>
      <c r="N156">
        <v>7</v>
      </c>
      <c r="S156">
        <v>250</v>
      </c>
      <c r="T156">
        <v>94</v>
      </c>
      <c r="U156">
        <v>677</v>
      </c>
    </row>
    <row r="157" spans="1:21" x14ac:dyDescent="0.3">
      <c r="A157">
        <v>1489</v>
      </c>
      <c r="B157" t="s">
        <v>62</v>
      </c>
      <c r="C157" t="s">
        <v>251</v>
      </c>
      <c r="D157">
        <v>8</v>
      </c>
      <c r="E157">
        <v>300000</v>
      </c>
      <c r="F157">
        <v>0</v>
      </c>
      <c r="G157">
        <v>300000</v>
      </c>
      <c r="I157">
        <v>0</v>
      </c>
      <c r="J157" t="s">
        <v>236</v>
      </c>
      <c r="K157">
        <v>9</v>
      </c>
      <c r="L157">
        <v>4</v>
      </c>
      <c r="M157">
        <v>0</v>
      </c>
      <c r="N157">
        <v>0</v>
      </c>
      <c r="S157">
        <v>254</v>
      </c>
      <c r="T157">
        <v>94</v>
      </c>
    </row>
    <row r="158" spans="1:21" x14ac:dyDescent="0.3">
      <c r="A158">
        <v>1490</v>
      </c>
      <c r="B158" t="s">
        <v>206</v>
      </c>
      <c r="C158" t="s">
        <v>252</v>
      </c>
      <c r="D158">
        <v>5</v>
      </c>
      <c r="E158">
        <v>160000</v>
      </c>
      <c r="F158">
        <v>0</v>
      </c>
      <c r="G158">
        <v>160000</v>
      </c>
      <c r="I158">
        <v>0</v>
      </c>
      <c r="J158" t="s">
        <v>236</v>
      </c>
      <c r="K158">
        <v>9</v>
      </c>
      <c r="L158">
        <v>4</v>
      </c>
      <c r="M158">
        <v>2</v>
      </c>
      <c r="N158">
        <v>2</v>
      </c>
      <c r="S158">
        <v>257</v>
      </c>
      <c r="T158">
        <v>94</v>
      </c>
    </row>
    <row r="159" spans="1:21" x14ac:dyDescent="0.3">
      <c r="A159">
        <v>1491</v>
      </c>
      <c r="B159" t="s">
        <v>207</v>
      </c>
      <c r="C159" t="s">
        <v>253</v>
      </c>
      <c r="D159">
        <v>5</v>
      </c>
      <c r="E159">
        <v>160000</v>
      </c>
      <c r="F159">
        <v>0</v>
      </c>
      <c r="G159">
        <v>160000</v>
      </c>
      <c r="I159">
        <v>0</v>
      </c>
      <c r="J159" t="s">
        <v>236</v>
      </c>
      <c r="K159">
        <v>9</v>
      </c>
      <c r="L159">
        <v>4</v>
      </c>
      <c r="M159">
        <v>2</v>
      </c>
      <c r="N159">
        <v>2</v>
      </c>
      <c r="S159">
        <v>258</v>
      </c>
      <c r="T159">
        <v>94</v>
      </c>
    </row>
    <row r="160" spans="1:21" x14ac:dyDescent="0.3">
      <c r="A160">
        <v>1492</v>
      </c>
      <c r="B160" t="s">
        <v>208</v>
      </c>
      <c r="C160" t="s">
        <v>254</v>
      </c>
      <c r="D160">
        <v>2</v>
      </c>
      <c r="E160">
        <v>80000</v>
      </c>
      <c r="F160">
        <v>0</v>
      </c>
      <c r="G160">
        <v>80000</v>
      </c>
      <c r="I160">
        <v>0</v>
      </c>
      <c r="J160" t="s">
        <v>236</v>
      </c>
      <c r="K160">
        <v>9</v>
      </c>
      <c r="L160">
        <v>4</v>
      </c>
      <c r="M160">
        <v>1</v>
      </c>
      <c r="N160">
        <v>2</v>
      </c>
      <c r="S160">
        <v>259</v>
      </c>
      <c r="T160">
        <v>94</v>
      </c>
    </row>
    <row r="161" spans="1:21" x14ac:dyDescent="0.3">
      <c r="A161">
        <v>1493</v>
      </c>
      <c r="B161" t="s">
        <v>209</v>
      </c>
      <c r="C161" t="s">
        <v>255</v>
      </c>
      <c r="D161">
        <v>6</v>
      </c>
      <c r="E161">
        <v>200000</v>
      </c>
      <c r="F161">
        <v>0</v>
      </c>
      <c r="G161">
        <v>200000</v>
      </c>
      <c r="I161">
        <v>0</v>
      </c>
      <c r="J161" t="s">
        <v>236</v>
      </c>
      <c r="K161">
        <v>6</v>
      </c>
      <c r="L161">
        <v>6</v>
      </c>
      <c r="M161">
        <v>1</v>
      </c>
      <c r="N161">
        <v>1</v>
      </c>
      <c r="O161">
        <v>4</v>
      </c>
      <c r="Q161">
        <v>4</v>
      </c>
      <c r="S161">
        <v>263</v>
      </c>
      <c r="T161">
        <v>94</v>
      </c>
    </row>
    <row r="162" spans="1:21" x14ac:dyDescent="0.3">
      <c r="A162">
        <v>1494</v>
      </c>
      <c r="B162" t="s">
        <v>210</v>
      </c>
      <c r="C162" t="s">
        <v>256</v>
      </c>
      <c r="D162">
        <v>6</v>
      </c>
      <c r="E162">
        <v>200000</v>
      </c>
      <c r="F162">
        <v>0</v>
      </c>
      <c r="G162">
        <v>200000</v>
      </c>
      <c r="I162">
        <v>0</v>
      </c>
      <c r="J162" t="s">
        <v>236</v>
      </c>
      <c r="K162">
        <v>6</v>
      </c>
      <c r="L162">
        <v>6</v>
      </c>
      <c r="M162">
        <v>1</v>
      </c>
      <c r="N162">
        <v>2</v>
      </c>
      <c r="O162">
        <v>4</v>
      </c>
      <c r="Q162">
        <v>4</v>
      </c>
      <c r="S162">
        <v>264</v>
      </c>
      <c r="T162">
        <v>94</v>
      </c>
    </row>
    <row r="163" spans="1:21" x14ac:dyDescent="0.3">
      <c r="A163">
        <v>1495</v>
      </c>
      <c r="B163" t="s">
        <v>211</v>
      </c>
      <c r="C163" t="s">
        <v>257</v>
      </c>
      <c r="D163">
        <v>2</v>
      </c>
      <c r="E163">
        <v>70000</v>
      </c>
      <c r="F163">
        <v>0</v>
      </c>
      <c r="G163">
        <v>70000</v>
      </c>
      <c r="I163">
        <v>0</v>
      </c>
      <c r="J163" t="s">
        <v>236</v>
      </c>
      <c r="K163">
        <v>6</v>
      </c>
      <c r="L163">
        <v>6</v>
      </c>
      <c r="M163">
        <v>1</v>
      </c>
      <c r="N163">
        <v>1</v>
      </c>
      <c r="O163">
        <v>4</v>
      </c>
      <c r="Q163">
        <v>4</v>
      </c>
      <c r="S163">
        <v>269</v>
      </c>
      <c r="T163">
        <v>94</v>
      </c>
    </row>
    <row r="164" spans="1:21" x14ac:dyDescent="0.3">
      <c r="A164">
        <v>1388</v>
      </c>
      <c r="B164" t="s">
        <v>227</v>
      </c>
      <c r="C164" t="s">
        <v>228</v>
      </c>
      <c r="D164">
        <v>9</v>
      </c>
      <c r="E164">
        <v>425000</v>
      </c>
      <c r="F164">
        <v>0</v>
      </c>
      <c r="G164">
        <v>425000</v>
      </c>
      <c r="I164">
        <v>0</v>
      </c>
      <c r="J164" t="s">
        <v>229</v>
      </c>
      <c r="K164">
        <v>9</v>
      </c>
      <c r="L164">
        <v>6</v>
      </c>
      <c r="M164">
        <v>0</v>
      </c>
      <c r="N164">
        <v>0</v>
      </c>
      <c r="O164">
        <v>4</v>
      </c>
      <c r="P164">
        <v>4</v>
      </c>
      <c r="Q164">
        <v>4</v>
      </c>
      <c r="R164">
        <v>4</v>
      </c>
      <c r="S164">
        <v>245</v>
      </c>
      <c r="T164">
        <v>95</v>
      </c>
    </row>
    <row r="165" spans="1:21" x14ac:dyDescent="0.3">
      <c r="A165">
        <v>1389</v>
      </c>
      <c r="B165" t="s">
        <v>41</v>
      </c>
      <c r="C165" t="s">
        <v>230</v>
      </c>
      <c r="D165">
        <v>6</v>
      </c>
      <c r="E165">
        <v>200000</v>
      </c>
      <c r="F165">
        <v>0</v>
      </c>
      <c r="G165">
        <v>200000</v>
      </c>
      <c r="H165">
        <v>200000</v>
      </c>
      <c r="I165">
        <v>3</v>
      </c>
      <c r="J165" t="s">
        <v>231</v>
      </c>
      <c r="K165">
        <v>9</v>
      </c>
      <c r="L165">
        <v>6</v>
      </c>
      <c r="M165">
        <v>10</v>
      </c>
      <c r="N165">
        <v>7</v>
      </c>
      <c r="O165">
        <v>4</v>
      </c>
      <c r="P165">
        <v>4</v>
      </c>
      <c r="Q165">
        <v>4</v>
      </c>
      <c r="R165">
        <v>4</v>
      </c>
      <c r="S165">
        <v>248</v>
      </c>
      <c r="T165">
        <v>95</v>
      </c>
      <c r="U165">
        <v>687</v>
      </c>
    </row>
    <row r="166" spans="1:21" x14ac:dyDescent="0.3">
      <c r="A166">
        <v>1390</v>
      </c>
      <c r="B166" t="s">
        <v>58</v>
      </c>
      <c r="C166" t="s">
        <v>232</v>
      </c>
      <c r="D166">
        <v>6</v>
      </c>
      <c r="E166">
        <v>200000</v>
      </c>
      <c r="F166">
        <v>0</v>
      </c>
      <c r="G166">
        <v>200000</v>
      </c>
      <c r="I166">
        <v>0</v>
      </c>
      <c r="J166" t="s">
        <v>229</v>
      </c>
      <c r="K166">
        <v>9</v>
      </c>
      <c r="L166">
        <v>6</v>
      </c>
      <c r="M166">
        <v>0</v>
      </c>
      <c r="N166">
        <v>0</v>
      </c>
      <c r="O166">
        <v>4</v>
      </c>
      <c r="P166">
        <v>4</v>
      </c>
      <c r="Q166">
        <v>4</v>
      </c>
      <c r="R166">
        <v>4</v>
      </c>
      <c r="S166">
        <v>249</v>
      </c>
      <c r="T166">
        <v>95</v>
      </c>
    </row>
    <row r="167" spans="1:21" x14ac:dyDescent="0.3">
      <c r="A167">
        <v>1391</v>
      </c>
      <c r="B167" t="s">
        <v>48</v>
      </c>
      <c r="C167" t="s">
        <v>233</v>
      </c>
      <c r="D167">
        <v>3</v>
      </c>
      <c r="E167">
        <v>100000</v>
      </c>
      <c r="F167">
        <v>0</v>
      </c>
      <c r="G167">
        <v>100000</v>
      </c>
      <c r="I167">
        <v>0</v>
      </c>
      <c r="J167" t="s">
        <v>229</v>
      </c>
      <c r="K167">
        <v>9</v>
      </c>
      <c r="L167">
        <v>6</v>
      </c>
      <c r="M167">
        <v>0</v>
      </c>
      <c r="N167">
        <v>0</v>
      </c>
      <c r="O167">
        <v>4</v>
      </c>
      <c r="P167">
        <v>4</v>
      </c>
      <c r="Q167">
        <v>4</v>
      </c>
      <c r="R167">
        <v>4</v>
      </c>
      <c r="S167">
        <v>251</v>
      </c>
      <c r="T167">
        <v>95</v>
      </c>
    </row>
    <row r="168" spans="1:21" x14ac:dyDescent="0.3">
      <c r="A168">
        <v>1392</v>
      </c>
      <c r="B168" t="s">
        <v>51</v>
      </c>
      <c r="C168" t="s">
        <v>234</v>
      </c>
      <c r="D168">
        <v>8</v>
      </c>
      <c r="E168">
        <v>300000</v>
      </c>
      <c r="F168">
        <v>0</v>
      </c>
      <c r="G168">
        <v>300000</v>
      </c>
      <c r="I168">
        <v>0</v>
      </c>
      <c r="J168" t="s">
        <v>229</v>
      </c>
      <c r="K168">
        <v>9</v>
      </c>
      <c r="L168">
        <v>4</v>
      </c>
      <c r="M168">
        <v>0</v>
      </c>
      <c r="N168">
        <v>0</v>
      </c>
      <c r="O168">
        <v>4</v>
      </c>
      <c r="P168">
        <v>4</v>
      </c>
      <c r="Q168">
        <v>4</v>
      </c>
      <c r="R168">
        <v>4</v>
      </c>
      <c r="S168">
        <v>252</v>
      </c>
      <c r="T168">
        <v>95</v>
      </c>
    </row>
    <row r="169" spans="1:21" x14ac:dyDescent="0.3">
      <c r="A169">
        <v>1393</v>
      </c>
      <c r="B169" t="s">
        <v>55</v>
      </c>
      <c r="C169" t="s">
        <v>235</v>
      </c>
      <c r="D169">
        <v>8</v>
      </c>
      <c r="E169">
        <v>300000</v>
      </c>
      <c r="F169">
        <v>0</v>
      </c>
      <c r="G169">
        <v>300000</v>
      </c>
      <c r="I169">
        <v>0</v>
      </c>
      <c r="J169" t="s">
        <v>229</v>
      </c>
      <c r="K169">
        <v>9</v>
      </c>
      <c r="L169">
        <v>4</v>
      </c>
      <c r="M169">
        <v>0</v>
      </c>
      <c r="N169">
        <v>0</v>
      </c>
      <c r="O169">
        <v>4</v>
      </c>
      <c r="P169">
        <v>4</v>
      </c>
      <c r="Q169">
        <v>4</v>
      </c>
      <c r="R169">
        <v>4</v>
      </c>
      <c r="S169">
        <v>253</v>
      </c>
      <c r="T169">
        <v>95</v>
      </c>
    </row>
    <row r="170" spans="1:21" x14ac:dyDescent="0.3">
      <c r="A170">
        <v>1394</v>
      </c>
      <c r="B170" t="s">
        <v>66</v>
      </c>
      <c r="C170" t="s">
        <v>237</v>
      </c>
      <c r="D170">
        <v>5</v>
      </c>
      <c r="E170">
        <v>160000</v>
      </c>
      <c r="F170">
        <v>0</v>
      </c>
      <c r="G170">
        <v>160000</v>
      </c>
      <c r="I170">
        <v>0</v>
      </c>
      <c r="J170" t="s">
        <v>229</v>
      </c>
      <c r="K170">
        <v>9</v>
      </c>
      <c r="L170">
        <v>4</v>
      </c>
      <c r="M170">
        <v>0</v>
      </c>
      <c r="N170">
        <v>0</v>
      </c>
      <c r="O170">
        <v>4</v>
      </c>
      <c r="P170">
        <v>4</v>
      </c>
      <c r="Q170">
        <v>4</v>
      </c>
      <c r="R170">
        <v>4</v>
      </c>
      <c r="S170">
        <v>255</v>
      </c>
      <c r="T170">
        <v>95</v>
      </c>
    </row>
    <row r="171" spans="1:21" x14ac:dyDescent="0.3">
      <c r="A171">
        <v>1395</v>
      </c>
      <c r="B171" t="s">
        <v>94</v>
      </c>
      <c r="C171" t="s">
        <v>238</v>
      </c>
      <c r="D171">
        <v>5</v>
      </c>
      <c r="E171">
        <v>160000</v>
      </c>
      <c r="F171">
        <v>0</v>
      </c>
      <c r="G171">
        <v>160000</v>
      </c>
      <c r="I171">
        <v>0</v>
      </c>
      <c r="J171" t="s">
        <v>229</v>
      </c>
      <c r="K171">
        <v>9</v>
      </c>
      <c r="L171">
        <v>4</v>
      </c>
      <c r="M171">
        <v>0</v>
      </c>
      <c r="N171">
        <v>0</v>
      </c>
      <c r="O171">
        <v>4</v>
      </c>
      <c r="P171">
        <v>4</v>
      </c>
      <c r="Q171">
        <v>4</v>
      </c>
      <c r="R171">
        <v>4</v>
      </c>
      <c r="S171">
        <v>256</v>
      </c>
      <c r="T171">
        <v>95</v>
      </c>
    </row>
    <row r="172" spans="1:21" x14ac:dyDescent="0.3">
      <c r="A172">
        <v>1396</v>
      </c>
      <c r="B172" t="s">
        <v>64</v>
      </c>
      <c r="C172" t="s">
        <v>239</v>
      </c>
      <c r="D172">
        <v>2</v>
      </c>
      <c r="E172">
        <v>80000</v>
      </c>
      <c r="F172">
        <v>0</v>
      </c>
      <c r="G172">
        <v>80000</v>
      </c>
      <c r="I172">
        <v>0</v>
      </c>
      <c r="J172" t="s">
        <v>229</v>
      </c>
      <c r="K172">
        <v>9</v>
      </c>
      <c r="L172">
        <v>4</v>
      </c>
      <c r="M172">
        <v>0</v>
      </c>
      <c r="N172">
        <v>0</v>
      </c>
      <c r="O172">
        <v>4</v>
      </c>
      <c r="P172">
        <v>4</v>
      </c>
      <c r="Q172">
        <v>4</v>
      </c>
      <c r="R172">
        <v>4</v>
      </c>
      <c r="S172">
        <v>260</v>
      </c>
      <c r="T172">
        <v>95</v>
      </c>
    </row>
    <row r="173" spans="1:21" x14ac:dyDescent="0.3">
      <c r="A173">
        <v>1397</v>
      </c>
      <c r="B173" t="s">
        <v>83</v>
      </c>
      <c r="C173" t="s">
        <v>240</v>
      </c>
      <c r="D173">
        <v>2</v>
      </c>
      <c r="E173">
        <v>80000</v>
      </c>
      <c r="F173">
        <v>0</v>
      </c>
      <c r="G173">
        <v>80000</v>
      </c>
      <c r="H173">
        <v>80000</v>
      </c>
      <c r="I173">
        <v>3</v>
      </c>
      <c r="J173" t="s">
        <v>231</v>
      </c>
      <c r="K173">
        <v>9</v>
      </c>
      <c r="L173">
        <v>4</v>
      </c>
      <c r="M173">
        <v>10</v>
      </c>
      <c r="N173">
        <v>4</v>
      </c>
      <c r="O173">
        <v>4</v>
      </c>
      <c r="P173">
        <v>4</v>
      </c>
      <c r="Q173">
        <v>4</v>
      </c>
      <c r="R173">
        <v>4</v>
      </c>
      <c r="S173">
        <v>261</v>
      </c>
      <c r="T173">
        <v>95</v>
      </c>
      <c r="U173">
        <v>686</v>
      </c>
    </row>
    <row r="174" spans="1:21" x14ac:dyDescent="0.3">
      <c r="A174">
        <v>1398</v>
      </c>
      <c r="B174" t="s">
        <v>117</v>
      </c>
      <c r="C174" t="s">
        <v>241</v>
      </c>
      <c r="D174">
        <v>6</v>
      </c>
      <c r="E174">
        <v>200000</v>
      </c>
      <c r="F174">
        <v>0</v>
      </c>
      <c r="G174">
        <v>200000</v>
      </c>
      <c r="I174">
        <v>0</v>
      </c>
      <c r="J174" t="s">
        <v>229</v>
      </c>
      <c r="K174">
        <v>6</v>
      </c>
      <c r="L174">
        <v>6</v>
      </c>
      <c r="M174">
        <v>0</v>
      </c>
      <c r="N174">
        <v>0</v>
      </c>
      <c r="O174">
        <v>4</v>
      </c>
      <c r="P174">
        <v>4</v>
      </c>
      <c r="Q174">
        <v>4</v>
      </c>
      <c r="R174">
        <v>4</v>
      </c>
      <c r="S174">
        <v>262</v>
      </c>
      <c r="T174">
        <v>95</v>
      </c>
    </row>
    <row r="175" spans="1:21" x14ac:dyDescent="0.3">
      <c r="A175">
        <v>1399</v>
      </c>
      <c r="B175" t="s">
        <v>75</v>
      </c>
      <c r="C175" t="s">
        <v>242</v>
      </c>
      <c r="D175">
        <v>4</v>
      </c>
      <c r="E175">
        <v>125000</v>
      </c>
      <c r="F175">
        <v>0</v>
      </c>
      <c r="G175">
        <v>125000</v>
      </c>
      <c r="H175">
        <v>125000</v>
      </c>
      <c r="I175">
        <v>0</v>
      </c>
      <c r="J175" t="s">
        <v>231</v>
      </c>
      <c r="K175">
        <v>6</v>
      </c>
      <c r="L175">
        <v>6</v>
      </c>
      <c r="M175">
        <v>7</v>
      </c>
      <c r="N175">
        <v>6</v>
      </c>
      <c r="O175">
        <v>4</v>
      </c>
      <c r="P175">
        <v>4</v>
      </c>
      <c r="Q175">
        <v>4</v>
      </c>
      <c r="R175">
        <v>4</v>
      </c>
      <c r="S175">
        <v>265</v>
      </c>
      <c r="T175">
        <v>95</v>
      </c>
      <c r="U175">
        <v>682</v>
      </c>
    </row>
    <row r="176" spans="1:21" x14ac:dyDescent="0.3">
      <c r="A176">
        <v>1400</v>
      </c>
      <c r="B176" t="s">
        <v>37</v>
      </c>
      <c r="C176" t="s">
        <v>243</v>
      </c>
      <c r="D176">
        <v>4</v>
      </c>
      <c r="E176">
        <v>125000</v>
      </c>
      <c r="F176">
        <v>0</v>
      </c>
      <c r="G176">
        <v>125000</v>
      </c>
      <c r="H176">
        <v>125000</v>
      </c>
      <c r="I176">
        <v>3</v>
      </c>
      <c r="J176" t="s">
        <v>231</v>
      </c>
      <c r="K176">
        <v>6</v>
      </c>
      <c r="L176">
        <v>6</v>
      </c>
      <c r="M176">
        <v>6</v>
      </c>
      <c r="N176">
        <v>7</v>
      </c>
      <c r="O176">
        <v>4</v>
      </c>
      <c r="P176">
        <v>4</v>
      </c>
      <c r="Q176">
        <v>4</v>
      </c>
      <c r="R176">
        <v>4</v>
      </c>
      <c r="S176">
        <v>266</v>
      </c>
      <c r="T176">
        <v>95</v>
      </c>
      <c r="U176">
        <v>683</v>
      </c>
    </row>
    <row r="177" spans="1:21" x14ac:dyDescent="0.3">
      <c r="A177">
        <v>1401</v>
      </c>
      <c r="B177" t="s">
        <v>45</v>
      </c>
      <c r="C177" t="s">
        <v>244</v>
      </c>
      <c r="D177">
        <v>2</v>
      </c>
      <c r="E177">
        <v>70000</v>
      </c>
      <c r="F177">
        <v>0</v>
      </c>
      <c r="G177">
        <v>70000</v>
      </c>
      <c r="H177">
        <v>70000</v>
      </c>
      <c r="I177">
        <v>3</v>
      </c>
      <c r="J177" t="s">
        <v>236</v>
      </c>
      <c r="K177">
        <v>6</v>
      </c>
      <c r="L177">
        <v>6</v>
      </c>
      <c r="M177">
        <v>7</v>
      </c>
      <c r="N177">
        <v>7</v>
      </c>
      <c r="O177">
        <v>4</v>
      </c>
      <c r="P177">
        <v>4</v>
      </c>
      <c r="Q177">
        <v>4</v>
      </c>
      <c r="R177">
        <v>4</v>
      </c>
      <c r="S177">
        <v>270</v>
      </c>
      <c r="T177">
        <v>95</v>
      </c>
    </row>
    <row r="178" spans="1:21" x14ac:dyDescent="0.3">
      <c r="A178">
        <v>1402</v>
      </c>
      <c r="B178" t="s">
        <v>71</v>
      </c>
      <c r="C178" t="s">
        <v>245</v>
      </c>
      <c r="D178">
        <v>2</v>
      </c>
      <c r="E178">
        <v>70000</v>
      </c>
      <c r="F178">
        <v>0</v>
      </c>
      <c r="G178">
        <v>70000</v>
      </c>
      <c r="H178">
        <v>70000</v>
      </c>
      <c r="I178">
        <v>0</v>
      </c>
      <c r="J178" t="s">
        <v>231</v>
      </c>
      <c r="K178">
        <v>6</v>
      </c>
      <c r="L178">
        <v>6</v>
      </c>
      <c r="M178">
        <v>7</v>
      </c>
      <c r="N178">
        <v>6</v>
      </c>
      <c r="O178">
        <v>4</v>
      </c>
      <c r="P178">
        <v>4</v>
      </c>
      <c r="Q178">
        <v>4</v>
      </c>
      <c r="R178">
        <v>4</v>
      </c>
      <c r="S178">
        <v>271</v>
      </c>
      <c r="T178">
        <v>95</v>
      </c>
      <c r="U178">
        <v>684</v>
      </c>
    </row>
    <row r="179" spans="1:21" x14ac:dyDescent="0.3">
      <c r="A179">
        <v>1450</v>
      </c>
      <c r="B179" t="s">
        <v>204</v>
      </c>
      <c r="C179" t="s">
        <v>246</v>
      </c>
      <c r="D179">
        <v>4</v>
      </c>
      <c r="E179">
        <v>125000</v>
      </c>
      <c r="F179">
        <v>0</v>
      </c>
      <c r="G179">
        <v>125000</v>
      </c>
      <c r="I179">
        <v>0</v>
      </c>
      <c r="J179" t="s">
        <v>229</v>
      </c>
      <c r="K179">
        <v>6</v>
      </c>
      <c r="L179">
        <v>6</v>
      </c>
      <c r="M179">
        <v>1</v>
      </c>
      <c r="N179">
        <v>0</v>
      </c>
      <c r="O179">
        <v>4</v>
      </c>
      <c r="P179">
        <v>4</v>
      </c>
      <c r="Q179">
        <v>4</v>
      </c>
      <c r="R179">
        <v>4</v>
      </c>
      <c r="S179">
        <v>267</v>
      </c>
      <c r="T179">
        <v>95</v>
      </c>
    </row>
    <row r="180" spans="1:21" x14ac:dyDescent="0.3">
      <c r="A180">
        <v>1451</v>
      </c>
      <c r="B180" t="s">
        <v>205</v>
      </c>
      <c r="C180" t="s">
        <v>247</v>
      </c>
      <c r="D180">
        <v>4</v>
      </c>
      <c r="E180">
        <v>125000</v>
      </c>
      <c r="F180">
        <v>0</v>
      </c>
      <c r="G180">
        <v>125000</v>
      </c>
      <c r="I180">
        <v>0</v>
      </c>
      <c r="J180" t="s">
        <v>229</v>
      </c>
      <c r="K180">
        <v>6</v>
      </c>
      <c r="L180">
        <v>6</v>
      </c>
      <c r="M180">
        <v>1</v>
      </c>
      <c r="N180">
        <v>1</v>
      </c>
      <c r="O180">
        <v>4</v>
      </c>
      <c r="P180">
        <v>4</v>
      </c>
      <c r="Q180">
        <v>4</v>
      </c>
      <c r="R180">
        <v>4</v>
      </c>
      <c r="S180">
        <v>268</v>
      </c>
      <c r="T180">
        <v>95</v>
      </c>
    </row>
    <row r="181" spans="1:21" x14ac:dyDescent="0.3">
      <c r="A181">
        <v>1456</v>
      </c>
      <c r="B181" t="s">
        <v>77</v>
      </c>
      <c r="C181" t="s">
        <v>248</v>
      </c>
      <c r="D181">
        <v>6</v>
      </c>
      <c r="E181">
        <v>200000</v>
      </c>
      <c r="F181">
        <v>0</v>
      </c>
      <c r="G181">
        <v>200000</v>
      </c>
      <c r="I181">
        <v>0</v>
      </c>
      <c r="J181" t="s">
        <v>236</v>
      </c>
      <c r="K181">
        <v>9</v>
      </c>
      <c r="L181">
        <v>6</v>
      </c>
      <c r="M181">
        <v>1</v>
      </c>
      <c r="N181">
        <v>1</v>
      </c>
      <c r="O181">
        <v>4</v>
      </c>
      <c r="P181">
        <v>4</v>
      </c>
      <c r="R181">
        <v>4</v>
      </c>
      <c r="S181">
        <v>246</v>
      </c>
      <c r="T181">
        <v>95</v>
      </c>
    </row>
    <row r="182" spans="1:21" x14ac:dyDescent="0.3">
      <c r="A182">
        <v>1457</v>
      </c>
      <c r="B182" t="s">
        <v>56</v>
      </c>
      <c r="C182" t="s">
        <v>249</v>
      </c>
      <c r="D182">
        <v>9</v>
      </c>
      <c r="E182">
        <v>425000</v>
      </c>
      <c r="F182">
        <v>0</v>
      </c>
      <c r="G182">
        <v>425000</v>
      </c>
      <c r="I182">
        <v>0</v>
      </c>
      <c r="J182" t="s">
        <v>236</v>
      </c>
      <c r="K182">
        <v>9</v>
      </c>
      <c r="L182">
        <v>6</v>
      </c>
      <c r="M182">
        <v>1</v>
      </c>
      <c r="N182">
        <v>2</v>
      </c>
      <c r="O182">
        <v>4</v>
      </c>
      <c r="P182">
        <v>4</v>
      </c>
      <c r="R182">
        <v>4</v>
      </c>
      <c r="S182">
        <v>247</v>
      </c>
      <c r="T182">
        <v>95</v>
      </c>
    </row>
    <row r="183" spans="1:21" x14ac:dyDescent="0.3">
      <c r="A183">
        <v>1458</v>
      </c>
      <c r="B183" t="s">
        <v>102</v>
      </c>
      <c r="C183" t="s">
        <v>250</v>
      </c>
      <c r="D183">
        <v>3</v>
      </c>
      <c r="E183">
        <v>100000</v>
      </c>
      <c r="F183">
        <v>0</v>
      </c>
      <c r="G183">
        <v>100000</v>
      </c>
      <c r="H183">
        <v>100000</v>
      </c>
      <c r="I183">
        <v>1</v>
      </c>
      <c r="J183" t="s">
        <v>231</v>
      </c>
      <c r="K183">
        <v>9</v>
      </c>
      <c r="L183">
        <v>6</v>
      </c>
      <c r="M183">
        <v>9</v>
      </c>
      <c r="N183">
        <v>7</v>
      </c>
      <c r="O183">
        <v>4</v>
      </c>
      <c r="P183">
        <v>4</v>
      </c>
      <c r="R183">
        <v>4</v>
      </c>
      <c r="S183">
        <v>250</v>
      </c>
      <c r="T183">
        <v>95</v>
      </c>
      <c r="U183">
        <v>685</v>
      </c>
    </row>
    <row r="184" spans="1:21" x14ac:dyDescent="0.3">
      <c r="A184">
        <v>1459</v>
      </c>
      <c r="B184" t="s">
        <v>62</v>
      </c>
      <c r="C184" t="s">
        <v>251</v>
      </c>
      <c r="D184">
        <v>8</v>
      </c>
      <c r="E184">
        <v>300000</v>
      </c>
      <c r="F184">
        <v>0</v>
      </c>
      <c r="G184">
        <v>300000</v>
      </c>
      <c r="I184">
        <v>0</v>
      </c>
      <c r="J184" t="s">
        <v>236</v>
      </c>
      <c r="K184">
        <v>9</v>
      </c>
      <c r="L184">
        <v>4</v>
      </c>
      <c r="M184">
        <v>0</v>
      </c>
      <c r="N184">
        <v>0</v>
      </c>
      <c r="O184">
        <v>4</v>
      </c>
      <c r="P184">
        <v>4</v>
      </c>
      <c r="Q184">
        <v>4</v>
      </c>
      <c r="R184">
        <v>4</v>
      </c>
      <c r="S184">
        <v>254</v>
      </c>
      <c r="T184">
        <v>95</v>
      </c>
    </row>
    <row r="185" spans="1:21" x14ac:dyDescent="0.3">
      <c r="A185">
        <v>1460</v>
      </c>
      <c r="B185" t="s">
        <v>206</v>
      </c>
      <c r="C185" t="s">
        <v>252</v>
      </c>
      <c r="D185">
        <v>5</v>
      </c>
      <c r="E185">
        <v>160000</v>
      </c>
      <c r="F185">
        <v>0</v>
      </c>
      <c r="G185">
        <v>160000</v>
      </c>
      <c r="I185">
        <v>0</v>
      </c>
      <c r="J185" t="s">
        <v>236</v>
      </c>
      <c r="K185">
        <v>9</v>
      </c>
      <c r="L185">
        <v>4</v>
      </c>
      <c r="M185">
        <v>2</v>
      </c>
      <c r="N185">
        <v>2</v>
      </c>
      <c r="O185">
        <v>4</v>
      </c>
      <c r="P185">
        <v>4</v>
      </c>
      <c r="R185">
        <v>4</v>
      </c>
      <c r="S185">
        <v>257</v>
      </c>
      <c r="T185">
        <v>95</v>
      </c>
    </row>
    <row r="186" spans="1:21" x14ac:dyDescent="0.3">
      <c r="A186">
        <v>1461</v>
      </c>
      <c r="B186" t="s">
        <v>207</v>
      </c>
      <c r="C186" t="s">
        <v>253</v>
      </c>
      <c r="D186">
        <v>5</v>
      </c>
      <c r="E186">
        <v>160000</v>
      </c>
      <c r="F186">
        <v>0</v>
      </c>
      <c r="G186">
        <v>160000</v>
      </c>
      <c r="I186">
        <v>0</v>
      </c>
      <c r="J186" t="s">
        <v>236</v>
      </c>
      <c r="K186">
        <v>9</v>
      </c>
      <c r="L186">
        <v>4</v>
      </c>
      <c r="M186">
        <v>2</v>
      </c>
      <c r="N186">
        <v>2</v>
      </c>
      <c r="O186">
        <v>4</v>
      </c>
      <c r="P186">
        <v>4</v>
      </c>
      <c r="R186">
        <v>4</v>
      </c>
      <c r="S186">
        <v>258</v>
      </c>
      <c r="T186">
        <v>95</v>
      </c>
    </row>
    <row r="187" spans="1:21" x14ac:dyDescent="0.3">
      <c r="A187">
        <v>1462</v>
      </c>
      <c r="B187" t="s">
        <v>208</v>
      </c>
      <c r="C187" t="s">
        <v>254</v>
      </c>
      <c r="D187">
        <v>2</v>
      </c>
      <c r="E187">
        <v>80000</v>
      </c>
      <c r="F187">
        <v>0</v>
      </c>
      <c r="G187">
        <v>80000</v>
      </c>
      <c r="I187">
        <v>0</v>
      </c>
      <c r="J187" t="s">
        <v>236</v>
      </c>
      <c r="K187">
        <v>9</v>
      </c>
      <c r="L187">
        <v>4</v>
      </c>
      <c r="M187">
        <v>1</v>
      </c>
      <c r="N187">
        <v>2</v>
      </c>
      <c r="O187">
        <v>4</v>
      </c>
      <c r="P187">
        <v>4</v>
      </c>
      <c r="R187">
        <v>4</v>
      </c>
      <c r="S187">
        <v>259</v>
      </c>
      <c r="T187">
        <v>95</v>
      </c>
    </row>
    <row r="188" spans="1:21" x14ac:dyDescent="0.3">
      <c r="A188">
        <v>1463</v>
      </c>
      <c r="B188" t="s">
        <v>209</v>
      </c>
      <c r="C188" t="s">
        <v>255</v>
      </c>
      <c r="D188">
        <v>6</v>
      </c>
      <c r="E188">
        <v>200000</v>
      </c>
      <c r="F188">
        <v>0</v>
      </c>
      <c r="G188">
        <v>200000</v>
      </c>
      <c r="I188">
        <v>0</v>
      </c>
      <c r="J188" t="s">
        <v>236</v>
      </c>
      <c r="K188">
        <v>6</v>
      </c>
      <c r="L188">
        <v>6</v>
      </c>
      <c r="M188">
        <v>1</v>
      </c>
      <c r="N188">
        <v>1</v>
      </c>
      <c r="O188">
        <v>4</v>
      </c>
      <c r="P188">
        <v>4</v>
      </c>
      <c r="Q188">
        <v>4</v>
      </c>
      <c r="R188">
        <v>4</v>
      </c>
      <c r="S188">
        <v>263</v>
      </c>
      <c r="T188">
        <v>95</v>
      </c>
    </row>
    <row r="189" spans="1:21" x14ac:dyDescent="0.3">
      <c r="A189">
        <v>1464</v>
      </c>
      <c r="B189" t="s">
        <v>210</v>
      </c>
      <c r="C189" t="s">
        <v>256</v>
      </c>
      <c r="D189">
        <v>6</v>
      </c>
      <c r="E189">
        <v>200000</v>
      </c>
      <c r="F189">
        <v>0</v>
      </c>
      <c r="G189">
        <v>200000</v>
      </c>
      <c r="I189">
        <v>0</v>
      </c>
      <c r="J189" t="s">
        <v>236</v>
      </c>
      <c r="K189">
        <v>6</v>
      </c>
      <c r="L189">
        <v>6</v>
      </c>
      <c r="M189">
        <v>1</v>
      </c>
      <c r="N189">
        <v>2</v>
      </c>
      <c r="O189">
        <v>4</v>
      </c>
      <c r="P189">
        <v>4</v>
      </c>
      <c r="Q189">
        <v>4</v>
      </c>
      <c r="R189">
        <v>4</v>
      </c>
      <c r="S189">
        <v>264</v>
      </c>
      <c r="T189">
        <v>95</v>
      </c>
    </row>
    <row r="190" spans="1:21" x14ac:dyDescent="0.3">
      <c r="A190">
        <v>1465</v>
      </c>
      <c r="B190" t="s">
        <v>211</v>
      </c>
      <c r="C190" t="s">
        <v>257</v>
      </c>
      <c r="D190">
        <v>2</v>
      </c>
      <c r="E190">
        <v>70000</v>
      </c>
      <c r="F190">
        <v>0</v>
      </c>
      <c r="G190">
        <v>70000</v>
      </c>
      <c r="I190">
        <v>0</v>
      </c>
      <c r="J190" t="s">
        <v>236</v>
      </c>
      <c r="K190">
        <v>6</v>
      </c>
      <c r="L190">
        <v>6</v>
      </c>
      <c r="M190">
        <v>1</v>
      </c>
      <c r="N190">
        <v>1</v>
      </c>
      <c r="O190">
        <v>4</v>
      </c>
      <c r="P190">
        <v>4</v>
      </c>
      <c r="Q190">
        <v>4</v>
      </c>
      <c r="R190">
        <v>4</v>
      </c>
      <c r="S190">
        <v>269</v>
      </c>
      <c r="T190">
        <v>95</v>
      </c>
    </row>
    <row r="191" spans="1:21" x14ac:dyDescent="0.3">
      <c r="A191">
        <v>1433</v>
      </c>
      <c r="B191" t="s">
        <v>227</v>
      </c>
      <c r="C191" t="s">
        <v>228</v>
      </c>
      <c r="D191">
        <v>9</v>
      </c>
      <c r="E191">
        <v>425000</v>
      </c>
      <c r="F191">
        <v>0</v>
      </c>
      <c r="G191">
        <v>425000</v>
      </c>
      <c r="I191">
        <v>0</v>
      </c>
      <c r="J191" t="s">
        <v>229</v>
      </c>
      <c r="K191">
        <v>9</v>
      </c>
      <c r="L191">
        <v>6</v>
      </c>
      <c r="M191">
        <v>0</v>
      </c>
      <c r="N191">
        <v>0</v>
      </c>
      <c r="P191">
        <v>1</v>
      </c>
      <c r="R191">
        <v>1</v>
      </c>
      <c r="S191">
        <v>245</v>
      </c>
      <c r="T191">
        <v>96</v>
      </c>
    </row>
    <row r="192" spans="1:21" x14ac:dyDescent="0.3">
      <c r="A192">
        <v>1434</v>
      </c>
      <c r="B192" t="s">
        <v>41</v>
      </c>
      <c r="C192" t="s">
        <v>230</v>
      </c>
      <c r="D192">
        <v>6</v>
      </c>
      <c r="E192">
        <v>200000</v>
      </c>
      <c r="F192">
        <v>0</v>
      </c>
      <c r="G192">
        <v>200000</v>
      </c>
      <c r="H192">
        <v>250000</v>
      </c>
      <c r="I192">
        <v>3</v>
      </c>
      <c r="J192" t="s">
        <v>236</v>
      </c>
      <c r="K192">
        <v>9</v>
      </c>
      <c r="L192">
        <v>6</v>
      </c>
      <c r="M192">
        <v>10</v>
      </c>
      <c r="N192">
        <v>7</v>
      </c>
      <c r="P192">
        <v>1</v>
      </c>
      <c r="S192">
        <v>248</v>
      </c>
      <c r="T192">
        <v>96</v>
      </c>
    </row>
    <row r="193" spans="1:21" x14ac:dyDescent="0.3">
      <c r="A193">
        <v>1435</v>
      </c>
      <c r="B193" t="s">
        <v>58</v>
      </c>
      <c r="C193" t="s">
        <v>232</v>
      </c>
      <c r="D193">
        <v>6</v>
      </c>
      <c r="E193">
        <v>200000</v>
      </c>
      <c r="F193">
        <v>0</v>
      </c>
      <c r="G193">
        <v>200000</v>
      </c>
      <c r="H193">
        <v>200000</v>
      </c>
      <c r="I193">
        <v>3</v>
      </c>
      <c r="J193" t="s">
        <v>231</v>
      </c>
      <c r="K193">
        <v>9</v>
      </c>
      <c r="L193">
        <v>6</v>
      </c>
      <c r="M193">
        <v>10</v>
      </c>
      <c r="N193">
        <v>6</v>
      </c>
      <c r="P193">
        <v>1</v>
      </c>
      <c r="R193">
        <v>1</v>
      </c>
      <c r="S193">
        <v>249</v>
      </c>
      <c r="T193">
        <v>96</v>
      </c>
      <c r="U193">
        <v>691</v>
      </c>
    </row>
    <row r="194" spans="1:21" x14ac:dyDescent="0.3">
      <c r="A194">
        <v>1436</v>
      </c>
      <c r="B194" t="s">
        <v>48</v>
      </c>
      <c r="C194" t="s">
        <v>233</v>
      </c>
      <c r="D194">
        <v>3</v>
      </c>
      <c r="E194">
        <v>100000</v>
      </c>
      <c r="F194">
        <v>0</v>
      </c>
      <c r="G194">
        <v>100000</v>
      </c>
      <c r="H194">
        <v>100000</v>
      </c>
      <c r="I194">
        <v>1</v>
      </c>
      <c r="J194" t="s">
        <v>231</v>
      </c>
      <c r="K194">
        <v>9</v>
      </c>
      <c r="L194">
        <v>6</v>
      </c>
      <c r="M194">
        <v>10</v>
      </c>
      <c r="N194">
        <v>7</v>
      </c>
      <c r="P194">
        <v>1</v>
      </c>
      <c r="R194">
        <v>1</v>
      </c>
      <c r="S194">
        <v>251</v>
      </c>
      <c r="T194">
        <v>96</v>
      </c>
      <c r="U194">
        <v>690</v>
      </c>
    </row>
    <row r="195" spans="1:21" x14ac:dyDescent="0.3">
      <c r="A195">
        <v>1437</v>
      </c>
      <c r="B195" t="s">
        <v>51</v>
      </c>
      <c r="C195" t="s">
        <v>234</v>
      </c>
      <c r="D195">
        <v>8</v>
      </c>
      <c r="E195">
        <v>300000</v>
      </c>
      <c r="F195">
        <v>0</v>
      </c>
      <c r="G195">
        <v>300000</v>
      </c>
      <c r="I195">
        <v>0</v>
      </c>
      <c r="J195" t="s">
        <v>229</v>
      </c>
      <c r="K195">
        <v>9</v>
      </c>
      <c r="L195">
        <v>4</v>
      </c>
      <c r="M195">
        <v>0</v>
      </c>
      <c r="N195">
        <v>0</v>
      </c>
      <c r="P195">
        <v>2</v>
      </c>
      <c r="R195">
        <v>2</v>
      </c>
      <c r="S195">
        <v>252</v>
      </c>
      <c r="T195">
        <v>96</v>
      </c>
    </row>
    <row r="196" spans="1:21" x14ac:dyDescent="0.3">
      <c r="A196">
        <v>1438</v>
      </c>
      <c r="B196" t="s">
        <v>55</v>
      </c>
      <c r="C196" t="s">
        <v>235</v>
      </c>
      <c r="D196">
        <v>8</v>
      </c>
      <c r="E196">
        <v>300000</v>
      </c>
      <c r="F196">
        <v>0</v>
      </c>
      <c r="G196">
        <v>300000</v>
      </c>
      <c r="I196">
        <v>0</v>
      </c>
      <c r="J196" t="s">
        <v>229</v>
      </c>
      <c r="K196">
        <v>9</v>
      </c>
      <c r="L196">
        <v>4</v>
      </c>
      <c r="M196">
        <v>0</v>
      </c>
      <c r="N196">
        <v>0</v>
      </c>
      <c r="P196">
        <v>2</v>
      </c>
      <c r="R196">
        <v>2</v>
      </c>
      <c r="S196">
        <v>253</v>
      </c>
      <c r="T196">
        <v>96</v>
      </c>
    </row>
    <row r="197" spans="1:21" x14ac:dyDescent="0.3">
      <c r="A197">
        <v>1439</v>
      </c>
      <c r="B197" t="s">
        <v>66</v>
      </c>
      <c r="C197" t="s">
        <v>237</v>
      </c>
      <c r="D197">
        <v>5</v>
      </c>
      <c r="E197">
        <v>160000</v>
      </c>
      <c r="F197">
        <v>0</v>
      </c>
      <c r="G197">
        <v>160000</v>
      </c>
      <c r="I197">
        <v>0</v>
      </c>
      <c r="J197" t="s">
        <v>229</v>
      </c>
      <c r="K197">
        <v>9</v>
      </c>
      <c r="L197">
        <v>4</v>
      </c>
      <c r="M197">
        <v>0</v>
      </c>
      <c r="N197">
        <v>0</v>
      </c>
      <c r="P197">
        <v>2</v>
      </c>
      <c r="R197">
        <v>2</v>
      </c>
      <c r="S197">
        <v>255</v>
      </c>
      <c r="T197">
        <v>96</v>
      </c>
    </row>
    <row r="198" spans="1:21" x14ac:dyDescent="0.3">
      <c r="A198">
        <v>1440</v>
      </c>
      <c r="B198" t="s">
        <v>94</v>
      </c>
      <c r="C198" t="s">
        <v>238</v>
      </c>
      <c r="D198">
        <v>5</v>
      </c>
      <c r="E198">
        <v>160000</v>
      </c>
      <c r="F198">
        <v>0</v>
      </c>
      <c r="G198">
        <v>160000</v>
      </c>
      <c r="H198">
        <v>160000</v>
      </c>
      <c r="I198">
        <v>3</v>
      </c>
      <c r="J198" t="s">
        <v>231</v>
      </c>
      <c r="K198">
        <v>9</v>
      </c>
      <c r="L198">
        <v>4</v>
      </c>
      <c r="M198">
        <v>10</v>
      </c>
      <c r="N198">
        <v>5</v>
      </c>
      <c r="P198">
        <v>2</v>
      </c>
      <c r="R198">
        <v>1</v>
      </c>
      <c r="S198">
        <v>256</v>
      </c>
      <c r="T198">
        <v>96</v>
      </c>
      <c r="U198">
        <v>696</v>
      </c>
    </row>
    <row r="199" spans="1:21" x14ac:dyDescent="0.3">
      <c r="A199">
        <v>1441</v>
      </c>
      <c r="B199" t="s">
        <v>64</v>
      </c>
      <c r="C199" t="s">
        <v>239</v>
      </c>
      <c r="D199">
        <v>2</v>
      </c>
      <c r="E199">
        <v>80000</v>
      </c>
      <c r="F199">
        <v>0</v>
      </c>
      <c r="G199">
        <v>80000</v>
      </c>
      <c r="I199">
        <v>0</v>
      </c>
      <c r="J199" t="s">
        <v>229</v>
      </c>
      <c r="K199">
        <v>9</v>
      </c>
      <c r="L199">
        <v>4</v>
      </c>
      <c r="M199">
        <v>0</v>
      </c>
      <c r="N199">
        <v>0</v>
      </c>
      <c r="P199">
        <v>2</v>
      </c>
      <c r="R199">
        <v>2</v>
      </c>
      <c r="S199">
        <v>260</v>
      </c>
      <c r="T199">
        <v>96</v>
      </c>
    </row>
    <row r="200" spans="1:21" x14ac:dyDescent="0.3">
      <c r="A200">
        <v>1442</v>
      </c>
      <c r="B200" t="s">
        <v>83</v>
      </c>
      <c r="C200" t="s">
        <v>240</v>
      </c>
      <c r="D200">
        <v>2</v>
      </c>
      <c r="E200">
        <v>80000</v>
      </c>
      <c r="F200">
        <v>0</v>
      </c>
      <c r="G200">
        <v>80000</v>
      </c>
      <c r="I200">
        <v>0</v>
      </c>
      <c r="J200" t="s">
        <v>229</v>
      </c>
      <c r="K200">
        <v>9</v>
      </c>
      <c r="L200">
        <v>4</v>
      </c>
      <c r="M200">
        <v>0</v>
      </c>
      <c r="N200">
        <v>0</v>
      </c>
      <c r="P200">
        <v>2</v>
      </c>
      <c r="R200">
        <v>2</v>
      </c>
      <c r="S200">
        <v>261</v>
      </c>
      <c r="T200">
        <v>96</v>
      </c>
    </row>
    <row r="201" spans="1:21" x14ac:dyDescent="0.3">
      <c r="A201">
        <v>1443</v>
      </c>
      <c r="B201" t="s">
        <v>117</v>
      </c>
      <c r="C201" t="s">
        <v>241</v>
      </c>
      <c r="D201">
        <v>6</v>
      </c>
      <c r="E201">
        <v>200000</v>
      </c>
      <c r="F201">
        <v>0</v>
      </c>
      <c r="G201">
        <v>200000</v>
      </c>
      <c r="H201">
        <v>200000</v>
      </c>
      <c r="I201">
        <v>2</v>
      </c>
      <c r="J201" t="s">
        <v>236</v>
      </c>
      <c r="K201">
        <v>6</v>
      </c>
      <c r="L201">
        <v>6</v>
      </c>
      <c r="M201">
        <v>7</v>
      </c>
      <c r="N201">
        <v>7</v>
      </c>
      <c r="O201">
        <v>4</v>
      </c>
      <c r="P201">
        <v>1</v>
      </c>
      <c r="Q201">
        <v>4</v>
      </c>
      <c r="S201">
        <v>262</v>
      </c>
      <c r="T201">
        <v>96</v>
      </c>
    </row>
    <row r="202" spans="1:21" x14ac:dyDescent="0.3">
      <c r="A202">
        <v>1444</v>
      </c>
      <c r="B202" t="s">
        <v>75</v>
      </c>
      <c r="C202" t="s">
        <v>242</v>
      </c>
      <c r="D202">
        <v>4</v>
      </c>
      <c r="E202">
        <v>125000</v>
      </c>
      <c r="F202">
        <v>0</v>
      </c>
      <c r="G202">
        <v>125000</v>
      </c>
      <c r="I202">
        <v>0</v>
      </c>
      <c r="J202" t="s">
        <v>229</v>
      </c>
      <c r="K202">
        <v>6</v>
      </c>
      <c r="L202">
        <v>6</v>
      </c>
      <c r="M202">
        <v>0</v>
      </c>
      <c r="N202">
        <v>0</v>
      </c>
      <c r="O202">
        <v>4</v>
      </c>
      <c r="P202">
        <v>1</v>
      </c>
      <c r="Q202">
        <v>4</v>
      </c>
      <c r="R202">
        <v>1</v>
      </c>
      <c r="S202">
        <v>265</v>
      </c>
      <c r="T202">
        <v>96</v>
      </c>
    </row>
    <row r="203" spans="1:21" x14ac:dyDescent="0.3">
      <c r="A203">
        <v>1445</v>
      </c>
      <c r="B203" t="s">
        <v>37</v>
      </c>
      <c r="C203" t="s">
        <v>243</v>
      </c>
      <c r="D203">
        <v>4</v>
      </c>
      <c r="E203">
        <v>125000</v>
      </c>
      <c r="F203">
        <v>0</v>
      </c>
      <c r="G203">
        <v>125000</v>
      </c>
      <c r="I203">
        <v>0</v>
      </c>
      <c r="J203" t="s">
        <v>229</v>
      </c>
      <c r="K203">
        <v>6</v>
      </c>
      <c r="L203">
        <v>6</v>
      </c>
      <c r="M203">
        <v>0</v>
      </c>
      <c r="N203">
        <v>0</v>
      </c>
      <c r="O203">
        <v>4</v>
      </c>
      <c r="P203">
        <v>1</v>
      </c>
      <c r="Q203">
        <v>4</v>
      </c>
      <c r="R203">
        <v>1</v>
      </c>
      <c r="S203">
        <v>266</v>
      </c>
      <c r="T203">
        <v>96</v>
      </c>
    </row>
    <row r="204" spans="1:21" x14ac:dyDescent="0.3">
      <c r="A204">
        <v>1446</v>
      </c>
      <c r="B204" t="s">
        <v>45</v>
      </c>
      <c r="C204" t="s">
        <v>244</v>
      </c>
      <c r="D204">
        <v>2</v>
      </c>
      <c r="E204">
        <v>70000</v>
      </c>
      <c r="F204">
        <v>0</v>
      </c>
      <c r="G204">
        <v>70000</v>
      </c>
      <c r="I204">
        <v>0</v>
      </c>
      <c r="J204" t="s">
        <v>229</v>
      </c>
      <c r="K204">
        <v>6</v>
      </c>
      <c r="L204">
        <v>6</v>
      </c>
      <c r="M204">
        <v>0</v>
      </c>
      <c r="N204">
        <v>0</v>
      </c>
      <c r="O204">
        <v>4</v>
      </c>
      <c r="P204">
        <v>1</v>
      </c>
      <c r="Q204">
        <v>4</v>
      </c>
      <c r="R204">
        <v>1</v>
      </c>
      <c r="S204">
        <v>270</v>
      </c>
      <c r="T204">
        <v>96</v>
      </c>
    </row>
    <row r="205" spans="1:21" x14ac:dyDescent="0.3">
      <c r="A205">
        <v>1447</v>
      </c>
      <c r="B205" t="s">
        <v>71</v>
      </c>
      <c r="C205" t="s">
        <v>245</v>
      </c>
      <c r="D205">
        <v>2</v>
      </c>
      <c r="E205">
        <v>70000</v>
      </c>
      <c r="F205">
        <v>0</v>
      </c>
      <c r="G205">
        <v>70000</v>
      </c>
      <c r="H205">
        <v>70000</v>
      </c>
      <c r="I205">
        <v>2</v>
      </c>
      <c r="J205" t="s">
        <v>236</v>
      </c>
      <c r="K205">
        <v>6</v>
      </c>
      <c r="L205">
        <v>6</v>
      </c>
      <c r="M205">
        <v>7</v>
      </c>
      <c r="N205">
        <v>7</v>
      </c>
      <c r="O205">
        <v>4</v>
      </c>
      <c r="P205">
        <v>1</v>
      </c>
      <c r="Q205">
        <v>4</v>
      </c>
      <c r="R205">
        <v>1</v>
      </c>
      <c r="S205">
        <v>271</v>
      </c>
      <c r="T205">
        <v>96</v>
      </c>
    </row>
    <row r="206" spans="1:21" x14ac:dyDescent="0.3">
      <c r="A206">
        <v>1452</v>
      </c>
      <c r="B206" t="s">
        <v>204</v>
      </c>
      <c r="C206" t="s">
        <v>246</v>
      </c>
      <c r="D206">
        <v>4</v>
      </c>
      <c r="E206">
        <v>125000</v>
      </c>
      <c r="F206">
        <v>0</v>
      </c>
      <c r="G206">
        <v>125000</v>
      </c>
      <c r="I206">
        <v>0</v>
      </c>
      <c r="J206" t="s">
        <v>229</v>
      </c>
      <c r="K206">
        <v>6</v>
      </c>
      <c r="L206">
        <v>6</v>
      </c>
      <c r="M206">
        <v>1</v>
      </c>
      <c r="N206">
        <v>0</v>
      </c>
      <c r="O206">
        <v>4</v>
      </c>
      <c r="Q206">
        <v>4</v>
      </c>
      <c r="S206">
        <v>267</v>
      </c>
      <c r="T206">
        <v>96</v>
      </c>
    </row>
    <row r="207" spans="1:21" x14ac:dyDescent="0.3">
      <c r="A207">
        <v>1453</v>
      </c>
      <c r="B207" t="s">
        <v>205</v>
      </c>
      <c r="C207" t="s">
        <v>247</v>
      </c>
      <c r="D207">
        <v>4</v>
      </c>
      <c r="E207">
        <v>125000</v>
      </c>
      <c r="F207">
        <v>0</v>
      </c>
      <c r="G207">
        <v>125000</v>
      </c>
      <c r="I207">
        <v>0</v>
      </c>
      <c r="J207" t="s">
        <v>229</v>
      </c>
      <c r="K207">
        <v>6</v>
      </c>
      <c r="L207">
        <v>6</v>
      </c>
      <c r="M207">
        <v>1</v>
      </c>
      <c r="N207">
        <v>1</v>
      </c>
      <c r="O207">
        <v>4</v>
      </c>
      <c r="Q207">
        <v>4</v>
      </c>
      <c r="S207">
        <v>268</v>
      </c>
      <c r="T207">
        <v>96</v>
      </c>
    </row>
    <row r="208" spans="1:21" x14ac:dyDescent="0.3">
      <c r="A208">
        <v>1466</v>
      </c>
      <c r="B208" t="s">
        <v>77</v>
      </c>
      <c r="C208" t="s">
        <v>248</v>
      </c>
      <c r="D208">
        <v>6</v>
      </c>
      <c r="E208">
        <v>200000</v>
      </c>
      <c r="F208">
        <v>0</v>
      </c>
      <c r="G208">
        <v>200000</v>
      </c>
      <c r="H208">
        <v>200000</v>
      </c>
      <c r="I208">
        <v>3</v>
      </c>
      <c r="J208" t="s">
        <v>231</v>
      </c>
      <c r="K208">
        <v>9</v>
      </c>
      <c r="L208">
        <v>6</v>
      </c>
      <c r="M208">
        <v>10</v>
      </c>
      <c r="N208">
        <v>7</v>
      </c>
      <c r="S208">
        <v>246</v>
      </c>
      <c r="T208">
        <v>96</v>
      </c>
      <c r="U208">
        <v>694</v>
      </c>
    </row>
    <row r="209" spans="1:21" x14ac:dyDescent="0.3">
      <c r="A209">
        <v>1467</v>
      </c>
      <c r="B209" t="s">
        <v>56</v>
      </c>
      <c r="C209" t="s">
        <v>249</v>
      </c>
      <c r="D209">
        <v>9</v>
      </c>
      <c r="E209">
        <v>425000</v>
      </c>
      <c r="F209">
        <v>0</v>
      </c>
      <c r="G209">
        <v>425000</v>
      </c>
      <c r="H209">
        <v>425000</v>
      </c>
      <c r="I209">
        <v>2</v>
      </c>
      <c r="J209" t="s">
        <v>231</v>
      </c>
      <c r="K209">
        <v>9</v>
      </c>
      <c r="L209">
        <v>6</v>
      </c>
      <c r="M209">
        <v>10</v>
      </c>
      <c r="N209">
        <v>7</v>
      </c>
      <c r="S209">
        <v>247</v>
      </c>
      <c r="T209">
        <v>96</v>
      </c>
      <c r="U209">
        <v>695</v>
      </c>
    </row>
    <row r="210" spans="1:21" x14ac:dyDescent="0.3">
      <c r="A210">
        <v>1468</v>
      </c>
      <c r="B210" t="s">
        <v>102</v>
      </c>
      <c r="C210" t="s">
        <v>250</v>
      </c>
      <c r="D210">
        <v>3</v>
      </c>
      <c r="E210">
        <v>100000</v>
      </c>
      <c r="F210">
        <v>0</v>
      </c>
      <c r="G210">
        <v>100000</v>
      </c>
      <c r="H210">
        <v>100000</v>
      </c>
      <c r="I210">
        <v>1</v>
      </c>
      <c r="J210" t="s">
        <v>231</v>
      </c>
      <c r="K210">
        <v>9</v>
      </c>
      <c r="L210">
        <v>6</v>
      </c>
      <c r="M210">
        <v>9</v>
      </c>
      <c r="N210">
        <v>7</v>
      </c>
      <c r="S210">
        <v>250</v>
      </c>
      <c r="T210">
        <v>96</v>
      </c>
      <c r="U210">
        <v>693</v>
      </c>
    </row>
    <row r="211" spans="1:21" x14ac:dyDescent="0.3">
      <c r="A211">
        <v>1469</v>
      </c>
      <c r="B211" t="s">
        <v>62</v>
      </c>
      <c r="C211" t="s">
        <v>251</v>
      </c>
      <c r="D211">
        <v>8</v>
      </c>
      <c r="E211">
        <v>300000</v>
      </c>
      <c r="F211">
        <v>0</v>
      </c>
      <c r="G211">
        <v>300000</v>
      </c>
      <c r="I211">
        <v>0</v>
      </c>
      <c r="J211" t="s">
        <v>236</v>
      </c>
      <c r="K211">
        <v>9</v>
      </c>
      <c r="L211">
        <v>4</v>
      </c>
      <c r="M211">
        <v>0</v>
      </c>
      <c r="N211">
        <v>0</v>
      </c>
      <c r="S211">
        <v>254</v>
      </c>
      <c r="T211">
        <v>96</v>
      </c>
    </row>
    <row r="212" spans="1:21" x14ac:dyDescent="0.3">
      <c r="A212">
        <v>1470</v>
      </c>
      <c r="B212" t="s">
        <v>206</v>
      </c>
      <c r="C212" t="s">
        <v>252</v>
      </c>
      <c r="D212">
        <v>5</v>
      </c>
      <c r="E212">
        <v>160000</v>
      </c>
      <c r="F212">
        <v>0</v>
      </c>
      <c r="G212">
        <v>160000</v>
      </c>
      <c r="I212">
        <v>0</v>
      </c>
      <c r="J212" t="s">
        <v>236</v>
      </c>
      <c r="K212">
        <v>9</v>
      </c>
      <c r="L212">
        <v>4</v>
      </c>
      <c r="M212">
        <v>2</v>
      </c>
      <c r="N212">
        <v>2</v>
      </c>
      <c r="S212">
        <v>257</v>
      </c>
      <c r="T212">
        <v>96</v>
      </c>
    </row>
    <row r="213" spans="1:21" x14ac:dyDescent="0.3">
      <c r="A213">
        <v>1471</v>
      </c>
      <c r="B213" t="s">
        <v>207</v>
      </c>
      <c r="C213" t="s">
        <v>253</v>
      </c>
      <c r="D213">
        <v>5</v>
      </c>
      <c r="E213">
        <v>160000</v>
      </c>
      <c r="F213">
        <v>0</v>
      </c>
      <c r="G213">
        <v>160000</v>
      </c>
      <c r="I213">
        <v>0</v>
      </c>
      <c r="J213" t="s">
        <v>236</v>
      </c>
      <c r="K213">
        <v>9</v>
      </c>
      <c r="L213">
        <v>4</v>
      </c>
      <c r="M213">
        <v>2</v>
      </c>
      <c r="N213">
        <v>2</v>
      </c>
      <c r="S213">
        <v>258</v>
      </c>
      <c r="T213">
        <v>96</v>
      </c>
    </row>
    <row r="214" spans="1:21" x14ac:dyDescent="0.3">
      <c r="A214">
        <v>1472</v>
      </c>
      <c r="B214" t="s">
        <v>208</v>
      </c>
      <c r="C214" t="s">
        <v>254</v>
      </c>
      <c r="D214">
        <v>2</v>
      </c>
      <c r="E214">
        <v>80000</v>
      </c>
      <c r="F214">
        <v>0</v>
      </c>
      <c r="G214">
        <v>80000</v>
      </c>
      <c r="I214">
        <v>0</v>
      </c>
      <c r="J214" t="s">
        <v>236</v>
      </c>
      <c r="K214">
        <v>9</v>
      </c>
      <c r="L214">
        <v>4</v>
      </c>
      <c r="M214">
        <v>1</v>
      </c>
      <c r="N214">
        <v>2</v>
      </c>
      <c r="S214">
        <v>259</v>
      </c>
      <c r="T214">
        <v>96</v>
      </c>
    </row>
    <row r="215" spans="1:21" x14ac:dyDescent="0.3">
      <c r="A215">
        <v>1473</v>
      </c>
      <c r="B215" t="s">
        <v>209</v>
      </c>
      <c r="C215" t="s">
        <v>255</v>
      </c>
      <c r="D215">
        <v>6</v>
      </c>
      <c r="E215">
        <v>200000</v>
      </c>
      <c r="F215">
        <v>0</v>
      </c>
      <c r="G215">
        <v>200000</v>
      </c>
      <c r="I215">
        <v>0</v>
      </c>
      <c r="J215" t="s">
        <v>236</v>
      </c>
      <c r="K215">
        <v>6</v>
      </c>
      <c r="L215">
        <v>6</v>
      </c>
      <c r="M215">
        <v>1</v>
      </c>
      <c r="N215">
        <v>1</v>
      </c>
      <c r="O215">
        <v>4</v>
      </c>
      <c r="Q215">
        <v>4</v>
      </c>
      <c r="S215">
        <v>263</v>
      </c>
      <c r="T215">
        <v>96</v>
      </c>
    </row>
    <row r="216" spans="1:21" x14ac:dyDescent="0.3">
      <c r="A216">
        <v>1474</v>
      </c>
      <c r="B216" t="s">
        <v>210</v>
      </c>
      <c r="C216" t="s">
        <v>256</v>
      </c>
      <c r="D216">
        <v>6</v>
      </c>
      <c r="E216">
        <v>200000</v>
      </c>
      <c r="F216">
        <v>0</v>
      </c>
      <c r="G216">
        <v>200000</v>
      </c>
      <c r="I216">
        <v>0</v>
      </c>
      <c r="J216" t="s">
        <v>236</v>
      </c>
      <c r="K216">
        <v>6</v>
      </c>
      <c r="L216">
        <v>6</v>
      </c>
      <c r="M216">
        <v>1</v>
      </c>
      <c r="N216">
        <v>2</v>
      </c>
      <c r="O216">
        <v>4</v>
      </c>
      <c r="Q216">
        <v>4</v>
      </c>
      <c r="S216">
        <v>264</v>
      </c>
      <c r="T216">
        <v>96</v>
      </c>
    </row>
    <row r="217" spans="1:21" x14ac:dyDescent="0.3">
      <c r="A217">
        <v>1475</v>
      </c>
      <c r="B217" t="s">
        <v>211</v>
      </c>
      <c r="C217" t="s">
        <v>257</v>
      </c>
      <c r="D217">
        <v>2</v>
      </c>
      <c r="E217">
        <v>70000</v>
      </c>
      <c r="F217">
        <v>0</v>
      </c>
      <c r="G217">
        <v>70000</v>
      </c>
      <c r="I217">
        <v>0</v>
      </c>
      <c r="J217" t="s">
        <v>236</v>
      </c>
      <c r="K217">
        <v>6</v>
      </c>
      <c r="L217">
        <v>6</v>
      </c>
      <c r="M217">
        <v>1</v>
      </c>
      <c r="N217">
        <v>1</v>
      </c>
      <c r="O217">
        <v>4</v>
      </c>
      <c r="Q217">
        <v>4</v>
      </c>
      <c r="S217">
        <v>269</v>
      </c>
      <c r="T217">
        <v>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sheetViews>
  <sheetFormatPr defaultRowHeight="14.4" x14ac:dyDescent="0.3"/>
  <cols>
    <col min="6" max="6" width="11.5546875" bestFit="1" customWidth="1"/>
  </cols>
  <sheetData>
    <row r="1" spans="1:7" s="1" customFormat="1" x14ac:dyDescent="0.3">
      <c r="A1" s="1" t="s">
        <v>156</v>
      </c>
      <c r="B1" s="1" t="s">
        <v>158</v>
      </c>
      <c r="C1" s="1" t="s">
        <v>258</v>
      </c>
      <c r="D1" s="1" t="s">
        <v>147</v>
      </c>
      <c r="E1" s="1" t="s">
        <v>259</v>
      </c>
      <c r="F1" s="1" t="s">
        <v>260</v>
      </c>
      <c r="G1" s="1" t="s">
        <v>0</v>
      </c>
    </row>
    <row r="2" spans="1:7" x14ac:dyDescent="0.3">
      <c r="A2">
        <v>89</v>
      </c>
      <c r="B2" t="s">
        <v>34</v>
      </c>
      <c r="C2" t="s">
        <v>261</v>
      </c>
      <c r="D2">
        <v>19</v>
      </c>
      <c r="E2">
        <v>22</v>
      </c>
      <c r="F2">
        <v>7</v>
      </c>
      <c r="G2" t="s">
        <v>33</v>
      </c>
    </row>
    <row r="3" spans="1:7" x14ac:dyDescent="0.3">
      <c r="A3">
        <v>90</v>
      </c>
      <c r="B3" t="s">
        <v>59</v>
      </c>
      <c r="C3" t="s">
        <v>261</v>
      </c>
      <c r="D3">
        <v>19</v>
      </c>
      <c r="E3">
        <v>22</v>
      </c>
      <c r="F3">
        <v>8</v>
      </c>
      <c r="G3" t="s">
        <v>33</v>
      </c>
    </row>
    <row r="4" spans="1:7" x14ac:dyDescent="0.3">
      <c r="A4">
        <v>91</v>
      </c>
      <c r="B4" t="s">
        <v>69</v>
      </c>
      <c r="C4" t="s">
        <v>261</v>
      </c>
      <c r="D4">
        <v>19</v>
      </c>
      <c r="E4">
        <v>22</v>
      </c>
      <c r="F4">
        <v>9</v>
      </c>
      <c r="G4" t="s">
        <v>33</v>
      </c>
    </row>
    <row r="5" spans="1:7" x14ac:dyDescent="0.3">
      <c r="A5">
        <v>92</v>
      </c>
      <c r="B5" t="s">
        <v>79</v>
      </c>
      <c r="C5" t="s">
        <v>261</v>
      </c>
      <c r="D5">
        <v>19</v>
      </c>
      <c r="E5">
        <v>22</v>
      </c>
      <c r="F5">
        <v>10</v>
      </c>
      <c r="G5" t="s">
        <v>33</v>
      </c>
    </row>
    <row r="6" spans="1:7" x14ac:dyDescent="0.3">
      <c r="A6">
        <v>93</v>
      </c>
      <c r="B6" t="s">
        <v>88</v>
      </c>
      <c r="C6" t="s">
        <v>261</v>
      </c>
      <c r="D6">
        <v>19</v>
      </c>
      <c r="E6">
        <v>22</v>
      </c>
      <c r="F6">
        <v>11</v>
      </c>
      <c r="G6" t="s">
        <v>33</v>
      </c>
    </row>
    <row r="7" spans="1:7" x14ac:dyDescent="0.3">
      <c r="A7">
        <v>94</v>
      </c>
      <c r="B7" t="s">
        <v>97</v>
      </c>
      <c r="C7" t="s">
        <v>261</v>
      </c>
      <c r="D7">
        <v>19</v>
      </c>
      <c r="E7">
        <v>22</v>
      </c>
      <c r="F7">
        <v>13</v>
      </c>
      <c r="G7" t="s">
        <v>33</v>
      </c>
    </row>
    <row r="8" spans="1:7" x14ac:dyDescent="0.3">
      <c r="A8">
        <v>95</v>
      </c>
      <c r="B8" t="s">
        <v>105</v>
      </c>
      <c r="C8" t="s">
        <v>261</v>
      </c>
      <c r="D8">
        <v>19</v>
      </c>
      <c r="E8">
        <v>22</v>
      </c>
      <c r="F8">
        <v>14</v>
      </c>
      <c r="G8" t="s">
        <v>33</v>
      </c>
    </row>
    <row r="9" spans="1:7" x14ac:dyDescent="0.3">
      <c r="A9">
        <v>96</v>
      </c>
      <c r="B9" t="s">
        <v>112</v>
      </c>
      <c r="C9" t="s">
        <v>261</v>
      </c>
      <c r="D9">
        <v>19</v>
      </c>
      <c r="E9">
        <v>22</v>
      </c>
      <c r="F9">
        <v>15</v>
      </c>
      <c r="G9" t="s">
        <v>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1"/>
  <sheetViews>
    <sheetView workbookViewId="0"/>
  </sheetViews>
  <sheetFormatPr defaultRowHeight="14.4" x14ac:dyDescent="0.3"/>
  <cols>
    <col min="2" max="2" width="20.6640625" style="2" customWidth="1"/>
  </cols>
  <sheetData>
    <row r="1" spans="1:11" s="1" customFormat="1" x14ac:dyDescent="0.3">
      <c r="A1" s="1" t="s">
        <v>156</v>
      </c>
      <c r="B1" s="1" t="s">
        <v>262</v>
      </c>
      <c r="C1" s="1" t="s">
        <v>263</v>
      </c>
      <c r="D1" s="1" t="s">
        <v>264</v>
      </c>
      <c r="E1" s="1" t="s">
        <v>265</v>
      </c>
      <c r="F1" s="1" t="s">
        <v>266</v>
      </c>
      <c r="G1" s="1" t="s">
        <v>146</v>
      </c>
      <c r="H1" s="1" t="s">
        <v>1</v>
      </c>
      <c r="I1" s="1" t="s">
        <v>147</v>
      </c>
      <c r="J1" s="1" t="s">
        <v>0</v>
      </c>
      <c r="K1" s="1" t="s">
        <v>148</v>
      </c>
    </row>
    <row r="2" spans="1:11" x14ac:dyDescent="0.3">
      <c r="A2">
        <v>269</v>
      </c>
      <c r="B2" s="2">
        <v>45923.434733796297</v>
      </c>
      <c r="C2">
        <v>0</v>
      </c>
      <c r="D2">
        <v>0</v>
      </c>
      <c r="E2" t="s">
        <v>149</v>
      </c>
      <c r="F2">
        <v>0</v>
      </c>
      <c r="G2">
        <v>89</v>
      </c>
      <c r="H2" t="s">
        <v>34</v>
      </c>
      <c r="I2">
        <v>19</v>
      </c>
      <c r="J2" t="s">
        <v>33</v>
      </c>
      <c r="K2">
        <v>22</v>
      </c>
    </row>
    <row r="3" spans="1:11" x14ac:dyDescent="0.3">
      <c r="A3">
        <v>271</v>
      </c>
      <c r="B3" s="2">
        <v>45923.449108796303</v>
      </c>
      <c r="C3">
        <v>5</v>
      </c>
      <c r="D3">
        <v>6</v>
      </c>
      <c r="E3" t="s">
        <v>267</v>
      </c>
      <c r="F3">
        <v>1</v>
      </c>
      <c r="G3">
        <v>89</v>
      </c>
      <c r="H3" t="s">
        <v>34</v>
      </c>
      <c r="I3">
        <v>19</v>
      </c>
      <c r="J3" t="s">
        <v>33</v>
      </c>
      <c r="K3">
        <v>22</v>
      </c>
    </row>
    <row r="4" spans="1:11" x14ac:dyDescent="0.3">
      <c r="A4">
        <v>276</v>
      </c>
      <c r="B4" s="2">
        <v>45923.464907407411</v>
      </c>
      <c r="C4">
        <v>3</v>
      </c>
      <c r="D4">
        <v>5</v>
      </c>
      <c r="E4" t="s">
        <v>267</v>
      </c>
      <c r="F4">
        <v>2</v>
      </c>
      <c r="G4">
        <v>89</v>
      </c>
      <c r="H4" t="s">
        <v>34</v>
      </c>
      <c r="I4">
        <v>19</v>
      </c>
      <c r="J4" t="s">
        <v>33</v>
      </c>
      <c r="K4">
        <v>22</v>
      </c>
    </row>
    <row r="5" spans="1:11" x14ac:dyDescent="0.3">
      <c r="A5">
        <v>278</v>
      </c>
      <c r="B5" s="2">
        <v>45923.471203703702</v>
      </c>
      <c r="C5">
        <v>1</v>
      </c>
      <c r="D5">
        <v>7</v>
      </c>
      <c r="E5" t="s">
        <v>267</v>
      </c>
      <c r="F5">
        <v>3</v>
      </c>
      <c r="G5">
        <v>89</v>
      </c>
      <c r="H5" t="s">
        <v>34</v>
      </c>
      <c r="I5">
        <v>19</v>
      </c>
      <c r="J5" t="s">
        <v>33</v>
      </c>
      <c r="K5">
        <v>22</v>
      </c>
    </row>
    <row r="6" spans="1:11" x14ac:dyDescent="0.3">
      <c r="A6">
        <v>282</v>
      </c>
      <c r="B6" s="2">
        <v>45923.479317129633</v>
      </c>
      <c r="C6">
        <v>1</v>
      </c>
      <c r="D6">
        <v>8</v>
      </c>
      <c r="E6" t="s">
        <v>267</v>
      </c>
      <c r="F6">
        <v>4</v>
      </c>
      <c r="G6">
        <v>89</v>
      </c>
      <c r="H6" t="s">
        <v>34</v>
      </c>
      <c r="I6">
        <v>19</v>
      </c>
      <c r="J6" t="s">
        <v>33</v>
      </c>
      <c r="K6">
        <v>22</v>
      </c>
    </row>
    <row r="7" spans="1:11" x14ac:dyDescent="0.3">
      <c r="A7">
        <v>267</v>
      </c>
      <c r="B7" s="2">
        <v>45923.428067129629</v>
      </c>
      <c r="C7">
        <v>0</v>
      </c>
      <c r="D7">
        <v>0</v>
      </c>
      <c r="E7" t="s">
        <v>149</v>
      </c>
      <c r="F7">
        <v>0</v>
      </c>
      <c r="G7">
        <v>90</v>
      </c>
      <c r="H7" t="s">
        <v>59</v>
      </c>
      <c r="I7">
        <v>19</v>
      </c>
      <c r="J7" t="s">
        <v>33</v>
      </c>
      <c r="K7">
        <v>22</v>
      </c>
    </row>
    <row r="8" spans="1:11" x14ac:dyDescent="0.3">
      <c r="A8">
        <v>270</v>
      </c>
      <c r="B8" s="2">
        <v>45923.448101851864</v>
      </c>
      <c r="C8">
        <v>1</v>
      </c>
      <c r="D8">
        <v>8</v>
      </c>
      <c r="E8" t="s">
        <v>267</v>
      </c>
      <c r="F8">
        <v>1</v>
      </c>
      <c r="G8">
        <v>90</v>
      </c>
      <c r="H8" t="s">
        <v>59</v>
      </c>
      <c r="I8">
        <v>19</v>
      </c>
      <c r="J8" t="s">
        <v>33</v>
      </c>
      <c r="K8">
        <v>22</v>
      </c>
    </row>
    <row r="9" spans="1:11" x14ac:dyDescent="0.3">
      <c r="A9">
        <v>274</v>
      </c>
      <c r="B9" s="2">
        <v>45923.461875000001</v>
      </c>
      <c r="C9">
        <v>10</v>
      </c>
      <c r="D9">
        <v>8</v>
      </c>
      <c r="E9" t="s">
        <v>267</v>
      </c>
      <c r="F9">
        <v>2</v>
      </c>
      <c r="G9">
        <v>90</v>
      </c>
      <c r="H9" t="s">
        <v>59</v>
      </c>
      <c r="I9">
        <v>19</v>
      </c>
      <c r="J9" t="s">
        <v>33</v>
      </c>
      <c r="K9">
        <v>22</v>
      </c>
    </row>
    <row r="10" spans="1:11" x14ac:dyDescent="0.3">
      <c r="A10">
        <v>277</v>
      </c>
      <c r="B10" s="2">
        <v>45923.468530092592</v>
      </c>
      <c r="C10">
        <v>4</v>
      </c>
      <c r="D10">
        <v>11</v>
      </c>
      <c r="E10" t="s">
        <v>267</v>
      </c>
      <c r="F10">
        <v>3</v>
      </c>
      <c r="G10">
        <v>90</v>
      </c>
      <c r="H10" t="s">
        <v>59</v>
      </c>
      <c r="I10">
        <v>19</v>
      </c>
      <c r="J10" t="s">
        <v>33</v>
      </c>
      <c r="K10">
        <v>22</v>
      </c>
    </row>
    <row r="11" spans="1:11" x14ac:dyDescent="0.3">
      <c r="A11">
        <v>281</v>
      </c>
      <c r="B11" s="2">
        <v>45923.475590277783</v>
      </c>
      <c r="C11">
        <v>6</v>
      </c>
      <c r="D11">
        <v>7</v>
      </c>
      <c r="E11" t="s">
        <v>267</v>
      </c>
      <c r="F11">
        <v>4</v>
      </c>
      <c r="G11">
        <v>90</v>
      </c>
      <c r="H11" t="s">
        <v>59</v>
      </c>
      <c r="I11">
        <v>19</v>
      </c>
      <c r="J11" t="s">
        <v>33</v>
      </c>
      <c r="K11">
        <v>22</v>
      </c>
    </row>
    <row r="12" spans="1:11" x14ac:dyDescent="0.3">
      <c r="A12">
        <v>268</v>
      </c>
      <c r="B12" s="2">
        <v>45923.429930555547</v>
      </c>
      <c r="C12">
        <v>0</v>
      </c>
      <c r="D12">
        <v>0</v>
      </c>
      <c r="E12" t="s">
        <v>149</v>
      </c>
      <c r="F12">
        <v>0</v>
      </c>
      <c r="G12">
        <v>91</v>
      </c>
      <c r="H12" t="s">
        <v>69</v>
      </c>
      <c r="I12">
        <v>19</v>
      </c>
      <c r="J12" t="s">
        <v>33</v>
      </c>
      <c r="K12">
        <v>22</v>
      </c>
    </row>
    <row r="13" spans="1:11" x14ac:dyDescent="0.3">
      <c r="A13">
        <v>272</v>
      </c>
      <c r="B13" s="2">
        <v>45923.449942129642</v>
      </c>
      <c r="C13">
        <v>8</v>
      </c>
      <c r="D13">
        <v>7</v>
      </c>
      <c r="E13" t="s">
        <v>267</v>
      </c>
      <c r="F13">
        <v>1</v>
      </c>
      <c r="G13">
        <v>91</v>
      </c>
      <c r="H13" t="s">
        <v>69</v>
      </c>
      <c r="I13">
        <v>19</v>
      </c>
      <c r="J13" t="s">
        <v>33</v>
      </c>
      <c r="K13">
        <v>22</v>
      </c>
    </row>
    <row r="14" spans="1:11" x14ac:dyDescent="0.3">
      <c r="A14">
        <v>275</v>
      </c>
      <c r="B14" s="2">
        <v>45923.463831018518</v>
      </c>
      <c r="C14">
        <v>10</v>
      </c>
      <c r="D14">
        <v>6</v>
      </c>
      <c r="E14" t="s">
        <v>267</v>
      </c>
      <c r="F14">
        <v>2</v>
      </c>
      <c r="G14">
        <v>91</v>
      </c>
      <c r="H14" t="s">
        <v>69</v>
      </c>
      <c r="I14">
        <v>19</v>
      </c>
      <c r="J14" t="s">
        <v>33</v>
      </c>
      <c r="K14">
        <v>22</v>
      </c>
    </row>
    <row r="15" spans="1:11" x14ac:dyDescent="0.3">
      <c r="A15">
        <v>279</v>
      </c>
      <c r="B15" s="2">
        <v>45923.471226851849</v>
      </c>
      <c r="C15">
        <v>1</v>
      </c>
      <c r="D15">
        <v>11</v>
      </c>
      <c r="E15" t="s">
        <v>267</v>
      </c>
      <c r="F15">
        <v>3</v>
      </c>
      <c r="G15">
        <v>91</v>
      </c>
      <c r="H15" t="s">
        <v>69</v>
      </c>
      <c r="I15">
        <v>19</v>
      </c>
      <c r="J15" t="s">
        <v>33</v>
      </c>
      <c r="K15">
        <v>22</v>
      </c>
    </row>
    <row r="16" spans="1:11" x14ac:dyDescent="0.3">
      <c r="A16">
        <v>283</v>
      </c>
      <c r="B16" s="2">
        <v>45923.479722222233</v>
      </c>
      <c r="C16">
        <v>3</v>
      </c>
      <c r="D16">
        <v>9</v>
      </c>
      <c r="E16" t="s">
        <v>267</v>
      </c>
      <c r="F16">
        <v>4</v>
      </c>
      <c r="G16">
        <v>91</v>
      </c>
      <c r="H16" t="s">
        <v>69</v>
      </c>
      <c r="I16">
        <v>19</v>
      </c>
      <c r="J16" t="s">
        <v>33</v>
      </c>
      <c r="K16">
        <v>22</v>
      </c>
    </row>
    <row r="17" spans="1:11" x14ac:dyDescent="0.3">
      <c r="A17">
        <v>266</v>
      </c>
      <c r="B17" s="2">
        <v>45923.417731481481</v>
      </c>
      <c r="C17">
        <v>0</v>
      </c>
      <c r="D17">
        <v>0</v>
      </c>
      <c r="E17" t="s">
        <v>149</v>
      </c>
      <c r="F17">
        <v>0</v>
      </c>
      <c r="G17">
        <v>92</v>
      </c>
      <c r="H17" t="s">
        <v>79</v>
      </c>
      <c r="I17">
        <v>19</v>
      </c>
      <c r="J17" t="s">
        <v>33</v>
      </c>
      <c r="K17">
        <v>22</v>
      </c>
    </row>
    <row r="18" spans="1:11" x14ac:dyDescent="0.3">
      <c r="A18">
        <v>273</v>
      </c>
      <c r="B18" s="2">
        <v>45923.450810185182</v>
      </c>
      <c r="C18">
        <v>1</v>
      </c>
      <c r="D18">
        <v>7</v>
      </c>
      <c r="E18" t="s">
        <v>267</v>
      </c>
      <c r="F18">
        <v>1</v>
      </c>
      <c r="G18">
        <v>92</v>
      </c>
      <c r="H18" t="s">
        <v>79</v>
      </c>
      <c r="I18">
        <v>19</v>
      </c>
      <c r="J18" t="s">
        <v>33</v>
      </c>
      <c r="K18">
        <v>22</v>
      </c>
    </row>
    <row r="19" spans="1:11" x14ac:dyDescent="0.3">
      <c r="A19">
        <v>280</v>
      </c>
      <c r="B19" s="2">
        <v>45923.473634259259</v>
      </c>
      <c r="C19">
        <v>5</v>
      </c>
      <c r="D19">
        <v>5</v>
      </c>
      <c r="E19" t="s">
        <v>267</v>
      </c>
      <c r="F19">
        <v>2</v>
      </c>
      <c r="G19">
        <v>92</v>
      </c>
      <c r="H19" t="s">
        <v>79</v>
      </c>
      <c r="I19">
        <v>19</v>
      </c>
      <c r="J19" t="s">
        <v>33</v>
      </c>
      <c r="K19">
        <v>22</v>
      </c>
    </row>
    <row r="20" spans="1:11" x14ac:dyDescent="0.3">
      <c r="A20">
        <v>284</v>
      </c>
      <c r="B20" s="2">
        <v>45923.483634259261</v>
      </c>
      <c r="C20">
        <v>8</v>
      </c>
      <c r="D20">
        <v>8</v>
      </c>
      <c r="E20" t="s">
        <v>267</v>
      </c>
      <c r="F20">
        <v>3</v>
      </c>
      <c r="G20">
        <v>92</v>
      </c>
      <c r="H20" t="s">
        <v>79</v>
      </c>
      <c r="I20">
        <v>19</v>
      </c>
      <c r="J20" t="s">
        <v>33</v>
      </c>
      <c r="K20">
        <v>22</v>
      </c>
    </row>
    <row r="21" spans="1:11" x14ac:dyDescent="0.3">
      <c r="A21">
        <v>285</v>
      </c>
      <c r="B21" s="2">
        <v>45923.490671296298</v>
      </c>
      <c r="C21">
        <v>4</v>
      </c>
      <c r="D21">
        <v>2</v>
      </c>
      <c r="E21" t="s">
        <v>267</v>
      </c>
      <c r="F21">
        <v>4</v>
      </c>
      <c r="G21">
        <v>92</v>
      </c>
      <c r="H21" t="s">
        <v>79</v>
      </c>
      <c r="I21">
        <v>19</v>
      </c>
      <c r="J21" t="s">
        <v>33</v>
      </c>
      <c r="K21">
        <v>22</v>
      </c>
    </row>
    <row r="22" spans="1:11" x14ac:dyDescent="0.3">
      <c r="A22">
        <v>289</v>
      </c>
      <c r="B22" s="2">
        <v>45923.588333333333</v>
      </c>
      <c r="C22">
        <v>0</v>
      </c>
      <c r="D22">
        <v>0</v>
      </c>
      <c r="E22" t="s">
        <v>149</v>
      </c>
      <c r="F22">
        <v>0</v>
      </c>
      <c r="G22">
        <v>93</v>
      </c>
      <c r="H22" t="s">
        <v>88</v>
      </c>
      <c r="I22">
        <v>19</v>
      </c>
      <c r="J22" t="s">
        <v>33</v>
      </c>
      <c r="K22">
        <v>22</v>
      </c>
    </row>
    <row r="23" spans="1:11" x14ac:dyDescent="0.3">
      <c r="A23">
        <v>291</v>
      </c>
      <c r="B23" s="2">
        <v>45923.60193287037</v>
      </c>
      <c r="C23">
        <v>10</v>
      </c>
      <c r="D23">
        <v>10</v>
      </c>
      <c r="E23" t="s">
        <v>267</v>
      </c>
      <c r="F23">
        <v>1</v>
      </c>
      <c r="G23">
        <v>93</v>
      </c>
      <c r="H23" t="s">
        <v>88</v>
      </c>
      <c r="I23">
        <v>19</v>
      </c>
      <c r="J23" t="s">
        <v>33</v>
      </c>
      <c r="K23">
        <v>22</v>
      </c>
    </row>
    <row r="24" spans="1:11" x14ac:dyDescent="0.3">
      <c r="A24">
        <v>297</v>
      </c>
      <c r="B24" s="2">
        <v>45923.620208333326</v>
      </c>
      <c r="C24">
        <v>8</v>
      </c>
      <c r="D24">
        <v>12</v>
      </c>
      <c r="E24" t="s">
        <v>267</v>
      </c>
      <c r="F24">
        <v>2</v>
      </c>
      <c r="G24">
        <v>93</v>
      </c>
      <c r="H24" t="s">
        <v>88</v>
      </c>
      <c r="I24">
        <v>19</v>
      </c>
      <c r="J24" t="s">
        <v>33</v>
      </c>
      <c r="K24">
        <v>22</v>
      </c>
    </row>
    <row r="25" spans="1:11" x14ac:dyDescent="0.3">
      <c r="A25">
        <v>301</v>
      </c>
      <c r="B25" s="2">
        <v>45923.627685185187</v>
      </c>
      <c r="C25">
        <v>7</v>
      </c>
      <c r="D25">
        <v>8</v>
      </c>
      <c r="E25" t="s">
        <v>267</v>
      </c>
      <c r="F25">
        <v>3</v>
      </c>
      <c r="G25">
        <v>93</v>
      </c>
      <c r="H25" t="s">
        <v>88</v>
      </c>
      <c r="I25">
        <v>19</v>
      </c>
      <c r="J25" t="s">
        <v>33</v>
      </c>
      <c r="K25">
        <v>22</v>
      </c>
    </row>
    <row r="26" spans="1:11" x14ac:dyDescent="0.3">
      <c r="A26">
        <v>304</v>
      </c>
      <c r="B26" s="2">
        <v>45923.632222222222</v>
      </c>
      <c r="C26">
        <v>6</v>
      </c>
      <c r="D26">
        <v>7</v>
      </c>
      <c r="E26" t="s">
        <v>268</v>
      </c>
      <c r="F26">
        <v>4</v>
      </c>
      <c r="G26">
        <v>93</v>
      </c>
      <c r="H26" t="s">
        <v>88</v>
      </c>
      <c r="I26">
        <v>19</v>
      </c>
      <c r="J26" t="s">
        <v>33</v>
      </c>
      <c r="K26">
        <v>22</v>
      </c>
    </row>
    <row r="27" spans="1:11" x14ac:dyDescent="0.3">
      <c r="A27">
        <v>288</v>
      </c>
      <c r="B27" s="2">
        <v>45923.587013888893</v>
      </c>
      <c r="C27">
        <v>0</v>
      </c>
      <c r="D27">
        <v>0</v>
      </c>
      <c r="E27" t="s">
        <v>149</v>
      </c>
      <c r="F27">
        <v>0</v>
      </c>
      <c r="G27">
        <v>94</v>
      </c>
      <c r="H27" t="s">
        <v>97</v>
      </c>
      <c r="I27">
        <v>19</v>
      </c>
      <c r="J27" t="s">
        <v>33</v>
      </c>
      <c r="K27">
        <v>22</v>
      </c>
    </row>
    <row r="28" spans="1:11" x14ac:dyDescent="0.3">
      <c r="A28">
        <v>292</v>
      </c>
      <c r="B28" s="2">
        <v>45923.602083333331</v>
      </c>
      <c r="C28">
        <v>7</v>
      </c>
      <c r="D28">
        <v>8</v>
      </c>
      <c r="E28" t="s">
        <v>267</v>
      </c>
      <c r="F28">
        <v>1</v>
      </c>
      <c r="G28">
        <v>94</v>
      </c>
      <c r="H28" t="s">
        <v>97</v>
      </c>
      <c r="I28">
        <v>19</v>
      </c>
      <c r="J28" t="s">
        <v>33</v>
      </c>
      <c r="K28">
        <v>22</v>
      </c>
    </row>
    <row r="29" spans="1:11" x14ac:dyDescent="0.3">
      <c r="A29">
        <v>294</v>
      </c>
      <c r="B29" s="2">
        <v>45923.61681712963</v>
      </c>
      <c r="C29">
        <v>6</v>
      </c>
      <c r="D29">
        <v>9</v>
      </c>
      <c r="E29" t="s">
        <v>267</v>
      </c>
      <c r="F29">
        <v>2</v>
      </c>
      <c r="G29">
        <v>94</v>
      </c>
      <c r="H29" t="s">
        <v>97</v>
      </c>
      <c r="I29">
        <v>19</v>
      </c>
      <c r="J29" t="s">
        <v>33</v>
      </c>
      <c r="K29">
        <v>22</v>
      </c>
    </row>
    <row r="30" spans="1:11" x14ac:dyDescent="0.3">
      <c r="A30">
        <v>298</v>
      </c>
      <c r="B30" s="2">
        <v>45923.623171296298</v>
      </c>
      <c r="C30">
        <v>6</v>
      </c>
      <c r="D30">
        <v>10</v>
      </c>
      <c r="E30" t="s">
        <v>267</v>
      </c>
      <c r="F30">
        <v>3</v>
      </c>
      <c r="G30">
        <v>94</v>
      </c>
      <c r="H30" t="s">
        <v>97</v>
      </c>
      <c r="I30">
        <v>19</v>
      </c>
      <c r="J30" t="s">
        <v>33</v>
      </c>
      <c r="K30">
        <v>22</v>
      </c>
    </row>
    <row r="31" spans="1:11" x14ac:dyDescent="0.3">
      <c r="A31">
        <v>305</v>
      </c>
      <c r="B31" s="2">
        <v>45923.632592592592</v>
      </c>
      <c r="C31">
        <v>1</v>
      </c>
      <c r="D31">
        <v>8</v>
      </c>
      <c r="E31" t="s">
        <v>267</v>
      </c>
      <c r="F31">
        <v>4</v>
      </c>
      <c r="G31">
        <v>94</v>
      </c>
      <c r="H31" t="s">
        <v>97</v>
      </c>
      <c r="I31">
        <v>19</v>
      </c>
      <c r="J31" t="s">
        <v>33</v>
      </c>
      <c r="K31">
        <v>22</v>
      </c>
    </row>
    <row r="32" spans="1:11" x14ac:dyDescent="0.3">
      <c r="A32">
        <v>286</v>
      </c>
      <c r="B32" s="2">
        <v>45923.53696759259</v>
      </c>
      <c r="C32">
        <v>0</v>
      </c>
      <c r="D32">
        <v>0</v>
      </c>
      <c r="E32" t="s">
        <v>149</v>
      </c>
      <c r="F32">
        <v>0</v>
      </c>
      <c r="G32">
        <v>95</v>
      </c>
      <c r="H32" t="s">
        <v>105</v>
      </c>
      <c r="I32">
        <v>19</v>
      </c>
      <c r="J32" t="s">
        <v>33</v>
      </c>
      <c r="K32">
        <v>22</v>
      </c>
    </row>
    <row r="33" spans="1:11" x14ac:dyDescent="0.3">
      <c r="A33">
        <v>290</v>
      </c>
      <c r="B33" s="2">
        <v>45923.601053240738</v>
      </c>
      <c r="C33">
        <v>4</v>
      </c>
      <c r="D33">
        <v>8</v>
      </c>
      <c r="E33" t="s">
        <v>267</v>
      </c>
      <c r="F33">
        <v>1</v>
      </c>
      <c r="G33">
        <v>95</v>
      </c>
      <c r="H33" t="s">
        <v>105</v>
      </c>
      <c r="I33">
        <v>19</v>
      </c>
      <c r="J33" t="s">
        <v>33</v>
      </c>
      <c r="K33">
        <v>22</v>
      </c>
    </row>
    <row r="34" spans="1:11" x14ac:dyDescent="0.3">
      <c r="A34">
        <v>296</v>
      </c>
      <c r="B34" s="2">
        <v>45923.619259259263</v>
      </c>
      <c r="C34">
        <v>9</v>
      </c>
      <c r="D34">
        <v>3</v>
      </c>
      <c r="E34" t="s">
        <v>267</v>
      </c>
      <c r="F34">
        <v>2</v>
      </c>
      <c r="G34">
        <v>95</v>
      </c>
      <c r="H34" t="s">
        <v>105</v>
      </c>
      <c r="I34">
        <v>19</v>
      </c>
      <c r="J34" t="s">
        <v>33</v>
      </c>
      <c r="K34">
        <v>22</v>
      </c>
    </row>
    <row r="35" spans="1:11" x14ac:dyDescent="0.3">
      <c r="A35">
        <v>299</v>
      </c>
      <c r="B35" s="2">
        <v>45923.624722222223</v>
      </c>
      <c r="C35">
        <v>3</v>
      </c>
      <c r="D35">
        <v>11</v>
      </c>
      <c r="E35" t="s">
        <v>267</v>
      </c>
      <c r="F35">
        <v>3</v>
      </c>
      <c r="G35">
        <v>95</v>
      </c>
      <c r="H35" t="s">
        <v>105</v>
      </c>
      <c r="I35">
        <v>19</v>
      </c>
      <c r="J35" t="s">
        <v>33</v>
      </c>
      <c r="K35">
        <v>22</v>
      </c>
    </row>
    <row r="36" spans="1:11" x14ac:dyDescent="0.3">
      <c r="A36">
        <v>302</v>
      </c>
      <c r="B36" s="2">
        <v>45923.628564814819</v>
      </c>
      <c r="C36">
        <v>8</v>
      </c>
      <c r="D36">
        <v>9</v>
      </c>
      <c r="E36" t="s">
        <v>267</v>
      </c>
      <c r="F36">
        <v>4</v>
      </c>
      <c r="G36">
        <v>95</v>
      </c>
      <c r="H36" t="s">
        <v>105</v>
      </c>
      <c r="I36">
        <v>19</v>
      </c>
      <c r="J36" t="s">
        <v>33</v>
      </c>
      <c r="K36">
        <v>22</v>
      </c>
    </row>
    <row r="37" spans="1:11" x14ac:dyDescent="0.3">
      <c r="A37">
        <v>287</v>
      </c>
      <c r="B37" s="2">
        <v>45923.577372685177</v>
      </c>
      <c r="C37">
        <v>0</v>
      </c>
      <c r="D37">
        <v>0</v>
      </c>
      <c r="E37" t="s">
        <v>149</v>
      </c>
      <c r="F37">
        <v>0</v>
      </c>
      <c r="G37">
        <v>96</v>
      </c>
      <c r="H37" t="s">
        <v>112</v>
      </c>
      <c r="I37">
        <v>19</v>
      </c>
      <c r="J37" t="s">
        <v>33</v>
      </c>
      <c r="K37">
        <v>22</v>
      </c>
    </row>
    <row r="38" spans="1:11" x14ac:dyDescent="0.3">
      <c r="A38">
        <v>293</v>
      </c>
      <c r="B38" s="2">
        <v>45923.603333333333</v>
      </c>
      <c r="C38">
        <v>8</v>
      </c>
      <c r="D38">
        <v>7</v>
      </c>
      <c r="E38" t="s">
        <v>267</v>
      </c>
      <c r="F38">
        <v>1</v>
      </c>
      <c r="G38">
        <v>96</v>
      </c>
      <c r="H38" t="s">
        <v>112</v>
      </c>
      <c r="I38">
        <v>19</v>
      </c>
      <c r="J38" t="s">
        <v>33</v>
      </c>
      <c r="K38">
        <v>22</v>
      </c>
    </row>
    <row r="39" spans="1:11" x14ac:dyDescent="0.3">
      <c r="A39">
        <v>295</v>
      </c>
      <c r="B39" s="2">
        <v>45923.619259259263</v>
      </c>
      <c r="C39">
        <v>5</v>
      </c>
      <c r="D39">
        <v>8</v>
      </c>
      <c r="E39" t="s">
        <v>267</v>
      </c>
      <c r="F39">
        <v>2</v>
      </c>
      <c r="G39">
        <v>96</v>
      </c>
      <c r="H39" t="s">
        <v>112</v>
      </c>
      <c r="I39">
        <v>19</v>
      </c>
      <c r="J39" t="s">
        <v>33</v>
      </c>
      <c r="K39">
        <v>22</v>
      </c>
    </row>
    <row r="40" spans="1:11" x14ac:dyDescent="0.3">
      <c r="A40">
        <v>300</v>
      </c>
      <c r="B40" s="2">
        <v>45923.6252662037</v>
      </c>
      <c r="C40">
        <v>2</v>
      </c>
      <c r="D40">
        <v>8</v>
      </c>
      <c r="E40" t="s">
        <v>267</v>
      </c>
      <c r="F40">
        <v>3</v>
      </c>
      <c r="G40">
        <v>96</v>
      </c>
      <c r="H40" t="s">
        <v>112</v>
      </c>
      <c r="I40">
        <v>19</v>
      </c>
      <c r="J40" t="s">
        <v>33</v>
      </c>
      <c r="K40">
        <v>22</v>
      </c>
    </row>
    <row r="41" spans="1:11" x14ac:dyDescent="0.3">
      <c r="A41">
        <v>303</v>
      </c>
      <c r="B41" s="2">
        <v>45923.630173611113</v>
      </c>
      <c r="C41">
        <v>2</v>
      </c>
      <c r="D41">
        <v>7</v>
      </c>
      <c r="E41" t="s">
        <v>267</v>
      </c>
      <c r="F41">
        <v>4</v>
      </c>
      <c r="G41">
        <v>96</v>
      </c>
      <c r="H41" t="s">
        <v>112</v>
      </c>
      <c r="I41">
        <v>19</v>
      </c>
      <c r="J41" t="s">
        <v>33</v>
      </c>
      <c r="K41">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E65"/>
  <sheetViews>
    <sheetView tabSelected="1" workbookViewId="0">
      <selection activeCell="E60" sqref="E60"/>
    </sheetView>
  </sheetViews>
  <sheetFormatPr defaultRowHeight="14.4" x14ac:dyDescent="0.3"/>
  <sheetData>
    <row r="1" spans="1:5" s="1" customFormat="1" x14ac:dyDescent="0.3">
      <c r="A1" s="1" t="s">
        <v>156</v>
      </c>
      <c r="B1" s="1" t="s">
        <v>212</v>
      </c>
      <c r="C1" s="1" t="s">
        <v>269</v>
      </c>
      <c r="D1" s="1" t="s">
        <v>146</v>
      </c>
      <c r="E1" s="1" t="s">
        <v>24</v>
      </c>
    </row>
    <row r="2" spans="1:5" hidden="1" x14ac:dyDescent="0.3">
      <c r="A2">
        <v>634</v>
      </c>
      <c r="B2" t="s">
        <v>35</v>
      </c>
      <c r="D2">
        <v>89</v>
      </c>
      <c r="E2">
        <v>124</v>
      </c>
    </row>
    <row r="3" spans="1:5" hidden="1" x14ac:dyDescent="0.3">
      <c r="A3">
        <v>635</v>
      </c>
      <c r="B3" t="s">
        <v>39</v>
      </c>
      <c r="D3">
        <v>89</v>
      </c>
      <c r="E3">
        <v>126</v>
      </c>
    </row>
    <row r="4" spans="1:5" x14ac:dyDescent="0.3">
      <c r="A4">
        <v>636</v>
      </c>
      <c r="B4" t="s">
        <v>43</v>
      </c>
      <c r="D4">
        <v>89</v>
      </c>
      <c r="E4">
        <v>123</v>
      </c>
    </row>
    <row r="5" spans="1:5" hidden="1" x14ac:dyDescent="0.3">
      <c r="A5">
        <v>637</v>
      </c>
      <c r="B5" t="s">
        <v>46</v>
      </c>
      <c r="D5">
        <v>89</v>
      </c>
      <c r="E5">
        <v>125</v>
      </c>
    </row>
    <row r="6" spans="1:5" hidden="1" x14ac:dyDescent="0.3">
      <c r="A6">
        <v>638</v>
      </c>
      <c r="B6" t="s">
        <v>49</v>
      </c>
      <c r="D6">
        <v>89</v>
      </c>
      <c r="E6">
        <v>127</v>
      </c>
    </row>
    <row r="7" spans="1:5" hidden="1" x14ac:dyDescent="0.3">
      <c r="A7">
        <v>639</v>
      </c>
      <c r="B7" t="s">
        <v>53</v>
      </c>
      <c r="D7">
        <v>89</v>
      </c>
      <c r="E7">
        <v>128</v>
      </c>
    </row>
    <row r="8" spans="1:5" hidden="1" x14ac:dyDescent="0.3">
      <c r="A8">
        <v>640</v>
      </c>
      <c r="B8" t="s">
        <v>57</v>
      </c>
      <c r="D8">
        <v>89</v>
      </c>
      <c r="E8">
        <v>126</v>
      </c>
    </row>
    <row r="9" spans="1:5" hidden="1" x14ac:dyDescent="0.3">
      <c r="A9">
        <v>641</v>
      </c>
      <c r="B9" t="s">
        <v>270</v>
      </c>
      <c r="D9">
        <v>89</v>
      </c>
      <c r="E9">
        <v>126</v>
      </c>
    </row>
    <row r="10" spans="1:5" x14ac:dyDescent="0.3">
      <c r="A10">
        <v>642</v>
      </c>
      <c r="B10" t="s">
        <v>60</v>
      </c>
      <c r="D10">
        <v>90</v>
      </c>
      <c r="E10">
        <v>123</v>
      </c>
    </row>
    <row r="11" spans="1:5" hidden="1" x14ac:dyDescent="0.3">
      <c r="A11">
        <v>643</v>
      </c>
      <c r="B11" t="s">
        <v>61</v>
      </c>
      <c r="D11">
        <v>90</v>
      </c>
      <c r="E11">
        <v>126</v>
      </c>
    </row>
    <row r="12" spans="1:5" x14ac:dyDescent="0.3">
      <c r="A12">
        <v>644</v>
      </c>
      <c r="B12" t="s">
        <v>63</v>
      </c>
      <c r="D12">
        <v>90</v>
      </c>
      <c r="E12">
        <v>123</v>
      </c>
    </row>
    <row r="13" spans="1:5" hidden="1" x14ac:dyDescent="0.3">
      <c r="A13">
        <v>645</v>
      </c>
      <c r="B13" t="s">
        <v>65</v>
      </c>
      <c r="D13">
        <v>90</v>
      </c>
      <c r="E13">
        <v>124</v>
      </c>
    </row>
    <row r="14" spans="1:5" hidden="1" x14ac:dyDescent="0.3">
      <c r="A14">
        <v>646</v>
      </c>
      <c r="B14" t="s">
        <v>67</v>
      </c>
      <c r="D14">
        <v>90</v>
      </c>
      <c r="E14">
        <v>127</v>
      </c>
    </row>
    <row r="15" spans="1:5" hidden="1" x14ac:dyDescent="0.3">
      <c r="A15">
        <v>647</v>
      </c>
      <c r="B15" t="s">
        <v>68</v>
      </c>
      <c r="D15">
        <v>90</v>
      </c>
      <c r="E15">
        <v>128</v>
      </c>
    </row>
    <row r="16" spans="1:5" hidden="1" x14ac:dyDescent="0.3">
      <c r="A16">
        <v>648</v>
      </c>
      <c r="B16" t="s">
        <v>271</v>
      </c>
      <c r="D16">
        <v>90</v>
      </c>
      <c r="E16">
        <v>126</v>
      </c>
    </row>
    <row r="17" spans="1:5" hidden="1" x14ac:dyDescent="0.3">
      <c r="A17">
        <v>649</v>
      </c>
      <c r="B17" t="s">
        <v>272</v>
      </c>
      <c r="D17">
        <v>90</v>
      </c>
      <c r="E17">
        <v>126</v>
      </c>
    </row>
    <row r="18" spans="1:5" hidden="1" x14ac:dyDescent="0.3">
      <c r="A18">
        <v>650</v>
      </c>
      <c r="B18" t="s">
        <v>70</v>
      </c>
      <c r="D18">
        <v>91</v>
      </c>
      <c r="E18">
        <v>124</v>
      </c>
    </row>
    <row r="19" spans="1:5" hidden="1" x14ac:dyDescent="0.3">
      <c r="A19">
        <v>651</v>
      </c>
      <c r="B19" t="s">
        <v>72</v>
      </c>
      <c r="D19">
        <v>91</v>
      </c>
      <c r="E19">
        <v>126</v>
      </c>
    </row>
    <row r="20" spans="1:5" x14ac:dyDescent="0.3">
      <c r="A20">
        <v>652</v>
      </c>
      <c r="B20" t="s">
        <v>73</v>
      </c>
      <c r="D20">
        <v>91</v>
      </c>
      <c r="E20">
        <v>123</v>
      </c>
    </row>
    <row r="21" spans="1:5" hidden="1" x14ac:dyDescent="0.3">
      <c r="A21">
        <v>653</v>
      </c>
      <c r="B21" t="s">
        <v>74</v>
      </c>
      <c r="D21">
        <v>91</v>
      </c>
      <c r="E21">
        <v>125</v>
      </c>
    </row>
    <row r="22" spans="1:5" hidden="1" x14ac:dyDescent="0.3">
      <c r="A22">
        <v>654</v>
      </c>
      <c r="B22" t="s">
        <v>76</v>
      </c>
      <c r="D22">
        <v>91</v>
      </c>
      <c r="E22">
        <v>127</v>
      </c>
    </row>
    <row r="23" spans="1:5" hidden="1" x14ac:dyDescent="0.3">
      <c r="A23">
        <v>655</v>
      </c>
      <c r="B23" t="s">
        <v>78</v>
      </c>
      <c r="D23">
        <v>91</v>
      </c>
      <c r="E23">
        <v>128</v>
      </c>
    </row>
    <row r="24" spans="1:5" hidden="1" x14ac:dyDescent="0.3">
      <c r="A24">
        <v>656</v>
      </c>
      <c r="B24" t="s">
        <v>273</v>
      </c>
      <c r="D24">
        <v>91</v>
      </c>
      <c r="E24">
        <v>126</v>
      </c>
    </row>
    <row r="25" spans="1:5" hidden="1" x14ac:dyDescent="0.3">
      <c r="A25">
        <v>657</v>
      </c>
      <c r="B25" t="s">
        <v>274</v>
      </c>
      <c r="D25">
        <v>91</v>
      </c>
      <c r="E25">
        <v>126</v>
      </c>
    </row>
    <row r="26" spans="1:5" hidden="1" x14ac:dyDescent="0.3">
      <c r="A26">
        <v>658</v>
      </c>
      <c r="B26" t="s">
        <v>80</v>
      </c>
      <c r="D26">
        <v>92</v>
      </c>
      <c r="E26">
        <v>124</v>
      </c>
    </row>
    <row r="27" spans="1:5" hidden="1" x14ac:dyDescent="0.3">
      <c r="A27">
        <v>659</v>
      </c>
      <c r="B27" t="s">
        <v>81</v>
      </c>
      <c r="D27">
        <v>92</v>
      </c>
      <c r="E27">
        <v>126</v>
      </c>
    </row>
    <row r="28" spans="1:5" x14ac:dyDescent="0.3">
      <c r="A28">
        <v>660</v>
      </c>
      <c r="B28" t="s">
        <v>82</v>
      </c>
      <c r="D28">
        <v>92</v>
      </c>
      <c r="E28">
        <v>123</v>
      </c>
    </row>
    <row r="29" spans="1:5" hidden="1" x14ac:dyDescent="0.3">
      <c r="A29">
        <v>661</v>
      </c>
      <c r="B29" t="s">
        <v>84</v>
      </c>
      <c r="D29">
        <v>92</v>
      </c>
      <c r="E29">
        <v>125</v>
      </c>
    </row>
    <row r="30" spans="1:5" hidden="1" x14ac:dyDescent="0.3">
      <c r="A30">
        <v>662</v>
      </c>
      <c r="B30" t="s">
        <v>85</v>
      </c>
      <c r="D30">
        <v>92</v>
      </c>
      <c r="E30">
        <v>127</v>
      </c>
    </row>
    <row r="31" spans="1:5" hidden="1" x14ac:dyDescent="0.3">
      <c r="A31">
        <v>663</v>
      </c>
      <c r="B31" t="s">
        <v>86</v>
      </c>
      <c r="D31">
        <v>92</v>
      </c>
      <c r="E31">
        <v>128</v>
      </c>
    </row>
    <row r="32" spans="1:5" hidden="1" x14ac:dyDescent="0.3">
      <c r="A32">
        <v>664</v>
      </c>
      <c r="B32" t="s">
        <v>87</v>
      </c>
      <c r="D32">
        <v>92</v>
      </c>
      <c r="E32">
        <v>126</v>
      </c>
    </row>
    <row r="33" spans="1:5" hidden="1" x14ac:dyDescent="0.3">
      <c r="A33">
        <v>665</v>
      </c>
      <c r="B33" t="s">
        <v>275</v>
      </c>
      <c r="D33">
        <v>92</v>
      </c>
      <c r="E33">
        <v>126</v>
      </c>
    </row>
    <row r="34" spans="1:5" hidden="1" x14ac:dyDescent="0.3">
      <c r="A34">
        <v>666</v>
      </c>
      <c r="B34" t="s">
        <v>89</v>
      </c>
      <c r="D34">
        <v>93</v>
      </c>
      <c r="E34">
        <v>124</v>
      </c>
    </row>
    <row r="35" spans="1:5" hidden="1" x14ac:dyDescent="0.3">
      <c r="A35">
        <v>667</v>
      </c>
      <c r="B35" t="s">
        <v>90</v>
      </c>
      <c r="D35">
        <v>93</v>
      </c>
      <c r="E35">
        <v>126</v>
      </c>
    </row>
    <row r="36" spans="1:5" x14ac:dyDescent="0.3">
      <c r="A36">
        <v>668</v>
      </c>
      <c r="B36" t="s">
        <v>91</v>
      </c>
      <c r="D36">
        <v>93</v>
      </c>
      <c r="E36">
        <v>123</v>
      </c>
    </row>
    <row r="37" spans="1:5" hidden="1" x14ac:dyDescent="0.3">
      <c r="A37">
        <v>669</v>
      </c>
      <c r="B37" t="s">
        <v>92</v>
      </c>
      <c r="D37">
        <v>93</v>
      </c>
      <c r="E37">
        <v>125</v>
      </c>
    </row>
    <row r="38" spans="1:5" hidden="1" x14ac:dyDescent="0.3">
      <c r="A38">
        <v>670</v>
      </c>
      <c r="B38" t="s">
        <v>93</v>
      </c>
      <c r="D38">
        <v>93</v>
      </c>
      <c r="E38">
        <v>127</v>
      </c>
    </row>
    <row r="39" spans="1:5" hidden="1" x14ac:dyDescent="0.3">
      <c r="A39">
        <v>671</v>
      </c>
      <c r="B39" t="s">
        <v>95</v>
      </c>
      <c r="D39">
        <v>93</v>
      </c>
      <c r="E39">
        <v>128</v>
      </c>
    </row>
    <row r="40" spans="1:5" hidden="1" x14ac:dyDescent="0.3">
      <c r="A40">
        <v>672</v>
      </c>
      <c r="B40" t="s">
        <v>96</v>
      </c>
      <c r="D40">
        <v>93</v>
      </c>
      <c r="E40">
        <v>126</v>
      </c>
    </row>
    <row r="41" spans="1:5" hidden="1" x14ac:dyDescent="0.3">
      <c r="A41">
        <v>673</v>
      </c>
      <c r="B41" t="s">
        <v>276</v>
      </c>
      <c r="D41">
        <v>93</v>
      </c>
      <c r="E41">
        <v>126</v>
      </c>
    </row>
    <row r="42" spans="1:5" hidden="1" x14ac:dyDescent="0.3">
      <c r="A42">
        <v>674</v>
      </c>
      <c r="B42" t="s">
        <v>98</v>
      </c>
      <c r="D42">
        <v>94</v>
      </c>
      <c r="E42">
        <v>124</v>
      </c>
    </row>
    <row r="43" spans="1:5" hidden="1" x14ac:dyDescent="0.3">
      <c r="A43">
        <v>675</v>
      </c>
      <c r="B43" t="s">
        <v>99</v>
      </c>
      <c r="D43">
        <v>94</v>
      </c>
      <c r="E43">
        <v>126</v>
      </c>
    </row>
    <row r="44" spans="1:5" x14ac:dyDescent="0.3">
      <c r="A44">
        <v>676</v>
      </c>
      <c r="B44" t="s">
        <v>100</v>
      </c>
      <c r="D44">
        <v>94</v>
      </c>
      <c r="E44">
        <v>123</v>
      </c>
    </row>
    <row r="45" spans="1:5" hidden="1" x14ac:dyDescent="0.3">
      <c r="A45">
        <v>677</v>
      </c>
      <c r="B45" t="s">
        <v>101</v>
      </c>
      <c r="D45">
        <v>94</v>
      </c>
      <c r="E45">
        <v>125</v>
      </c>
    </row>
    <row r="46" spans="1:5" hidden="1" x14ac:dyDescent="0.3">
      <c r="A46">
        <v>678</v>
      </c>
      <c r="B46" t="s">
        <v>103</v>
      </c>
      <c r="D46">
        <v>94</v>
      </c>
      <c r="E46">
        <v>127</v>
      </c>
    </row>
    <row r="47" spans="1:5" hidden="1" x14ac:dyDescent="0.3">
      <c r="A47">
        <v>679</v>
      </c>
      <c r="B47" t="s">
        <v>104</v>
      </c>
      <c r="D47">
        <v>94</v>
      </c>
      <c r="E47">
        <v>128</v>
      </c>
    </row>
    <row r="48" spans="1:5" hidden="1" x14ac:dyDescent="0.3">
      <c r="A48">
        <v>680</v>
      </c>
      <c r="B48" t="s">
        <v>277</v>
      </c>
      <c r="D48">
        <v>94</v>
      </c>
      <c r="E48">
        <v>126</v>
      </c>
    </row>
    <row r="49" spans="1:5" hidden="1" x14ac:dyDescent="0.3">
      <c r="A49">
        <v>681</v>
      </c>
      <c r="B49" t="s">
        <v>278</v>
      </c>
      <c r="D49">
        <v>94</v>
      </c>
      <c r="E49">
        <v>126</v>
      </c>
    </row>
    <row r="50" spans="1:5" hidden="1" x14ac:dyDescent="0.3">
      <c r="A50">
        <v>682</v>
      </c>
      <c r="B50" t="s">
        <v>106</v>
      </c>
      <c r="D50">
        <v>95</v>
      </c>
      <c r="E50">
        <v>124</v>
      </c>
    </row>
    <row r="51" spans="1:5" hidden="1" x14ac:dyDescent="0.3">
      <c r="A51">
        <v>683</v>
      </c>
      <c r="B51" t="s">
        <v>107</v>
      </c>
      <c r="D51">
        <v>95</v>
      </c>
      <c r="E51">
        <v>126</v>
      </c>
    </row>
    <row r="52" spans="1:5" x14ac:dyDescent="0.3">
      <c r="A52">
        <v>684</v>
      </c>
      <c r="B52" t="s">
        <v>108</v>
      </c>
      <c r="D52">
        <v>95</v>
      </c>
      <c r="E52">
        <v>123</v>
      </c>
    </row>
    <row r="53" spans="1:5" hidden="1" x14ac:dyDescent="0.3">
      <c r="A53">
        <v>685</v>
      </c>
      <c r="B53" t="s">
        <v>109</v>
      </c>
      <c r="D53">
        <v>95</v>
      </c>
      <c r="E53">
        <v>125</v>
      </c>
    </row>
    <row r="54" spans="1:5" hidden="1" x14ac:dyDescent="0.3">
      <c r="A54">
        <v>686</v>
      </c>
      <c r="B54" t="s">
        <v>110</v>
      </c>
      <c r="D54">
        <v>95</v>
      </c>
      <c r="E54">
        <v>127</v>
      </c>
    </row>
    <row r="55" spans="1:5" hidden="1" x14ac:dyDescent="0.3">
      <c r="A55">
        <v>687</v>
      </c>
      <c r="B55" t="s">
        <v>111</v>
      </c>
      <c r="D55">
        <v>95</v>
      </c>
      <c r="E55">
        <v>128</v>
      </c>
    </row>
    <row r="56" spans="1:5" hidden="1" x14ac:dyDescent="0.3">
      <c r="A56">
        <v>688</v>
      </c>
      <c r="B56" t="s">
        <v>279</v>
      </c>
      <c r="D56">
        <v>95</v>
      </c>
      <c r="E56">
        <v>126</v>
      </c>
    </row>
    <row r="57" spans="1:5" hidden="1" x14ac:dyDescent="0.3">
      <c r="A57">
        <v>689</v>
      </c>
      <c r="B57" t="s">
        <v>280</v>
      </c>
      <c r="D57">
        <v>95</v>
      </c>
      <c r="E57">
        <v>126</v>
      </c>
    </row>
    <row r="58" spans="1:5" hidden="1" x14ac:dyDescent="0.3">
      <c r="A58">
        <v>690</v>
      </c>
      <c r="B58" t="s">
        <v>113</v>
      </c>
      <c r="D58">
        <v>96</v>
      </c>
      <c r="E58">
        <v>124</v>
      </c>
    </row>
    <row r="59" spans="1:5" hidden="1" x14ac:dyDescent="0.3">
      <c r="A59">
        <v>691</v>
      </c>
      <c r="B59" t="s">
        <v>114</v>
      </c>
      <c r="D59">
        <v>96</v>
      </c>
      <c r="E59">
        <v>126</v>
      </c>
    </row>
    <row r="60" spans="1:5" x14ac:dyDescent="0.3">
      <c r="A60">
        <v>692</v>
      </c>
      <c r="B60" t="s">
        <v>281</v>
      </c>
      <c r="D60">
        <v>96</v>
      </c>
      <c r="E60">
        <v>123</v>
      </c>
    </row>
    <row r="61" spans="1:5" hidden="1" x14ac:dyDescent="0.3">
      <c r="A61">
        <v>693</v>
      </c>
      <c r="B61" t="s">
        <v>115</v>
      </c>
      <c r="D61">
        <v>96</v>
      </c>
      <c r="E61">
        <v>125</v>
      </c>
    </row>
    <row r="62" spans="1:5" hidden="1" x14ac:dyDescent="0.3">
      <c r="A62">
        <v>694</v>
      </c>
      <c r="B62" t="s">
        <v>116</v>
      </c>
      <c r="D62">
        <v>96</v>
      </c>
      <c r="E62">
        <v>127</v>
      </c>
    </row>
    <row r="63" spans="1:5" hidden="1" x14ac:dyDescent="0.3">
      <c r="A63">
        <v>695</v>
      </c>
      <c r="B63" t="s">
        <v>118</v>
      </c>
      <c r="D63">
        <v>96</v>
      </c>
      <c r="E63">
        <v>128</v>
      </c>
    </row>
    <row r="64" spans="1:5" hidden="1" x14ac:dyDescent="0.3">
      <c r="A64">
        <v>696</v>
      </c>
      <c r="B64" t="s">
        <v>119</v>
      </c>
      <c r="D64">
        <v>96</v>
      </c>
      <c r="E64">
        <v>126</v>
      </c>
    </row>
    <row r="65" spans="1:5" hidden="1" x14ac:dyDescent="0.3">
      <c r="A65">
        <v>697</v>
      </c>
      <c r="B65" t="s">
        <v>282</v>
      </c>
      <c r="D65">
        <v>96</v>
      </c>
      <c r="E65">
        <v>126</v>
      </c>
    </row>
  </sheetData>
  <autoFilter ref="A1:E65" xr:uid="{00000000-0001-0000-0800-000000000000}">
    <filterColumn colId="4">
      <filters>
        <filter val="123"/>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
  <sheetViews>
    <sheetView workbookViewId="0"/>
  </sheetViews>
  <sheetFormatPr defaultRowHeight="14.4" x14ac:dyDescent="0.3"/>
  <cols>
    <col min="5" max="5" width="20.6640625" style="2" customWidth="1"/>
    <col min="8" max="8" width="20.6640625" style="2" customWidth="1"/>
  </cols>
  <sheetData>
    <row r="1" spans="1:10" s="1" customFormat="1" x14ac:dyDescent="0.3">
      <c r="A1" s="1" t="s">
        <v>156</v>
      </c>
      <c r="B1" s="1" t="s">
        <v>0</v>
      </c>
      <c r="C1" s="1" t="s">
        <v>258</v>
      </c>
      <c r="D1" s="1" t="s">
        <v>283</v>
      </c>
      <c r="E1" s="1" t="s">
        <v>120</v>
      </c>
      <c r="F1" s="1" t="s">
        <v>284</v>
      </c>
      <c r="G1" s="1" t="s">
        <v>285</v>
      </c>
      <c r="H1" s="1" t="s">
        <v>286</v>
      </c>
      <c r="I1" s="1" t="s">
        <v>287</v>
      </c>
      <c r="J1" s="1" t="s">
        <v>159</v>
      </c>
    </row>
    <row r="2" spans="1:10" x14ac:dyDescent="0.3">
      <c r="A2">
        <v>19</v>
      </c>
      <c r="B2" t="s">
        <v>33</v>
      </c>
      <c r="C2" t="s">
        <v>261</v>
      </c>
      <c r="D2" t="s">
        <v>288</v>
      </c>
      <c r="E2" s="2">
        <v>45910.543680555551</v>
      </c>
      <c r="H2" s="2">
        <v>45931.467361111107</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11</vt:i4>
      </vt:variant>
    </vt:vector>
  </HeadingPairs>
  <TitlesOfParts>
    <vt:vector size="11" baseType="lpstr">
      <vt:lpstr>Blad1</vt:lpstr>
      <vt:lpstr>df_income_dist</vt:lpstr>
      <vt:lpstr>playerround</vt:lpstr>
      <vt:lpstr>measuretype</vt:lpstr>
      <vt:lpstr>personalmeasure</vt:lpstr>
      <vt:lpstr>housemeasure</vt:lpstr>
      <vt:lpstr>housegroup</vt:lpstr>
      <vt:lpstr>group</vt:lpstr>
      <vt:lpstr>groupround</vt:lpstr>
      <vt:lpstr>player</vt:lpstr>
      <vt:lpstr>gamesession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Anne Sophia Huitema</cp:lastModifiedBy>
  <dcterms:created xsi:type="dcterms:W3CDTF">2025-12-09T11:40:11Z</dcterms:created>
  <dcterms:modified xsi:type="dcterms:W3CDTF">2025-12-09T12:22:41Z</dcterms:modified>
</cp:coreProperties>
</file>