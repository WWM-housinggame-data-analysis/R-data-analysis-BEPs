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040831fc7e8278/Bureaublad/BEP data analysis/Scripts_annehuitema2003/Copy exel - graphs/Copy_data_ouput_exceladjustments/"/>
    </mc:Choice>
  </mc:AlternateContent>
  <xr:revisionPtr revIDLastSave="705" documentId="8_{06DA47D9-61D6-4223-806F-2FBC3004F1A2}" xr6:coauthVersionLast="47" xr6:coauthVersionMax="47" xr10:uidLastSave="{BAED4991-8115-4DA0-9336-B2C9FAA0A4F3}"/>
  <bookViews>
    <workbookView xWindow="-108" yWindow="-108" windowWidth="23256" windowHeight="13896" xr2:uid="{00000000-000D-0000-FFFF-FFFF00000000}"/>
  </bookViews>
  <sheets>
    <sheet name="df_income_dist" sheetId="1" r:id="rId1"/>
    <sheet name="gamesession" sheetId="2" r:id="rId2"/>
    <sheet name="group" sheetId="3" r:id="rId3"/>
    <sheet name="groupround" sheetId="4" r:id="rId4"/>
    <sheet name="player" sheetId="5" r:id="rId5"/>
    <sheet name="plot added house protection" sheetId="9" r:id="rId6"/>
    <sheet name="Blad6" sheetId="12" r:id="rId7"/>
    <sheet name="Income distribution" sheetId="13" r:id="rId8"/>
    <sheet name="Cost ratio vs satisfaction" sheetId="14" r:id="rId9"/>
    <sheet name="Blad3" sheetId="15" r:id="rId10"/>
    <sheet name="playerround" sheetId="6" r:id="rId11"/>
  </sheets>
  <definedNames>
    <definedName name="_xlnm._FilterDatabase" localSheetId="0" hidden="1">df_income_dist!$A$1:$T$314</definedName>
    <definedName name="_xlnm._FilterDatabase" localSheetId="10" hidden="1">playerround!$A$1:$BB$314</definedName>
  </definedNames>
  <calcPr calcId="191029"/>
  <pivotCaches>
    <pivotCache cacheId="0" r:id="rId12"/>
    <pivotCache cacheId="1" r:id="rId13"/>
    <pivotCache cacheId="2" r:id="rId14"/>
    <pivotCache cacheId="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" i="6" l="1"/>
  <c r="BD4" i="6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D136" i="6"/>
  <c r="BD137" i="6"/>
  <c r="BD138" i="6"/>
  <c r="BD139" i="6"/>
  <c r="BD140" i="6"/>
  <c r="BD141" i="6"/>
  <c r="BD142" i="6"/>
  <c r="BD143" i="6"/>
  <c r="BD144" i="6"/>
  <c r="BD145" i="6"/>
  <c r="BD146" i="6"/>
  <c r="BD147" i="6"/>
  <c r="BD148" i="6"/>
  <c r="BD149" i="6"/>
  <c r="BD150" i="6"/>
  <c r="BD151" i="6"/>
  <c r="BD152" i="6"/>
  <c r="BD153" i="6"/>
  <c r="BD154" i="6"/>
  <c r="BD155" i="6"/>
  <c r="BD156" i="6"/>
  <c r="BD157" i="6"/>
  <c r="BD158" i="6"/>
  <c r="BD159" i="6"/>
  <c r="BD160" i="6"/>
  <c r="BD161" i="6"/>
  <c r="BD162" i="6"/>
  <c r="BD163" i="6"/>
  <c r="BD164" i="6"/>
  <c r="BD165" i="6"/>
  <c r="BD166" i="6"/>
  <c r="BD167" i="6"/>
  <c r="BD168" i="6"/>
  <c r="BD169" i="6"/>
  <c r="BD170" i="6"/>
  <c r="BD171" i="6"/>
  <c r="BD172" i="6"/>
  <c r="BD173" i="6"/>
  <c r="BD174" i="6"/>
  <c r="BD175" i="6"/>
  <c r="BD176" i="6"/>
  <c r="BD177" i="6"/>
  <c r="BD178" i="6"/>
  <c r="BD179" i="6"/>
  <c r="BD180" i="6"/>
  <c r="BD181" i="6"/>
  <c r="BD182" i="6"/>
  <c r="BD183" i="6"/>
  <c r="BD184" i="6"/>
  <c r="BD185" i="6"/>
  <c r="BD186" i="6"/>
  <c r="BD187" i="6"/>
  <c r="BD188" i="6"/>
  <c r="BD189" i="6"/>
  <c r="BD190" i="6"/>
  <c r="BD191" i="6"/>
  <c r="BD192" i="6"/>
  <c r="BD193" i="6"/>
  <c r="BD194" i="6"/>
  <c r="BD195" i="6"/>
  <c r="BD196" i="6"/>
  <c r="BD197" i="6"/>
  <c r="BD198" i="6"/>
  <c r="BD199" i="6"/>
  <c r="BD200" i="6"/>
  <c r="BD201" i="6"/>
  <c r="BD202" i="6"/>
  <c r="BD203" i="6"/>
  <c r="BD204" i="6"/>
  <c r="BD205" i="6"/>
  <c r="BD206" i="6"/>
  <c r="BD207" i="6"/>
  <c r="BD208" i="6"/>
  <c r="BD209" i="6"/>
  <c r="BD210" i="6"/>
  <c r="BD211" i="6"/>
  <c r="BD212" i="6"/>
  <c r="BD213" i="6"/>
  <c r="BD214" i="6"/>
  <c r="BD215" i="6"/>
  <c r="BD216" i="6"/>
  <c r="BD217" i="6"/>
  <c r="BD218" i="6"/>
  <c r="BD219" i="6"/>
  <c r="BD220" i="6"/>
  <c r="BD221" i="6"/>
  <c r="BD222" i="6"/>
  <c r="BD223" i="6"/>
  <c r="BD224" i="6"/>
  <c r="BD225" i="6"/>
  <c r="BD226" i="6"/>
  <c r="BD227" i="6"/>
  <c r="BD228" i="6"/>
  <c r="BD229" i="6"/>
  <c r="BD230" i="6"/>
  <c r="BD231" i="6"/>
  <c r="BD232" i="6"/>
  <c r="BD233" i="6"/>
  <c r="BD234" i="6"/>
  <c r="BD235" i="6"/>
  <c r="BD236" i="6"/>
  <c r="BD237" i="6"/>
  <c r="BD238" i="6"/>
  <c r="BD239" i="6"/>
  <c r="BD240" i="6"/>
  <c r="BD241" i="6"/>
  <c r="BD242" i="6"/>
  <c r="BD243" i="6"/>
  <c r="BD244" i="6"/>
  <c r="BD245" i="6"/>
  <c r="BD246" i="6"/>
  <c r="BD247" i="6"/>
  <c r="BD248" i="6"/>
  <c r="BD249" i="6"/>
  <c r="BD250" i="6"/>
  <c r="BD251" i="6"/>
  <c r="BD252" i="6"/>
  <c r="BD253" i="6"/>
  <c r="BD2" i="6"/>
  <c r="BC3" i="6"/>
  <c r="BC253" i="6"/>
  <c r="BC252" i="6"/>
  <c r="BC251" i="6"/>
  <c r="BC250" i="6"/>
  <c r="BC248" i="6"/>
  <c r="BC247" i="6"/>
  <c r="BC246" i="6"/>
  <c r="BC245" i="6"/>
  <c r="BC243" i="6"/>
  <c r="BC242" i="6"/>
  <c r="BC241" i="6"/>
  <c r="BC240" i="6"/>
  <c r="BC238" i="6"/>
  <c r="BC237" i="6"/>
  <c r="BC236" i="6"/>
  <c r="BC235" i="6"/>
  <c r="BC233" i="6"/>
  <c r="BC232" i="6"/>
  <c r="BC231" i="6"/>
  <c r="BC230" i="6"/>
  <c r="BC228" i="6"/>
  <c r="BC227" i="6"/>
  <c r="BC226" i="6"/>
  <c r="BC225" i="6"/>
  <c r="BC223" i="6"/>
  <c r="BC222" i="6"/>
  <c r="BC221" i="6"/>
  <c r="BC220" i="6"/>
  <c r="BC218" i="6"/>
  <c r="BC217" i="6"/>
  <c r="BC216" i="6"/>
  <c r="BC215" i="6"/>
  <c r="BC213" i="6"/>
  <c r="BC212" i="6"/>
  <c r="BC211" i="6"/>
  <c r="BC210" i="6"/>
  <c r="BC208" i="6"/>
  <c r="BC207" i="6"/>
  <c r="BC206" i="6"/>
  <c r="BC205" i="6"/>
  <c r="BC203" i="6"/>
  <c r="BC202" i="6"/>
  <c r="BC201" i="6"/>
  <c r="BC200" i="6"/>
  <c r="BC198" i="6"/>
  <c r="BC197" i="6"/>
  <c r="BC196" i="6"/>
  <c r="BC195" i="6"/>
  <c r="BC193" i="6"/>
  <c r="BC192" i="6"/>
  <c r="BC191" i="6"/>
  <c r="BC190" i="6"/>
  <c r="BC188" i="6"/>
  <c r="BC187" i="6"/>
  <c r="BC186" i="6"/>
  <c r="BC185" i="6"/>
  <c r="BC183" i="6"/>
  <c r="BC182" i="6"/>
  <c r="BC181" i="6"/>
  <c r="BC180" i="6"/>
  <c r="BC178" i="6"/>
  <c r="BC177" i="6"/>
  <c r="BC176" i="6"/>
  <c r="BC175" i="6"/>
  <c r="BC173" i="6"/>
  <c r="BC172" i="6"/>
  <c r="BC171" i="6"/>
  <c r="BC170" i="6"/>
  <c r="BC168" i="6"/>
  <c r="BC167" i="6"/>
  <c r="BC166" i="6"/>
  <c r="BC165" i="6"/>
  <c r="BC163" i="6"/>
  <c r="BC162" i="6"/>
  <c r="BC161" i="6"/>
  <c r="BC160" i="6"/>
  <c r="BC158" i="6"/>
  <c r="BC157" i="6"/>
  <c r="BC156" i="6"/>
  <c r="BC155" i="6"/>
  <c r="BC153" i="6"/>
  <c r="BC152" i="6"/>
  <c r="BC151" i="6"/>
  <c r="BC150" i="6"/>
  <c r="BC148" i="6"/>
  <c r="BC147" i="6"/>
  <c r="BC146" i="6"/>
  <c r="BC145" i="6"/>
  <c r="BC143" i="6"/>
  <c r="BC142" i="6"/>
  <c r="BC141" i="6"/>
  <c r="BC140" i="6"/>
  <c r="BC138" i="6"/>
  <c r="BC137" i="6"/>
  <c r="BC136" i="6"/>
  <c r="BC135" i="6"/>
  <c r="BC133" i="6"/>
  <c r="BC132" i="6"/>
  <c r="BC131" i="6"/>
  <c r="BC130" i="6"/>
  <c r="BC128" i="6"/>
  <c r="BC127" i="6"/>
  <c r="BC126" i="6"/>
  <c r="BC125" i="6"/>
  <c r="BC123" i="6"/>
  <c r="BC122" i="6"/>
  <c r="BC121" i="6"/>
  <c r="BC120" i="6"/>
  <c r="BC118" i="6"/>
  <c r="BC117" i="6"/>
  <c r="BC116" i="6"/>
  <c r="BC115" i="6"/>
  <c r="BC113" i="6"/>
  <c r="BC112" i="6"/>
  <c r="BC111" i="6"/>
  <c r="BC110" i="6"/>
  <c r="BC108" i="6"/>
  <c r="BC107" i="6"/>
  <c r="BC106" i="6"/>
  <c r="BC105" i="6"/>
  <c r="BC103" i="6"/>
  <c r="BC102" i="6"/>
  <c r="BC101" i="6"/>
  <c r="BC100" i="6"/>
  <c r="BC98" i="6"/>
  <c r="BC96" i="6"/>
  <c r="BC95" i="6"/>
  <c r="BC94" i="6"/>
  <c r="BC93" i="6"/>
  <c r="BC91" i="6"/>
  <c r="BC90" i="6"/>
  <c r="BC89" i="6"/>
  <c r="BC88" i="6"/>
  <c r="BC86" i="6"/>
  <c r="BC85" i="6"/>
  <c r="BC84" i="6"/>
  <c r="BC83" i="6"/>
  <c r="BC81" i="6"/>
  <c r="BC80" i="6"/>
  <c r="BC79" i="6"/>
  <c r="BC78" i="6"/>
  <c r="BC76" i="6"/>
  <c r="BC75" i="6"/>
  <c r="BC74" i="6"/>
  <c r="BC73" i="6"/>
  <c r="BC71" i="6"/>
  <c r="BC70" i="6"/>
  <c r="BC69" i="6"/>
  <c r="BC68" i="6"/>
  <c r="BC66" i="6"/>
  <c r="BC65" i="6"/>
  <c r="BC64" i="6"/>
  <c r="BC63" i="6"/>
  <c r="BC61" i="6"/>
  <c r="BC60" i="6"/>
  <c r="BC59" i="6"/>
  <c r="BC58" i="6"/>
  <c r="BC56" i="6"/>
  <c r="BC55" i="6"/>
  <c r="BC54" i="6"/>
  <c r="BC53" i="6"/>
  <c r="BC51" i="6"/>
  <c r="BC50" i="6"/>
  <c r="BC49" i="6"/>
  <c r="BC48" i="6"/>
  <c r="BC46" i="6"/>
  <c r="BC45" i="6"/>
  <c r="BC44" i="6"/>
  <c r="BC43" i="6"/>
  <c r="BC41" i="6"/>
  <c r="BC40" i="6"/>
  <c r="BC39" i="6"/>
  <c r="BC38" i="6"/>
  <c r="BC36" i="6"/>
  <c r="BC35" i="6"/>
  <c r="BC34" i="6"/>
  <c r="BC33" i="6"/>
  <c r="BC31" i="6"/>
  <c r="BC30" i="6"/>
  <c r="BC29" i="6"/>
  <c r="BC28" i="6"/>
  <c r="BC26" i="6"/>
  <c r="BC25" i="6"/>
  <c r="BC24" i="6"/>
  <c r="BC23" i="6"/>
  <c r="BC21" i="6"/>
  <c r="BC20" i="6"/>
  <c r="BC19" i="6"/>
  <c r="BC18" i="6"/>
  <c r="BC16" i="6"/>
  <c r="BC15" i="6"/>
  <c r="BC14" i="6"/>
  <c r="BC13" i="6"/>
  <c r="BC11" i="6"/>
  <c r="BC10" i="6"/>
  <c r="BC9" i="6"/>
  <c r="BC8" i="6"/>
  <c r="BC6" i="6"/>
  <c r="BC5" i="6"/>
  <c r="BC4" i="6"/>
  <c r="BB2" i="6" a="1"/>
  <c r="BB2" i="6" s="1"/>
  <c r="T2" i="1" a="1"/>
  <c r="T2" i="1" s="1"/>
  <c r="AY3" i="6"/>
  <c r="AZ3" i="6" s="1"/>
  <c r="AY4" i="6"/>
  <c r="AZ4" i="6" s="1"/>
  <c r="AY5" i="6"/>
  <c r="AZ5" i="6" s="1"/>
  <c r="AY6" i="6"/>
  <c r="AZ6" i="6" s="1"/>
  <c r="AY7" i="6"/>
  <c r="AZ7" i="6" s="1"/>
  <c r="AY8" i="6"/>
  <c r="AZ8" i="6" s="1"/>
  <c r="AY9" i="6"/>
  <c r="AZ9" i="6" s="1"/>
  <c r="AY10" i="6"/>
  <c r="AZ10" i="6" s="1"/>
  <c r="AY11" i="6"/>
  <c r="AZ11" i="6" s="1"/>
  <c r="AY12" i="6"/>
  <c r="AZ12" i="6" s="1"/>
  <c r="AY13" i="6"/>
  <c r="AZ13" i="6" s="1"/>
  <c r="AY14" i="6"/>
  <c r="AZ14" i="6" s="1"/>
  <c r="AY15" i="6"/>
  <c r="AZ15" i="6" s="1"/>
  <c r="AY16" i="6"/>
  <c r="AZ16" i="6" s="1"/>
  <c r="AY17" i="6"/>
  <c r="AZ17" i="6" s="1"/>
  <c r="AY18" i="6"/>
  <c r="AZ18" i="6" s="1"/>
  <c r="AY19" i="6"/>
  <c r="AZ19" i="6" s="1"/>
  <c r="AY20" i="6"/>
  <c r="AZ20" i="6" s="1"/>
  <c r="AY21" i="6"/>
  <c r="AZ21" i="6" s="1"/>
  <c r="AY22" i="6"/>
  <c r="AZ22" i="6" s="1"/>
  <c r="AY23" i="6"/>
  <c r="AZ23" i="6" s="1"/>
  <c r="AY24" i="6"/>
  <c r="AZ24" i="6" s="1"/>
  <c r="AY25" i="6"/>
  <c r="AZ25" i="6" s="1"/>
  <c r="AY26" i="6"/>
  <c r="AZ26" i="6" s="1"/>
  <c r="AY27" i="6"/>
  <c r="AZ27" i="6" s="1"/>
  <c r="AY28" i="6"/>
  <c r="AZ28" i="6" s="1"/>
  <c r="AY29" i="6"/>
  <c r="AZ29" i="6" s="1"/>
  <c r="AY30" i="6"/>
  <c r="AZ30" i="6" s="1"/>
  <c r="AY31" i="6"/>
  <c r="AZ31" i="6" s="1"/>
  <c r="AY32" i="6"/>
  <c r="AZ32" i="6" s="1"/>
  <c r="AY33" i="6"/>
  <c r="AZ33" i="6" s="1"/>
  <c r="AY34" i="6"/>
  <c r="AZ34" i="6" s="1"/>
  <c r="AY35" i="6"/>
  <c r="AZ35" i="6" s="1"/>
  <c r="AY36" i="6"/>
  <c r="AZ36" i="6" s="1"/>
  <c r="AY37" i="6"/>
  <c r="AZ37" i="6" s="1"/>
  <c r="AY38" i="6"/>
  <c r="AZ38" i="6" s="1"/>
  <c r="AY39" i="6"/>
  <c r="AZ39" i="6" s="1"/>
  <c r="AY40" i="6"/>
  <c r="AZ40" i="6" s="1"/>
  <c r="AY41" i="6"/>
  <c r="AZ41" i="6" s="1"/>
  <c r="AY42" i="6"/>
  <c r="AZ42" i="6" s="1"/>
  <c r="AY43" i="6"/>
  <c r="AZ43" i="6" s="1"/>
  <c r="AY44" i="6"/>
  <c r="AZ44" i="6" s="1"/>
  <c r="AY45" i="6"/>
  <c r="AZ45" i="6" s="1"/>
  <c r="AY46" i="6"/>
  <c r="AZ46" i="6" s="1"/>
  <c r="AY47" i="6"/>
  <c r="AZ47" i="6" s="1"/>
  <c r="AY48" i="6"/>
  <c r="AZ48" i="6" s="1"/>
  <c r="AY49" i="6"/>
  <c r="AZ49" i="6" s="1"/>
  <c r="AY50" i="6"/>
  <c r="AZ50" i="6" s="1"/>
  <c r="AY51" i="6"/>
  <c r="AZ51" i="6" s="1"/>
  <c r="AY52" i="6"/>
  <c r="AZ52" i="6" s="1"/>
  <c r="AY53" i="6"/>
  <c r="AZ53" i="6" s="1"/>
  <c r="AY54" i="6"/>
  <c r="AZ54" i="6" s="1"/>
  <c r="AY55" i="6"/>
  <c r="AZ55" i="6" s="1"/>
  <c r="AY56" i="6"/>
  <c r="AZ56" i="6" s="1"/>
  <c r="AY57" i="6"/>
  <c r="AZ57" i="6" s="1"/>
  <c r="AY58" i="6"/>
  <c r="AZ58" i="6" s="1"/>
  <c r="AY59" i="6"/>
  <c r="AZ59" i="6" s="1"/>
  <c r="AY60" i="6"/>
  <c r="AZ60" i="6" s="1"/>
  <c r="AY61" i="6"/>
  <c r="AZ61" i="6" s="1"/>
  <c r="AY62" i="6"/>
  <c r="AZ62" i="6" s="1"/>
  <c r="AY63" i="6"/>
  <c r="AZ63" i="6" s="1"/>
  <c r="AY64" i="6"/>
  <c r="AZ64" i="6" s="1"/>
  <c r="AY65" i="6"/>
  <c r="AZ65" i="6" s="1"/>
  <c r="AY66" i="6"/>
  <c r="AZ66" i="6" s="1"/>
  <c r="AY67" i="6"/>
  <c r="AZ67" i="6" s="1"/>
  <c r="AY68" i="6"/>
  <c r="AZ68" i="6" s="1"/>
  <c r="AY69" i="6"/>
  <c r="AZ69" i="6" s="1"/>
  <c r="AY70" i="6"/>
  <c r="AZ70" i="6" s="1"/>
  <c r="AY71" i="6"/>
  <c r="AZ71" i="6" s="1"/>
  <c r="AY72" i="6"/>
  <c r="AZ72" i="6" s="1"/>
  <c r="AY73" i="6"/>
  <c r="AZ73" i="6" s="1"/>
  <c r="AY74" i="6"/>
  <c r="AZ74" i="6" s="1"/>
  <c r="AY75" i="6"/>
  <c r="AZ75" i="6" s="1"/>
  <c r="AY76" i="6"/>
  <c r="AZ76" i="6" s="1"/>
  <c r="AY77" i="6"/>
  <c r="AZ77" i="6" s="1"/>
  <c r="AY78" i="6"/>
  <c r="AZ78" i="6" s="1"/>
  <c r="AY79" i="6"/>
  <c r="AZ79" i="6" s="1"/>
  <c r="AY80" i="6"/>
  <c r="AZ80" i="6" s="1"/>
  <c r="AY81" i="6"/>
  <c r="AZ81" i="6" s="1"/>
  <c r="AY82" i="6"/>
  <c r="AZ82" i="6" s="1"/>
  <c r="AY83" i="6"/>
  <c r="AZ83" i="6" s="1"/>
  <c r="AY84" i="6"/>
  <c r="AZ84" i="6" s="1"/>
  <c r="AY85" i="6"/>
  <c r="AZ85" i="6" s="1"/>
  <c r="AY86" i="6"/>
  <c r="AZ86" i="6" s="1"/>
  <c r="AY87" i="6"/>
  <c r="AZ87" i="6" s="1"/>
  <c r="AY88" i="6"/>
  <c r="AZ88" i="6" s="1"/>
  <c r="AY89" i="6"/>
  <c r="AZ89" i="6" s="1"/>
  <c r="AY90" i="6"/>
  <c r="AZ90" i="6" s="1"/>
  <c r="AY91" i="6"/>
  <c r="AZ91" i="6" s="1"/>
  <c r="AY92" i="6"/>
  <c r="AZ92" i="6" s="1"/>
  <c r="AY93" i="6"/>
  <c r="AZ93" i="6" s="1"/>
  <c r="AY94" i="6"/>
  <c r="AZ94" i="6" s="1"/>
  <c r="AY95" i="6"/>
  <c r="AZ95" i="6" s="1"/>
  <c r="AY96" i="6"/>
  <c r="AZ96" i="6" s="1"/>
  <c r="AY97" i="6"/>
  <c r="AZ97" i="6" s="1"/>
  <c r="AY98" i="6"/>
  <c r="AZ98" i="6" s="1"/>
  <c r="AY99" i="6"/>
  <c r="AZ99" i="6" s="1"/>
  <c r="AY100" i="6"/>
  <c r="AZ100" i="6" s="1"/>
  <c r="AY101" i="6"/>
  <c r="AZ101" i="6" s="1"/>
  <c r="AY102" i="6"/>
  <c r="AZ102" i="6" s="1"/>
  <c r="AY103" i="6"/>
  <c r="AZ103" i="6" s="1"/>
  <c r="AY104" i="6"/>
  <c r="AZ104" i="6" s="1"/>
  <c r="AY105" i="6"/>
  <c r="AZ105" i="6" s="1"/>
  <c r="AY106" i="6"/>
  <c r="AZ106" i="6" s="1"/>
  <c r="AY107" i="6"/>
  <c r="AZ107" i="6" s="1"/>
  <c r="AY108" i="6"/>
  <c r="AZ108" i="6" s="1"/>
  <c r="AY109" i="6"/>
  <c r="AZ109" i="6" s="1"/>
  <c r="AY110" i="6"/>
  <c r="AZ110" i="6" s="1"/>
  <c r="AY111" i="6"/>
  <c r="AZ111" i="6" s="1"/>
  <c r="AY112" i="6"/>
  <c r="AZ112" i="6" s="1"/>
  <c r="AY113" i="6"/>
  <c r="AZ113" i="6" s="1"/>
  <c r="AY114" i="6"/>
  <c r="AZ114" i="6" s="1"/>
  <c r="AY115" i="6"/>
  <c r="AZ115" i="6" s="1"/>
  <c r="AY116" i="6"/>
  <c r="AZ116" i="6" s="1"/>
  <c r="AY117" i="6"/>
  <c r="AZ117" i="6" s="1"/>
  <c r="AY118" i="6"/>
  <c r="AZ118" i="6" s="1"/>
  <c r="AY119" i="6"/>
  <c r="AZ119" i="6" s="1"/>
  <c r="AY120" i="6"/>
  <c r="AZ120" i="6" s="1"/>
  <c r="AY121" i="6"/>
  <c r="AZ121" i="6" s="1"/>
  <c r="AY122" i="6"/>
  <c r="AZ122" i="6" s="1"/>
  <c r="AY123" i="6"/>
  <c r="AZ123" i="6" s="1"/>
  <c r="AY124" i="6"/>
  <c r="AZ124" i="6" s="1"/>
  <c r="AY125" i="6"/>
  <c r="AZ125" i="6" s="1"/>
  <c r="AY126" i="6"/>
  <c r="AZ126" i="6" s="1"/>
  <c r="AY127" i="6"/>
  <c r="AZ127" i="6" s="1"/>
  <c r="AY128" i="6"/>
  <c r="AZ128" i="6" s="1"/>
  <c r="AY129" i="6"/>
  <c r="AZ129" i="6" s="1"/>
  <c r="AY130" i="6"/>
  <c r="AZ130" i="6" s="1"/>
  <c r="AY131" i="6"/>
  <c r="AZ131" i="6" s="1"/>
  <c r="AY132" i="6"/>
  <c r="AZ132" i="6" s="1"/>
  <c r="AY133" i="6"/>
  <c r="AZ133" i="6" s="1"/>
  <c r="AY134" i="6"/>
  <c r="AZ134" i="6" s="1"/>
  <c r="AY135" i="6"/>
  <c r="AZ135" i="6" s="1"/>
  <c r="AY136" i="6"/>
  <c r="AZ136" i="6" s="1"/>
  <c r="AY137" i="6"/>
  <c r="AZ137" i="6" s="1"/>
  <c r="AY138" i="6"/>
  <c r="AZ138" i="6" s="1"/>
  <c r="AY139" i="6"/>
  <c r="AZ139" i="6" s="1"/>
  <c r="AY140" i="6"/>
  <c r="AZ140" i="6" s="1"/>
  <c r="AY141" i="6"/>
  <c r="AZ141" i="6" s="1"/>
  <c r="AY142" i="6"/>
  <c r="AZ142" i="6" s="1"/>
  <c r="AY143" i="6"/>
  <c r="AZ143" i="6" s="1"/>
  <c r="AY144" i="6"/>
  <c r="AZ144" i="6" s="1"/>
  <c r="AY145" i="6"/>
  <c r="AZ145" i="6" s="1"/>
  <c r="AY146" i="6"/>
  <c r="AZ146" i="6" s="1"/>
  <c r="AY147" i="6"/>
  <c r="AZ147" i="6" s="1"/>
  <c r="AY148" i="6"/>
  <c r="AZ148" i="6" s="1"/>
  <c r="AY149" i="6"/>
  <c r="AZ149" i="6" s="1"/>
  <c r="AY150" i="6"/>
  <c r="AZ150" i="6" s="1"/>
  <c r="AY151" i="6"/>
  <c r="AZ151" i="6" s="1"/>
  <c r="AY152" i="6"/>
  <c r="AZ152" i="6" s="1"/>
  <c r="AY153" i="6"/>
  <c r="AZ153" i="6" s="1"/>
  <c r="AY154" i="6"/>
  <c r="AZ154" i="6" s="1"/>
  <c r="AY155" i="6"/>
  <c r="AZ155" i="6" s="1"/>
  <c r="AY156" i="6"/>
  <c r="AZ156" i="6" s="1"/>
  <c r="AY157" i="6"/>
  <c r="AZ157" i="6" s="1"/>
  <c r="AY158" i="6"/>
  <c r="AZ158" i="6" s="1"/>
  <c r="AY159" i="6"/>
  <c r="AZ159" i="6" s="1"/>
  <c r="AY160" i="6"/>
  <c r="AZ160" i="6" s="1"/>
  <c r="AY161" i="6"/>
  <c r="AZ161" i="6" s="1"/>
  <c r="AY162" i="6"/>
  <c r="AZ162" i="6" s="1"/>
  <c r="AY163" i="6"/>
  <c r="AZ163" i="6" s="1"/>
  <c r="AY164" i="6"/>
  <c r="AZ164" i="6" s="1"/>
  <c r="AY165" i="6"/>
  <c r="AZ165" i="6" s="1"/>
  <c r="AY166" i="6"/>
  <c r="AZ166" i="6" s="1"/>
  <c r="AY167" i="6"/>
  <c r="AZ167" i="6" s="1"/>
  <c r="AY168" i="6"/>
  <c r="AZ168" i="6" s="1"/>
  <c r="AY169" i="6"/>
  <c r="AZ169" i="6" s="1"/>
  <c r="AY170" i="6"/>
  <c r="AZ170" i="6" s="1"/>
  <c r="AY171" i="6"/>
  <c r="AZ171" i="6" s="1"/>
  <c r="AY172" i="6"/>
  <c r="AZ172" i="6" s="1"/>
  <c r="AY173" i="6"/>
  <c r="AZ173" i="6" s="1"/>
  <c r="AY174" i="6"/>
  <c r="AZ174" i="6" s="1"/>
  <c r="AY175" i="6"/>
  <c r="AZ175" i="6" s="1"/>
  <c r="AY176" i="6"/>
  <c r="AZ176" i="6" s="1"/>
  <c r="AY177" i="6"/>
  <c r="AZ177" i="6" s="1"/>
  <c r="AY178" i="6"/>
  <c r="AZ178" i="6" s="1"/>
  <c r="AY179" i="6"/>
  <c r="AZ179" i="6" s="1"/>
  <c r="AY180" i="6"/>
  <c r="AZ180" i="6" s="1"/>
  <c r="AY181" i="6"/>
  <c r="AZ181" i="6" s="1"/>
  <c r="AY182" i="6"/>
  <c r="AZ182" i="6" s="1"/>
  <c r="AY183" i="6"/>
  <c r="AZ183" i="6" s="1"/>
  <c r="AY184" i="6"/>
  <c r="AZ184" i="6" s="1"/>
  <c r="AY185" i="6"/>
  <c r="AZ185" i="6" s="1"/>
  <c r="AY186" i="6"/>
  <c r="AZ186" i="6" s="1"/>
  <c r="AY187" i="6"/>
  <c r="AZ187" i="6" s="1"/>
  <c r="AY188" i="6"/>
  <c r="AZ188" i="6" s="1"/>
  <c r="AY189" i="6"/>
  <c r="AZ189" i="6" s="1"/>
  <c r="AY190" i="6"/>
  <c r="AZ190" i="6" s="1"/>
  <c r="AY191" i="6"/>
  <c r="AZ191" i="6" s="1"/>
  <c r="AY192" i="6"/>
  <c r="AZ192" i="6" s="1"/>
  <c r="AY193" i="6"/>
  <c r="AZ193" i="6" s="1"/>
  <c r="AY194" i="6"/>
  <c r="AZ194" i="6" s="1"/>
  <c r="AY195" i="6"/>
  <c r="AZ195" i="6" s="1"/>
  <c r="AY196" i="6"/>
  <c r="AZ196" i="6" s="1"/>
  <c r="AY197" i="6"/>
  <c r="AZ197" i="6" s="1"/>
  <c r="AY198" i="6"/>
  <c r="AZ198" i="6" s="1"/>
  <c r="AY199" i="6"/>
  <c r="AZ199" i="6" s="1"/>
  <c r="AY200" i="6"/>
  <c r="AZ200" i="6" s="1"/>
  <c r="AY201" i="6"/>
  <c r="AZ201" i="6" s="1"/>
  <c r="AY202" i="6"/>
  <c r="AZ202" i="6" s="1"/>
  <c r="AY203" i="6"/>
  <c r="AZ203" i="6" s="1"/>
  <c r="AY204" i="6"/>
  <c r="AZ204" i="6" s="1"/>
  <c r="AY205" i="6"/>
  <c r="AZ205" i="6" s="1"/>
  <c r="AY206" i="6"/>
  <c r="AZ206" i="6" s="1"/>
  <c r="AY207" i="6"/>
  <c r="AZ207" i="6" s="1"/>
  <c r="AY208" i="6"/>
  <c r="AZ208" i="6" s="1"/>
  <c r="AY209" i="6"/>
  <c r="AZ209" i="6" s="1"/>
  <c r="AY210" i="6"/>
  <c r="AZ210" i="6" s="1"/>
  <c r="AY211" i="6"/>
  <c r="AZ211" i="6" s="1"/>
  <c r="AY212" i="6"/>
  <c r="AZ212" i="6" s="1"/>
  <c r="AY213" i="6"/>
  <c r="AZ213" i="6" s="1"/>
  <c r="AY214" i="6"/>
  <c r="AZ214" i="6" s="1"/>
  <c r="AY215" i="6"/>
  <c r="AZ215" i="6" s="1"/>
  <c r="AY216" i="6"/>
  <c r="AZ216" i="6" s="1"/>
  <c r="AY217" i="6"/>
  <c r="AZ217" i="6" s="1"/>
  <c r="AY218" i="6"/>
  <c r="AZ218" i="6" s="1"/>
  <c r="AY219" i="6"/>
  <c r="AZ219" i="6" s="1"/>
  <c r="AY220" i="6"/>
  <c r="AZ220" i="6" s="1"/>
  <c r="AY221" i="6"/>
  <c r="AZ221" i="6" s="1"/>
  <c r="AY222" i="6"/>
  <c r="AZ222" i="6" s="1"/>
  <c r="AY223" i="6"/>
  <c r="AZ223" i="6" s="1"/>
  <c r="AY224" i="6"/>
  <c r="AZ224" i="6" s="1"/>
  <c r="AY225" i="6"/>
  <c r="AZ225" i="6" s="1"/>
  <c r="AY226" i="6"/>
  <c r="AZ226" i="6" s="1"/>
  <c r="AY227" i="6"/>
  <c r="AZ227" i="6" s="1"/>
  <c r="AY228" i="6"/>
  <c r="AZ228" i="6" s="1"/>
  <c r="AY229" i="6"/>
  <c r="AZ229" i="6" s="1"/>
  <c r="AY230" i="6"/>
  <c r="AZ230" i="6" s="1"/>
  <c r="AY231" i="6"/>
  <c r="AZ231" i="6" s="1"/>
  <c r="AY232" i="6"/>
  <c r="AZ232" i="6" s="1"/>
  <c r="AY233" i="6"/>
  <c r="AZ233" i="6" s="1"/>
  <c r="AY234" i="6"/>
  <c r="AZ234" i="6" s="1"/>
  <c r="AY235" i="6"/>
  <c r="AZ235" i="6" s="1"/>
  <c r="AY236" i="6"/>
  <c r="AZ236" i="6" s="1"/>
  <c r="AY237" i="6"/>
  <c r="AZ237" i="6" s="1"/>
  <c r="AY238" i="6"/>
  <c r="AZ238" i="6" s="1"/>
  <c r="AY239" i="6"/>
  <c r="AZ239" i="6" s="1"/>
  <c r="AY240" i="6"/>
  <c r="AZ240" i="6" s="1"/>
  <c r="AY241" i="6"/>
  <c r="AZ241" i="6" s="1"/>
  <c r="AY242" i="6"/>
  <c r="AZ242" i="6" s="1"/>
  <c r="AY243" i="6"/>
  <c r="AZ243" i="6" s="1"/>
  <c r="AY244" i="6"/>
  <c r="AZ244" i="6" s="1"/>
  <c r="AY245" i="6"/>
  <c r="AZ245" i="6" s="1"/>
  <c r="AY246" i="6"/>
  <c r="AZ246" i="6" s="1"/>
  <c r="AY247" i="6"/>
  <c r="AZ247" i="6" s="1"/>
  <c r="AY248" i="6"/>
  <c r="AZ248" i="6" s="1"/>
  <c r="AY249" i="6"/>
  <c r="AZ249" i="6" s="1"/>
  <c r="AY250" i="6"/>
  <c r="AZ250" i="6" s="1"/>
  <c r="AY251" i="6"/>
  <c r="AZ251" i="6" s="1"/>
  <c r="AY252" i="6"/>
  <c r="AZ252" i="6" s="1"/>
  <c r="AY253" i="6"/>
  <c r="AZ253" i="6" s="1"/>
  <c r="AY2" i="6"/>
  <c r="AZ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<sst xmlns="http://schemas.openxmlformats.org/spreadsheetml/2006/main" count="1368" uniqueCount="178">
  <si>
    <t>playerround_id</t>
  </si>
  <si>
    <t>player_id</t>
  </si>
  <si>
    <t>groupround_id</t>
  </si>
  <si>
    <t>groupround_round_number</t>
  </si>
  <si>
    <t>round_income</t>
  </si>
  <si>
    <t>living_costs</t>
  </si>
  <si>
    <t>paid_debt</t>
  </si>
  <si>
    <t>profit_sold_house</t>
  </si>
  <si>
    <t>spent_savings_for_buying_house</t>
  </si>
  <si>
    <t>cost_taxes</t>
  </si>
  <si>
    <t>mortgage_payment</t>
  </si>
  <si>
    <t>cost_house_measures_bought</t>
  </si>
  <si>
    <t>cost_personal_measures_bought</t>
  </si>
  <si>
    <t>cost_fluvial_damage</t>
  </si>
  <si>
    <t>cost_pluvial_damage</t>
  </si>
  <si>
    <t>spendable_income</t>
  </si>
  <si>
    <t>p_code</t>
  </si>
  <si>
    <t>calculated_costs</t>
  </si>
  <si>
    <t>calculated_spendable</t>
  </si>
  <si>
    <t>t1p1</t>
  </si>
  <si>
    <t>t1p2</t>
  </si>
  <si>
    <t>t1p3</t>
  </si>
  <si>
    <t>t1p4</t>
  </si>
  <si>
    <t>t1p5</t>
  </si>
  <si>
    <t>t1p6</t>
  </si>
  <si>
    <t>t1p7</t>
  </si>
  <si>
    <t>t2p1</t>
  </si>
  <si>
    <t>t2p2</t>
  </si>
  <si>
    <t>t2p3</t>
  </si>
  <si>
    <t>t2p4</t>
  </si>
  <si>
    <t>t2p5</t>
  </si>
  <si>
    <t>t2p6</t>
  </si>
  <si>
    <t>t3p1</t>
  </si>
  <si>
    <t>t3p2</t>
  </si>
  <si>
    <t>t3p3</t>
  </si>
  <si>
    <t>t3p4</t>
  </si>
  <si>
    <t>t3p5</t>
  </si>
  <si>
    <t>t3p6</t>
  </si>
  <si>
    <t>t4p1</t>
  </si>
  <si>
    <t>t4p2</t>
  </si>
  <si>
    <t>t4p3</t>
  </si>
  <si>
    <t>t4p4</t>
  </si>
  <si>
    <t>t4p5</t>
  </si>
  <si>
    <t>t4p6</t>
  </si>
  <si>
    <t>t4p7</t>
  </si>
  <si>
    <t>t5p1</t>
  </si>
  <si>
    <t>t5p2</t>
  </si>
  <si>
    <t>t5p3</t>
  </si>
  <si>
    <t>t5p4</t>
  </si>
  <si>
    <t>t5p5</t>
  </si>
  <si>
    <t>t5p6</t>
  </si>
  <si>
    <t>t5p7</t>
  </si>
  <si>
    <t>t6p1</t>
  </si>
  <si>
    <t>t6p2</t>
  </si>
  <si>
    <t>t6p3</t>
  </si>
  <si>
    <t>t6p4</t>
  </si>
  <si>
    <t>t6p5</t>
  </si>
  <si>
    <t>t6p6</t>
  </si>
  <si>
    <t>t7p1</t>
  </si>
  <si>
    <t>t7p2</t>
  </si>
  <si>
    <t>t7p3</t>
  </si>
  <si>
    <t>t7p4</t>
  </si>
  <si>
    <t>t7p5</t>
  </si>
  <si>
    <t>t7p6</t>
  </si>
  <si>
    <t>t8p1</t>
  </si>
  <si>
    <t>t8p2</t>
  </si>
  <si>
    <t>t8p4</t>
  </si>
  <si>
    <t>t8p5</t>
  </si>
  <si>
    <t>t8p6</t>
  </si>
  <si>
    <t>t8p7</t>
  </si>
  <si>
    <t>id</t>
  </si>
  <si>
    <t>gamesession_name</t>
  </si>
  <si>
    <t>password</t>
  </si>
  <si>
    <t>location</t>
  </si>
  <si>
    <t>create_time</t>
  </si>
  <si>
    <t>date</t>
  </si>
  <si>
    <t>start_time</t>
  </si>
  <si>
    <t>end_time</t>
  </si>
  <si>
    <t>gameversion_id</t>
  </si>
  <si>
    <t>description</t>
  </si>
  <si>
    <t>250923_EPA_IntroDays_Overasselt</t>
  </si>
  <si>
    <t>IA</t>
  </si>
  <si>
    <t>Delft</t>
  </si>
  <si>
    <t>name</t>
  </si>
  <si>
    <t>gamesession_id</t>
  </si>
  <si>
    <t>scenario_id</t>
  </si>
  <si>
    <t>facilitator_id</t>
  </si>
  <si>
    <t>table1</t>
  </si>
  <si>
    <t>table2</t>
  </si>
  <si>
    <t>table3</t>
  </si>
  <si>
    <t>table4</t>
  </si>
  <si>
    <t>table5</t>
  </si>
  <si>
    <t>table6</t>
  </si>
  <si>
    <t>table7</t>
  </si>
  <si>
    <t>table8</t>
  </si>
  <si>
    <t>timestamp</t>
  </si>
  <si>
    <t>pluvial_flood_intensity</t>
  </si>
  <si>
    <t>fluvial_flood_intensity</t>
  </si>
  <si>
    <t>group_state</t>
  </si>
  <si>
    <t>round_number</t>
  </si>
  <si>
    <t>group_id</t>
  </si>
  <si>
    <t>group_name</t>
  </si>
  <si>
    <t>group_scenario_id</t>
  </si>
  <si>
    <t>LOGIN</t>
  </si>
  <si>
    <t>SHOW_SUMMARY</t>
  </si>
  <si>
    <t>ROLLED_DICE</t>
  </si>
  <si>
    <t>code</t>
  </si>
  <si>
    <t>user_id</t>
  </si>
  <si>
    <t>welfaretype_id</t>
  </si>
  <si>
    <t>t1p8</t>
  </si>
  <si>
    <t>t2p7</t>
  </si>
  <si>
    <t>t2p8</t>
  </si>
  <si>
    <t>t3p7</t>
  </si>
  <si>
    <t>t3p8</t>
  </si>
  <si>
    <t>t4p8</t>
  </si>
  <si>
    <t>t5p8</t>
  </si>
  <si>
    <t>t6p7</t>
  </si>
  <si>
    <t>t6p8</t>
  </si>
  <si>
    <t>t7p7</t>
  </si>
  <si>
    <t>t7p8</t>
  </si>
  <si>
    <t>t8p3</t>
  </si>
  <si>
    <t>t8p8</t>
  </si>
  <si>
    <t>satisfaction_move_penalty</t>
  </si>
  <si>
    <t>satisfaction_house_rating_delta</t>
  </si>
  <si>
    <t>satisfaction_house_measures</t>
  </si>
  <si>
    <t>satisfaction_personal_measures</t>
  </si>
  <si>
    <t>satisfaction_fluvial_penalty</t>
  </si>
  <si>
    <t>satisfaction_pluvial_penalty</t>
  </si>
  <si>
    <t>satisfaction_debt_penalty</t>
  </si>
  <si>
    <t>satisfaction_total</t>
  </si>
  <si>
    <t>preferred_house_rating</t>
  </si>
  <si>
    <t>maximum_mortgage</t>
  </si>
  <si>
    <t>mortgage_house_start</t>
  </si>
  <si>
    <t>mortgage_left_start</t>
  </si>
  <si>
    <t>house_price_sold</t>
  </si>
  <si>
    <t>house_price_bought</t>
  </si>
  <si>
    <t>mortgage_house_end</t>
  </si>
  <si>
    <t>mortgage_left_end</t>
  </si>
  <si>
    <t>movingreason_id</t>
  </si>
  <si>
    <t>moving_reason_other</t>
  </si>
  <si>
    <t>pluvial_base_protection</t>
  </si>
  <si>
    <t>fluvial_base_protection</t>
  </si>
  <si>
    <t>pluvial_community_delta</t>
  </si>
  <si>
    <t>fluvial_community_delta</t>
  </si>
  <si>
    <t>pluvial_house_delta</t>
  </si>
  <si>
    <t>fluvial_house_delta</t>
  </si>
  <si>
    <t>player_state</t>
  </si>
  <si>
    <t>start_housegroup_id</t>
  </si>
  <si>
    <t>final_housegroup_id</t>
  </si>
  <si>
    <t>active_transaction_id</t>
  </si>
  <si>
    <t>VIEW_SUMMARY</t>
  </si>
  <si>
    <t>ANSWER_SURVEY</t>
  </si>
  <si>
    <t>Other</t>
  </si>
  <si>
    <t>VIEW_BUY_HOUSE</t>
  </si>
  <si>
    <t>VIEW_DAMAGE</t>
  </si>
  <si>
    <t>SURVEY_COMPLETED</t>
  </si>
  <si>
    <t>Added_welfare_type</t>
  </si>
  <si>
    <t>Added_total_base_protection</t>
  </si>
  <si>
    <t>Added_living_area</t>
  </si>
  <si>
    <t>Rijlabels</t>
  </si>
  <si>
    <t>(Dike-town)</t>
  </si>
  <si>
    <t>(Natu-city)</t>
  </si>
  <si>
    <t>(U-village)</t>
  </si>
  <si>
    <t>Eindtotaal</t>
  </si>
  <si>
    <t>Som van Added_welfare_type</t>
  </si>
  <si>
    <t>Kolomlabels</t>
  </si>
  <si>
    <t>Added_delta_protection</t>
  </si>
  <si>
    <t>Som van Added_delta_protection</t>
  </si>
  <si>
    <t>Copy_groupround_round_number</t>
  </si>
  <si>
    <t>Added_total_damage</t>
  </si>
  <si>
    <t>Gemiddelde van paid_debt</t>
  </si>
  <si>
    <t>Gemiddelde van mortgage_payment</t>
  </si>
  <si>
    <t>Gemiddelde van spent_savings_for_buying_house</t>
  </si>
  <si>
    <t>Gemiddelde van Added_total_damage</t>
  </si>
  <si>
    <t>Gemiddelde van cost_house_measures_bought</t>
  </si>
  <si>
    <t>Gemiddelde van cost_personal_measures_bought</t>
  </si>
  <si>
    <t>Gemiddelde van satisfaction_total</t>
  </si>
  <si>
    <t>(Meerdere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</si>
</sst>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[Copy_Income_dist_housinggame_session_19_250923_EPA_IntroDays_Overasselt.xlsx]plot added house protection!Draaitabel3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Added house</a:t>
            </a:r>
            <a:r>
              <a:rPr lang="nl-NL" baseline="0"/>
              <a:t> protection per living area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'plot added house protection'!$B$3:$B$4</c:f>
              <c:strCache>
                <c:ptCount val="1"/>
                <c:pt idx="0">
                  <c:v>123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'plot added house protection'!$A$5:$A$8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'plot added house protection'!$B$5:$B$8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4-4C0C-90F4-D264DEC6B598}"/>
            </c:ext>
          </c:extLst>
        </c:ser>
        <c:ser>
          <c:idx val="1"/>
          <c:order val="1"/>
          <c:tx>
            <c:strRef>
              <c:f>'plot added house protection'!$C$3:$C$4</c:f>
              <c:strCache>
                <c:ptCount val="1"/>
                <c:pt idx="0">
                  <c:v>124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'plot added house protection'!$A$5:$A$8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'plot added house protection'!$C$5:$C$8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4-4C0C-90F4-D264DEC6B598}"/>
            </c:ext>
          </c:extLst>
        </c:ser>
        <c:ser>
          <c:idx val="2"/>
          <c:order val="2"/>
          <c:tx>
            <c:strRef>
              <c:f>'plot added house protection'!$D$3:$D$4</c:f>
              <c:strCache>
                <c:ptCount val="1"/>
                <c:pt idx="0">
                  <c:v>125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'plot added house protection'!$A$5:$A$8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'plot added house protection'!$D$5:$D$8</c:f>
              <c:numCache>
                <c:formatCode>General</c:formatCode>
                <c:ptCount val="3"/>
                <c:pt idx="1">
                  <c:v>23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F4-4C0C-90F4-D264DEC6B598}"/>
            </c:ext>
          </c:extLst>
        </c:ser>
        <c:ser>
          <c:idx val="3"/>
          <c:order val="3"/>
          <c:tx>
            <c:strRef>
              <c:f>'plot added house protection'!$E$3:$E$4</c:f>
              <c:strCache>
                <c:ptCount val="1"/>
                <c:pt idx="0">
                  <c:v>126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'plot added house protection'!$A$5:$A$8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'plot added house protection'!$E$5:$E$8</c:f>
              <c:numCache>
                <c:formatCode>General</c:formatCode>
                <c:ptCount val="3"/>
                <c:pt idx="0">
                  <c:v>14</c:v>
                </c:pt>
                <c:pt idx="1">
                  <c:v>44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F4-4C0C-90F4-D264DEC6B598}"/>
            </c:ext>
          </c:extLst>
        </c:ser>
        <c:ser>
          <c:idx val="4"/>
          <c:order val="4"/>
          <c:tx>
            <c:strRef>
              <c:f>'plot added house protection'!$F$3:$F$4</c:f>
              <c:strCache>
                <c:ptCount val="1"/>
                <c:pt idx="0">
                  <c:v>127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'plot added house protection'!$A$5:$A$8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'plot added house protection'!$F$5:$F$8</c:f>
              <c:numCache>
                <c:formatCode>General</c:formatCode>
                <c:ptCount val="3"/>
                <c:pt idx="0">
                  <c:v>15</c:v>
                </c:pt>
                <c:pt idx="1">
                  <c:v>35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F4-4C0C-90F4-D264DEC6B598}"/>
            </c:ext>
          </c:extLst>
        </c:ser>
        <c:ser>
          <c:idx val="5"/>
          <c:order val="5"/>
          <c:tx>
            <c:strRef>
              <c:f>'plot added house protection'!$G$3:$G$4</c:f>
              <c:strCache>
                <c:ptCount val="1"/>
                <c:pt idx="0">
                  <c:v>128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'plot added house protection'!$A$5:$A$8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'plot added house protection'!$G$5:$G$8</c:f>
              <c:numCache>
                <c:formatCode>General</c:formatCode>
                <c:ptCount val="3"/>
                <c:pt idx="0">
                  <c:v>41</c:v>
                </c:pt>
                <c:pt idx="1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4-4C0C-90F4-D264DEC6B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2802544"/>
        <c:axId val="742803024"/>
      </c:barChart>
      <c:catAx>
        <c:axId val="742802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ALiving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2803024"/>
        <c:crosses val="autoZero"/>
        <c:auto val="1"/>
        <c:lblAlgn val="ctr"/>
        <c:lblOffset val="100"/>
        <c:noMultiLvlLbl val="0"/>
      </c:catAx>
      <c:valAx>
        <c:axId val="74280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Added</a:t>
                </a:r>
                <a:r>
                  <a:rPr lang="nl-NL" baseline="0"/>
                  <a:t> pluvial/fluvial protection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28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[Copy_Income_dist_housinggame_session_19_250923_EPA_IntroDays_Overasselt.xlsx]Blad6!Draaitabel9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Blad6!$B$3:$B$4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Blad6!$A$5:$A$9</c:f>
              <c:strCache>
                <c:ptCount val="4"/>
                <c:pt idx="1">
                  <c:v>(Dike-town)</c:v>
                </c:pt>
                <c:pt idx="2">
                  <c:v>(Natu-city)</c:v>
                </c:pt>
                <c:pt idx="3">
                  <c:v>(U-village)</c:v>
                </c:pt>
              </c:strCache>
            </c:strRef>
          </c:cat>
          <c:val>
            <c:numRef>
              <c:f>Blad6!$B$5:$B$9</c:f>
              <c:numCache>
                <c:formatCode>General</c:formatCode>
                <c:ptCount val="4"/>
                <c:pt idx="0">
                  <c:v>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B-4E5C-B663-F33753725C3A}"/>
            </c:ext>
          </c:extLst>
        </c:ser>
        <c:ser>
          <c:idx val="1"/>
          <c:order val="1"/>
          <c:tx>
            <c:strRef>
              <c:f>Blad6!$C$3:$C$4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Blad6!$A$5:$A$9</c:f>
              <c:strCache>
                <c:ptCount val="4"/>
                <c:pt idx="1">
                  <c:v>(Dike-town)</c:v>
                </c:pt>
                <c:pt idx="2">
                  <c:v>(Natu-city)</c:v>
                </c:pt>
                <c:pt idx="3">
                  <c:v>(U-village)</c:v>
                </c:pt>
              </c:strCache>
            </c:strRef>
          </c:cat>
          <c:val>
            <c:numRef>
              <c:f>Blad6!$C$5:$C$9</c:f>
              <c:numCache>
                <c:formatCode>General</c:formatCode>
                <c:ptCount val="4"/>
                <c:pt idx="0">
                  <c:v>124</c:v>
                </c:pt>
                <c:pt idx="1">
                  <c:v>2021</c:v>
                </c:pt>
                <c:pt idx="2">
                  <c:v>2640</c:v>
                </c:pt>
                <c:pt idx="3">
                  <c:v>1618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4B-4E5C-B663-F33753725C3A}"/>
            </c:ext>
          </c:extLst>
        </c:ser>
        <c:ser>
          <c:idx val="2"/>
          <c:order val="2"/>
          <c:tx>
            <c:strRef>
              <c:f>Blad6!$D$3:$D$4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Blad6!$A$5:$A$9</c:f>
              <c:strCache>
                <c:ptCount val="4"/>
                <c:pt idx="1">
                  <c:v>(Dike-town)</c:v>
                </c:pt>
                <c:pt idx="2">
                  <c:v>(Natu-city)</c:v>
                </c:pt>
                <c:pt idx="3">
                  <c:v>(U-village)</c:v>
                </c:pt>
              </c:strCache>
            </c:strRef>
          </c:cat>
          <c:val>
            <c:numRef>
              <c:f>Blad6!$D$5:$D$9</c:f>
              <c:numCache>
                <c:formatCode>General</c:formatCode>
                <c:ptCount val="4"/>
                <c:pt idx="1">
                  <c:v>2021</c:v>
                </c:pt>
                <c:pt idx="2">
                  <c:v>2640</c:v>
                </c:pt>
                <c:pt idx="3">
                  <c:v>1618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4B-4E5C-B663-F33753725C3A}"/>
            </c:ext>
          </c:extLst>
        </c:ser>
        <c:ser>
          <c:idx val="3"/>
          <c:order val="3"/>
          <c:tx>
            <c:strRef>
              <c:f>Blad6!$E$3:$E$4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Blad6!$A$5:$A$9</c:f>
              <c:strCache>
                <c:ptCount val="4"/>
                <c:pt idx="1">
                  <c:v>(Dike-town)</c:v>
                </c:pt>
                <c:pt idx="2">
                  <c:v>(Natu-city)</c:v>
                </c:pt>
                <c:pt idx="3">
                  <c:v>(U-village)</c:v>
                </c:pt>
              </c:strCache>
            </c:strRef>
          </c:cat>
          <c:val>
            <c:numRef>
              <c:f>Blad6!$E$5:$E$9</c:f>
              <c:numCache>
                <c:formatCode>General</c:formatCode>
                <c:ptCount val="4"/>
                <c:pt idx="1">
                  <c:v>2021</c:v>
                </c:pt>
                <c:pt idx="2">
                  <c:v>2640</c:v>
                </c:pt>
                <c:pt idx="3">
                  <c:v>1618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4B-4E5C-B663-F33753725C3A}"/>
            </c:ext>
          </c:extLst>
        </c:ser>
        <c:ser>
          <c:idx val="4"/>
          <c:order val="4"/>
          <c:tx>
            <c:strRef>
              <c:f>Blad6!$F$3:$F$4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Blad6!$A$5:$A$9</c:f>
              <c:strCache>
                <c:ptCount val="4"/>
                <c:pt idx="1">
                  <c:v>(Dike-town)</c:v>
                </c:pt>
                <c:pt idx="2">
                  <c:v>(Natu-city)</c:v>
                </c:pt>
                <c:pt idx="3">
                  <c:v>(U-village)</c:v>
                </c:pt>
              </c:strCache>
            </c:strRef>
          </c:cat>
          <c:val>
            <c:numRef>
              <c:f>Blad6!$F$5:$F$9</c:f>
              <c:numCache>
                <c:formatCode>General</c:formatCode>
                <c:ptCount val="4"/>
                <c:pt idx="1">
                  <c:v>1252</c:v>
                </c:pt>
                <c:pt idx="2">
                  <c:v>3911</c:v>
                </c:pt>
                <c:pt idx="3">
                  <c:v>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4B-4E5C-B663-F33753725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25327"/>
        <c:axId val="146727727"/>
      </c:barChart>
      <c:catAx>
        <c:axId val="14672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6727727"/>
        <c:crosses val="autoZero"/>
        <c:auto val="1"/>
        <c:lblAlgn val="ctr"/>
        <c:lblOffset val="100"/>
        <c:noMultiLvlLbl val="0"/>
      </c:catAx>
      <c:valAx>
        <c:axId val="14672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672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[Copy_Income_dist_housinggame_session_19_250923_EPA_IntroDays_Overasselt.xlsx]Income distribution!Draaitabel8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'Income distribution'!$B$3</c:f>
              <c:strCache>
                <c:ptCount val="1"/>
                <c:pt idx="0">
                  <c:v>Gemiddelde van paid_debt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distribution'!$B$4:$B$10</c:f>
              <c:numCache>
                <c:formatCode>General</c:formatCode>
                <c:ptCount val="6"/>
                <c:pt idx="0">
                  <c:v>15500</c:v>
                </c:pt>
                <c:pt idx="1">
                  <c:v>13771.428571428571</c:v>
                </c:pt>
                <c:pt idx="2">
                  <c:v>5539.2857142857147</c:v>
                </c:pt>
                <c:pt idx="3">
                  <c:v>4000</c:v>
                </c:pt>
                <c:pt idx="4">
                  <c:v>4750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A2-4AE3-9A07-A77D34492170}"/>
            </c:ext>
          </c:extLst>
        </c:ser>
        <c:ser>
          <c:idx val="1"/>
          <c:order val="1"/>
          <c:tx>
            <c:strRef>
              <c:f>'Income distribution'!$C$3</c:f>
              <c:strCache>
                <c:ptCount val="1"/>
                <c:pt idx="0">
                  <c:v>Gemiddelde van mortgage_payment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distribution'!$C$4:$C$10</c:f>
              <c:numCache>
                <c:formatCode>General</c:formatCode>
                <c:ptCount val="6"/>
                <c:pt idx="0">
                  <c:v>6750</c:v>
                </c:pt>
                <c:pt idx="1">
                  <c:v>9857.1428571428569</c:v>
                </c:pt>
                <c:pt idx="2">
                  <c:v>10514.285714285714</c:v>
                </c:pt>
                <c:pt idx="3">
                  <c:v>16541.666666666668</c:v>
                </c:pt>
                <c:pt idx="4">
                  <c:v>14500</c:v>
                </c:pt>
                <c:pt idx="5">
                  <c:v>28750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A2-4AE3-9A07-A77D34492170}"/>
            </c:ext>
          </c:extLst>
        </c:ser>
        <c:ser>
          <c:idx val="2"/>
          <c:order val="2"/>
          <c:tx>
            <c:strRef>
              <c:f>'Income distribution'!$D$3</c:f>
              <c:strCache>
                <c:ptCount val="1"/>
                <c:pt idx="0">
                  <c:v>Gemiddelde van spent_savings_for_buying_house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distribution'!$D$4:$D$10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24166.666666666668</c:v>
                </c:pt>
                <c:pt idx="4">
                  <c:v>0</c:v>
                </c:pt>
                <c:pt idx="5">
                  <c:v>109375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A2-4AE3-9A07-A77D34492170}"/>
            </c:ext>
          </c:extLst>
        </c:ser>
        <c:ser>
          <c:idx val="3"/>
          <c:order val="3"/>
          <c:tx>
            <c:strRef>
              <c:f>'Income distribution'!$E$3</c:f>
              <c:strCache>
                <c:ptCount val="1"/>
                <c:pt idx="0">
                  <c:v>Gemiddelde van Added_total_damage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distribution'!$E$4:$E$10</c:f>
              <c:numCache>
                <c:formatCode>General</c:formatCode>
                <c:ptCount val="6"/>
                <c:pt idx="0">
                  <c:v>7500</c:v>
                </c:pt>
                <c:pt idx="1">
                  <c:v>9142.8571428571431</c:v>
                </c:pt>
                <c:pt idx="2">
                  <c:v>3428.5714285714284</c:v>
                </c:pt>
                <c:pt idx="3">
                  <c:v>3333.3333333333335</c:v>
                </c:pt>
                <c:pt idx="4">
                  <c:v>2000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4A2-4AE3-9A07-A77D34492170}"/>
            </c:ext>
          </c:extLst>
        </c:ser>
        <c:ser>
          <c:idx val="4"/>
          <c:order val="4"/>
          <c:tx>
            <c:strRef>
              <c:f>'Income distribution'!$F$3</c:f>
              <c:strCache>
                <c:ptCount val="1"/>
                <c:pt idx="0">
                  <c:v>Gemiddelde van cost_house_measures_bought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distribution'!$F$4:$F$10</c:f>
              <c:numCache>
                <c:formatCode>General</c:formatCode>
                <c:ptCount val="6"/>
                <c:pt idx="0">
                  <c:v>1125</c:v>
                </c:pt>
                <c:pt idx="1">
                  <c:v>0</c:v>
                </c:pt>
                <c:pt idx="2">
                  <c:v>6142.8571428571431</c:v>
                </c:pt>
                <c:pt idx="3">
                  <c:v>583.33333333333337</c:v>
                </c:pt>
                <c:pt idx="4">
                  <c:v>6500</c:v>
                </c:pt>
                <c:pt idx="5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A2-4AE3-9A07-A77D34492170}"/>
            </c:ext>
          </c:extLst>
        </c:ser>
        <c:ser>
          <c:idx val="5"/>
          <c:order val="5"/>
          <c:tx>
            <c:strRef>
              <c:f>'Income distribution'!$G$3</c:f>
              <c:strCache>
                <c:ptCount val="1"/>
                <c:pt idx="0">
                  <c:v>Gemiddelde van cost_personal_measures_bought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distribution'!$G$4:$G$10</c:f>
              <c:numCache>
                <c:formatCode>General</c:formatCode>
                <c:ptCount val="6"/>
                <c:pt idx="0">
                  <c:v>250</c:v>
                </c:pt>
                <c:pt idx="1">
                  <c:v>0</c:v>
                </c:pt>
                <c:pt idx="2">
                  <c:v>1000</c:v>
                </c:pt>
                <c:pt idx="3">
                  <c:v>1708.3333333333333</c:v>
                </c:pt>
                <c:pt idx="4">
                  <c:v>5125</c:v>
                </c:pt>
                <c:pt idx="5">
                  <c:v>2515.625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4A2-4AE3-9A07-A77D34492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704783"/>
        <c:axId val="5718223"/>
      </c:barChart>
      <c:lineChart>
        <c:grouping val="standard"/>
        <c:varyColors val="0"/>
        <c:ser>
          <c:idx val="6"/>
          <c:order val="6"/>
          <c:tx>
            <c:strRef>
              <c:f>'Income distribution'!$H$3</c:f>
              <c:strCache>
                <c:ptCount val="1"/>
                <c:pt idx="0">
                  <c:v>Gemiddelde van satisfaction_total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distribution'!$H$4:$H$10</c:f>
              <c:numCache>
                <c:formatCode>General</c:formatCode>
                <c:ptCount val="6"/>
                <c:pt idx="0">
                  <c:v>-6.625</c:v>
                </c:pt>
                <c:pt idx="1">
                  <c:v>-5.8571428571428568</c:v>
                </c:pt>
                <c:pt idx="2">
                  <c:v>-1.8571428571428572</c:v>
                </c:pt>
                <c:pt idx="3">
                  <c:v>3.0833333333333335</c:v>
                </c:pt>
                <c:pt idx="4">
                  <c:v>3.75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A2-4AE3-9A07-A77D34492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817984"/>
        <c:axId val="753821344"/>
      </c:lineChart>
      <c:catAx>
        <c:axId val="570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718223"/>
        <c:crosses val="autoZero"/>
        <c:auto val="1"/>
        <c:lblAlgn val="ctr"/>
        <c:lblOffset val="100"/>
        <c:noMultiLvlLbl val="0"/>
      </c:catAx>
      <c:valAx>
        <c:axId val="571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704783"/>
        <c:crosses val="autoZero"/>
        <c:crossBetween val="between"/>
      </c:valAx>
      <c:valAx>
        <c:axId val="753821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53817984"/>
        <c:crosses val="max"/>
        <c:crossBetween val="between"/>
      </c:valAx>
      <c:catAx>
        <c:axId val="753817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3821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[Copy_Income_dist_housinggame_session_19_250923_EPA_IntroDays_Overasselt.xlsx]Cost ratio vs satisfaction!Draaitabel10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l-N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Spending Priorities and Satisfaction Across Welfare Type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'Cost ratio vs satisfaction'!$B$3</c:f>
              <c:strCache>
                <c:ptCount val="1"/>
                <c:pt idx="0">
                  <c:v>Gemiddelde van cost_house_measures_bought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ratio vs satisfaction'!$A$4:$A$10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'Cost ratio vs satisfaction'!$B$4:$B$10</c:f>
              <c:numCache>
                <c:formatCode>General</c:formatCode>
                <c:ptCount val="6"/>
                <c:pt idx="0">
                  <c:v>1125</c:v>
                </c:pt>
                <c:pt idx="1">
                  <c:v>0</c:v>
                </c:pt>
                <c:pt idx="2">
                  <c:v>6142.8571428571431</c:v>
                </c:pt>
                <c:pt idx="3">
                  <c:v>583.33333333333337</c:v>
                </c:pt>
                <c:pt idx="4">
                  <c:v>6500</c:v>
                </c:pt>
                <c:pt idx="5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B-4DDB-8C07-87801773105B}"/>
            </c:ext>
          </c:extLst>
        </c:ser>
        <c:ser>
          <c:idx val="1"/>
          <c:order val="1"/>
          <c:tx>
            <c:strRef>
              <c:f>'Cost ratio vs satisfaction'!$C$3</c:f>
              <c:strCache>
                <c:ptCount val="1"/>
                <c:pt idx="0">
                  <c:v>Gemiddelde van cost_personal_measures_bought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'Cost ratio vs satisfaction'!$A$4:$A$10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'Cost ratio vs satisfaction'!$C$4:$C$10</c:f>
              <c:numCache>
                <c:formatCode>General</c:formatCode>
                <c:ptCount val="6"/>
                <c:pt idx="0">
                  <c:v>250</c:v>
                </c:pt>
                <c:pt idx="1">
                  <c:v>0</c:v>
                </c:pt>
                <c:pt idx="2">
                  <c:v>1000</c:v>
                </c:pt>
                <c:pt idx="3">
                  <c:v>1708.3333333333333</c:v>
                </c:pt>
                <c:pt idx="4">
                  <c:v>5125</c:v>
                </c:pt>
                <c:pt idx="5">
                  <c:v>2515.625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B-4DDB-8C07-878017731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28569616"/>
        <c:axId val="728570096"/>
      </c:barChart>
      <c:lineChart>
        <c:grouping val="standard"/>
        <c:varyColors val="0"/>
        <c:ser>
          <c:idx val="2"/>
          <c:order val="2"/>
          <c:tx>
            <c:strRef>
              <c:f>'Cost ratio vs satisfaction'!$D$3</c:f>
              <c:strCache>
                <c:ptCount val="1"/>
                <c:pt idx="0">
                  <c:v>Gemiddelde van satisfaction_total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'Cost ratio vs satisfaction'!$A$4:$A$10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'Cost ratio vs satisfaction'!$D$4:$D$10</c:f>
              <c:numCache>
                <c:formatCode>General</c:formatCode>
                <c:ptCount val="6"/>
                <c:pt idx="0">
                  <c:v>-6.625</c:v>
                </c:pt>
                <c:pt idx="1">
                  <c:v>-5.8571428571428568</c:v>
                </c:pt>
                <c:pt idx="2">
                  <c:v>-1.8571428571428572</c:v>
                </c:pt>
                <c:pt idx="3">
                  <c:v>3.0833333333333335</c:v>
                </c:pt>
                <c:pt idx="4">
                  <c:v>3.75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CB-4DDB-8C07-878017731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1632"/>
        <c:axId val="398804032"/>
      </c:lineChart>
      <c:catAx>
        <c:axId val="728569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welfare</a:t>
                </a:r>
                <a:r>
                  <a:rPr lang="nl-NL" baseline="0"/>
                  <a:t> type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28570096"/>
        <c:crosses val="autoZero"/>
        <c:auto val="1"/>
        <c:lblAlgn val="ctr"/>
        <c:lblOffset val="100"/>
        <c:noMultiLvlLbl val="0"/>
      </c:catAx>
      <c:valAx>
        <c:axId val="7285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Ratio</a:t>
                </a:r>
                <a:r>
                  <a:rPr lang="nl-NL" baseline="0"/>
                  <a:t> personal/house measure spendings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28569616"/>
        <c:crosses val="autoZero"/>
        <c:crossBetween val="between"/>
      </c:valAx>
      <c:valAx>
        <c:axId val="398804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Satisfaction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98801632"/>
        <c:crosses val="max"/>
        <c:crossBetween val="between"/>
      </c:valAx>
      <c:catAx>
        <c:axId val="398801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8804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6295923697499"/>
          <c:y val="0.22036623024120316"/>
          <c:w val="0.18591318591318595"/>
          <c:h val="0.459320426328890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[Copy_Income_dist_housinggame_session_19_250923_EPA_IntroDays_Overasselt.xlsx]Blad3!Draaitabel14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Investment, Damage,</a:t>
            </a:r>
            <a:r>
              <a:rPr lang="nl-NL" baseline="0"/>
              <a:t> And Satisfaction Across Welfare Types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Blad3!$B$3</c:f>
              <c:strCache>
                <c:ptCount val="1"/>
                <c:pt idx="0">
                  <c:v>Gemiddelde van cost_house_measures_bought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Blad3!$A$4:$A$10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Blad3!$B$4:$B$10</c:f>
              <c:numCache>
                <c:formatCode>General</c:formatCode>
                <c:ptCount val="6"/>
                <c:pt idx="0">
                  <c:v>975</c:v>
                </c:pt>
                <c:pt idx="1">
                  <c:v>1513.5135135135135</c:v>
                </c:pt>
                <c:pt idx="2">
                  <c:v>5085.7142857142853</c:v>
                </c:pt>
                <c:pt idx="3">
                  <c:v>4150</c:v>
                </c:pt>
                <c:pt idx="4">
                  <c:v>6100</c:v>
                </c:pt>
                <c:pt idx="5">
                  <c:v>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9-4B28-B280-C6E91F45A9CF}"/>
            </c:ext>
          </c:extLst>
        </c:ser>
        <c:ser>
          <c:idx val="1"/>
          <c:order val="1"/>
          <c:tx>
            <c:strRef>
              <c:f>Blad3!$C$3</c:f>
              <c:strCache>
                <c:ptCount val="1"/>
                <c:pt idx="0">
                  <c:v>Gemiddelde van Added_total_damage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Blad3!$A$4:$A$10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Blad3!$C$4:$C$10</c:f>
              <c:numCache>
                <c:formatCode>General</c:formatCode>
                <c:ptCount val="6"/>
                <c:pt idx="0">
                  <c:v>6500</c:v>
                </c:pt>
                <c:pt idx="1">
                  <c:v>6378.3783783783783</c:v>
                </c:pt>
                <c:pt idx="2">
                  <c:v>5257.1428571428569</c:v>
                </c:pt>
                <c:pt idx="3">
                  <c:v>3133.3333333333335</c:v>
                </c:pt>
                <c:pt idx="4">
                  <c:v>3300</c:v>
                </c:pt>
                <c:pt idx="5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D9-4B28-B280-C6E91F45A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816544"/>
        <c:axId val="753826144"/>
      </c:barChart>
      <c:lineChart>
        <c:grouping val="standard"/>
        <c:varyColors val="0"/>
        <c:ser>
          <c:idx val="2"/>
          <c:order val="2"/>
          <c:tx>
            <c:strRef>
              <c:f>Blad3!$D$3</c:f>
              <c:strCache>
                <c:ptCount val="1"/>
                <c:pt idx="0">
                  <c:v>Gemiddelde van satisfaction_total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Blad3!$A$4:$A$10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Blad3!$D$4:$D$10</c:f>
              <c:numCache>
                <c:formatCode>General</c:formatCode>
                <c:ptCount val="6"/>
                <c:pt idx="0">
                  <c:v>-2.5000000000000001E-2</c:v>
                </c:pt>
                <c:pt idx="1">
                  <c:v>0.64864864864864868</c:v>
                </c:pt>
                <c:pt idx="2">
                  <c:v>1.8571428571428572</c:v>
                </c:pt>
                <c:pt idx="3">
                  <c:v>4.4666666666666668</c:v>
                </c:pt>
                <c:pt idx="4">
                  <c:v>4.9749999999999996</c:v>
                </c:pt>
                <c:pt idx="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9-4B28-B280-C6E91F45A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47712"/>
        <c:axId val="398851552"/>
      </c:lineChart>
      <c:catAx>
        <c:axId val="75381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Welfare</a:t>
                </a:r>
                <a:r>
                  <a:rPr lang="nl-NL" baseline="0"/>
                  <a:t> type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53826144"/>
        <c:crosses val="autoZero"/>
        <c:auto val="1"/>
        <c:lblAlgn val="ctr"/>
        <c:lblOffset val="100"/>
        <c:noMultiLvlLbl val="0"/>
      </c:catAx>
      <c:valAx>
        <c:axId val="75382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53816544"/>
        <c:crosses val="autoZero"/>
        <c:crossBetween val="between"/>
      </c:valAx>
      <c:valAx>
        <c:axId val="3988515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Satisfaction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98847712"/>
        <c:crosses val="max"/>
        <c:crossBetween val="between"/>
      </c:valAx>
      <c:catAx>
        <c:axId val="398847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8851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1897380</xdr:colOff>
      <xdr:row>10</xdr:row>
      <xdr:rowOff>129540</xdr:rowOff>
    </xdr:from>
    <xdr:to>
      <xdr:col>12</xdr:col>
      <xdr:colOff>15240</xdr:colOff>
      <xdr:row>28</xdr:row>
      <xdr:rowOff>152400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CCBA1ABA-0C4C-BBB9-FFBB-B80793189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8</xdr:row>
      <xdr:rowOff>133350</xdr:rowOff>
    </xdr:from>
    <xdr:to>
      <xdr:col>12</xdr:col>
      <xdr:colOff>388620</xdr:colOff>
      <xdr:row>23</xdr:row>
      <xdr:rowOff>133350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B453BE9-EB4B-B6B5-4BAC-BAD6ECC50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121920</xdr:rowOff>
    </xdr:from>
    <xdr:to>
      <xdr:col>5</xdr:col>
      <xdr:colOff>2377440</xdr:colOff>
      <xdr:row>36</xdr:row>
      <xdr:rowOff>152400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B6E25B36-A35E-7D6A-D442-D9E3EB0B9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2766060</xdr:colOff>
      <xdr:row>13</xdr:row>
      <xdr:rowOff>72390</xdr:rowOff>
    </xdr:from>
    <xdr:to>
      <xdr:col>4</xdr:col>
      <xdr:colOff>1013460</xdr:colOff>
      <xdr:row>33</xdr:row>
      <xdr:rowOff>167640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7C2073B-A008-7641-3187-1EB1830A6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670560</xdr:colOff>
      <xdr:row>12</xdr:row>
      <xdr:rowOff>125730</xdr:rowOff>
    </xdr:from>
    <xdr:to>
      <xdr:col>12</xdr:col>
      <xdr:colOff>365760</xdr:colOff>
      <xdr:row>37</xdr:row>
      <xdr:rowOff>45720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A885D5BE-43FB-7FAF-ED61-527CAF4DD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86.688909143515" createdVersion="8" refreshedVersion="8" minRefreshableVersion="3" recordCount="252" xr:uid="{7747709A-53F1-486D-B6C0-38672B932350}">
  <cacheSource type="worksheet">
    <worksheetSource ref="AZ1:BC253" sheet="playerround"/>
  </cacheSource>
  <cacheFields count="3">
    <cacheField name="Added_living_area" numFmtId="0">
      <sharedItems count="4">
        <s v=""/>
        <s v="(U-village)"/>
        <s v="(Natu-city)"/>
        <s v="(Dike-town)"/>
      </sharedItems>
    </cacheField>
    <cacheField name="Added_welfare_type" numFmtId="0">
      <sharedItems containsSemiMixedTypes="0" containsString="0" containsNumber="1" containsInteger="1" minValue="123" maxValue="128" count="6">
        <n v="124"/>
        <n v="126"/>
        <n v="123"/>
        <n v="125"/>
        <n v="127"/>
        <n v="128"/>
      </sharedItems>
    </cacheField>
    <cacheField name="Added_delta_protection" numFmtId="0">
      <sharedItems containsString="0" containsBlank="1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86.725503125002" createdVersion="8" refreshedVersion="8" minRefreshableVersion="3" recordCount="252" xr:uid="{FBFA6274-7B0B-4A7A-B1BF-E23D680ED1A5}">
  <cacheSource type="worksheet">
    <worksheetSource ref="AZ1:BB253" sheet="playerround"/>
  </cacheSource>
  <cacheFields count="3">
    <cacheField name="Added_living_area" numFmtId="0">
      <sharedItems count="4">
        <s v=""/>
        <s v="(U-village)"/>
        <s v="(Natu-city)"/>
        <s v="(Dike-town)"/>
      </sharedItems>
    </cacheField>
    <cacheField name="Copy_groupround_round_number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Added_welfare_type" numFmtId="0">
      <sharedItems containsSemiMixedTypes="0" containsString="0" containsNumber="1" containsInteger="1" minValue="123" maxValue="128" count="6">
        <n v="124"/>
        <n v="126"/>
        <n v="123"/>
        <n v="125"/>
        <n v="127"/>
        <n v="12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87.822070601855" createdVersion="8" refreshedVersion="8" minRefreshableVersion="3" recordCount="314" xr:uid="{D0A5E063-6C4D-4BCA-953C-1064E3EDC965}">
  <cacheSource type="worksheet">
    <worksheetSource ref="A1:BD1048576" sheet="playerround"/>
  </cacheSource>
  <cacheFields count="56">
    <cacheField name="playerround_id" numFmtId="0">
      <sharedItems containsString="0" containsBlank="1" containsNumber="1" containsInteger="1" minValue="1025" maxValue="1276"/>
    </cacheField>
    <cacheField name="create_time" numFmtId="164">
      <sharedItems containsNonDate="0" containsDate="1" containsString="0" containsBlank="1" minDate="2025-09-23T10:26:01" maxDate="2025-09-23T14:28:39"/>
    </cacheField>
    <cacheField name="round_income" numFmtId="0">
      <sharedItems containsString="0" containsBlank="1" containsNumber="1" containsInteger="1" minValue="60000" maxValue="190000"/>
    </cacheField>
    <cacheField name="living_costs" numFmtId="0">
      <sharedItems containsString="0" containsBlank="1" containsNumber="1" containsInteger="1" minValue="30000" maxValue="115000"/>
    </cacheField>
    <cacheField name="paid_debt" numFmtId="0">
      <sharedItems containsString="0" containsBlank="1" containsNumber="1" containsInteger="1" minValue="0" maxValue="50000"/>
    </cacheField>
    <cacheField name="mortgage_payment" numFmtId="0">
      <sharedItems containsString="0" containsBlank="1" containsNumber="1" containsInteger="1" minValue="0" maxValue="30000"/>
    </cacheField>
    <cacheField name="profit_sold_house" numFmtId="0">
      <sharedItems containsString="0" containsBlank="1" containsNumber="1" containsInteger="1" minValue="0" maxValue="300000"/>
    </cacheField>
    <cacheField name="spent_savings_for_buying_house" numFmtId="0">
      <sharedItems containsString="0" containsBlank="1" containsNumber="1" containsInteger="1" minValue="0" maxValue="130000"/>
    </cacheField>
    <cacheField name="cost_taxes" numFmtId="0">
      <sharedItems containsString="0" containsBlank="1" containsNumber="1" containsInteger="1" minValue="0" maxValue="30000"/>
    </cacheField>
    <cacheField name="cost_house_measures_bought" numFmtId="0">
      <sharedItems containsString="0" containsBlank="1" containsNumber="1" containsInteger="1" minValue="0" maxValue="33000"/>
    </cacheField>
    <cacheField name="cost_personal_measures_bought" numFmtId="0">
      <sharedItems containsString="0" containsBlank="1" containsNumber="1" containsInteger="1" minValue="0" maxValue="38000"/>
    </cacheField>
    <cacheField name="cost_fluvial_damage" numFmtId="0">
      <sharedItems containsString="0" containsBlank="1" containsNumber="1" containsInteger="1" minValue="0" maxValue="28000"/>
    </cacheField>
    <cacheField name="cost_pluvial_damage" numFmtId="0">
      <sharedItems containsString="0" containsBlank="1" containsNumber="1" containsInteger="1" minValue="0" maxValue="4000"/>
    </cacheField>
    <cacheField name="spendable_income" numFmtId="0">
      <sharedItems containsString="0" containsBlank="1" containsNumber="1" containsInteger="1" minValue="-64000" maxValue="351000"/>
    </cacheField>
    <cacheField name="satisfaction_move_penalty" numFmtId="0">
      <sharedItems containsString="0" containsBlank="1" containsNumber="1" containsInteger="1" minValue="0" maxValue="3"/>
    </cacheField>
    <cacheField name="satisfaction_house_rating_delta" numFmtId="0">
      <sharedItems containsString="0" containsBlank="1" containsNumber="1" containsInteger="1" minValue="-5" maxValue="2"/>
    </cacheField>
    <cacheField name="satisfaction_house_measures" numFmtId="0">
      <sharedItems containsString="0" containsBlank="1" containsNumber="1" containsInteger="1" minValue="0" maxValue="3"/>
    </cacheField>
    <cacheField name="satisfaction_personal_measures" numFmtId="0">
      <sharedItems containsString="0" containsBlank="1" containsNumber="1" containsInteger="1" minValue="0" maxValue="4"/>
    </cacheField>
    <cacheField name="satisfaction_fluvial_penalty" numFmtId="0">
      <sharedItems containsString="0" containsBlank="1" containsNumber="1" containsInteger="1" minValue="0" maxValue="8"/>
    </cacheField>
    <cacheField name="satisfaction_pluvial_penalty" numFmtId="0">
      <sharedItems containsString="0" containsBlank="1" containsNumber="1" containsInteger="1" minValue="0" maxValue="1"/>
    </cacheField>
    <cacheField name="satisfaction_debt_penalty" numFmtId="0">
      <sharedItems containsString="0" containsBlank="1" containsNumber="1" containsInteger="1" minValue="0" maxValue="1"/>
    </cacheField>
    <cacheField name="satisfaction_total" numFmtId="0">
      <sharedItems containsString="0" containsBlank="1" containsNumber="1" containsInteger="1" minValue="-22" maxValue="14"/>
    </cacheField>
    <cacheField name="preferred_house_rating" numFmtId="0">
      <sharedItems containsString="0" containsBlank="1" containsNumber="1" containsInteger="1" minValue="3" maxValue="8"/>
    </cacheField>
    <cacheField name="maximum_mortgage" numFmtId="0">
      <sharedItems containsString="0" containsBlank="1" containsNumber="1" containsInteger="1" minValue="80000" maxValue="300000"/>
    </cacheField>
    <cacheField name="mortgage_house_start" numFmtId="0">
      <sharedItems containsString="0" containsBlank="1" containsNumber="1" containsInteger="1" minValue="0" maxValue="300000"/>
    </cacheField>
    <cacheField name="mortgage_left_start" numFmtId="0">
      <sharedItems containsString="0" containsBlank="1" containsNumber="1" containsInteger="1" minValue="0" maxValue="270000"/>
    </cacheField>
    <cacheField name="house_price_sold" numFmtId="0">
      <sharedItems containsString="0" containsBlank="1" containsNumber="1" containsInteger="1" minValue="0" maxValue="400000"/>
    </cacheField>
    <cacheField name="house_price_bought" numFmtId="0">
      <sharedItems containsString="0" containsBlank="1" containsNumber="1" containsInteger="1" minValue="0" maxValue="425000"/>
    </cacheField>
    <cacheField name="mortgage_house_end" numFmtId="0">
      <sharedItems containsString="0" containsBlank="1" containsNumber="1" containsInteger="1" minValue="0" maxValue="300000"/>
    </cacheField>
    <cacheField name="mortgage_left_end" numFmtId="0">
      <sharedItems containsString="0" containsBlank="1" containsNumber="1" containsInteger="1" minValue="0" maxValue="270000"/>
    </cacheField>
    <cacheField name="movingreason_id" numFmtId="0">
      <sharedItems containsString="0" containsBlank="1" containsNumber="1" containsInteger="1" minValue="32" maxValue="36"/>
    </cacheField>
    <cacheField name="moving_reason_other" numFmtId="0">
      <sharedItems containsBlank="1"/>
    </cacheField>
    <cacheField name="pluvial_base_protection" numFmtId="0">
      <sharedItems containsString="0" containsBlank="1" containsNumber="1" containsInteger="1" minValue="0" maxValue="6"/>
    </cacheField>
    <cacheField name="fluvial_base_protection" numFmtId="0">
      <sharedItems containsString="0" containsBlank="1" containsNumber="1" containsInteger="1" minValue="0" maxValue="9"/>
    </cacheField>
    <cacheField name="pluvial_community_delta" numFmtId="0">
      <sharedItems containsString="0" containsBlank="1" containsNumber="1" containsInteger="1" minValue="-2" maxValue="0"/>
    </cacheField>
    <cacheField name="fluvial_community_delta" numFmtId="0">
      <sharedItems containsString="0" containsBlank="1" containsNumber="1" containsInteger="1" minValue="-2" maxValue="0"/>
    </cacheField>
    <cacheField name="pluvial_house_delta" numFmtId="0">
      <sharedItems containsString="0" containsBlank="1" containsNumber="1" containsInteger="1" minValue="0" maxValue="4"/>
    </cacheField>
    <cacheField name="fluvial_house_delta" numFmtId="0">
      <sharedItems containsString="0" containsBlank="1" containsNumber="1" containsInteger="1" minValue="0" maxValue="3"/>
    </cacheField>
    <cacheField name="player_state" numFmtId="0">
      <sharedItems containsBlank="1"/>
    </cacheField>
    <cacheField name="player_id" numFmtId="0">
      <sharedItems containsString="0" containsBlank="1" containsNumber="1" containsInteger="1" minValue="634" maxValue="696"/>
    </cacheField>
    <cacheField name="groupround_id" numFmtId="0">
      <sharedItems containsString="0" containsBlank="1" containsNumber="1" containsInteger="1" minValue="266" maxValue="305"/>
    </cacheField>
    <cacheField name="start_housegroup_id" numFmtId="0">
      <sharedItems containsString="0" containsBlank="1" containsNumber="1" containsInteger="1" minValue="1281" maxValue="1447"/>
    </cacheField>
    <cacheField name="final_housegroup_id" numFmtId="0">
      <sharedItems containsString="0" containsBlank="1" containsNumber="1" containsInteger="1" minValue="1281" maxValue="1488"/>
    </cacheField>
    <cacheField name="active_transaction_id" numFmtId="0">
      <sharedItems containsNonDate="0" containsString="0" containsBlank="1"/>
    </cacheField>
    <cacheField name="groupround_round_number" numFmtId="0">
      <sharedItems containsString="0" containsBlank="1" containsNumber="1" containsInteger="1" minValue="0" maxValue="4" count="6">
        <n v="0"/>
        <n v="1"/>
        <n v="2"/>
        <n v="3"/>
        <n v="4"/>
        <m/>
      </sharedItems>
    </cacheField>
    <cacheField name="group_id" numFmtId="0">
      <sharedItems containsString="0" containsBlank="1" containsNumber="1" containsInteger="1" minValue="89" maxValue="96"/>
    </cacheField>
    <cacheField name="group_name" numFmtId="0">
      <sharedItems containsBlank="1"/>
    </cacheField>
    <cacheField name="gamesession_id" numFmtId="0">
      <sharedItems containsString="0" containsBlank="1" containsNumber="1" containsInteger="1" minValue="19" maxValue="19"/>
    </cacheField>
    <cacheField name="gamesession_name" numFmtId="0">
      <sharedItems containsBlank="1"/>
    </cacheField>
    <cacheField name="group_scenario_id" numFmtId="0">
      <sharedItems containsString="0" containsBlank="1" containsNumber="1" containsInteger="1" minValue="22" maxValue="22"/>
    </cacheField>
    <cacheField name="Added_total_base_protection" numFmtId="0">
      <sharedItems containsString="0" containsBlank="1" containsNumber="1" containsInteger="1" minValue="0" maxValue="15"/>
    </cacheField>
    <cacheField name="Added_living_area" numFmtId="0">
      <sharedItems containsBlank="1"/>
    </cacheField>
    <cacheField name="Copy_groupround_round_number" numFmtId="0">
      <sharedItems containsString="0" containsBlank="1" containsNumber="1" containsInteger="1" minValue="0" maxValue="4"/>
    </cacheField>
    <cacheField name="Added_welfare_type" numFmtId="0">
      <sharedItems containsBlank="1" containsMixedTypes="1" containsNumber="1" containsInteger="1" minValue="123" maxValue="128" count="8">
        <n v="124"/>
        <n v="126"/>
        <n v="123"/>
        <n v="125"/>
        <n v="127"/>
        <n v="128"/>
        <e v="#N/A"/>
        <m/>
      </sharedItems>
    </cacheField>
    <cacheField name="Added_delta_protection" numFmtId="0">
      <sharedItems containsString="0" containsBlank="1" containsNumber="1" containsInteger="1" minValue="0" maxValue="7"/>
    </cacheField>
    <cacheField name="Added_total_damage" numFmtId="0">
      <sharedItems containsString="0" containsBlank="1" containsNumber="1" containsInteger="1" minValue="0" maxValue="2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87.906233912036" createdVersion="8" refreshedVersion="8" minRefreshableVersion="3" recordCount="313" xr:uid="{80B74F68-C734-40D4-880D-03974F2882BF}">
  <cacheSource type="worksheet">
    <worksheetSource ref="A1:BD314" sheet="playerround"/>
  </cacheSource>
  <cacheFields count="56">
    <cacheField name="playerround_id" numFmtId="0">
      <sharedItems containsString="0" containsBlank="1" containsNumber="1" containsInteger="1" minValue="1025" maxValue="1276"/>
    </cacheField>
    <cacheField name="create_time" numFmtId="164">
      <sharedItems containsNonDate="0" containsDate="1" containsString="0" containsBlank="1" minDate="2025-09-23T10:26:01" maxDate="2025-09-23T14:28:39"/>
    </cacheField>
    <cacheField name="round_income" numFmtId="0">
      <sharedItems containsString="0" containsBlank="1" containsNumber="1" containsInteger="1" minValue="60000" maxValue="190000"/>
    </cacheField>
    <cacheField name="living_costs" numFmtId="0">
      <sharedItems containsString="0" containsBlank="1" containsNumber="1" containsInteger="1" minValue="30000" maxValue="115000"/>
    </cacheField>
    <cacheField name="paid_debt" numFmtId="0">
      <sharedItems containsString="0" containsBlank="1" containsNumber="1" containsInteger="1" minValue="0" maxValue="50000"/>
    </cacheField>
    <cacheField name="mortgage_payment" numFmtId="0">
      <sharedItems containsString="0" containsBlank="1" containsNumber="1" containsInteger="1" minValue="0" maxValue="30000"/>
    </cacheField>
    <cacheField name="profit_sold_house" numFmtId="0">
      <sharedItems containsString="0" containsBlank="1" containsNumber="1" containsInteger="1" minValue="0" maxValue="300000"/>
    </cacheField>
    <cacheField name="spent_savings_for_buying_house" numFmtId="0">
      <sharedItems containsString="0" containsBlank="1" containsNumber="1" containsInteger="1" minValue="0" maxValue="130000"/>
    </cacheField>
    <cacheField name="cost_taxes" numFmtId="0">
      <sharedItems containsString="0" containsBlank="1" containsNumber="1" containsInteger="1" minValue="0" maxValue="30000"/>
    </cacheField>
    <cacheField name="cost_house_measures_bought" numFmtId="0">
      <sharedItems containsString="0" containsBlank="1" containsNumber="1" containsInteger="1" minValue="0" maxValue="33000"/>
    </cacheField>
    <cacheField name="cost_personal_measures_bought" numFmtId="0">
      <sharedItems containsString="0" containsBlank="1" containsNumber="1" containsInteger="1" minValue="0" maxValue="38000"/>
    </cacheField>
    <cacheField name="cost_fluvial_damage" numFmtId="0">
      <sharedItems containsString="0" containsBlank="1" containsNumber="1" containsInteger="1" minValue="0" maxValue="28000"/>
    </cacheField>
    <cacheField name="cost_pluvial_damage" numFmtId="0">
      <sharedItems containsString="0" containsBlank="1" containsNumber="1" containsInteger="1" minValue="0" maxValue="4000"/>
    </cacheField>
    <cacheField name="spendable_income" numFmtId="0">
      <sharedItems containsString="0" containsBlank="1" containsNumber="1" containsInteger="1" minValue="-64000" maxValue="351000"/>
    </cacheField>
    <cacheField name="satisfaction_move_penalty" numFmtId="0">
      <sharedItems containsString="0" containsBlank="1" containsNumber="1" containsInteger="1" minValue="0" maxValue="3"/>
    </cacheField>
    <cacheField name="satisfaction_house_rating_delta" numFmtId="0">
      <sharedItems containsString="0" containsBlank="1" containsNumber="1" containsInteger="1" minValue="-5" maxValue="2"/>
    </cacheField>
    <cacheField name="satisfaction_house_measures" numFmtId="0">
      <sharedItems containsString="0" containsBlank="1" containsNumber="1" containsInteger="1" minValue="0" maxValue="3"/>
    </cacheField>
    <cacheField name="satisfaction_personal_measures" numFmtId="0">
      <sharedItems containsString="0" containsBlank="1" containsNumber="1" containsInteger="1" minValue="0" maxValue="4"/>
    </cacheField>
    <cacheField name="satisfaction_fluvial_penalty" numFmtId="0">
      <sharedItems containsString="0" containsBlank="1" containsNumber="1" containsInteger="1" minValue="0" maxValue="8"/>
    </cacheField>
    <cacheField name="satisfaction_pluvial_penalty" numFmtId="0">
      <sharedItems containsString="0" containsBlank="1" containsNumber="1" containsInteger="1" minValue="0" maxValue="1"/>
    </cacheField>
    <cacheField name="satisfaction_debt_penalty" numFmtId="0">
      <sharedItems containsString="0" containsBlank="1" containsNumber="1" containsInteger="1" minValue="0" maxValue="1"/>
    </cacheField>
    <cacheField name="satisfaction_total" numFmtId="0">
      <sharedItems containsString="0" containsBlank="1" containsNumber="1" containsInteger="1" minValue="-22" maxValue="14"/>
    </cacheField>
    <cacheField name="preferred_house_rating" numFmtId="0">
      <sharedItems containsString="0" containsBlank="1" containsNumber="1" containsInteger="1" minValue="3" maxValue="8"/>
    </cacheField>
    <cacheField name="maximum_mortgage" numFmtId="0">
      <sharedItems containsString="0" containsBlank="1" containsNumber="1" containsInteger="1" minValue="80000" maxValue="300000"/>
    </cacheField>
    <cacheField name="mortgage_house_start" numFmtId="0">
      <sharedItems containsString="0" containsBlank="1" containsNumber="1" containsInteger="1" minValue="0" maxValue="300000"/>
    </cacheField>
    <cacheField name="mortgage_left_start" numFmtId="0">
      <sharedItems containsString="0" containsBlank="1" containsNumber="1" containsInteger="1" minValue="0" maxValue="270000"/>
    </cacheField>
    <cacheField name="house_price_sold" numFmtId="0">
      <sharedItems containsString="0" containsBlank="1" containsNumber="1" containsInteger="1" minValue="0" maxValue="400000"/>
    </cacheField>
    <cacheField name="house_price_bought" numFmtId="0">
      <sharedItems containsString="0" containsBlank="1" containsNumber="1" containsInteger="1" minValue="0" maxValue="425000"/>
    </cacheField>
    <cacheField name="mortgage_house_end" numFmtId="0">
      <sharedItems containsString="0" containsBlank="1" containsNumber="1" containsInteger="1" minValue="0" maxValue="300000"/>
    </cacheField>
    <cacheField name="mortgage_left_end" numFmtId="0">
      <sharedItems containsString="0" containsBlank="1" containsNumber="1" containsInteger="1" minValue="0" maxValue="270000"/>
    </cacheField>
    <cacheField name="movingreason_id" numFmtId="0">
      <sharedItems containsString="0" containsBlank="1" containsNumber="1" containsInteger="1" minValue="32" maxValue="36"/>
    </cacheField>
    <cacheField name="moving_reason_other" numFmtId="0">
      <sharedItems containsBlank="1"/>
    </cacheField>
    <cacheField name="pluvial_base_protection" numFmtId="0">
      <sharedItems containsString="0" containsBlank="1" containsNumber="1" containsInteger="1" minValue="0" maxValue="6"/>
    </cacheField>
    <cacheField name="fluvial_base_protection" numFmtId="0">
      <sharedItems containsString="0" containsBlank="1" containsNumber="1" containsInteger="1" minValue="0" maxValue="9"/>
    </cacheField>
    <cacheField name="pluvial_community_delta" numFmtId="0">
      <sharedItems containsString="0" containsBlank="1" containsNumber="1" containsInteger="1" minValue="-2" maxValue="0"/>
    </cacheField>
    <cacheField name="fluvial_community_delta" numFmtId="0">
      <sharedItems containsString="0" containsBlank="1" containsNumber="1" containsInteger="1" minValue="-2" maxValue="0"/>
    </cacheField>
    <cacheField name="pluvial_house_delta" numFmtId="0">
      <sharedItems containsString="0" containsBlank="1" containsNumber="1" containsInteger="1" minValue="0" maxValue="4"/>
    </cacheField>
    <cacheField name="fluvial_house_delta" numFmtId="0">
      <sharedItems containsString="0" containsBlank="1" containsNumber="1" containsInteger="1" minValue="0" maxValue="3"/>
    </cacheField>
    <cacheField name="player_state" numFmtId="0">
      <sharedItems containsBlank="1"/>
    </cacheField>
    <cacheField name="player_id" numFmtId="0">
      <sharedItems containsString="0" containsBlank="1" containsNumber="1" containsInteger="1" minValue="634" maxValue="696"/>
    </cacheField>
    <cacheField name="groupround_id" numFmtId="0">
      <sharedItems containsString="0" containsBlank="1" containsNumber="1" containsInteger="1" minValue="266" maxValue="305"/>
    </cacheField>
    <cacheField name="start_housegroup_id" numFmtId="0">
      <sharedItems containsString="0" containsBlank="1" containsNumber="1" containsInteger="1" minValue="1281" maxValue="1447"/>
    </cacheField>
    <cacheField name="final_housegroup_id" numFmtId="0">
      <sharedItems containsString="0" containsBlank="1" containsNumber="1" containsInteger="1" minValue="1281" maxValue="1488"/>
    </cacheField>
    <cacheField name="active_transaction_id" numFmtId="0">
      <sharedItems containsNonDate="0" containsString="0" containsBlank="1"/>
    </cacheField>
    <cacheField name="groupround_round_number" numFmtId="0">
      <sharedItems containsString="0" containsBlank="1" containsNumber="1" containsInteger="1" minValue="0" maxValue="4" count="6">
        <n v="0"/>
        <n v="1"/>
        <n v="2"/>
        <n v="3"/>
        <n v="4"/>
        <m/>
      </sharedItems>
    </cacheField>
    <cacheField name="group_id" numFmtId="0">
      <sharedItems containsString="0" containsBlank="1" containsNumber="1" containsInteger="1" minValue="89" maxValue="96"/>
    </cacheField>
    <cacheField name="group_name" numFmtId="0">
      <sharedItems containsBlank="1"/>
    </cacheField>
    <cacheField name="gamesession_id" numFmtId="0">
      <sharedItems containsString="0" containsBlank="1" containsNumber="1" containsInteger="1" minValue="19" maxValue="19"/>
    </cacheField>
    <cacheField name="gamesession_name" numFmtId="0">
      <sharedItems containsBlank="1"/>
    </cacheField>
    <cacheField name="group_scenario_id" numFmtId="0">
      <sharedItems containsString="0" containsBlank="1" containsNumber="1" containsInteger="1" minValue="22" maxValue="22"/>
    </cacheField>
    <cacheField name="Added_total_base_protection" numFmtId="0">
      <sharedItems containsString="0" containsBlank="1" containsNumber="1" containsInteger="1" minValue="0" maxValue="15"/>
    </cacheField>
    <cacheField name="Added_living_area" numFmtId="0">
      <sharedItems containsBlank="1"/>
    </cacheField>
    <cacheField name="Copy_groupround_round_number" numFmtId="0">
      <sharedItems containsString="0" containsBlank="1" containsNumber="1" containsInteger="1" minValue="0" maxValue="4"/>
    </cacheField>
    <cacheField name="Added_welfare_type" numFmtId="0">
      <sharedItems containsMixedTypes="1" containsNumber="1" containsInteger="1" minValue="123" maxValue="128" count="7">
        <n v="124"/>
        <n v="126"/>
        <n v="123"/>
        <n v="125"/>
        <n v="127"/>
        <n v="128"/>
        <e v="#N/A"/>
      </sharedItems>
    </cacheField>
    <cacheField name="Added_delta_protection" numFmtId="0">
      <sharedItems containsString="0" containsBlank="1" containsNumber="1" containsInteger="1" minValue="0" maxValue="7"/>
    </cacheField>
    <cacheField name="Added_total_damage" numFmtId="0">
      <sharedItems containsString="0" containsBlank="1" containsNumber="1" containsInteger="1" minValue="0" maxValue="2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x v="0"/>
    <x v="0"/>
    <m/>
  </r>
  <r>
    <x v="1"/>
    <x v="0"/>
    <n v="0"/>
  </r>
  <r>
    <x v="1"/>
    <x v="0"/>
    <n v="0"/>
  </r>
  <r>
    <x v="1"/>
    <x v="0"/>
    <n v="0"/>
  </r>
  <r>
    <x v="1"/>
    <x v="0"/>
    <n v="0"/>
  </r>
  <r>
    <x v="0"/>
    <x v="1"/>
    <m/>
  </r>
  <r>
    <x v="2"/>
    <x v="1"/>
    <n v="2"/>
  </r>
  <r>
    <x v="2"/>
    <x v="1"/>
    <n v="0"/>
  </r>
  <r>
    <x v="2"/>
    <x v="1"/>
    <n v="1"/>
  </r>
  <r>
    <x v="2"/>
    <x v="1"/>
    <n v="1"/>
  </r>
  <r>
    <x v="0"/>
    <x v="2"/>
    <m/>
  </r>
  <r>
    <x v="1"/>
    <x v="2"/>
    <n v="0"/>
  </r>
  <r>
    <x v="1"/>
    <x v="2"/>
    <n v="1"/>
  </r>
  <r>
    <x v="1"/>
    <x v="2"/>
    <n v="0"/>
  </r>
  <r>
    <x v="1"/>
    <x v="2"/>
    <n v="0"/>
  </r>
  <r>
    <x v="0"/>
    <x v="3"/>
    <m/>
  </r>
  <r>
    <x v="2"/>
    <x v="3"/>
    <n v="1"/>
  </r>
  <r>
    <x v="2"/>
    <x v="3"/>
    <n v="2"/>
  </r>
  <r>
    <x v="2"/>
    <x v="3"/>
    <n v="1"/>
  </r>
  <r>
    <x v="2"/>
    <x v="3"/>
    <n v="3"/>
  </r>
  <r>
    <x v="0"/>
    <x v="4"/>
    <m/>
  </r>
  <r>
    <x v="3"/>
    <x v="4"/>
    <n v="0"/>
  </r>
  <r>
    <x v="3"/>
    <x v="4"/>
    <n v="0"/>
  </r>
  <r>
    <x v="3"/>
    <x v="4"/>
    <n v="0"/>
  </r>
  <r>
    <x v="3"/>
    <x v="4"/>
    <n v="1"/>
  </r>
  <r>
    <x v="0"/>
    <x v="5"/>
    <m/>
  </r>
  <r>
    <x v="3"/>
    <x v="5"/>
    <n v="2"/>
  </r>
  <r>
    <x v="3"/>
    <x v="5"/>
    <n v="3"/>
  </r>
  <r>
    <x v="3"/>
    <x v="5"/>
    <n v="1"/>
  </r>
  <r>
    <x v="2"/>
    <x v="5"/>
    <n v="6"/>
  </r>
  <r>
    <x v="0"/>
    <x v="1"/>
    <m/>
  </r>
  <r>
    <x v="2"/>
    <x v="1"/>
    <n v="0"/>
  </r>
  <r>
    <x v="2"/>
    <x v="1"/>
    <n v="0"/>
  </r>
  <r>
    <x v="2"/>
    <x v="1"/>
    <n v="2"/>
  </r>
  <r>
    <x v="2"/>
    <x v="1"/>
    <n v="0"/>
  </r>
  <r>
    <x v="0"/>
    <x v="2"/>
    <m/>
  </r>
  <r>
    <x v="2"/>
    <x v="2"/>
    <n v="0"/>
  </r>
  <r>
    <x v="2"/>
    <x v="2"/>
    <n v="0"/>
  </r>
  <r>
    <x v="2"/>
    <x v="2"/>
    <n v="0"/>
  </r>
  <r>
    <x v="2"/>
    <x v="2"/>
    <n v="0"/>
  </r>
  <r>
    <x v="0"/>
    <x v="1"/>
    <m/>
  </r>
  <r>
    <x v="2"/>
    <x v="1"/>
    <n v="0"/>
  </r>
  <r>
    <x v="2"/>
    <x v="1"/>
    <n v="2"/>
  </r>
  <r>
    <x v="2"/>
    <x v="1"/>
    <n v="0"/>
  </r>
  <r>
    <x v="3"/>
    <x v="1"/>
    <n v="0"/>
  </r>
  <r>
    <x v="0"/>
    <x v="2"/>
    <m/>
  </r>
  <r>
    <x v="3"/>
    <x v="2"/>
    <n v="0"/>
  </r>
  <r>
    <x v="3"/>
    <x v="2"/>
    <n v="2"/>
  </r>
  <r>
    <x v="3"/>
    <x v="2"/>
    <n v="0"/>
  </r>
  <r>
    <x v="3"/>
    <x v="2"/>
    <n v="0"/>
  </r>
  <r>
    <x v="0"/>
    <x v="0"/>
    <m/>
  </r>
  <r>
    <x v="3"/>
    <x v="0"/>
    <n v="0"/>
  </r>
  <r>
    <x v="3"/>
    <x v="0"/>
    <n v="1"/>
  </r>
  <r>
    <x v="3"/>
    <x v="0"/>
    <n v="1"/>
  </r>
  <r>
    <x v="3"/>
    <x v="0"/>
    <n v="0"/>
  </r>
  <r>
    <x v="0"/>
    <x v="4"/>
    <m/>
  </r>
  <r>
    <x v="2"/>
    <x v="4"/>
    <n v="7"/>
  </r>
  <r>
    <x v="2"/>
    <x v="4"/>
    <n v="0"/>
  </r>
  <r>
    <x v="2"/>
    <x v="4"/>
    <n v="0"/>
  </r>
  <r>
    <x v="2"/>
    <x v="4"/>
    <n v="0"/>
  </r>
  <r>
    <x v="0"/>
    <x v="5"/>
    <m/>
  </r>
  <r>
    <x v="3"/>
    <x v="5"/>
    <n v="2"/>
  </r>
  <r>
    <x v="3"/>
    <x v="5"/>
    <n v="5"/>
  </r>
  <r>
    <x v="3"/>
    <x v="5"/>
    <n v="0"/>
  </r>
  <r>
    <x v="2"/>
    <x v="5"/>
    <n v="7"/>
  </r>
  <r>
    <x v="0"/>
    <x v="0"/>
    <m/>
  </r>
  <r>
    <x v="1"/>
    <x v="0"/>
    <n v="1"/>
  </r>
  <r>
    <x v="1"/>
    <x v="0"/>
    <n v="0"/>
  </r>
  <r>
    <x v="1"/>
    <x v="0"/>
    <n v="2"/>
  </r>
  <r>
    <x v="1"/>
    <x v="0"/>
    <n v="0"/>
  </r>
  <r>
    <x v="0"/>
    <x v="1"/>
    <m/>
  </r>
  <r>
    <x v="2"/>
    <x v="1"/>
    <n v="3"/>
  </r>
  <r>
    <x v="2"/>
    <x v="1"/>
    <n v="0"/>
  </r>
  <r>
    <x v="2"/>
    <x v="1"/>
    <n v="1"/>
  </r>
  <r>
    <x v="2"/>
    <x v="1"/>
    <n v="0"/>
  </r>
  <r>
    <x v="0"/>
    <x v="2"/>
    <m/>
  </r>
  <r>
    <x v="2"/>
    <x v="2"/>
    <n v="0"/>
  </r>
  <r>
    <x v="2"/>
    <x v="2"/>
    <n v="0"/>
  </r>
  <r>
    <x v="2"/>
    <x v="2"/>
    <n v="0"/>
  </r>
  <r>
    <x v="2"/>
    <x v="2"/>
    <n v="0"/>
  </r>
  <r>
    <x v="0"/>
    <x v="3"/>
    <m/>
  </r>
  <r>
    <x v="1"/>
    <x v="3"/>
    <n v="1"/>
  </r>
  <r>
    <x v="1"/>
    <x v="3"/>
    <n v="2"/>
  </r>
  <r>
    <x v="1"/>
    <x v="3"/>
    <n v="0"/>
  </r>
  <r>
    <x v="1"/>
    <x v="3"/>
    <n v="0"/>
  </r>
  <r>
    <x v="0"/>
    <x v="4"/>
    <m/>
  </r>
  <r>
    <x v="3"/>
    <x v="4"/>
    <n v="0"/>
  </r>
  <r>
    <x v="3"/>
    <x v="4"/>
    <n v="0"/>
  </r>
  <r>
    <x v="3"/>
    <x v="4"/>
    <n v="0"/>
  </r>
  <r>
    <x v="2"/>
    <x v="4"/>
    <n v="7"/>
  </r>
  <r>
    <x v="0"/>
    <x v="5"/>
    <m/>
  </r>
  <r>
    <x v="3"/>
    <x v="5"/>
    <n v="2"/>
  </r>
  <r>
    <x v="3"/>
    <x v="5"/>
    <n v="2"/>
  </r>
  <r>
    <x v="3"/>
    <x v="5"/>
    <n v="3"/>
  </r>
  <r>
    <x v="2"/>
    <x v="5"/>
    <n v="7"/>
  </r>
  <r>
    <x v="0"/>
    <x v="0"/>
    <m/>
  </r>
  <r>
    <x v="0"/>
    <x v="0"/>
    <n v="0"/>
  </r>
  <r>
    <x v="0"/>
    <x v="1"/>
    <m/>
  </r>
  <r>
    <x v="3"/>
    <x v="1"/>
    <n v="4"/>
  </r>
  <r>
    <x v="3"/>
    <x v="1"/>
    <n v="3"/>
  </r>
  <r>
    <x v="3"/>
    <x v="1"/>
    <n v="0"/>
  </r>
  <r>
    <x v="2"/>
    <x v="1"/>
    <n v="7"/>
  </r>
  <r>
    <x v="0"/>
    <x v="2"/>
    <m/>
  </r>
  <r>
    <x v="3"/>
    <x v="2"/>
    <n v="0"/>
  </r>
  <r>
    <x v="3"/>
    <x v="2"/>
    <n v="2"/>
  </r>
  <r>
    <x v="3"/>
    <x v="2"/>
    <n v="1"/>
  </r>
  <r>
    <x v="3"/>
    <x v="2"/>
    <n v="0"/>
  </r>
  <r>
    <x v="0"/>
    <x v="3"/>
    <m/>
  </r>
  <r>
    <x v="2"/>
    <x v="3"/>
    <n v="1"/>
  </r>
  <r>
    <x v="2"/>
    <x v="3"/>
    <n v="2"/>
  </r>
  <r>
    <x v="2"/>
    <x v="3"/>
    <n v="0"/>
  </r>
  <r>
    <x v="2"/>
    <x v="3"/>
    <n v="1"/>
  </r>
  <r>
    <x v="0"/>
    <x v="4"/>
    <m/>
  </r>
  <r>
    <x v="2"/>
    <x v="4"/>
    <n v="5"/>
  </r>
  <r>
    <x v="2"/>
    <x v="4"/>
    <n v="1"/>
  </r>
  <r>
    <x v="2"/>
    <x v="4"/>
    <n v="1"/>
  </r>
  <r>
    <x v="2"/>
    <x v="4"/>
    <n v="0"/>
  </r>
  <r>
    <x v="0"/>
    <x v="5"/>
    <m/>
  </r>
  <r>
    <x v="3"/>
    <x v="5"/>
    <n v="6"/>
  </r>
  <r>
    <x v="3"/>
    <x v="5"/>
    <n v="1"/>
  </r>
  <r>
    <x v="3"/>
    <x v="5"/>
    <n v="0"/>
  </r>
  <r>
    <x v="2"/>
    <x v="5"/>
    <n v="6"/>
  </r>
  <r>
    <x v="0"/>
    <x v="1"/>
    <m/>
  </r>
  <r>
    <x v="2"/>
    <x v="1"/>
    <n v="2"/>
  </r>
  <r>
    <x v="2"/>
    <x v="1"/>
    <n v="4"/>
  </r>
  <r>
    <x v="2"/>
    <x v="1"/>
    <n v="1"/>
  </r>
  <r>
    <x v="3"/>
    <x v="1"/>
    <n v="0"/>
  </r>
  <r>
    <x v="0"/>
    <x v="0"/>
    <m/>
  </r>
  <r>
    <x v="1"/>
    <x v="0"/>
    <n v="1"/>
  </r>
  <r>
    <x v="1"/>
    <x v="0"/>
    <n v="0"/>
  </r>
  <r>
    <x v="1"/>
    <x v="0"/>
    <n v="0"/>
  </r>
  <r>
    <x v="1"/>
    <x v="0"/>
    <n v="0"/>
  </r>
  <r>
    <x v="0"/>
    <x v="1"/>
    <m/>
  </r>
  <r>
    <x v="2"/>
    <x v="1"/>
    <n v="0"/>
  </r>
  <r>
    <x v="2"/>
    <x v="1"/>
    <n v="2"/>
  </r>
  <r>
    <x v="2"/>
    <x v="1"/>
    <n v="2"/>
  </r>
  <r>
    <x v="2"/>
    <x v="1"/>
    <n v="0"/>
  </r>
  <r>
    <x v="0"/>
    <x v="2"/>
    <m/>
  </r>
  <r>
    <x v="1"/>
    <x v="2"/>
    <n v="0"/>
  </r>
  <r>
    <x v="1"/>
    <x v="2"/>
    <n v="0"/>
  </r>
  <r>
    <x v="1"/>
    <x v="2"/>
    <n v="0"/>
  </r>
  <r>
    <x v="1"/>
    <x v="2"/>
    <n v="0"/>
  </r>
  <r>
    <x v="0"/>
    <x v="3"/>
    <m/>
  </r>
  <r>
    <x v="2"/>
    <x v="3"/>
    <n v="1"/>
  </r>
  <r>
    <x v="2"/>
    <x v="3"/>
    <n v="1"/>
  </r>
  <r>
    <x v="2"/>
    <x v="3"/>
    <n v="2"/>
  </r>
  <r>
    <x v="2"/>
    <x v="3"/>
    <n v="0"/>
  </r>
  <r>
    <x v="0"/>
    <x v="4"/>
    <m/>
  </r>
  <r>
    <x v="3"/>
    <x v="4"/>
    <n v="2"/>
  </r>
  <r>
    <x v="3"/>
    <x v="4"/>
    <n v="2"/>
  </r>
  <r>
    <x v="3"/>
    <x v="4"/>
    <n v="3"/>
  </r>
  <r>
    <x v="3"/>
    <x v="4"/>
    <n v="0"/>
  </r>
  <r>
    <x v="0"/>
    <x v="5"/>
    <m/>
  </r>
  <r>
    <x v="3"/>
    <x v="5"/>
    <n v="6"/>
  </r>
  <r>
    <x v="3"/>
    <x v="5"/>
    <n v="0"/>
  </r>
  <r>
    <x v="3"/>
    <x v="5"/>
    <n v="1"/>
  </r>
  <r>
    <x v="2"/>
    <x v="5"/>
    <n v="6"/>
  </r>
  <r>
    <x v="0"/>
    <x v="1"/>
    <m/>
  </r>
  <r>
    <x v="2"/>
    <x v="1"/>
    <n v="0"/>
  </r>
  <r>
    <x v="2"/>
    <x v="1"/>
    <n v="0"/>
  </r>
  <r>
    <x v="2"/>
    <x v="1"/>
    <n v="0"/>
  </r>
  <r>
    <x v="2"/>
    <x v="1"/>
    <n v="0"/>
  </r>
  <r>
    <x v="0"/>
    <x v="0"/>
    <m/>
  </r>
  <r>
    <x v="2"/>
    <x v="0"/>
    <n v="0"/>
  </r>
  <r>
    <x v="2"/>
    <x v="0"/>
    <n v="1"/>
  </r>
  <r>
    <x v="2"/>
    <x v="0"/>
    <n v="2"/>
  </r>
  <r>
    <x v="2"/>
    <x v="0"/>
    <n v="0"/>
  </r>
  <r>
    <x v="0"/>
    <x v="1"/>
    <m/>
  </r>
  <r>
    <x v="2"/>
    <x v="1"/>
    <n v="2"/>
  </r>
  <r>
    <x v="2"/>
    <x v="1"/>
    <n v="2"/>
  </r>
  <r>
    <x v="2"/>
    <x v="1"/>
    <n v="3"/>
  </r>
  <r>
    <x v="2"/>
    <x v="1"/>
    <n v="0"/>
  </r>
  <r>
    <x v="0"/>
    <x v="2"/>
    <m/>
  </r>
  <r>
    <x v="3"/>
    <x v="2"/>
    <n v="0"/>
  </r>
  <r>
    <x v="3"/>
    <x v="2"/>
    <n v="0"/>
  </r>
  <r>
    <x v="3"/>
    <x v="2"/>
    <n v="1"/>
  </r>
  <r>
    <x v="3"/>
    <x v="2"/>
    <n v="2"/>
  </r>
  <r>
    <x v="0"/>
    <x v="3"/>
    <m/>
  </r>
  <r>
    <x v="1"/>
    <x v="3"/>
    <n v="3"/>
  </r>
  <r>
    <x v="1"/>
    <x v="3"/>
    <n v="0"/>
  </r>
  <r>
    <x v="1"/>
    <x v="3"/>
    <n v="0"/>
  </r>
  <r>
    <x v="2"/>
    <x v="3"/>
    <n v="4"/>
  </r>
  <r>
    <x v="0"/>
    <x v="4"/>
    <m/>
  </r>
  <r>
    <x v="2"/>
    <x v="4"/>
    <n v="7"/>
  </r>
  <r>
    <x v="2"/>
    <x v="4"/>
    <n v="0"/>
  </r>
  <r>
    <x v="2"/>
    <x v="4"/>
    <n v="0"/>
  </r>
  <r>
    <x v="2"/>
    <x v="4"/>
    <n v="0"/>
  </r>
  <r>
    <x v="0"/>
    <x v="5"/>
    <m/>
  </r>
  <r>
    <x v="3"/>
    <x v="5"/>
    <n v="7"/>
  </r>
  <r>
    <x v="3"/>
    <x v="5"/>
    <n v="0"/>
  </r>
  <r>
    <x v="3"/>
    <x v="5"/>
    <n v="0"/>
  </r>
  <r>
    <x v="2"/>
    <x v="5"/>
    <n v="7"/>
  </r>
  <r>
    <x v="0"/>
    <x v="0"/>
    <m/>
  </r>
  <r>
    <x v="1"/>
    <x v="0"/>
    <n v="0"/>
  </r>
  <r>
    <x v="1"/>
    <x v="0"/>
    <n v="0"/>
  </r>
  <r>
    <x v="1"/>
    <x v="0"/>
    <n v="1"/>
  </r>
  <r>
    <x v="1"/>
    <x v="0"/>
    <n v="0"/>
  </r>
  <r>
    <x v="0"/>
    <x v="1"/>
    <m/>
  </r>
  <r>
    <x v="1"/>
    <x v="1"/>
    <n v="2"/>
  </r>
  <r>
    <x v="1"/>
    <x v="1"/>
    <n v="2"/>
  </r>
  <r>
    <x v="1"/>
    <x v="1"/>
    <n v="1"/>
  </r>
  <r>
    <x v="1"/>
    <x v="1"/>
    <n v="1"/>
  </r>
  <r>
    <x v="0"/>
    <x v="2"/>
    <m/>
  </r>
  <r>
    <x v="1"/>
    <x v="2"/>
    <n v="1"/>
  </r>
  <r>
    <x v="1"/>
    <x v="2"/>
    <n v="0"/>
  </r>
  <r>
    <x v="1"/>
    <x v="2"/>
    <n v="0"/>
  </r>
  <r>
    <x v="1"/>
    <x v="2"/>
    <n v="0"/>
  </r>
  <r>
    <x v="0"/>
    <x v="3"/>
    <m/>
  </r>
  <r>
    <x v="1"/>
    <x v="3"/>
    <n v="1"/>
  </r>
  <r>
    <x v="1"/>
    <x v="3"/>
    <n v="3"/>
  </r>
  <r>
    <x v="1"/>
    <x v="3"/>
    <n v="3"/>
  </r>
  <r>
    <x v="2"/>
    <x v="3"/>
    <n v="2"/>
  </r>
  <r>
    <x v="0"/>
    <x v="4"/>
    <m/>
  </r>
  <r>
    <x v="3"/>
    <x v="4"/>
    <n v="2"/>
  </r>
  <r>
    <x v="3"/>
    <x v="4"/>
    <n v="4"/>
  </r>
  <r>
    <x v="3"/>
    <x v="4"/>
    <n v="1"/>
  </r>
  <r>
    <x v="3"/>
    <x v="4"/>
    <n v="0"/>
  </r>
  <r>
    <x v="0"/>
    <x v="5"/>
    <m/>
  </r>
  <r>
    <x v="2"/>
    <x v="5"/>
    <n v="7"/>
  </r>
  <r>
    <x v="2"/>
    <x v="5"/>
    <n v="0"/>
  </r>
  <r>
    <x v="2"/>
    <x v="5"/>
    <n v="0"/>
  </r>
  <r>
    <x v="2"/>
    <x v="5"/>
    <n v="0"/>
  </r>
  <r>
    <x v="0"/>
    <x v="0"/>
    <m/>
  </r>
  <r>
    <x v="2"/>
    <x v="0"/>
    <n v="1"/>
  </r>
  <r>
    <x v="2"/>
    <x v="0"/>
    <n v="0"/>
  </r>
  <r>
    <x v="2"/>
    <x v="0"/>
    <n v="2"/>
  </r>
  <r>
    <x v="2"/>
    <x v="0"/>
    <n v="0"/>
  </r>
  <r>
    <x v="0"/>
    <x v="1"/>
    <m/>
  </r>
  <r>
    <x v="2"/>
    <x v="1"/>
    <n v="2"/>
  </r>
  <r>
    <x v="2"/>
    <x v="1"/>
    <n v="2"/>
  </r>
  <r>
    <x v="2"/>
    <x v="1"/>
    <n v="3"/>
  </r>
  <r>
    <x v="2"/>
    <x v="1"/>
    <n v="0"/>
  </r>
  <r>
    <x v="0"/>
    <x v="3"/>
    <m/>
  </r>
  <r>
    <x v="1"/>
    <x v="3"/>
    <n v="2"/>
  </r>
  <r>
    <x v="1"/>
    <x v="3"/>
    <n v="0"/>
  </r>
  <r>
    <x v="1"/>
    <x v="3"/>
    <n v="2"/>
  </r>
  <r>
    <x v="2"/>
    <x v="3"/>
    <n v="2"/>
  </r>
  <r>
    <x v="0"/>
    <x v="4"/>
    <m/>
  </r>
  <r>
    <x v="1"/>
    <x v="4"/>
    <n v="3"/>
  </r>
  <r>
    <x v="1"/>
    <x v="4"/>
    <n v="1"/>
  </r>
  <r>
    <x v="1"/>
    <x v="4"/>
    <n v="2"/>
  </r>
  <r>
    <x v="2"/>
    <x v="4"/>
    <n v="7"/>
  </r>
  <r>
    <x v="0"/>
    <x v="5"/>
    <m/>
  </r>
  <r>
    <x v="2"/>
    <x v="5"/>
    <n v="2"/>
  </r>
  <r>
    <x v="2"/>
    <x v="5"/>
    <n v="0"/>
  </r>
  <r>
    <x v="2"/>
    <x v="5"/>
    <n v="2"/>
  </r>
  <r>
    <x v="2"/>
    <x v="5"/>
    <n v="7"/>
  </r>
  <r>
    <x v="0"/>
    <x v="1"/>
    <m/>
  </r>
  <r>
    <x v="3"/>
    <x v="1"/>
    <n v="5"/>
  </r>
  <r>
    <x v="3"/>
    <x v="1"/>
    <n v="2"/>
  </r>
  <r>
    <x v="3"/>
    <x v="1"/>
    <n v="0"/>
  </r>
  <r>
    <x v="3"/>
    <x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x v="0"/>
    <x v="0"/>
    <x v="0"/>
  </r>
  <r>
    <x v="1"/>
    <x v="1"/>
    <x v="0"/>
  </r>
  <r>
    <x v="1"/>
    <x v="2"/>
    <x v="0"/>
  </r>
  <r>
    <x v="1"/>
    <x v="3"/>
    <x v="0"/>
  </r>
  <r>
    <x v="1"/>
    <x v="4"/>
    <x v="0"/>
  </r>
  <r>
    <x v="0"/>
    <x v="0"/>
    <x v="1"/>
  </r>
  <r>
    <x v="2"/>
    <x v="1"/>
    <x v="1"/>
  </r>
  <r>
    <x v="2"/>
    <x v="2"/>
    <x v="1"/>
  </r>
  <r>
    <x v="2"/>
    <x v="3"/>
    <x v="1"/>
  </r>
  <r>
    <x v="2"/>
    <x v="4"/>
    <x v="1"/>
  </r>
  <r>
    <x v="0"/>
    <x v="0"/>
    <x v="2"/>
  </r>
  <r>
    <x v="1"/>
    <x v="1"/>
    <x v="2"/>
  </r>
  <r>
    <x v="1"/>
    <x v="2"/>
    <x v="2"/>
  </r>
  <r>
    <x v="1"/>
    <x v="3"/>
    <x v="2"/>
  </r>
  <r>
    <x v="1"/>
    <x v="4"/>
    <x v="2"/>
  </r>
  <r>
    <x v="0"/>
    <x v="0"/>
    <x v="3"/>
  </r>
  <r>
    <x v="2"/>
    <x v="1"/>
    <x v="3"/>
  </r>
  <r>
    <x v="2"/>
    <x v="2"/>
    <x v="3"/>
  </r>
  <r>
    <x v="2"/>
    <x v="3"/>
    <x v="3"/>
  </r>
  <r>
    <x v="2"/>
    <x v="4"/>
    <x v="3"/>
  </r>
  <r>
    <x v="0"/>
    <x v="0"/>
    <x v="4"/>
  </r>
  <r>
    <x v="3"/>
    <x v="1"/>
    <x v="4"/>
  </r>
  <r>
    <x v="3"/>
    <x v="2"/>
    <x v="4"/>
  </r>
  <r>
    <x v="3"/>
    <x v="3"/>
    <x v="4"/>
  </r>
  <r>
    <x v="3"/>
    <x v="4"/>
    <x v="4"/>
  </r>
  <r>
    <x v="0"/>
    <x v="0"/>
    <x v="5"/>
  </r>
  <r>
    <x v="3"/>
    <x v="1"/>
    <x v="5"/>
  </r>
  <r>
    <x v="3"/>
    <x v="2"/>
    <x v="5"/>
  </r>
  <r>
    <x v="3"/>
    <x v="3"/>
    <x v="5"/>
  </r>
  <r>
    <x v="2"/>
    <x v="4"/>
    <x v="5"/>
  </r>
  <r>
    <x v="0"/>
    <x v="0"/>
    <x v="1"/>
  </r>
  <r>
    <x v="2"/>
    <x v="1"/>
    <x v="1"/>
  </r>
  <r>
    <x v="2"/>
    <x v="2"/>
    <x v="1"/>
  </r>
  <r>
    <x v="2"/>
    <x v="3"/>
    <x v="1"/>
  </r>
  <r>
    <x v="2"/>
    <x v="4"/>
    <x v="1"/>
  </r>
  <r>
    <x v="0"/>
    <x v="0"/>
    <x v="2"/>
  </r>
  <r>
    <x v="2"/>
    <x v="1"/>
    <x v="2"/>
  </r>
  <r>
    <x v="2"/>
    <x v="2"/>
    <x v="2"/>
  </r>
  <r>
    <x v="2"/>
    <x v="3"/>
    <x v="2"/>
  </r>
  <r>
    <x v="2"/>
    <x v="4"/>
    <x v="2"/>
  </r>
  <r>
    <x v="0"/>
    <x v="0"/>
    <x v="1"/>
  </r>
  <r>
    <x v="2"/>
    <x v="1"/>
    <x v="1"/>
  </r>
  <r>
    <x v="2"/>
    <x v="2"/>
    <x v="1"/>
  </r>
  <r>
    <x v="2"/>
    <x v="3"/>
    <x v="1"/>
  </r>
  <r>
    <x v="3"/>
    <x v="4"/>
    <x v="1"/>
  </r>
  <r>
    <x v="0"/>
    <x v="0"/>
    <x v="2"/>
  </r>
  <r>
    <x v="3"/>
    <x v="1"/>
    <x v="2"/>
  </r>
  <r>
    <x v="3"/>
    <x v="2"/>
    <x v="2"/>
  </r>
  <r>
    <x v="3"/>
    <x v="3"/>
    <x v="2"/>
  </r>
  <r>
    <x v="3"/>
    <x v="4"/>
    <x v="2"/>
  </r>
  <r>
    <x v="0"/>
    <x v="0"/>
    <x v="0"/>
  </r>
  <r>
    <x v="3"/>
    <x v="1"/>
    <x v="0"/>
  </r>
  <r>
    <x v="3"/>
    <x v="2"/>
    <x v="0"/>
  </r>
  <r>
    <x v="3"/>
    <x v="3"/>
    <x v="0"/>
  </r>
  <r>
    <x v="3"/>
    <x v="4"/>
    <x v="0"/>
  </r>
  <r>
    <x v="0"/>
    <x v="0"/>
    <x v="4"/>
  </r>
  <r>
    <x v="2"/>
    <x v="1"/>
    <x v="4"/>
  </r>
  <r>
    <x v="2"/>
    <x v="2"/>
    <x v="4"/>
  </r>
  <r>
    <x v="2"/>
    <x v="3"/>
    <x v="4"/>
  </r>
  <r>
    <x v="2"/>
    <x v="4"/>
    <x v="4"/>
  </r>
  <r>
    <x v="0"/>
    <x v="0"/>
    <x v="5"/>
  </r>
  <r>
    <x v="3"/>
    <x v="1"/>
    <x v="5"/>
  </r>
  <r>
    <x v="3"/>
    <x v="2"/>
    <x v="5"/>
  </r>
  <r>
    <x v="3"/>
    <x v="3"/>
    <x v="5"/>
  </r>
  <r>
    <x v="2"/>
    <x v="4"/>
    <x v="5"/>
  </r>
  <r>
    <x v="0"/>
    <x v="0"/>
    <x v="0"/>
  </r>
  <r>
    <x v="1"/>
    <x v="1"/>
    <x v="0"/>
  </r>
  <r>
    <x v="1"/>
    <x v="2"/>
    <x v="0"/>
  </r>
  <r>
    <x v="1"/>
    <x v="3"/>
    <x v="0"/>
  </r>
  <r>
    <x v="1"/>
    <x v="4"/>
    <x v="0"/>
  </r>
  <r>
    <x v="0"/>
    <x v="0"/>
    <x v="1"/>
  </r>
  <r>
    <x v="2"/>
    <x v="1"/>
    <x v="1"/>
  </r>
  <r>
    <x v="2"/>
    <x v="2"/>
    <x v="1"/>
  </r>
  <r>
    <x v="2"/>
    <x v="3"/>
    <x v="1"/>
  </r>
  <r>
    <x v="2"/>
    <x v="4"/>
    <x v="1"/>
  </r>
  <r>
    <x v="0"/>
    <x v="0"/>
    <x v="2"/>
  </r>
  <r>
    <x v="2"/>
    <x v="1"/>
    <x v="2"/>
  </r>
  <r>
    <x v="2"/>
    <x v="2"/>
    <x v="2"/>
  </r>
  <r>
    <x v="2"/>
    <x v="3"/>
    <x v="2"/>
  </r>
  <r>
    <x v="2"/>
    <x v="4"/>
    <x v="2"/>
  </r>
  <r>
    <x v="0"/>
    <x v="0"/>
    <x v="3"/>
  </r>
  <r>
    <x v="1"/>
    <x v="1"/>
    <x v="3"/>
  </r>
  <r>
    <x v="1"/>
    <x v="2"/>
    <x v="3"/>
  </r>
  <r>
    <x v="1"/>
    <x v="3"/>
    <x v="3"/>
  </r>
  <r>
    <x v="1"/>
    <x v="4"/>
    <x v="3"/>
  </r>
  <r>
    <x v="0"/>
    <x v="0"/>
    <x v="4"/>
  </r>
  <r>
    <x v="3"/>
    <x v="1"/>
    <x v="4"/>
  </r>
  <r>
    <x v="3"/>
    <x v="2"/>
    <x v="4"/>
  </r>
  <r>
    <x v="3"/>
    <x v="3"/>
    <x v="4"/>
  </r>
  <r>
    <x v="2"/>
    <x v="4"/>
    <x v="4"/>
  </r>
  <r>
    <x v="0"/>
    <x v="0"/>
    <x v="5"/>
  </r>
  <r>
    <x v="3"/>
    <x v="1"/>
    <x v="5"/>
  </r>
  <r>
    <x v="3"/>
    <x v="2"/>
    <x v="5"/>
  </r>
  <r>
    <x v="3"/>
    <x v="3"/>
    <x v="5"/>
  </r>
  <r>
    <x v="2"/>
    <x v="4"/>
    <x v="5"/>
  </r>
  <r>
    <x v="0"/>
    <x v="0"/>
    <x v="0"/>
  </r>
  <r>
    <x v="0"/>
    <x v="1"/>
    <x v="0"/>
  </r>
  <r>
    <x v="0"/>
    <x v="0"/>
    <x v="1"/>
  </r>
  <r>
    <x v="3"/>
    <x v="1"/>
    <x v="1"/>
  </r>
  <r>
    <x v="3"/>
    <x v="2"/>
    <x v="1"/>
  </r>
  <r>
    <x v="3"/>
    <x v="3"/>
    <x v="1"/>
  </r>
  <r>
    <x v="2"/>
    <x v="4"/>
    <x v="1"/>
  </r>
  <r>
    <x v="0"/>
    <x v="0"/>
    <x v="2"/>
  </r>
  <r>
    <x v="3"/>
    <x v="1"/>
    <x v="2"/>
  </r>
  <r>
    <x v="3"/>
    <x v="2"/>
    <x v="2"/>
  </r>
  <r>
    <x v="3"/>
    <x v="3"/>
    <x v="2"/>
  </r>
  <r>
    <x v="3"/>
    <x v="4"/>
    <x v="2"/>
  </r>
  <r>
    <x v="0"/>
    <x v="0"/>
    <x v="3"/>
  </r>
  <r>
    <x v="2"/>
    <x v="1"/>
    <x v="3"/>
  </r>
  <r>
    <x v="2"/>
    <x v="2"/>
    <x v="3"/>
  </r>
  <r>
    <x v="2"/>
    <x v="3"/>
    <x v="3"/>
  </r>
  <r>
    <x v="2"/>
    <x v="4"/>
    <x v="3"/>
  </r>
  <r>
    <x v="0"/>
    <x v="0"/>
    <x v="4"/>
  </r>
  <r>
    <x v="2"/>
    <x v="1"/>
    <x v="4"/>
  </r>
  <r>
    <x v="2"/>
    <x v="2"/>
    <x v="4"/>
  </r>
  <r>
    <x v="2"/>
    <x v="3"/>
    <x v="4"/>
  </r>
  <r>
    <x v="2"/>
    <x v="4"/>
    <x v="4"/>
  </r>
  <r>
    <x v="0"/>
    <x v="0"/>
    <x v="5"/>
  </r>
  <r>
    <x v="3"/>
    <x v="1"/>
    <x v="5"/>
  </r>
  <r>
    <x v="3"/>
    <x v="2"/>
    <x v="5"/>
  </r>
  <r>
    <x v="3"/>
    <x v="3"/>
    <x v="5"/>
  </r>
  <r>
    <x v="2"/>
    <x v="4"/>
    <x v="5"/>
  </r>
  <r>
    <x v="0"/>
    <x v="0"/>
    <x v="1"/>
  </r>
  <r>
    <x v="2"/>
    <x v="1"/>
    <x v="1"/>
  </r>
  <r>
    <x v="2"/>
    <x v="2"/>
    <x v="1"/>
  </r>
  <r>
    <x v="2"/>
    <x v="3"/>
    <x v="1"/>
  </r>
  <r>
    <x v="3"/>
    <x v="4"/>
    <x v="1"/>
  </r>
  <r>
    <x v="0"/>
    <x v="0"/>
    <x v="0"/>
  </r>
  <r>
    <x v="1"/>
    <x v="1"/>
    <x v="0"/>
  </r>
  <r>
    <x v="1"/>
    <x v="2"/>
    <x v="0"/>
  </r>
  <r>
    <x v="1"/>
    <x v="3"/>
    <x v="0"/>
  </r>
  <r>
    <x v="1"/>
    <x v="4"/>
    <x v="0"/>
  </r>
  <r>
    <x v="0"/>
    <x v="0"/>
    <x v="1"/>
  </r>
  <r>
    <x v="2"/>
    <x v="1"/>
    <x v="1"/>
  </r>
  <r>
    <x v="2"/>
    <x v="2"/>
    <x v="1"/>
  </r>
  <r>
    <x v="2"/>
    <x v="3"/>
    <x v="1"/>
  </r>
  <r>
    <x v="2"/>
    <x v="4"/>
    <x v="1"/>
  </r>
  <r>
    <x v="0"/>
    <x v="0"/>
    <x v="2"/>
  </r>
  <r>
    <x v="1"/>
    <x v="1"/>
    <x v="2"/>
  </r>
  <r>
    <x v="1"/>
    <x v="2"/>
    <x v="2"/>
  </r>
  <r>
    <x v="1"/>
    <x v="3"/>
    <x v="2"/>
  </r>
  <r>
    <x v="1"/>
    <x v="4"/>
    <x v="2"/>
  </r>
  <r>
    <x v="0"/>
    <x v="0"/>
    <x v="3"/>
  </r>
  <r>
    <x v="2"/>
    <x v="1"/>
    <x v="3"/>
  </r>
  <r>
    <x v="2"/>
    <x v="2"/>
    <x v="3"/>
  </r>
  <r>
    <x v="2"/>
    <x v="3"/>
    <x v="3"/>
  </r>
  <r>
    <x v="2"/>
    <x v="4"/>
    <x v="3"/>
  </r>
  <r>
    <x v="0"/>
    <x v="0"/>
    <x v="4"/>
  </r>
  <r>
    <x v="3"/>
    <x v="1"/>
    <x v="4"/>
  </r>
  <r>
    <x v="3"/>
    <x v="2"/>
    <x v="4"/>
  </r>
  <r>
    <x v="3"/>
    <x v="3"/>
    <x v="4"/>
  </r>
  <r>
    <x v="3"/>
    <x v="4"/>
    <x v="4"/>
  </r>
  <r>
    <x v="0"/>
    <x v="0"/>
    <x v="5"/>
  </r>
  <r>
    <x v="3"/>
    <x v="1"/>
    <x v="5"/>
  </r>
  <r>
    <x v="3"/>
    <x v="2"/>
    <x v="5"/>
  </r>
  <r>
    <x v="3"/>
    <x v="3"/>
    <x v="5"/>
  </r>
  <r>
    <x v="2"/>
    <x v="4"/>
    <x v="5"/>
  </r>
  <r>
    <x v="0"/>
    <x v="0"/>
    <x v="1"/>
  </r>
  <r>
    <x v="2"/>
    <x v="1"/>
    <x v="1"/>
  </r>
  <r>
    <x v="2"/>
    <x v="2"/>
    <x v="1"/>
  </r>
  <r>
    <x v="2"/>
    <x v="3"/>
    <x v="1"/>
  </r>
  <r>
    <x v="2"/>
    <x v="4"/>
    <x v="1"/>
  </r>
  <r>
    <x v="0"/>
    <x v="0"/>
    <x v="0"/>
  </r>
  <r>
    <x v="2"/>
    <x v="1"/>
    <x v="0"/>
  </r>
  <r>
    <x v="2"/>
    <x v="2"/>
    <x v="0"/>
  </r>
  <r>
    <x v="2"/>
    <x v="3"/>
    <x v="0"/>
  </r>
  <r>
    <x v="2"/>
    <x v="4"/>
    <x v="0"/>
  </r>
  <r>
    <x v="0"/>
    <x v="0"/>
    <x v="1"/>
  </r>
  <r>
    <x v="2"/>
    <x v="1"/>
    <x v="1"/>
  </r>
  <r>
    <x v="2"/>
    <x v="2"/>
    <x v="1"/>
  </r>
  <r>
    <x v="2"/>
    <x v="3"/>
    <x v="1"/>
  </r>
  <r>
    <x v="2"/>
    <x v="4"/>
    <x v="1"/>
  </r>
  <r>
    <x v="0"/>
    <x v="0"/>
    <x v="2"/>
  </r>
  <r>
    <x v="3"/>
    <x v="1"/>
    <x v="2"/>
  </r>
  <r>
    <x v="3"/>
    <x v="2"/>
    <x v="2"/>
  </r>
  <r>
    <x v="3"/>
    <x v="3"/>
    <x v="2"/>
  </r>
  <r>
    <x v="3"/>
    <x v="4"/>
    <x v="2"/>
  </r>
  <r>
    <x v="0"/>
    <x v="0"/>
    <x v="3"/>
  </r>
  <r>
    <x v="1"/>
    <x v="1"/>
    <x v="3"/>
  </r>
  <r>
    <x v="1"/>
    <x v="2"/>
    <x v="3"/>
  </r>
  <r>
    <x v="1"/>
    <x v="3"/>
    <x v="3"/>
  </r>
  <r>
    <x v="2"/>
    <x v="4"/>
    <x v="3"/>
  </r>
  <r>
    <x v="0"/>
    <x v="0"/>
    <x v="4"/>
  </r>
  <r>
    <x v="2"/>
    <x v="1"/>
    <x v="4"/>
  </r>
  <r>
    <x v="2"/>
    <x v="2"/>
    <x v="4"/>
  </r>
  <r>
    <x v="2"/>
    <x v="3"/>
    <x v="4"/>
  </r>
  <r>
    <x v="2"/>
    <x v="4"/>
    <x v="4"/>
  </r>
  <r>
    <x v="0"/>
    <x v="0"/>
    <x v="5"/>
  </r>
  <r>
    <x v="3"/>
    <x v="1"/>
    <x v="5"/>
  </r>
  <r>
    <x v="3"/>
    <x v="2"/>
    <x v="5"/>
  </r>
  <r>
    <x v="3"/>
    <x v="3"/>
    <x v="5"/>
  </r>
  <r>
    <x v="2"/>
    <x v="4"/>
    <x v="5"/>
  </r>
  <r>
    <x v="0"/>
    <x v="0"/>
    <x v="0"/>
  </r>
  <r>
    <x v="1"/>
    <x v="1"/>
    <x v="0"/>
  </r>
  <r>
    <x v="1"/>
    <x v="2"/>
    <x v="0"/>
  </r>
  <r>
    <x v="1"/>
    <x v="3"/>
    <x v="0"/>
  </r>
  <r>
    <x v="1"/>
    <x v="4"/>
    <x v="0"/>
  </r>
  <r>
    <x v="0"/>
    <x v="0"/>
    <x v="1"/>
  </r>
  <r>
    <x v="1"/>
    <x v="1"/>
    <x v="1"/>
  </r>
  <r>
    <x v="1"/>
    <x v="2"/>
    <x v="1"/>
  </r>
  <r>
    <x v="1"/>
    <x v="3"/>
    <x v="1"/>
  </r>
  <r>
    <x v="1"/>
    <x v="4"/>
    <x v="1"/>
  </r>
  <r>
    <x v="0"/>
    <x v="0"/>
    <x v="2"/>
  </r>
  <r>
    <x v="1"/>
    <x v="1"/>
    <x v="2"/>
  </r>
  <r>
    <x v="1"/>
    <x v="2"/>
    <x v="2"/>
  </r>
  <r>
    <x v="1"/>
    <x v="3"/>
    <x v="2"/>
  </r>
  <r>
    <x v="1"/>
    <x v="4"/>
    <x v="2"/>
  </r>
  <r>
    <x v="0"/>
    <x v="0"/>
    <x v="3"/>
  </r>
  <r>
    <x v="1"/>
    <x v="1"/>
    <x v="3"/>
  </r>
  <r>
    <x v="1"/>
    <x v="2"/>
    <x v="3"/>
  </r>
  <r>
    <x v="1"/>
    <x v="3"/>
    <x v="3"/>
  </r>
  <r>
    <x v="2"/>
    <x v="4"/>
    <x v="3"/>
  </r>
  <r>
    <x v="0"/>
    <x v="0"/>
    <x v="4"/>
  </r>
  <r>
    <x v="3"/>
    <x v="1"/>
    <x v="4"/>
  </r>
  <r>
    <x v="3"/>
    <x v="2"/>
    <x v="4"/>
  </r>
  <r>
    <x v="3"/>
    <x v="3"/>
    <x v="4"/>
  </r>
  <r>
    <x v="3"/>
    <x v="4"/>
    <x v="4"/>
  </r>
  <r>
    <x v="0"/>
    <x v="0"/>
    <x v="5"/>
  </r>
  <r>
    <x v="2"/>
    <x v="1"/>
    <x v="5"/>
  </r>
  <r>
    <x v="2"/>
    <x v="2"/>
    <x v="5"/>
  </r>
  <r>
    <x v="2"/>
    <x v="3"/>
    <x v="5"/>
  </r>
  <r>
    <x v="2"/>
    <x v="4"/>
    <x v="5"/>
  </r>
  <r>
    <x v="0"/>
    <x v="0"/>
    <x v="0"/>
  </r>
  <r>
    <x v="2"/>
    <x v="1"/>
    <x v="0"/>
  </r>
  <r>
    <x v="2"/>
    <x v="2"/>
    <x v="0"/>
  </r>
  <r>
    <x v="2"/>
    <x v="3"/>
    <x v="0"/>
  </r>
  <r>
    <x v="2"/>
    <x v="4"/>
    <x v="0"/>
  </r>
  <r>
    <x v="0"/>
    <x v="0"/>
    <x v="1"/>
  </r>
  <r>
    <x v="2"/>
    <x v="1"/>
    <x v="1"/>
  </r>
  <r>
    <x v="2"/>
    <x v="2"/>
    <x v="1"/>
  </r>
  <r>
    <x v="2"/>
    <x v="3"/>
    <x v="1"/>
  </r>
  <r>
    <x v="2"/>
    <x v="4"/>
    <x v="1"/>
  </r>
  <r>
    <x v="0"/>
    <x v="0"/>
    <x v="3"/>
  </r>
  <r>
    <x v="1"/>
    <x v="1"/>
    <x v="3"/>
  </r>
  <r>
    <x v="1"/>
    <x v="2"/>
    <x v="3"/>
  </r>
  <r>
    <x v="1"/>
    <x v="3"/>
    <x v="3"/>
  </r>
  <r>
    <x v="2"/>
    <x v="4"/>
    <x v="3"/>
  </r>
  <r>
    <x v="0"/>
    <x v="0"/>
    <x v="4"/>
  </r>
  <r>
    <x v="1"/>
    <x v="1"/>
    <x v="4"/>
  </r>
  <r>
    <x v="1"/>
    <x v="2"/>
    <x v="4"/>
  </r>
  <r>
    <x v="1"/>
    <x v="3"/>
    <x v="4"/>
  </r>
  <r>
    <x v="2"/>
    <x v="4"/>
    <x v="4"/>
  </r>
  <r>
    <x v="0"/>
    <x v="0"/>
    <x v="5"/>
  </r>
  <r>
    <x v="2"/>
    <x v="1"/>
    <x v="5"/>
  </r>
  <r>
    <x v="2"/>
    <x v="2"/>
    <x v="5"/>
  </r>
  <r>
    <x v="2"/>
    <x v="3"/>
    <x v="5"/>
  </r>
  <r>
    <x v="2"/>
    <x v="4"/>
    <x v="5"/>
  </r>
  <r>
    <x v="0"/>
    <x v="0"/>
    <x v="1"/>
  </r>
  <r>
    <x v="3"/>
    <x v="1"/>
    <x v="1"/>
  </r>
  <r>
    <x v="3"/>
    <x v="2"/>
    <x v="1"/>
  </r>
  <r>
    <x v="3"/>
    <x v="3"/>
    <x v="1"/>
  </r>
  <r>
    <x v="3"/>
    <x v="4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">
  <r>
    <n v="1036"/>
    <d v="2025-09-23T10:45:04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34"/>
    <n v="269"/>
    <m/>
    <m/>
    <m/>
    <x v="0"/>
    <n v="89"/>
    <s v="table1"/>
    <n v="19"/>
    <s v="250923_EPA_IntroDays_Overasselt"/>
    <n v="22"/>
    <n v="0"/>
    <s v=""/>
    <n v="0"/>
    <x v="0"/>
    <m/>
    <n v="0"/>
  </r>
  <r>
    <n v="1054"/>
    <d v="2025-09-23T10:45:04"/>
    <n v="75000"/>
    <n v="40000"/>
    <n v="0"/>
    <n v="11000"/>
    <n v="0"/>
    <n v="15000"/>
    <n v="20000"/>
    <n v="0"/>
    <n v="0"/>
    <n v="0"/>
    <n v="0"/>
    <n v="-6000"/>
    <n v="0"/>
    <n v="0"/>
    <n v="0"/>
    <n v="0"/>
    <n v="0"/>
    <n v="0"/>
    <n v="0"/>
    <n v="5"/>
    <n v="4"/>
    <n v="110000"/>
    <n v="0"/>
    <n v="0"/>
    <n v="0"/>
    <n v="125000"/>
    <n v="110000"/>
    <n v="99000"/>
    <m/>
    <m/>
    <n v="6"/>
    <n v="6"/>
    <n v="0"/>
    <n v="0"/>
    <n v="0"/>
    <n v="0"/>
    <s v="VIEW_SUMMARY"/>
    <n v="634"/>
    <n v="271"/>
    <m/>
    <n v="1307"/>
    <m/>
    <x v="1"/>
    <n v="89"/>
    <s v="table1"/>
    <n v="19"/>
    <s v="250923_EPA_IntroDays_Overasselt"/>
    <n v="22"/>
    <n v="12"/>
    <s v="(U-village)"/>
    <n v="1"/>
    <x v="0"/>
    <n v="0"/>
    <n v="0"/>
  </r>
  <r>
    <n v="1092"/>
    <d v="2025-09-23T10:45:04"/>
    <n v="75000"/>
    <n v="40000"/>
    <n v="6000"/>
    <n v="11000"/>
    <n v="0"/>
    <n v="0"/>
    <n v="20000"/>
    <n v="0"/>
    <n v="0"/>
    <n v="0"/>
    <n v="0"/>
    <n v="-2000"/>
    <n v="0"/>
    <n v="0"/>
    <n v="0"/>
    <n v="0"/>
    <n v="0"/>
    <n v="0"/>
    <n v="1"/>
    <n v="4"/>
    <n v="4"/>
    <n v="110000"/>
    <n v="110000"/>
    <n v="99000"/>
    <n v="0"/>
    <n v="0"/>
    <n v="110000"/>
    <n v="88000"/>
    <m/>
    <m/>
    <n v="6"/>
    <n v="6"/>
    <n v="0"/>
    <n v="0"/>
    <n v="0"/>
    <n v="0"/>
    <s v="VIEW_SUMMARY"/>
    <n v="634"/>
    <n v="276"/>
    <n v="1307"/>
    <n v="1307"/>
    <m/>
    <x v="2"/>
    <n v="89"/>
    <s v="table1"/>
    <n v="19"/>
    <s v="250923_EPA_IntroDays_Overasselt"/>
    <n v="22"/>
    <n v="12"/>
    <s v="(U-village)"/>
    <n v="2"/>
    <x v="0"/>
    <n v="0"/>
    <n v="0"/>
  </r>
  <r>
    <n v="1105"/>
    <d v="2025-09-23T10:45:04"/>
    <n v="75000"/>
    <n v="40000"/>
    <n v="2000"/>
    <n v="11000"/>
    <n v="0"/>
    <n v="0"/>
    <n v="20000"/>
    <n v="0"/>
    <n v="0"/>
    <n v="12000"/>
    <n v="0"/>
    <n v="-10000"/>
    <n v="0"/>
    <n v="0"/>
    <n v="0"/>
    <n v="0"/>
    <n v="4"/>
    <n v="0"/>
    <n v="1"/>
    <n v="-1"/>
    <n v="4"/>
    <n v="110000"/>
    <n v="110000"/>
    <n v="88000"/>
    <n v="0"/>
    <n v="0"/>
    <n v="110000"/>
    <n v="77000"/>
    <m/>
    <m/>
    <n v="6"/>
    <n v="6"/>
    <n v="-1"/>
    <n v="-2"/>
    <n v="0"/>
    <n v="0"/>
    <s v="VIEW_SUMMARY"/>
    <n v="634"/>
    <n v="278"/>
    <n v="1307"/>
    <n v="1307"/>
    <m/>
    <x v="3"/>
    <n v="89"/>
    <s v="table1"/>
    <n v="19"/>
    <s v="250923_EPA_IntroDays_Overasselt"/>
    <n v="22"/>
    <n v="12"/>
    <s v="(U-village)"/>
    <n v="3"/>
    <x v="0"/>
    <n v="0"/>
    <n v="12000"/>
  </r>
  <r>
    <n v="1131"/>
    <d v="2025-09-23T10:45:04"/>
    <n v="75000"/>
    <n v="40000"/>
    <n v="10000"/>
    <n v="11000"/>
    <n v="0"/>
    <n v="0"/>
    <n v="20000"/>
    <n v="0"/>
    <n v="0"/>
    <n v="12000"/>
    <n v="0"/>
    <n v="-18000"/>
    <n v="0"/>
    <n v="0"/>
    <n v="0"/>
    <n v="0"/>
    <n v="4"/>
    <n v="0"/>
    <n v="1"/>
    <n v="-6"/>
    <n v="4"/>
    <n v="110000"/>
    <n v="110000"/>
    <n v="77000"/>
    <n v="0"/>
    <n v="0"/>
    <n v="110000"/>
    <n v="66000"/>
    <m/>
    <m/>
    <n v="6"/>
    <n v="6"/>
    <n v="-2"/>
    <n v="-1"/>
    <n v="0"/>
    <n v="0"/>
    <s v="VIEW_SUMMARY"/>
    <n v="634"/>
    <n v="282"/>
    <n v="1307"/>
    <n v="1307"/>
    <m/>
    <x v="4"/>
    <n v="89"/>
    <s v="table1"/>
    <n v="19"/>
    <s v="250923_EPA_IntroDays_Overasselt"/>
    <n v="22"/>
    <n v="12"/>
    <s v="(U-village)"/>
    <n v="4"/>
    <x v="0"/>
    <n v="0"/>
    <n v="12000"/>
  </r>
  <r>
    <n v="1030"/>
    <d v="2025-09-23T10:28:36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35"/>
    <n v="269"/>
    <m/>
    <m/>
    <m/>
    <x v="0"/>
    <n v="89"/>
    <s v="table1"/>
    <n v="19"/>
    <s v="250923_EPA_IntroDays_Overasselt"/>
    <n v="22"/>
    <n v="0"/>
    <s v=""/>
    <n v="0"/>
    <x v="1"/>
    <m/>
    <n v="0"/>
  </r>
  <r>
    <n v="1049"/>
    <d v="2025-09-23T10:28:36"/>
    <n v="110000"/>
    <n v="60000"/>
    <n v="0"/>
    <n v="17000"/>
    <n v="0"/>
    <n v="30000"/>
    <n v="15000"/>
    <n v="8000"/>
    <n v="0"/>
    <n v="0"/>
    <n v="0"/>
    <n v="10000"/>
    <n v="0"/>
    <n v="0"/>
    <n v="1"/>
    <n v="0"/>
    <n v="0"/>
    <n v="0"/>
    <n v="0"/>
    <n v="6"/>
    <n v="6"/>
    <n v="170000"/>
    <n v="0"/>
    <n v="0"/>
    <n v="0"/>
    <n v="200000"/>
    <n v="170000"/>
    <n v="153000"/>
    <m/>
    <m/>
    <n v="6"/>
    <n v="9"/>
    <n v="0"/>
    <n v="0"/>
    <n v="1"/>
    <n v="1"/>
    <s v="VIEW_SUMMARY"/>
    <n v="635"/>
    <n v="271"/>
    <m/>
    <n v="1296"/>
    <m/>
    <x v="1"/>
    <n v="89"/>
    <s v="table1"/>
    <n v="19"/>
    <s v="250923_EPA_IntroDays_Overasselt"/>
    <n v="22"/>
    <n v="15"/>
    <s v="(Natu-city)"/>
    <n v="1"/>
    <x v="1"/>
    <n v="2"/>
    <n v="0"/>
  </r>
  <r>
    <n v="1090"/>
    <d v="2025-09-23T10:28:36"/>
    <n v="110000"/>
    <n v="60000"/>
    <n v="0"/>
    <n v="17000"/>
    <n v="0"/>
    <n v="0"/>
    <n v="15000"/>
    <n v="0"/>
    <n v="9000"/>
    <n v="0"/>
    <n v="0"/>
    <n v="19000"/>
    <n v="0"/>
    <n v="0"/>
    <n v="0"/>
    <n v="1"/>
    <n v="0"/>
    <n v="0"/>
    <n v="0"/>
    <n v="7"/>
    <n v="6"/>
    <n v="170000"/>
    <n v="170000"/>
    <n v="153000"/>
    <n v="0"/>
    <n v="0"/>
    <n v="170000"/>
    <n v="136000"/>
    <m/>
    <m/>
    <n v="6"/>
    <n v="9"/>
    <n v="0"/>
    <n v="0"/>
    <n v="0"/>
    <n v="0"/>
    <s v="VIEW_SUMMARY"/>
    <n v="635"/>
    <n v="276"/>
    <n v="1296"/>
    <n v="1296"/>
    <m/>
    <x v="2"/>
    <n v="89"/>
    <s v="table1"/>
    <n v="19"/>
    <s v="250923_EPA_IntroDays_Overasselt"/>
    <n v="22"/>
    <n v="15"/>
    <s v="(Natu-city)"/>
    <n v="2"/>
    <x v="1"/>
    <n v="0"/>
    <n v="0"/>
  </r>
  <r>
    <n v="1102"/>
    <d v="2025-09-23T10:28:36"/>
    <n v="110000"/>
    <n v="60000"/>
    <n v="0"/>
    <n v="17000"/>
    <n v="0"/>
    <n v="0"/>
    <n v="15000"/>
    <n v="6000"/>
    <n v="15500"/>
    <n v="0"/>
    <n v="0"/>
    <n v="15500"/>
    <n v="0"/>
    <n v="0"/>
    <n v="1"/>
    <n v="3"/>
    <n v="0"/>
    <n v="0"/>
    <n v="0"/>
    <n v="11"/>
    <n v="6"/>
    <n v="170000"/>
    <n v="170000"/>
    <n v="136000"/>
    <n v="0"/>
    <n v="0"/>
    <n v="170000"/>
    <n v="119000"/>
    <m/>
    <m/>
    <n v="6"/>
    <n v="9"/>
    <n v="-1"/>
    <n v="-2"/>
    <n v="1"/>
    <n v="0"/>
    <s v="VIEW_SUMMARY"/>
    <n v="635"/>
    <n v="278"/>
    <n v="1296"/>
    <n v="1296"/>
    <m/>
    <x v="3"/>
    <n v="89"/>
    <s v="table1"/>
    <n v="19"/>
    <s v="250923_EPA_IntroDays_Overasselt"/>
    <n v="22"/>
    <n v="15"/>
    <s v="(Natu-city)"/>
    <n v="3"/>
    <x v="1"/>
    <n v="1"/>
    <n v="0"/>
  </r>
  <r>
    <n v="1127"/>
    <d v="2025-09-23T10:28:36"/>
    <n v="110000"/>
    <n v="60000"/>
    <n v="0"/>
    <n v="17000"/>
    <n v="0"/>
    <n v="0"/>
    <n v="30000"/>
    <n v="1000"/>
    <n v="0"/>
    <n v="0"/>
    <n v="0"/>
    <n v="17500"/>
    <n v="0"/>
    <n v="0"/>
    <n v="0"/>
    <n v="0"/>
    <n v="0"/>
    <n v="0"/>
    <n v="0"/>
    <n v="11"/>
    <n v="6"/>
    <n v="170000"/>
    <n v="170000"/>
    <n v="119000"/>
    <n v="0"/>
    <n v="0"/>
    <n v="170000"/>
    <n v="102000"/>
    <m/>
    <m/>
    <n v="6"/>
    <n v="9"/>
    <n v="-2"/>
    <n v="-1"/>
    <n v="0"/>
    <n v="1"/>
    <s v="VIEW_SUMMARY"/>
    <n v="635"/>
    <n v="282"/>
    <n v="1296"/>
    <n v="1296"/>
    <m/>
    <x v="4"/>
    <n v="89"/>
    <s v="table1"/>
    <n v="19"/>
    <s v="250923_EPA_IntroDays_Overasselt"/>
    <n v="22"/>
    <n v="15"/>
    <s v="(Natu-city)"/>
    <n v="4"/>
    <x v="1"/>
    <n v="1"/>
    <n v="0"/>
  </r>
  <r>
    <n v="1025"/>
    <d v="2025-09-23T10:26:01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36"/>
    <n v="269"/>
    <m/>
    <m/>
    <m/>
    <x v="0"/>
    <n v="89"/>
    <s v="table1"/>
    <n v="19"/>
    <s v="250923_EPA_IntroDays_Overasselt"/>
    <n v="22"/>
    <n v="0"/>
    <s v=""/>
    <n v="0"/>
    <x v="2"/>
    <m/>
    <n v="0"/>
  </r>
  <r>
    <n v="1050"/>
    <d v="2025-09-23T10:26:01"/>
    <n v="60000"/>
    <n v="30000"/>
    <n v="0"/>
    <n v="7000"/>
    <n v="0"/>
    <n v="0"/>
    <n v="20000"/>
    <n v="0"/>
    <n v="1750"/>
    <n v="0"/>
    <n v="0"/>
    <n v="1250"/>
    <n v="0"/>
    <n v="-1"/>
    <n v="0"/>
    <n v="1"/>
    <n v="0"/>
    <n v="0"/>
    <n v="0"/>
    <n v="5"/>
    <n v="3"/>
    <n v="80000"/>
    <n v="0"/>
    <n v="0"/>
    <n v="0"/>
    <n v="70000"/>
    <n v="70000"/>
    <n v="63000"/>
    <m/>
    <m/>
    <n v="6"/>
    <n v="6"/>
    <n v="0"/>
    <n v="0"/>
    <n v="0"/>
    <n v="0"/>
    <s v="VIEW_SUMMARY"/>
    <n v="636"/>
    <n v="271"/>
    <m/>
    <n v="1308"/>
    <m/>
    <x v="1"/>
    <n v="89"/>
    <s v="table1"/>
    <n v="19"/>
    <s v="250923_EPA_IntroDays_Overasselt"/>
    <n v="22"/>
    <n v="12"/>
    <s v="(U-village)"/>
    <n v="1"/>
    <x v="2"/>
    <n v="0"/>
    <n v="0"/>
  </r>
  <r>
    <n v="1091"/>
    <d v="2025-09-23T10:26:01"/>
    <n v="60000"/>
    <n v="30000"/>
    <n v="0"/>
    <n v="7000"/>
    <n v="0"/>
    <n v="0"/>
    <n v="20000"/>
    <n v="1000"/>
    <n v="1400"/>
    <n v="0"/>
    <n v="0"/>
    <n v="1850"/>
    <n v="0"/>
    <n v="0"/>
    <n v="0"/>
    <n v="0"/>
    <n v="0"/>
    <n v="0"/>
    <n v="0"/>
    <n v="5"/>
    <n v="3"/>
    <n v="80000"/>
    <n v="70000"/>
    <n v="63000"/>
    <n v="0"/>
    <n v="0"/>
    <n v="70000"/>
    <n v="56000"/>
    <m/>
    <m/>
    <n v="6"/>
    <n v="6"/>
    <n v="0"/>
    <n v="0"/>
    <n v="0"/>
    <n v="1"/>
    <s v="VIEW_SUMMARY"/>
    <n v="636"/>
    <n v="276"/>
    <n v="1308"/>
    <n v="1308"/>
    <m/>
    <x v="2"/>
    <n v="89"/>
    <s v="table1"/>
    <n v="19"/>
    <s v="250923_EPA_IntroDays_Overasselt"/>
    <n v="22"/>
    <n v="12"/>
    <s v="(U-village)"/>
    <n v="2"/>
    <x v="2"/>
    <n v="1"/>
    <n v="0"/>
  </r>
  <r>
    <n v="1111"/>
    <d v="2025-09-23T10:26:01"/>
    <n v="60000"/>
    <n v="30000"/>
    <n v="0"/>
    <n v="7000"/>
    <n v="0"/>
    <n v="0"/>
    <n v="20000"/>
    <n v="0"/>
    <n v="0"/>
    <n v="12000"/>
    <n v="0"/>
    <n v="-7150"/>
    <n v="0"/>
    <n v="0"/>
    <n v="0"/>
    <n v="0"/>
    <n v="4"/>
    <n v="0"/>
    <n v="0"/>
    <n v="1"/>
    <n v="3"/>
    <n v="80000"/>
    <n v="70000"/>
    <n v="56000"/>
    <n v="0"/>
    <n v="0"/>
    <n v="70000"/>
    <n v="49000"/>
    <m/>
    <m/>
    <n v="6"/>
    <n v="6"/>
    <n v="-1"/>
    <n v="-2"/>
    <n v="0"/>
    <n v="0"/>
    <s v="VIEW_SUMMARY"/>
    <n v="636"/>
    <n v="278"/>
    <n v="1308"/>
    <n v="1308"/>
    <m/>
    <x v="3"/>
    <n v="89"/>
    <s v="table1"/>
    <n v="19"/>
    <s v="250923_EPA_IntroDays_Overasselt"/>
    <n v="22"/>
    <n v="12"/>
    <s v="(U-village)"/>
    <n v="3"/>
    <x v="2"/>
    <n v="0"/>
    <n v="12000"/>
  </r>
  <r>
    <n v="1128"/>
    <d v="2025-09-23T10:26:01"/>
    <n v="60000"/>
    <n v="30000"/>
    <n v="7150"/>
    <n v="7000"/>
    <n v="0"/>
    <n v="0"/>
    <n v="20000"/>
    <n v="0"/>
    <n v="0"/>
    <n v="12000"/>
    <n v="0"/>
    <n v="-16150"/>
    <n v="0"/>
    <n v="0"/>
    <n v="0"/>
    <n v="0"/>
    <n v="4"/>
    <n v="0"/>
    <n v="1"/>
    <n v="-4"/>
    <n v="3"/>
    <n v="80000"/>
    <n v="70000"/>
    <n v="49000"/>
    <n v="0"/>
    <n v="0"/>
    <n v="70000"/>
    <n v="42000"/>
    <m/>
    <m/>
    <n v="6"/>
    <n v="6"/>
    <n v="-2"/>
    <n v="-1"/>
    <n v="0"/>
    <n v="0"/>
    <s v="VIEW_SUMMARY"/>
    <n v="636"/>
    <n v="282"/>
    <n v="1308"/>
    <n v="1308"/>
    <m/>
    <x v="4"/>
    <n v="89"/>
    <s v="table1"/>
    <n v="19"/>
    <s v="250923_EPA_IntroDays_Overasselt"/>
    <n v="22"/>
    <n v="12"/>
    <s v="(U-village)"/>
    <n v="4"/>
    <x v="2"/>
    <n v="0"/>
    <n v="12000"/>
  </r>
  <r>
    <n v="1034"/>
    <d v="2025-09-23T10:33:43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37"/>
    <n v="269"/>
    <m/>
    <m/>
    <m/>
    <x v="0"/>
    <n v="89"/>
    <s v="table1"/>
    <n v="19"/>
    <s v="250923_EPA_IntroDays_Overasselt"/>
    <n v="22"/>
    <n v="0"/>
    <s v=""/>
    <n v="0"/>
    <x v="3"/>
    <m/>
    <n v="0"/>
  </r>
  <r>
    <n v="1052"/>
    <d v="2025-09-23T10:33:43"/>
    <n v="90000"/>
    <n v="50000"/>
    <n v="0"/>
    <n v="10000"/>
    <n v="0"/>
    <n v="0"/>
    <n v="15000"/>
    <n v="6000"/>
    <n v="5000"/>
    <n v="0"/>
    <n v="0"/>
    <n v="19000"/>
    <n v="0"/>
    <n v="-2"/>
    <n v="1"/>
    <n v="2"/>
    <n v="0"/>
    <n v="0"/>
    <n v="0"/>
    <n v="6"/>
    <n v="5"/>
    <n v="130000"/>
    <n v="0"/>
    <n v="0"/>
    <n v="0"/>
    <n v="100000"/>
    <n v="100000"/>
    <n v="90000"/>
    <m/>
    <m/>
    <n v="6"/>
    <n v="9"/>
    <n v="0"/>
    <n v="0"/>
    <n v="1"/>
    <n v="0"/>
    <s v="VIEW_SUMMARY"/>
    <n v="637"/>
    <n v="271"/>
    <m/>
    <n v="1298"/>
    <m/>
    <x v="1"/>
    <n v="89"/>
    <s v="table1"/>
    <n v="19"/>
    <s v="250923_EPA_IntroDays_Overasselt"/>
    <n v="22"/>
    <n v="15"/>
    <s v="(Natu-city)"/>
    <n v="1"/>
    <x v="3"/>
    <n v="1"/>
    <n v="0"/>
  </r>
  <r>
    <n v="1094"/>
    <d v="2025-09-23T10:33:43"/>
    <n v="90000"/>
    <n v="50000"/>
    <n v="0"/>
    <n v="10000"/>
    <n v="0"/>
    <n v="0"/>
    <n v="15000"/>
    <n v="10000"/>
    <n v="2500"/>
    <n v="0"/>
    <n v="0"/>
    <n v="21500"/>
    <n v="0"/>
    <n v="0"/>
    <n v="0"/>
    <n v="1"/>
    <n v="0"/>
    <n v="0"/>
    <n v="0"/>
    <n v="7"/>
    <n v="5"/>
    <n v="130000"/>
    <n v="100000"/>
    <n v="90000"/>
    <n v="0"/>
    <n v="0"/>
    <n v="100000"/>
    <n v="80000"/>
    <m/>
    <m/>
    <n v="6"/>
    <n v="9"/>
    <n v="0"/>
    <n v="0"/>
    <n v="1"/>
    <n v="1"/>
    <s v="VIEW_SUMMARY"/>
    <n v="637"/>
    <n v="276"/>
    <n v="1298"/>
    <n v="1298"/>
    <m/>
    <x v="2"/>
    <n v="89"/>
    <s v="table1"/>
    <n v="19"/>
    <s v="250923_EPA_IntroDays_Overasselt"/>
    <n v="22"/>
    <n v="15"/>
    <s v="(Natu-city)"/>
    <n v="2"/>
    <x v="3"/>
    <n v="2"/>
    <n v="0"/>
  </r>
  <r>
    <n v="1108"/>
    <d v="2025-09-23T10:33:43"/>
    <n v="90000"/>
    <n v="50000"/>
    <n v="0"/>
    <n v="10000"/>
    <n v="0"/>
    <n v="0"/>
    <n v="15000"/>
    <n v="8000"/>
    <n v="0"/>
    <n v="0"/>
    <n v="0"/>
    <n v="28500"/>
    <n v="0"/>
    <n v="0"/>
    <n v="1"/>
    <n v="0"/>
    <n v="0"/>
    <n v="0"/>
    <n v="0"/>
    <n v="8"/>
    <n v="5"/>
    <n v="130000"/>
    <n v="100000"/>
    <n v="80000"/>
    <n v="0"/>
    <n v="0"/>
    <n v="100000"/>
    <n v="70000"/>
    <m/>
    <m/>
    <n v="6"/>
    <n v="9"/>
    <n v="-1"/>
    <n v="-2"/>
    <n v="1"/>
    <n v="0"/>
    <s v="VIEW_SUMMARY"/>
    <n v="637"/>
    <n v="278"/>
    <n v="1298"/>
    <n v="1298"/>
    <m/>
    <x v="3"/>
    <n v="89"/>
    <s v="table1"/>
    <n v="19"/>
    <s v="250923_EPA_IntroDays_Overasselt"/>
    <n v="22"/>
    <n v="15"/>
    <s v="(Natu-city)"/>
    <n v="3"/>
    <x v="3"/>
    <n v="1"/>
    <n v="0"/>
  </r>
  <r>
    <n v="1133"/>
    <d v="2025-09-23T10:33:43"/>
    <n v="90000"/>
    <n v="50000"/>
    <n v="0"/>
    <n v="10000"/>
    <n v="0"/>
    <n v="0"/>
    <n v="30000"/>
    <n v="9000"/>
    <n v="0"/>
    <n v="0"/>
    <n v="0"/>
    <n v="19500"/>
    <n v="0"/>
    <n v="0"/>
    <n v="1"/>
    <n v="0"/>
    <n v="0"/>
    <n v="0"/>
    <n v="0"/>
    <n v="9"/>
    <n v="5"/>
    <n v="130000"/>
    <n v="100000"/>
    <n v="70000"/>
    <n v="0"/>
    <n v="0"/>
    <n v="100000"/>
    <n v="60000"/>
    <m/>
    <m/>
    <n v="6"/>
    <n v="9"/>
    <n v="-2"/>
    <n v="-1"/>
    <n v="1"/>
    <n v="2"/>
    <s v="ANSWER_SURVEY"/>
    <n v="637"/>
    <n v="282"/>
    <n v="1298"/>
    <n v="1298"/>
    <m/>
    <x v="4"/>
    <n v="89"/>
    <s v="table1"/>
    <n v="19"/>
    <s v="250923_EPA_IntroDays_Overasselt"/>
    <n v="22"/>
    <n v="15"/>
    <s v="(Natu-city)"/>
    <n v="4"/>
    <x v="3"/>
    <n v="3"/>
    <n v="0"/>
  </r>
  <r>
    <n v="1033"/>
    <d v="2025-09-23T10:33:32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38"/>
    <n v="269"/>
    <m/>
    <m/>
    <m/>
    <x v="0"/>
    <n v="89"/>
    <s v="table1"/>
    <n v="19"/>
    <s v="250923_EPA_IntroDays_Overasselt"/>
    <n v="22"/>
    <n v="0"/>
    <s v=""/>
    <n v="0"/>
    <x v="4"/>
    <m/>
    <n v="0"/>
  </r>
  <r>
    <n v="1051"/>
    <d v="2025-09-23T10:33:32"/>
    <n v="130000"/>
    <n v="75000"/>
    <n v="0"/>
    <n v="20000"/>
    <n v="0"/>
    <n v="100000"/>
    <n v="20000"/>
    <n v="0"/>
    <n v="0"/>
    <n v="0"/>
    <n v="4000"/>
    <n v="-39000"/>
    <n v="0"/>
    <n v="1"/>
    <n v="0"/>
    <n v="0"/>
    <n v="0"/>
    <n v="1"/>
    <n v="0"/>
    <n v="5"/>
    <n v="7"/>
    <n v="200000"/>
    <n v="0"/>
    <n v="0"/>
    <n v="0"/>
    <n v="300000"/>
    <n v="200000"/>
    <n v="180000"/>
    <m/>
    <m/>
    <n v="4"/>
    <n v="9"/>
    <n v="0"/>
    <n v="0"/>
    <n v="0"/>
    <n v="0"/>
    <s v="VIEW_SUMMARY"/>
    <n v="638"/>
    <n v="271"/>
    <m/>
    <n v="1299"/>
    <m/>
    <x v="1"/>
    <n v="89"/>
    <s v="table1"/>
    <n v="19"/>
    <s v="250923_EPA_IntroDays_Overasselt"/>
    <n v="22"/>
    <n v="13"/>
    <s v="(Dike-town)"/>
    <n v="1"/>
    <x v="4"/>
    <n v="0"/>
    <n v="4000"/>
  </r>
  <r>
    <n v="1093"/>
    <d v="2025-09-23T10:33:32"/>
    <n v="130000"/>
    <n v="75000"/>
    <n v="39000"/>
    <n v="20000"/>
    <n v="0"/>
    <n v="0"/>
    <n v="20000"/>
    <n v="0"/>
    <n v="0"/>
    <n v="0"/>
    <n v="0"/>
    <n v="-24000"/>
    <n v="0"/>
    <n v="0"/>
    <n v="0"/>
    <n v="0"/>
    <n v="0"/>
    <n v="0"/>
    <n v="1"/>
    <n v="4"/>
    <n v="7"/>
    <n v="200000"/>
    <n v="200000"/>
    <n v="180000"/>
    <n v="0"/>
    <n v="0"/>
    <n v="200000"/>
    <n v="160000"/>
    <m/>
    <m/>
    <n v="4"/>
    <n v="9"/>
    <n v="0"/>
    <n v="0"/>
    <n v="0"/>
    <n v="0"/>
    <s v="VIEW_SUMMARY"/>
    <n v="638"/>
    <n v="276"/>
    <n v="1299"/>
    <n v="1299"/>
    <m/>
    <x v="2"/>
    <n v="89"/>
    <s v="table1"/>
    <n v="19"/>
    <s v="250923_EPA_IntroDays_Overasselt"/>
    <n v="22"/>
    <n v="13"/>
    <s v="(Dike-town)"/>
    <n v="2"/>
    <x v="4"/>
    <n v="0"/>
    <n v="0"/>
  </r>
  <r>
    <n v="1107"/>
    <d v="2025-09-23T10:33:32"/>
    <n v="130000"/>
    <n v="75000"/>
    <n v="24000"/>
    <n v="20000"/>
    <n v="0"/>
    <n v="0"/>
    <n v="20000"/>
    <n v="0"/>
    <n v="0"/>
    <n v="0"/>
    <n v="0"/>
    <n v="-9000"/>
    <n v="0"/>
    <n v="0"/>
    <n v="0"/>
    <n v="0"/>
    <n v="0"/>
    <n v="0"/>
    <n v="1"/>
    <n v="3"/>
    <n v="7"/>
    <n v="200000"/>
    <n v="200000"/>
    <n v="160000"/>
    <n v="0"/>
    <n v="0"/>
    <n v="200000"/>
    <n v="140000"/>
    <m/>
    <m/>
    <n v="4"/>
    <n v="9"/>
    <n v="-1"/>
    <n v="-2"/>
    <n v="0"/>
    <n v="0"/>
    <s v="VIEW_SUMMARY"/>
    <n v="638"/>
    <n v="278"/>
    <n v="1299"/>
    <n v="1299"/>
    <m/>
    <x v="3"/>
    <n v="89"/>
    <s v="table1"/>
    <n v="19"/>
    <s v="250923_EPA_IntroDays_Overasselt"/>
    <n v="22"/>
    <n v="13"/>
    <s v="(Dike-town)"/>
    <n v="3"/>
    <x v="4"/>
    <n v="0"/>
    <n v="0"/>
  </r>
  <r>
    <n v="1129"/>
    <d v="2025-09-23T10:33:32"/>
    <n v="130000"/>
    <n v="75000"/>
    <n v="9000"/>
    <n v="20000"/>
    <n v="0"/>
    <n v="0"/>
    <n v="20000"/>
    <n v="6000"/>
    <n v="0"/>
    <n v="0"/>
    <n v="0"/>
    <n v="0"/>
    <n v="0"/>
    <n v="0"/>
    <n v="1"/>
    <n v="0"/>
    <n v="0"/>
    <n v="0"/>
    <n v="1"/>
    <n v="3"/>
    <n v="7"/>
    <n v="200000"/>
    <n v="200000"/>
    <n v="140000"/>
    <n v="0"/>
    <n v="0"/>
    <n v="200000"/>
    <n v="120000"/>
    <m/>
    <m/>
    <n v="4"/>
    <n v="9"/>
    <n v="-2"/>
    <n v="-1"/>
    <n v="1"/>
    <n v="0"/>
    <s v="VIEW_SUMMARY"/>
    <n v="638"/>
    <n v="282"/>
    <n v="1299"/>
    <n v="1299"/>
    <m/>
    <x v="4"/>
    <n v="89"/>
    <s v="table1"/>
    <n v="19"/>
    <s v="250923_EPA_IntroDays_Overasselt"/>
    <n v="22"/>
    <n v="13"/>
    <s v="(Dike-town)"/>
    <n v="4"/>
    <x v="4"/>
    <n v="1"/>
    <n v="0"/>
  </r>
  <r>
    <n v="1043"/>
    <d v="2025-09-23T10:45:35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39"/>
    <n v="269"/>
    <m/>
    <m/>
    <m/>
    <x v="0"/>
    <n v="89"/>
    <s v="table1"/>
    <n v="19"/>
    <s v="250923_EPA_IntroDays_Overasselt"/>
    <n v="22"/>
    <n v="0"/>
    <s v=""/>
    <n v="0"/>
    <x v="5"/>
    <m/>
    <n v="0"/>
  </r>
  <r>
    <n v="1053"/>
    <d v="2025-09-23T10:45:35"/>
    <n v="190000"/>
    <n v="115000"/>
    <n v="0"/>
    <n v="0"/>
    <n v="0"/>
    <n v="0"/>
    <n v="20000"/>
    <n v="8000"/>
    <n v="21000"/>
    <n v="0"/>
    <n v="0"/>
    <n v="106000"/>
    <n v="0"/>
    <n v="0"/>
    <n v="1"/>
    <n v="2"/>
    <n v="0"/>
    <n v="0"/>
    <n v="0"/>
    <n v="8"/>
    <n v="8"/>
    <n v="300000"/>
    <n v="0"/>
    <n v="0"/>
    <n v="0"/>
    <n v="0"/>
    <n v="0"/>
    <n v="0"/>
    <m/>
    <m/>
    <n v="4"/>
    <n v="9"/>
    <n v="0"/>
    <n v="0"/>
    <n v="1"/>
    <n v="1"/>
    <s v="VIEW_SUMMARY"/>
    <n v="639"/>
    <n v="271"/>
    <m/>
    <n v="1300"/>
    <m/>
    <x v="1"/>
    <n v="89"/>
    <s v="table1"/>
    <n v="19"/>
    <s v="250923_EPA_IntroDays_Overasselt"/>
    <n v="22"/>
    <n v="13"/>
    <s v="(Dike-town)"/>
    <n v="1"/>
    <x v="5"/>
    <n v="2"/>
    <n v="0"/>
  </r>
  <r>
    <n v="1095"/>
    <d v="2025-09-23T10:45:35"/>
    <n v="190000"/>
    <n v="115000"/>
    <n v="0"/>
    <n v="0"/>
    <n v="0"/>
    <n v="0"/>
    <n v="20000"/>
    <n v="16000"/>
    <n v="0"/>
    <n v="0"/>
    <n v="0"/>
    <n v="145000"/>
    <n v="0"/>
    <n v="0"/>
    <n v="1"/>
    <n v="0"/>
    <n v="0"/>
    <n v="0"/>
    <n v="0"/>
    <n v="9"/>
    <n v="8"/>
    <n v="300000"/>
    <n v="0"/>
    <n v="0"/>
    <n v="0"/>
    <n v="0"/>
    <n v="0"/>
    <n v="0"/>
    <m/>
    <m/>
    <n v="4"/>
    <n v="9"/>
    <n v="0"/>
    <n v="0"/>
    <n v="2"/>
    <n v="1"/>
    <s v="VIEW_SUMMARY"/>
    <n v="639"/>
    <n v="276"/>
    <n v="1300"/>
    <n v="1300"/>
    <m/>
    <x v="2"/>
    <n v="89"/>
    <s v="table1"/>
    <n v="19"/>
    <s v="250923_EPA_IntroDays_Overasselt"/>
    <n v="22"/>
    <n v="13"/>
    <s v="(Dike-town)"/>
    <n v="2"/>
    <x v="5"/>
    <n v="3"/>
    <n v="0"/>
  </r>
  <r>
    <n v="1114"/>
    <d v="2025-09-23T10:45:35"/>
    <n v="190000"/>
    <n v="115000"/>
    <n v="0"/>
    <n v="0"/>
    <n v="0"/>
    <n v="0"/>
    <n v="20000"/>
    <n v="8000"/>
    <n v="17000"/>
    <n v="0"/>
    <n v="0"/>
    <n v="175000"/>
    <n v="0"/>
    <n v="0"/>
    <n v="1"/>
    <n v="2"/>
    <n v="0"/>
    <n v="0"/>
    <n v="0"/>
    <n v="12"/>
    <n v="8"/>
    <n v="300000"/>
    <n v="0"/>
    <n v="0"/>
    <n v="0"/>
    <n v="0"/>
    <n v="0"/>
    <n v="0"/>
    <m/>
    <m/>
    <n v="4"/>
    <n v="9"/>
    <n v="-1"/>
    <n v="-2"/>
    <n v="1"/>
    <n v="0"/>
    <s v="VIEW_SUMMARY"/>
    <n v="639"/>
    <n v="278"/>
    <n v="1300"/>
    <n v="1300"/>
    <m/>
    <x v="3"/>
    <n v="89"/>
    <s v="table1"/>
    <n v="19"/>
    <s v="250923_EPA_IntroDays_Overasselt"/>
    <n v="22"/>
    <n v="13"/>
    <s v="(Dike-town)"/>
    <n v="3"/>
    <x v="5"/>
    <n v="1"/>
    <n v="0"/>
  </r>
  <r>
    <n v="1132"/>
    <d v="2025-09-23T10:45:35"/>
    <n v="190000"/>
    <n v="115000"/>
    <n v="0"/>
    <n v="30000"/>
    <n v="300000"/>
    <n v="125000"/>
    <n v="30000"/>
    <n v="14000"/>
    <n v="0"/>
    <n v="0"/>
    <n v="0"/>
    <n v="351000"/>
    <n v="1"/>
    <n v="1"/>
    <n v="2"/>
    <n v="0"/>
    <n v="0"/>
    <n v="0"/>
    <n v="0"/>
    <n v="14"/>
    <n v="8"/>
    <n v="300000"/>
    <n v="0"/>
    <n v="0"/>
    <n v="300000"/>
    <n v="425000"/>
    <n v="300000"/>
    <n v="270000"/>
    <n v="34"/>
    <s v="Other"/>
    <n v="6"/>
    <n v="9"/>
    <n v="-2"/>
    <n v="-1"/>
    <n v="4"/>
    <n v="2"/>
    <s v="VIEW_SUMMARY"/>
    <n v="639"/>
    <n v="282"/>
    <n v="1300"/>
    <n v="1357"/>
    <m/>
    <x v="4"/>
    <n v="89"/>
    <s v="table1"/>
    <n v="19"/>
    <s v="250923_EPA_IntroDays_Overasselt"/>
    <n v="22"/>
    <n v="15"/>
    <s v="(Natu-city)"/>
    <n v="4"/>
    <x v="5"/>
    <n v="6"/>
    <n v="0"/>
  </r>
  <r>
    <n v="1032"/>
    <d v="2025-09-23T10:33:18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40"/>
    <n v="269"/>
    <m/>
    <m/>
    <m/>
    <x v="0"/>
    <n v="89"/>
    <s v="table1"/>
    <n v="19"/>
    <s v="250923_EPA_IntroDays_Overasselt"/>
    <n v="22"/>
    <n v="0"/>
    <s v=""/>
    <n v="0"/>
    <x v="1"/>
    <m/>
    <n v="0"/>
  </r>
  <r>
    <n v="1061"/>
    <d v="2025-09-23T10:33:18"/>
    <n v="110000"/>
    <n v="60000"/>
    <n v="0"/>
    <n v="17000"/>
    <n v="0"/>
    <n v="75000"/>
    <n v="15000"/>
    <n v="0"/>
    <n v="0"/>
    <n v="0"/>
    <n v="0"/>
    <n v="-27000"/>
    <n v="0"/>
    <n v="0"/>
    <n v="0"/>
    <n v="0"/>
    <n v="0"/>
    <n v="0"/>
    <n v="0"/>
    <n v="5"/>
    <n v="6"/>
    <n v="170000"/>
    <n v="0"/>
    <n v="0"/>
    <n v="0"/>
    <n v="245000"/>
    <n v="170000"/>
    <n v="153000"/>
    <m/>
    <m/>
    <n v="6"/>
    <n v="9"/>
    <n v="0"/>
    <n v="0"/>
    <n v="0"/>
    <n v="0"/>
    <s v="VIEW_SUMMARY"/>
    <n v="640"/>
    <n v="271"/>
    <m/>
    <n v="1297"/>
    <m/>
    <x v="1"/>
    <n v="89"/>
    <s v="table1"/>
    <n v="19"/>
    <s v="250923_EPA_IntroDays_Overasselt"/>
    <n v="22"/>
    <n v="15"/>
    <s v="(Natu-city)"/>
    <n v="1"/>
    <x v="1"/>
    <n v="0"/>
    <n v="0"/>
  </r>
  <r>
    <n v="1089"/>
    <d v="2025-09-23T10:33:18"/>
    <n v="110000"/>
    <n v="60000"/>
    <n v="27000"/>
    <n v="17000"/>
    <n v="0"/>
    <n v="0"/>
    <n v="15000"/>
    <n v="0"/>
    <n v="0"/>
    <n v="0"/>
    <n v="0"/>
    <n v="-9000"/>
    <n v="0"/>
    <n v="0"/>
    <n v="0"/>
    <n v="0"/>
    <n v="0"/>
    <n v="0"/>
    <n v="1"/>
    <n v="4"/>
    <n v="6"/>
    <n v="170000"/>
    <n v="170000"/>
    <n v="153000"/>
    <n v="0"/>
    <n v="0"/>
    <n v="170000"/>
    <n v="136000"/>
    <m/>
    <m/>
    <n v="6"/>
    <n v="9"/>
    <n v="0"/>
    <n v="0"/>
    <n v="0"/>
    <n v="0"/>
    <s v="VIEW_SUMMARY"/>
    <n v="640"/>
    <n v="276"/>
    <n v="1297"/>
    <n v="1297"/>
    <m/>
    <x v="2"/>
    <n v="89"/>
    <s v="table1"/>
    <n v="19"/>
    <s v="250923_EPA_IntroDays_Overasselt"/>
    <n v="22"/>
    <n v="15"/>
    <s v="(Natu-city)"/>
    <n v="2"/>
    <x v="1"/>
    <n v="0"/>
    <n v="0"/>
  </r>
  <r>
    <n v="1112"/>
    <d v="2025-09-23T10:33:18"/>
    <n v="110000"/>
    <n v="60000"/>
    <n v="9000"/>
    <n v="17000"/>
    <n v="0"/>
    <n v="0"/>
    <n v="15000"/>
    <n v="7000"/>
    <n v="0"/>
    <n v="0"/>
    <n v="0"/>
    <n v="2000"/>
    <n v="0"/>
    <n v="0"/>
    <n v="1"/>
    <n v="0"/>
    <n v="0"/>
    <n v="0"/>
    <n v="1"/>
    <n v="4"/>
    <n v="6"/>
    <n v="170000"/>
    <n v="170000"/>
    <n v="136000"/>
    <n v="0"/>
    <n v="0"/>
    <n v="170000"/>
    <n v="119000"/>
    <m/>
    <m/>
    <n v="6"/>
    <n v="9"/>
    <n v="-1"/>
    <n v="-2"/>
    <n v="1"/>
    <n v="1"/>
    <s v="VIEW_SUMMARY"/>
    <n v="640"/>
    <n v="278"/>
    <n v="1297"/>
    <n v="1297"/>
    <m/>
    <x v="3"/>
    <n v="89"/>
    <s v="table1"/>
    <n v="19"/>
    <s v="250923_EPA_IntroDays_Overasselt"/>
    <n v="22"/>
    <n v="15"/>
    <s v="(Natu-city)"/>
    <n v="3"/>
    <x v="1"/>
    <n v="2"/>
    <n v="0"/>
  </r>
  <r>
    <n v="1130"/>
    <d v="2025-09-23T10:33:18"/>
    <n v="110000"/>
    <n v="60000"/>
    <n v="0"/>
    <n v="17000"/>
    <n v="0"/>
    <n v="0"/>
    <n v="30000"/>
    <n v="0"/>
    <n v="0"/>
    <n v="0"/>
    <n v="0"/>
    <n v="5000"/>
    <n v="0"/>
    <n v="0"/>
    <n v="0"/>
    <n v="0"/>
    <n v="0"/>
    <n v="0"/>
    <n v="0"/>
    <n v="4"/>
    <n v="6"/>
    <n v="170000"/>
    <n v="170000"/>
    <n v="119000"/>
    <n v="0"/>
    <n v="0"/>
    <n v="170000"/>
    <n v="102000"/>
    <m/>
    <m/>
    <n v="6"/>
    <n v="9"/>
    <n v="-2"/>
    <n v="-1"/>
    <n v="0"/>
    <n v="0"/>
    <s v="VIEW_SUMMARY"/>
    <n v="640"/>
    <n v="282"/>
    <n v="1297"/>
    <n v="1297"/>
    <m/>
    <x v="4"/>
    <n v="89"/>
    <s v="table1"/>
    <n v="19"/>
    <s v="250923_EPA_IntroDays_Overasselt"/>
    <n v="22"/>
    <n v="15"/>
    <s v="(Natu-city)"/>
    <n v="4"/>
    <x v="1"/>
    <n v="0"/>
    <n v="0"/>
  </r>
  <r>
    <n v="1026"/>
    <d v="2025-09-23T10:26:33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42"/>
    <n v="267"/>
    <m/>
    <m/>
    <m/>
    <x v="0"/>
    <n v="90"/>
    <s v="table2"/>
    <n v="19"/>
    <s v="250923_EPA_IntroDays_Overasselt"/>
    <n v="22"/>
    <n v="0"/>
    <s v=""/>
    <n v="0"/>
    <x v="2"/>
    <m/>
    <n v="0"/>
  </r>
  <r>
    <n v="1038"/>
    <d v="2025-09-23T10:26:33"/>
    <n v="60000"/>
    <n v="30000"/>
    <n v="0"/>
    <n v="8000"/>
    <n v="0"/>
    <n v="20000"/>
    <n v="15000"/>
    <n v="0"/>
    <n v="0"/>
    <n v="0"/>
    <n v="0"/>
    <n v="-13000"/>
    <n v="0"/>
    <n v="0"/>
    <n v="0"/>
    <n v="0"/>
    <n v="0"/>
    <n v="0"/>
    <n v="0"/>
    <n v="5"/>
    <n v="3"/>
    <n v="80000"/>
    <n v="0"/>
    <n v="0"/>
    <n v="0"/>
    <n v="100000"/>
    <n v="80000"/>
    <n v="72000"/>
    <m/>
    <m/>
    <n v="6"/>
    <n v="9"/>
    <n v="0"/>
    <n v="0"/>
    <n v="0"/>
    <n v="0"/>
    <s v="VIEW_SUMMARY"/>
    <n v="642"/>
    <n v="270"/>
    <m/>
    <n v="1283"/>
    <m/>
    <x v="1"/>
    <n v="90"/>
    <s v="table2"/>
    <n v="19"/>
    <s v="250923_EPA_IntroDays_Overasselt"/>
    <n v="22"/>
    <n v="15"/>
    <s v="(Natu-city)"/>
    <n v="1"/>
    <x v="2"/>
    <n v="0"/>
    <n v="0"/>
  </r>
  <r>
    <n v="1078"/>
    <d v="2025-09-23T10:26:33"/>
    <n v="60000"/>
    <n v="30000"/>
    <n v="13000"/>
    <n v="8000"/>
    <n v="0"/>
    <n v="0"/>
    <n v="15000"/>
    <n v="0"/>
    <n v="0"/>
    <n v="0"/>
    <n v="4000"/>
    <n v="-10000"/>
    <n v="0"/>
    <n v="0"/>
    <n v="0"/>
    <n v="0"/>
    <n v="0"/>
    <n v="1"/>
    <n v="1"/>
    <n v="3"/>
    <n v="3"/>
    <n v="80000"/>
    <n v="80000"/>
    <n v="72000"/>
    <n v="0"/>
    <n v="0"/>
    <n v="80000"/>
    <n v="64000"/>
    <m/>
    <m/>
    <n v="6"/>
    <n v="9"/>
    <n v="0"/>
    <n v="0"/>
    <n v="0"/>
    <n v="0"/>
    <s v="VIEW_SUMMARY"/>
    <n v="642"/>
    <n v="274"/>
    <n v="1283"/>
    <n v="1283"/>
    <m/>
    <x v="2"/>
    <n v="90"/>
    <s v="table2"/>
    <n v="19"/>
    <s v="250923_EPA_IntroDays_Overasselt"/>
    <n v="22"/>
    <n v="15"/>
    <s v="(Natu-city)"/>
    <n v="2"/>
    <x v="2"/>
    <n v="0"/>
    <n v="4000"/>
  </r>
  <r>
    <n v="1096"/>
    <d v="2025-09-23T10:26:33"/>
    <n v="60000"/>
    <n v="30000"/>
    <n v="10000"/>
    <n v="8000"/>
    <n v="0"/>
    <n v="0"/>
    <n v="15000"/>
    <n v="0"/>
    <n v="0"/>
    <n v="16000"/>
    <n v="0"/>
    <n v="-19000"/>
    <n v="0"/>
    <n v="0"/>
    <n v="0"/>
    <n v="0"/>
    <n v="5"/>
    <n v="0"/>
    <n v="1"/>
    <n v="-3"/>
    <n v="3"/>
    <n v="80000"/>
    <n v="80000"/>
    <n v="64000"/>
    <n v="0"/>
    <n v="0"/>
    <n v="80000"/>
    <n v="56000"/>
    <m/>
    <m/>
    <n v="6"/>
    <n v="9"/>
    <n v="-1"/>
    <n v="-2"/>
    <n v="0"/>
    <n v="0"/>
    <s v="VIEW_SUMMARY"/>
    <n v="642"/>
    <n v="277"/>
    <n v="1283"/>
    <n v="1283"/>
    <m/>
    <x v="3"/>
    <n v="90"/>
    <s v="table2"/>
    <n v="19"/>
    <s v="250923_EPA_IntroDays_Overasselt"/>
    <n v="22"/>
    <n v="15"/>
    <s v="(Natu-city)"/>
    <n v="3"/>
    <x v="2"/>
    <n v="0"/>
    <n v="16000"/>
  </r>
  <r>
    <n v="1123"/>
    <d v="2025-09-23T10:26:33"/>
    <n v="60000"/>
    <n v="30000"/>
    <n v="19000"/>
    <n v="8000"/>
    <n v="0"/>
    <n v="0"/>
    <n v="20000"/>
    <n v="0"/>
    <n v="0"/>
    <n v="0"/>
    <n v="4000"/>
    <n v="-21000"/>
    <n v="0"/>
    <n v="0"/>
    <n v="0"/>
    <n v="0"/>
    <n v="0"/>
    <n v="1"/>
    <n v="1"/>
    <n v="-5"/>
    <n v="3"/>
    <n v="80000"/>
    <n v="80000"/>
    <n v="56000"/>
    <n v="0"/>
    <n v="0"/>
    <n v="80000"/>
    <n v="48000"/>
    <m/>
    <m/>
    <n v="6"/>
    <n v="9"/>
    <n v="-2"/>
    <n v="-1"/>
    <n v="0"/>
    <n v="0"/>
    <s v="VIEW_SUMMARY"/>
    <n v="642"/>
    <n v="281"/>
    <n v="1283"/>
    <n v="1283"/>
    <m/>
    <x v="4"/>
    <n v="90"/>
    <s v="table2"/>
    <n v="19"/>
    <s v="250923_EPA_IntroDays_Overasselt"/>
    <n v="22"/>
    <n v="15"/>
    <s v="(Natu-city)"/>
    <n v="4"/>
    <x v="2"/>
    <n v="0"/>
    <n v="4000"/>
  </r>
  <r>
    <n v="1027"/>
    <d v="2025-09-23T10:26:41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43"/>
    <n v="267"/>
    <m/>
    <m/>
    <m/>
    <x v="0"/>
    <n v="90"/>
    <s v="table2"/>
    <n v="19"/>
    <s v="250923_EPA_IntroDays_Overasselt"/>
    <n v="22"/>
    <n v="0"/>
    <s v=""/>
    <n v="0"/>
    <x v="1"/>
    <m/>
    <n v="0"/>
  </r>
  <r>
    <n v="1039"/>
    <d v="2025-09-23T10:26:41"/>
    <n v="110000"/>
    <n v="60000"/>
    <n v="0"/>
    <n v="17000"/>
    <n v="0"/>
    <n v="30000"/>
    <n v="15000"/>
    <n v="0"/>
    <n v="15000"/>
    <n v="0"/>
    <n v="0"/>
    <n v="3000"/>
    <n v="0"/>
    <n v="0"/>
    <n v="0"/>
    <n v="3"/>
    <n v="0"/>
    <n v="0"/>
    <n v="0"/>
    <n v="8"/>
    <n v="6"/>
    <n v="170000"/>
    <n v="0"/>
    <n v="0"/>
    <n v="0"/>
    <n v="200000"/>
    <n v="170000"/>
    <n v="153000"/>
    <m/>
    <m/>
    <n v="6"/>
    <n v="9"/>
    <n v="0"/>
    <n v="0"/>
    <n v="0"/>
    <n v="0"/>
    <s v="VIEW_SUMMARY"/>
    <n v="643"/>
    <n v="270"/>
    <m/>
    <n v="1281"/>
    <m/>
    <x v="1"/>
    <n v="90"/>
    <s v="table2"/>
    <n v="19"/>
    <s v="250923_EPA_IntroDays_Overasselt"/>
    <n v="22"/>
    <n v="15"/>
    <s v="(Natu-city)"/>
    <n v="1"/>
    <x v="1"/>
    <n v="0"/>
    <n v="0"/>
  </r>
  <r>
    <n v="1077"/>
    <d v="2025-09-23T10:26:41"/>
    <n v="110000"/>
    <n v="60000"/>
    <n v="0"/>
    <n v="17000"/>
    <n v="0"/>
    <n v="0"/>
    <n v="15000"/>
    <n v="8000"/>
    <n v="0"/>
    <n v="0"/>
    <n v="4000"/>
    <n v="9000"/>
    <n v="0"/>
    <n v="0"/>
    <n v="1"/>
    <n v="0"/>
    <n v="0"/>
    <n v="1"/>
    <n v="0"/>
    <n v="8"/>
    <n v="6"/>
    <n v="170000"/>
    <n v="170000"/>
    <n v="153000"/>
    <n v="0"/>
    <n v="0"/>
    <n v="170000"/>
    <n v="136000"/>
    <m/>
    <m/>
    <n v="6"/>
    <n v="9"/>
    <n v="0"/>
    <n v="0"/>
    <n v="1"/>
    <n v="1"/>
    <s v="VIEW_SUMMARY"/>
    <n v="643"/>
    <n v="274"/>
    <n v="1281"/>
    <n v="1281"/>
    <m/>
    <x v="2"/>
    <n v="90"/>
    <s v="table2"/>
    <n v="19"/>
    <s v="250923_EPA_IntroDays_Overasselt"/>
    <n v="22"/>
    <n v="15"/>
    <s v="(Natu-city)"/>
    <n v="2"/>
    <x v="1"/>
    <n v="2"/>
    <n v="4000"/>
  </r>
  <r>
    <n v="1097"/>
    <d v="2025-09-23T10:26:41"/>
    <n v="110000"/>
    <n v="60000"/>
    <n v="0"/>
    <n v="17000"/>
    <n v="0"/>
    <n v="0"/>
    <n v="15000"/>
    <n v="0"/>
    <n v="0"/>
    <n v="16000"/>
    <n v="0"/>
    <n v="11000"/>
    <n v="0"/>
    <n v="0"/>
    <n v="0"/>
    <n v="0"/>
    <n v="5"/>
    <n v="0"/>
    <n v="0"/>
    <n v="3"/>
    <n v="6"/>
    <n v="170000"/>
    <n v="170000"/>
    <n v="136000"/>
    <n v="0"/>
    <n v="0"/>
    <n v="170000"/>
    <n v="119000"/>
    <m/>
    <m/>
    <n v="6"/>
    <n v="9"/>
    <n v="-1"/>
    <n v="-2"/>
    <n v="0"/>
    <n v="0"/>
    <s v="VIEW_SUMMARY"/>
    <n v="643"/>
    <n v="277"/>
    <n v="1281"/>
    <n v="1281"/>
    <m/>
    <x v="3"/>
    <n v="90"/>
    <s v="table2"/>
    <n v="19"/>
    <s v="250923_EPA_IntroDays_Overasselt"/>
    <n v="22"/>
    <n v="15"/>
    <s v="(Natu-city)"/>
    <n v="3"/>
    <x v="1"/>
    <n v="0"/>
    <n v="16000"/>
  </r>
  <r>
    <n v="1125"/>
    <d v="2025-09-23T10:26:41"/>
    <n v="110000"/>
    <n v="60000"/>
    <n v="0"/>
    <n v="17000"/>
    <n v="101000"/>
    <n v="130000"/>
    <n v="15000"/>
    <n v="0"/>
    <n v="0"/>
    <n v="0"/>
    <n v="4000"/>
    <n v="-4000"/>
    <n v="3"/>
    <n v="2"/>
    <n v="0"/>
    <n v="0"/>
    <n v="0"/>
    <n v="1"/>
    <n v="0"/>
    <n v="1"/>
    <n v="6"/>
    <n v="170000"/>
    <n v="170000"/>
    <n v="119000"/>
    <n v="220000"/>
    <n v="300000"/>
    <n v="170000"/>
    <n v="153000"/>
    <n v="33"/>
    <m/>
    <n v="4"/>
    <n v="9"/>
    <n v="-2"/>
    <n v="-1"/>
    <n v="0"/>
    <n v="0"/>
    <s v="VIEW_SUMMARY"/>
    <n v="643"/>
    <n v="281"/>
    <n v="1281"/>
    <n v="1349"/>
    <m/>
    <x v="4"/>
    <n v="90"/>
    <s v="table2"/>
    <n v="19"/>
    <s v="250923_EPA_IntroDays_Overasselt"/>
    <n v="22"/>
    <n v="13"/>
    <s v="(Dike-town)"/>
    <n v="4"/>
    <x v="1"/>
    <n v="0"/>
    <n v="4000"/>
  </r>
  <r>
    <n v="1028"/>
    <d v="2025-09-23T10:27:01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44"/>
    <n v="267"/>
    <m/>
    <m/>
    <m/>
    <x v="0"/>
    <n v="90"/>
    <s v="table2"/>
    <n v="19"/>
    <s v="250923_EPA_IntroDays_Overasselt"/>
    <n v="22"/>
    <n v="0"/>
    <s v=""/>
    <n v="0"/>
    <x v="2"/>
    <m/>
    <n v="0"/>
  </r>
  <r>
    <n v="1042"/>
    <d v="2025-09-23T10:27:01"/>
    <n v="60000"/>
    <n v="30000"/>
    <n v="0"/>
    <n v="8000"/>
    <n v="0"/>
    <n v="0"/>
    <n v="15000"/>
    <n v="0"/>
    <n v="3600"/>
    <n v="0"/>
    <n v="0"/>
    <n v="3400"/>
    <n v="0"/>
    <n v="-1"/>
    <n v="0"/>
    <n v="1"/>
    <n v="0"/>
    <n v="0"/>
    <n v="0"/>
    <n v="5"/>
    <n v="3"/>
    <n v="80000"/>
    <n v="0"/>
    <n v="0"/>
    <n v="0"/>
    <n v="80000"/>
    <n v="80000"/>
    <n v="72000"/>
    <m/>
    <m/>
    <n v="4"/>
    <n v="9"/>
    <n v="0"/>
    <n v="0"/>
    <n v="0"/>
    <n v="0"/>
    <s v="VIEW_SUMMARY"/>
    <n v="644"/>
    <n v="270"/>
    <m/>
    <n v="1288"/>
    <m/>
    <x v="1"/>
    <n v="90"/>
    <s v="table2"/>
    <n v="19"/>
    <s v="250923_EPA_IntroDays_Overasselt"/>
    <n v="22"/>
    <n v="13"/>
    <s v="(Dike-town)"/>
    <n v="1"/>
    <x v="2"/>
    <n v="0"/>
    <n v="0"/>
  </r>
  <r>
    <n v="1079"/>
    <d v="2025-09-23T10:27:01"/>
    <n v="60000"/>
    <n v="30000"/>
    <n v="0"/>
    <n v="8000"/>
    <n v="0"/>
    <n v="0"/>
    <n v="15000"/>
    <n v="8000"/>
    <n v="0"/>
    <n v="0"/>
    <n v="4000"/>
    <n v="-1600"/>
    <n v="0"/>
    <n v="0"/>
    <n v="1"/>
    <n v="0"/>
    <n v="0"/>
    <n v="1"/>
    <n v="0"/>
    <n v="5"/>
    <n v="3"/>
    <n v="80000"/>
    <n v="80000"/>
    <n v="72000"/>
    <n v="0"/>
    <n v="0"/>
    <n v="80000"/>
    <n v="64000"/>
    <m/>
    <m/>
    <n v="4"/>
    <n v="9"/>
    <n v="0"/>
    <n v="0"/>
    <n v="1"/>
    <n v="1"/>
    <s v="VIEW_SUMMARY"/>
    <n v="644"/>
    <n v="274"/>
    <n v="1288"/>
    <n v="1288"/>
    <m/>
    <x v="2"/>
    <n v="90"/>
    <s v="table2"/>
    <n v="19"/>
    <s v="250923_EPA_IntroDays_Overasselt"/>
    <n v="22"/>
    <n v="13"/>
    <s v="(Dike-town)"/>
    <n v="2"/>
    <x v="2"/>
    <n v="2"/>
    <n v="4000"/>
  </r>
  <r>
    <n v="1099"/>
    <d v="2025-09-23T10:27:01"/>
    <n v="60000"/>
    <n v="30000"/>
    <n v="1600"/>
    <n v="8000"/>
    <n v="0"/>
    <n v="0"/>
    <n v="15000"/>
    <n v="0"/>
    <n v="0"/>
    <n v="16000"/>
    <n v="4000"/>
    <n v="-14600"/>
    <n v="0"/>
    <n v="0"/>
    <n v="0"/>
    <n v="0"/>
    <n v="5"/>
    <n v="1"/>
    <n v="1"/>
    <n v="-2"/>
    <n v="3"/>
    <n v="80000"/>
    <n v="80000"/>
    <n v="64000"/>
    <n v="0"/>
    <n v="0"/>
    <n v="80000"/>
    <n v="56000"/>
    <m/>
    <m/>
    <n v="4"/>
    <n v="9"/>
    <n v="-1"/>
    <n v="-2"/>
    <n v="0"/>
    <n v="0"/>
    <s v="VIEW_SUMMARY"/>
    <n v="644"/>
    <n v="277"/>
    <n v="1288"/>
    <n v="1288"/>
    <m/>
    <x v="3"/>
    <n v="90"/>
    <s v="table2"/>
    <n v="19"/>
    <s v="250923_EPA_IntroDays_Overasselt"/>
    <n v="22"/>
    <n v="13"/>
    <s v="(Dike-town)"/>
    <n v="3"/>
    <x v="2"/>
    <n v="0"/>
    <n v="20000"/>
  </r>
  <r>
    <n v="1122"/>
    <d v="2025-09-23T10:27:01"/>
    <n v="60000"/>
    <n v="30000"/>
    <n v="14600"/>
    <n v="8000"/>
    <n v="0"/>
    <n v="0"/>
    <n v="15000"/>
    <n v="0"/>
    <n v="0"/>
    <n v="0"/>
    <n v="4000"/>
    <n v="-11600"/>
    <n v="0"/>
    <n v="0"/>
    <n v="0"/>
    <n v="0"/>
    <n v="0"/>
    <n v="1"/>
    <n v="1"/>
    <n v="-4"/>
    <n v="3"/>
    <n v="80000"/>
    <n v="80000"/>
    <n v="56000"/>
    <n v="0"/>
    <n v="0"/>
    <n v="80000"/>
    <n v="48000"/>
    <m/>
    <m/>
    <n v="4"/>
    <n v="9"/>
    <n v="-2"/>
    <n v="-1"/>
    <n v="0"/>
    <n v="0"/>
    <s v="VIEW_SUMMARY"/>
    <n v="644"/>
    <n v="281"/>
    <n v="1288"/>
    <n v="1288"/>
    <m/>
    <x v="4"/>
    <n v="90"/>
    <s v="table2"/>
    <n v="19"/>
    <s v="250923_EPA_IntroDays_Overasselt"/>
    <n v="22"/>
    <n v="13"/>
    <s v="(Dike-town)"/>
    <n v="4"/>
    <x v="2"/>
    <n v="0"/>
    <n v="4000"/>
  </r>
  <r>
    <n v="1029"/>
    <d v="2025-09-23T10:27:08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45"/>
    <n v="267"/>
    <m/>
    <m/>
    <m/>
    <x v="0"/>
    <n v="90"/>
    <s v="table2"/>
    <n v="19"/>
    <s v="250923_EPA_IntroDays_Overasselt"/>
    <n v="22"/>
    <n v="0"/>
    <s v=""/>
    <n v="0"/>
    <x v="0"/>
    <m/>
    <n v="0"/>
  </r>
  <r>
    <n v="1045"/>
    <d v="2025-09-23T10:27:08"/>
    <n v="90000"/>
    <n v="50000"/>
    <n v="0"/>
    <n v="13000"/>
    <n v="0"/>
    <n v="30000"/>
    <n v="15000"/>
    <n v="0"/>
    <n v="0"/>
    <n v="0"/>
    <n v="0"/>
    <n v="-3000"/>
    <n v="0"/>
    <n v="0"/>
    <n v="0"/>
    <n v="0"/>
    <n v="0"/>
    <n v="0"/>
    <n v="0"/>
    <n v="5"/>
    <n v="5"/>
    <n v="130000"/>
    <n v="0"/>
    <n v="0"/>
    <n v="0"/>
    <n v="160000"/>
    <n v="130000"/>
    <n v="117000"/>
    <m/>
    <m/>
    <n v="4"/>
    <n v="9"/>
    <n v="0"/>
    <n v="0"/>
    <n v="0"/>
    <n v="0"/>
    <s v="VIEW_SUMMARY"/>
    <n v="645"/>
    <n v="270"/>
    <m/>
    <n v="1286"/>
    <m/>
    <x v="1"/>
    <n v="90"/>
    <s v="table2"/>
    <n v="19"/>
    <s v="250923_EPA_IntroDays_Overasselt"/>
    <n v="22"/>
    <n v="13"/>
    <s v="(Dike-town)"/>
    <n v="1"/>
    <x v="0"/>
    <n v="0"/>
    <n v="0"/>
  </r>
  <r>
    <n v="1081"/>
    <d v="2025-09-23T10:27:08"/>
    <n v="90000"/>
    <n v="50000"/>
    <n v="3000"/>
    <n v="13000"/>
    <n v="0"/>
    <n v="0"/>
    <n v="15000"/>
    <n v="6000"/>
    <n v="0"/>
    <n v="0"/>
    <n v="4000"/>
    <n v="-1000"/>
    <n v="0"/>
    <n v="0"/>
    <n v="1"/>
    <n v="0"/>
    <n v="0"/>
    <n v="1"/>
    <n v="1"/>
    <n v="4"/>
    <n v="5"/>
    <n v="130000"/>
    <n v="130000"/>
    <n v="117000"/>
    <n v="0"/>
    <n v="0"/>
    <n v="130000"/>
    <n v="104000"/>
    <m/>
    <m/>
    <n v="4"/>
    <n v="9"/>
    <n v="0"/>
    <n v="0"/>
    <n v="1"/>
    <n v="0"/>
    <s v="VIEW_SUMMARY"/>
    <n v="645"/>
    <n v="274"/>
    <n v="1286"/>
    <n v="1286"/>
    <m/>
    <x v="2"/>
    <n v="90"/>
    <s v="table2"/>
    <n v="19"/>
    <s v="250923_EPA_IntroDays_Overasselt"/>
    <n v="22"/>
    <n v="13"/>
    <s v="(Dike-town)"/>
    <n v="2"/>
    <x v="0"/>
    <n v="1"/>
    <n v="4000"/>
  </r>
  <r>
    <n v="1098"/>
    <d v="2025-09-23T10:27:08"/>
    <n v="90000"/>
    <n v="50000"/>
    <n v="1000"/>
    <n v="13000"/>
    <n v="0"/>
    <n v="0"/>
    <n v="15000"/>
    <n v="8000"/>
    <n v="0"/>
    <n v="16000"/>
    <n v="0"/>
    <n v="-13000"/>
    <n v="0"/>
    <n v="0"/>
    <n v="1"/>
    <n v="0"/>
    <n v="5"/>
    <n v="0"/>
    <n v="1"/>
    <n v="-1"/>
    <n v="5"/>
    <n v="130000"/>
    <n v="130000"/>
    <n v="104000"/>
    <n v="0"/>
    <n v="0"/>
    <n v="130000"/>
    <n v="91000"/>
    <m/>
    <m/>
    <n v="4"/>
    <n v="9"/>
    <n v="-1"/>
    <n v="-2"/>
    <n v="1"/>
    <n v="0"/>
    <s v="VIEW_SUMMARY"/>
    <n v="645"/>
    <n v="277"/>
    <n v="1286"/>
    <n v="1286"/>
    <m/>
    <x v="3"/>
    <n v="90"/>
    <s v="table2"/>
    <n v="19"/>
    <s v="250923_EPA_IntroDays_Overasselt"/>
    <n v="22"/>
    <n v="13"/>
    <s v="(Dike-town)"/>
    <n v="3"/>
    <x v="0"/>
    <n v="1"/>
    <n v="16000"/>
  </r>
  <r>
    <n v="1126"/>
    <d v="2025-09-23T10:27:08"/>
    <n v="90000"/>
    <n v="50000"/>
    <n v="13000"/>
    <n v="13000"/>
    <n v="0"/>
    <n v="0"/>
    <n v="15000"/>
    <n v="0"/>
    <n v="0"/>
    <n v="0"/>
    <n v="4000"/>
    <n v="-5000"/>
    <n v="0"/>
    <n v="0"/>
    <n v="0"/>
    <n v="0"/>
    <n v="0"/>
    <n v="1"/>
    <n v="1"/>
    <n v="-3"/>
    <n v="5"/>
    <n v="130000"/>
    <n v="130000"/>
    <n v="91000"/>
    <n v="0"/>
    <n v="0"/>
    <n v="130000"/>
    <n v="78000"/>
    <m/>
    <m/>
    <n v="4"/>
    <n v="9"/>
    <n v="-2"/>
    <n v="-1"/>
    <n v="0"/>
    <n v="0"/>
    <s v="VIEW_SUMMARY"/>
    <n v="645"/>
    <n v="281"/>
    <n v="1286"/>
    <n v="1286"/>
    <m/>
    <x v="4"/>
    <n v="90"/>
    <s v="table2"/>
    <n v="19"/>
    <s v="250923_EPA_IntroDays_Overasselt"/>
    <n v="22"/>
    <n v="13"/>
    <s v="(Dike-town)"/>
    <n v="4"/>
    <x v="0"/>
    <n v="0"/>
    <n v="4000"/>
  </r>
  <r>
    <n v="1037"/>
    <d v="2025-09-23T10:45:04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46"/>
    <n v="267"/>
    <m/>
    <m/>
    <m/>
    <x v="0"/>
    <n v="90"/>
    <s v="table2"/>
    <n v="19"/>
    <s v="250923_EPA_IntroDays_Overasselt"/>
    <n v="22"/>
    <n v="0"/>
    <s v=""/>
    <n v="0"/>
    <x v="4"/>
    <m/>
    <n v="0"/>
  </r>
  <r>
    <n v="1046"/>
    <d v="2025-09-23T10:45:04"/>
    <n v="130000"/>
    <n v="75000"/>
    <n v="0"/>
    <n v="20000"/>
    <n v="0"/>
    <n v="0"/>
    <n v="15000"/>
    <n v="33000"/>
    <n v="25500"/>
    <n v="0"/>
    <n v="0"/>
    <n v="11500"/>
    <n v="0"/>
    <n v="-1"/>
    <n v="3"/>
    <n v="4"/>
    <n v="0"/>
    <n v="0"/>
    <n v="0"/>
    <n v="11"/>
    <n v="7"/>
    <n v="200000"/>
    <n v="0"/>
    <n v="0"/>
    <n v="0"/>
    <n v="200000"/>
    <n v="200000"/>
    <n v="180000"/>
    <m/>
    <m/>
    <n v="6"/>
    <n v="9"/>
    <n v="0"/>
    <n v="0"/>
    <n v="4"/>
    <n v="3"/>
    <s v="VIEW_SUMMARY"/>
    <n v="646"/>
    <n v="270"/>
    <m/>
    <n v="1282"/>
    <m/>
    <x v="1"/>
    <n v="90"/>
    <s v="table2"/>
    <n v="19"/>
    <s v="250923_EPA_IntroDays_Overasselt"/>
    <n v="22"/>
    <n v="15"/>
    <s v="(Natu-city)"/>
    <n v="1"/>
    <x v="4"/>
    <n v="7"/>
    <n v="0"/>
  </r>
  <r>
    <n v="1080"/>
    <d v="2025-09-23T10:45:04"/>
    <n v="130000"/>
    <n v="75000"/>
    <n v="0"/>
    <n v="20000"/>
    <n v="0"/>
    <n v="0"/>
    <n v="15000"/>
    <n v="0"/>
    <n v="0"/>
    <n v="0"/>
    <n v="4000"/>
    <n v="27500"/>
    <n v="0"/>
    <n v="0"/>
    <n v="0"/>
    <n v="0"/>
    <n v="0"/>
    <n v="1"/>
    <n v="0"/>
    <n v="10"/>
    <n v="7"/>
    <n v="200000"/>
    <n v="200000"/>
    <n v="180000"/>
    <n v="0"/>
    <n v="0"/>
    <n v="200000"/>
    <n v="160000"/>
    <m/>
    <m/>
    <n v="6"/>
    <n v="9"/>
    <n v="0"/>
    <n v="0"/>
    <n v="0"/>
    <n v="0"/>
    <s v="VIEW_SUMMARY"/>
    <n v="646"/>
    <n v="274"/>
    <n v="1282"/>
    <n v="1282"/>
    <m/>
    <x v="2"/>
    <n v="90"/>
    <s v="table2"/>
    <n v="19"/>
    <s v="250923_EPA_IntroDays_Overasselt"/>
    <n v="22"/>
    <n v="15"/>
    <s v="(Natu-city)"/>
    <n v="2"/>
    <x v="4"/>
    <n v="0"/>
    <n v="4000"/>
  </r>
  <r>
    <n v="1101"/>
    <d v="2025-09-23T10:45:04"/>
    <n v="130000"/>
    <n v="75000"/>
    <n v="0"/>
    <n v="20000"/>
    <n v="0"/>
    <n v="0"/>
    <n v="15000"/>
    <n v="0"/>
    <n v="0"/>
    <n v="16000"/>
    <n v="0"/>
    <n v="31500"/>
    <n v="0"/>
    <n v="0"/>
    <n v="0"/>
    <n v="0"/>
    <n v="5"/>
    <n v="0"/>
    <n v="0"/>
    <n v="5"/>
    <n v="7"/>
    <n v="200000"/>
    <n v="200000"/>
    <n v="160000"/>
    <n v="0"/>
    <n v="0"/>
    <n v="200000"/>
    <n v="140000"/>
    <m/>
    <m/>
    <n v="6"/>
    <n v="9"/>
    <n v="-1"/>
    <n v="-2"/>
    <n v="0"/>
    <n v="0"/>
    <s v="VIEW_SUMMARY"/>
    <n v="646"/>
    <n v="277"/>
    <n v="1282"/>
    <n v="1282"/>
    <m/>
    <x v="3"/>
    <n v="90"/>
    <s v="table2"/>
    <n v="19"/>
    <s v="250923_EPA_IntroDays_Overasselt"/>
    <n v="22"/>
    <n v="15"/>
    <s v="(Natu-city)"/>
    <n v="3"/>
    <x v="4"/>
    <n v="0"/>
    <n v="16000"/>
  </r>
  <r>
    <n v="1121"/>
    <d v="2025-09-23T10:45:04"/>
    <n v="130000"/>
    <n v="75000"/>
    <n v="0"/>
    <n v="20000"/>
    <n v="0"/>
    <n v="0"/>
    <n v="20000"/>
    <n v="0"/>
    <n v="0"/>
    <n v="0"/>
    <n v="4000"/>
    <n v="42500"/>
    <n v="0"/>
    <n v="0"/>
    <n v="0"/>
    <n v="0"/>
    <n v="0"/>
    <n v="1"/>
    <n v="0"/>
    <n v="4"/>
    <n v="7"/>
    <n v="200000"/>
    <n v="200000"/>
    <n v="140000"/>
    <n v="0"/>
    <n v="0"/>
    <n v="200000"/>
    <n v="120000"/>
    <m/>
    <m/>
    <n v="6"/>
    <n v="9"/>
    <n v="-2"/>
    <n v="-1"/>
    <n v="0"/>
    <n v="0"/>
    <s v="VIEW_SUMMARY"/>
    <n v="646"/>
    <n v="281"/>
    <n v="1282"/>
    <n v="1282"/>
    <m/>
    <x v="4"/>
    <n v="90"/>
    <s v="table2"/>
    <n v="19"/>
    <s v="250923_EPA_IntroDays_Overasselt"/>
    <n v="22"/>
    <n v="15"/>
    <s v="(Natu-city)"/>
    <n v="4"/>
    <x v="4"/>
    <n v="0"/>
    <n v="4000"/>
  </r>
  <r>
    <n v="1031"/>
    <d v="2025-09-23T10:30:14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47"/>
    <n v="267"/>
    <m/>
    <m/>
    <m/>
    <x v="0"/>
    <n v="90"/>
    <s v="table2"/>
    <n v="19"/>
    <s v="250923_EPA_IntroDays_Overasselt"/>
    <n v="22"/>
    <n v="0"/>
    <s v=""/>
    <n v="0"/>
    <x v="5"/>
    <m/>
    <n v="0"/>
  </r>
  <r>
    <n v="1047"/>
    <d v="2025-09-23T10:30:14"/>
    <n v="190000"/>
    <n v="115000"/>
    <n v="0"/>
    <n v="30000"/>
    <n v="0"/>
    <n v="0"/>
    <n v="15000"/>
    <n v="14000"/>
    <n v="21000"/>
    <n v="0"/>
    <n v="0"/>
    <n v="75000"/>
    <n v="0"/>
    <n v="0"/>
    <n v="2"/>
    <n v="2"/>
    <n v="0"/>
    <n v="0"/>
    <n v="0"/>
    <n v="9"/>
    <n v="8"/>
    <n v="300000"/>
    <n v="0"/>
    <n v="0"/>
    <n v="0"/>
    <n v="300000"/>
    <n v="300000"/>
    <n v="270000"/>
    <m/>
    <m/>
    <n v="4"/>
    <n v="9"/>
    <n v="0"/>
    <n v="0"/>
    <n v="2"/>
    <n v="0"/>
    <s v="VIEW_SUMMARY"/>
    <n v="647"/>
    <n v="270"/>
    <m/>
    <n v="1284"/>
    <m/>
    <x v="1"/>
    <n v="90"/>
    <s v="table2"/>
    <n v="19"/>
    <s v="250923_EPA_IntroDays_Overasselt"/>
    <n v="22"/>
    <n v="13"/>
    <s v="(Dike-town)"/>
    <n v="1"/>
    <x v="5"/>
    <n v="2"/>
    <n v="0"/>
  </r>
  <r>
    <n v="1082"/>
    <d v="2025-09-23T10:30:14"/>
    <n v="190000"/>
    <n v="115000"/>
    <n v="0"/>
    <n v="30000"/>
    <n v="0"/>
    <n v="0"/>
    <n v="15000"/>
    <n v="19000"/>
    <n v="17000"/>
    <n v="0"/>
    <n v="4000"/>
    <n v="65000"/>
    <n v="0"/>
    <n v="0"/>
    <n v="1"/>
    <n v="2"/>
    <n v="0"/>
    <n v="1"/>
    <n v="0"/>
    <n v="11"/>
    <n v="8"/>
    <n v="300000"/>
    <n v="300000"/>
    <n v="270000"/>
    <n v="0"/>
    <n v="0"/>
    <n v="300000"/>
    <n v="240000"/>
    <m/>
    <m/>
    <n v="4"/>
    <n v="9"/>
    <n v="0"/>
    <n v="0"/>
    <n v="2"/>
    <n v="3"/>
    <s v="VIEW_SUMMARY"/>
    <n v="647"/>
    <n v="274"/>
    <n v="1284"/>
    <n v="1284"/>
    <m/>
    <x v="2"/>
    <n v="90"/>
    <s v="table2"/>
    <n v="19"/>
    <s v="250923_EPA_IntroDays_Overasselt"/>
    <n v="22"/>
    <n v="13"/>
    <s v="(Dike-town)"/>
    <n v="2"/>
    <x v="5"/>
    <n v="5"/>
    <n v="4000"/>
  </r>
  <r>
    <n v="1100"/>
    <d v="2025-09-23T10:30:14"/>
    <n v="190000"/>
    <n v="115000"/>
    <n v="0"/>
    <n v="30000"/>
    <n v="0"/>
    <n v="0"/>
    <n v="15000"/>
    <n v="0"/>
    <n v="0"/>
    <n v="16000"/>
    <n v="4000"/>
    <n v="75000"/>
    <n v="0"/>
    <n v="0"/>
    <n v="0"/>
    <n v="0"/>
    <n v="5"/>
    <n v="1"/>
    <n v="0"/>
    <n v="5"/>
    <n v="8"/>
    <n v="300000"/>
    <n v="300000"/>
    <n v="240000"/>
    <n v="0"/>
    <n v="0"/>
    <n v="300000"/>
    <n v="210000"/>
    <m/>
    <m/>
    <n v="4"/>
    <n v="9"/>
    <n v="-1"/>
    <n v="-2"/>
    <n v="0"/>
    <n v="0"/>
    <s v="VIEW_SUMMARY"/>
    <n v="647"/>
    <n v="277"/>
    <n v="1284"/>
    <n v="1284"/>
    <m/>
    <x v="3"/>
    <n v="90"/>
    <s v="table2"/>
    <n v="19"/>
    <s v="250923_EPA_IntroDays_Overasselt"/>
    <n v="22"/>
    <n v="13"/>
    <s v="(Dike-town)"/>
    <n v="3"/>
    <x v="5"/>
    <n v="0"/>
    <n v="20000"/>
  </r>
  <r>
    <n v="1124"/>
    <d v="2025-09-23T10:30:14"/>
    <n v="190000"/>
    <n v="115000"/>
    <n v="0"/>
    <n v="30000"/>
    <n v="190000"/>
    <n v="125000"/>
    <n v="20000"/>
    <n v="15000"/>
    <n v="0"/>
    <n v="0"/>
    <n v="0"/>
    <n v="150000"/>
    <n v="1"/>
    <n v="1"/>
    <n v="2"/>
    <n v="0"/>
    <n v="0"/>
    <n v="0"/>
    <n v="0"/>
    <n v="7"/>
    <n v="8"/>
    <n v="300000"/>
    <n v="300000"/>
    <n v="210000"/>
    <n v="400000"/>
    <n v="425000"/>
    <n v="300000"/>
    <n v="270000"/>
    <n v="35"/>
    <m/>
    <n v="6"/>
    <n v="9"/>
    <n v="-2"/>
    <n v="-1"/>
    <n v="4"/>
    <n v="3"/>
    <s v="VIEW_SUMMARY"/>
    <n v="647"/>
    <n v="281"/>
    <n v="1284"/>
    <n v="1347"/>
    <m/>
    <x v="4"/>
    <n v="90"/>
    <s v="table2"/>
    <n v="19"/>
    <s v="250923_EPA_IntroDays_Overasselt"/>
    <n v="22"/>
    <n v="15"/>
    <s v="(Natu-city)"/>
    <n v="4"/>
    <x v="5"/>
    <n v="7"/>
    <n v="0"/>
  </r>
  <r>
    <n v="1055"/>
    <d v="2025-09-23T10:46:58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50"/>
    <n v="268"/>
    <m/>
    <m/>
    <m/>
    <x v="0"/>
    <n v="91"/>
    <s v="table3"/>
    <n v="19"/>
    <s v="250923_EPA_IntroDays_Overasselt"/>
    <n v="22"/>
    <n v="0"/>
    <s v=""/>
    <n v="0"/>
    <x v="0"/>
    <m/>
    <n v="0"/>
  </r>
  <r>
    <n v="1064"/>
    <d v="2025-09-23T10:46:58"/>
    <n v="75000"/>
    <n v="40000"/>
    <n v="0"/>
    <n v="7000"/>
    <n v="0"/>
    <n v="0"/>
    <n v="20000"/>
    <n v="1000"/>
    <n v="3150"/>
    <n v="0"/>
    <n v="4000"/>
    <n v="4850"/>
    <n v="0"/>
    <n v="-2"/>
    <n v="0"/>
    <n v="1"/>
    <n v="1"/>
    <n v="1"/>
    <n v="0"/>
    <n v="2"/>
    <n v="4"/>
    <n v="110000"/>
    <n v="0"/>
    <n v="0"/>
    <n v="0"/>
    <n v="70000"/>
    <n v="70000"/>
    <n v="63000"/>
    <m/>
    <m/>
    <n v="6"/>
    <n v="6"/>
    <n v="0"/>
    <n v="0"/>
    <n v="0"/>
    <n v="1"/>
    <s v="VIEW_SUMMARY"/>
    <n v="650"/>
    <n v="272"/>
    <m/>
    <n v="1324"/>
    <m/>
    <x v="1"/>
    <n v="91"/>
    <s v="table3"/>
    <n v="19"/>
    <s v="250923_EPA_IntroDays_Overasselt"/>
    <n v="22"/>
    <n v="12"/>
    <s v="(U-village)"/>
    <n v="1"/>
    <x v="0"/>
    <n v="1"/>
    <n v="4000"/>
  </r>
  <r>
    <n v="1087"/>
    <d v="2025-09-23T10:46:58"/>
    <n v="75000"/>
    <n v="40000"/>
    <n v="0"/>
    <n v="7000"/>
    <n v="0"/>
    <n v="0"/>
    <n v="20000"/>
    <n v="0"/>
    <n v="3500"/>
    <n v="0"/>
    <n v="4000"/>
    <n v="5350"/>
    <n v="0"/>
    <n v="0"/>
    <n v="0"/>
    <n v="2"/>
    <n v="0"/>
    <n v="1"/>
    <n v="0"/>
    <n v="3"/>
    <n v="4"/>
    <n v="110000"/>
    <n v="70000"/>
    <n v="63000"/>
    <n v="0"/>
    <n v="0"/>
    <n v="70000"/>
    <n v="56000"/>
    <m/>
    <m/>
    <n v="6"/>
    <n v="6"/>
    <n v="0"/>
    <n v="0"/>
    <n v="0"/>
    <n v="0"/>
    <s v="VIEW_SUMMARY"/>
    <n v="650"/>
    <n v="275"/>
    <n v="1324"/>
    <n v="1324"/>
    <m/>
    <x v="2"/>
    <n v="91"/>
    <s v="table3"/>
    <n v="19"/>
    <s v="250923_EPA_IntroDays_Overasselt"/>
    <n v="22"/>
    <n v="12"/>
    <s v="(U-village)"/>
    <n v="2"/>
    <x v="0"/>
    <n v="0"/>
    <n v="4000"/>
  </r>
  <r>
    <n v="1113"/>
    <d v="2025-09-23T10:46:58"/>
    <n v="75000"/>
    <n v="40000"/>
    <n v="0"/>
    <n v="7000"/>
    <n v="0"/>
    <n v="0"/>
    <n v="20000"/>
    <n v="8000"/>
    <n v="0"/>
    <n v="24000"/>
    <n v="0"/>
    <n v="-18650"/>
    <n v="0"/>
    <n v="0"/>
    <n v="1"/>
    <n v="0"/>
    <n v="7"/>
    <n v="0"/>
    <n v="0"/>
    <n v="-3"/>
    <n v="4"/>
    <n v="110000"/>
    <n v="70000"/>
    <n v="56000"/>
    <n v="0"/>
    <n v="0"/>
    <n v="70000"/>
    <n v="49000"/>
    <m/>
    <m/>
    <n v="6"/>
    <n v="6"/>
    <n v="-1"/>
    <n v="-2"/>
    <n v="1"/>
    <n v="1"/>
    <s v="VIEW_SUMMARY"/>
    <n v="650"/>
    <n v="279"/>
    <n v="1324"/>
    <n v="1324"/>
    <m/>
    <x v="3"/>
    <n v="91"/>
    <s v="table3"/>
    <n v="19"/>
    <s v="250923_EPA_IntroDays_Overasselt"/>
    <n v="22"/>
    <n v="12"/>
    <s v="(U-village)"/>
    <n v="3"/>
    <x v="0"/>
    <n v="2"/>
    <n v="24000"/>
  </r>
  <r>
    <n v="1137"/>
    <d v="2025-09-23T10:46:58"/>
    <n v="75000"/>
    <n v="40000"/>
    <n v="18650"/>
    <n v="7000"/>
    <n v="0"/>
    <n v="0"/>
    <n v="20000"/>
    <n v="0"/>
    <n v="0"/>
    <n v="16000"/>
    <n v="0"/>
    <n v="-26650"/>
    <n v="0"/>
    <n v="0"/>
    <n v="0"/>
    <n v="0"/>
    <n v="5"/>
    <n v="0"/>
    <n v="1"/>
    <n v="-9"/>
    <n v="4"/>
    <n v="110000"/>
    <n v="70000"/>
    <n v="49000"/>
    <n v="0"/>
    <n v="0"/>
    <n v="70000"/>
    <n v="42000"/>
    <m/>
    <m/>
    <n v="6"/>
    <n v="6"/>
    <n v="-2"/>
    <n v="-1"/>
    <n v="0"/>
    <n v="0"/>
    <s v="VIEW_SUMMARY"/>
    <n v="650"/>
    <n v="283"/>
    <n v="1324"/>
    <n v="1324"/>
    <m/>
    <x v="4"/>
    <n v="91"/>
    <s v="table3"/>
    <n v="19"/>
    <s v="250923_EPA_IntroDays_Overasselt"/>
    <n v="22"/>
    <n v="12"/>
    <s v="(U-village)"/>
    <n v="4"/>
    <x v="0"/>
    <n v="0"/>
    <n v="16000"/>
  </r>
  <r>
    <n v="1048"/>
    <d v="2025-09-23T10:46:41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51"/>
    <n v="268"/>
    <m/>
    <m/>
    <m/>
    <x v="0"/>
    <n v="91"/>
    <s v="table3"/>
    <n v="19"/>
    <s v="250923_EPA_IntroDays_Overasselt"/>
    <n v="22"/>
    <n v="0"/>
    <s v=""/>
    <n v="0"/>
    <x v="1"/>
    <m/>
    <n v="0"/>
  </r>
  <r>
    <n v="1066"/>
    <d v="2025-09-23T10:46:41"/>
    <n v="110000"/>
    <n v="60000"/>
    <n v="0"/>
    <n v="17000"/>
    <n v="0"/>
    <n v="30000"/>
    <n v="20000"/>
    <n v="9000"/>
    <n v="4000"/>
    <n v="0"/>
    <n v="4000"/>
    <n v="-4000"/>
    <n v="0"/>
    <n v="0"/>
    <n v="1"/>
    <n v="0"/>
    <n v="0"/>
    <n v="1"/>
    <n v="0"/>
    <n v="5"/>
    <n v="6"/>
    <n v="170000"/>
    <n v="0"/>
    <n v="0"/>
    <n v="0"/>
    <n v="200000"/>
    <n v="170000"/>
    <n v="153000"/>
    <m/>
    <m/>
    <n v="6"/>
    <n v="9"/>
    <n v="0"/>
    <n v="0"/>
    <n v="1"/>
    <n v="2"/>
    <s v="VIEW_SUMMARY"/>
    <n v="651"/>
    <n v="272"/>
    <m/>
    <n v="1311"/>
    <m/>
    <x v="1"/>
    <n v="91"/>
    <s v="table3"/>
    <n v="19"/>
    <s v="250923_EPA_IntroDays_Overasselt"/>
    <n v="22"/>
    <n v="15"/>
    <s v="(Natu-city)"/>
    <n v="1"/>
    <x v="1"/>
    <n v="3"/>
    <n v="4000"/>
  </r>
  <r>
    <n v="1088"/>
    <d v="2025-09-23T10:46:41"/>
    <n v="110000"/>
    <n v="60000"/>
    <n v="4000"/>
    <n v="17000"/>
    <n v="0"/>
    <n v="0"/>
    <n v="20000"/>
    <n v="0"/>
    <n v="0"/>
    <n v="0"/>
    <n v="4000"/>
    <n v="5000"/>
    <n v="0"/>
    <n v="0"/>
    <n v="0"/>
    <n v="0"/>
    <n v="0"/>
    <n v="1"/>
    <n v="1"/>
    <n v="3"/>
    <n v="6"/>
    <n v="170000"/>
    <n v="170000"/>
    <n v="153000"/>
    <n v="0"/>
    <n v="0"/>
    <n v="170000"/>
    <n v="136000"/>
    <m/>
    <m/>
    <n v="6"/>
    <n v="9"/>
    <n v="0"/>
    <n v="0"/>
    <n v="0"/>
    <n v="0"/>
    <s v="VIEW_SUMMARY"/>
    <n v="651"/>
    <n v="275"/>
    <n v="1311"/>
    <n v="1311"/>
    <m/>
    <x v="2"/>
    <n v="91"/>
    <s v="table3"/>
    <n v="19"/>
    <s v="250923_EPA_IntroDays_Overasselt"/>
    <n v="22"/>
    <n v="15"/>
    <s v="(Natu-city)"/>
    <n v="2"/>
    <x v="1"/>
    <n v="0"/>
    <n v="4000"/>
  </r>
  <r>
    <n v="1104"/>
    <d v="2025-09-23T10:46:41"/>
    <n v="110000"/>
    <n v="60000"/>
    <n v="0"/>
    <n v="17000"/>
    <n v="0"/>
    <n v="0"/>
    <n v="20000"/>
    <n v="6000"/>
    <n v="0"/>
    <n v="16000"/>
    <n v="0"/>
    <n v="-4000"/>
    <n v="0"/>
    <n v="0"/>
    <n v="1"/>
    <n v="0"/>
    <n v="5"/>
    <n v="0"/>
    <n v="0"/>
    <n v="-1"/>
    <n v="6"/>
    <n v="170000"/>
    <n v="170000"/>
    <n v="136000"/>
    <n v="0"/>
    <n v="0"/>
    <n v="170000"/>
    <n v="119000"/>
    <m/>
    <m/>
    <n v="6"/>
    <n v="9"/>
    <n v="-1"/>
    <n v="-2"/>
    <n v="1"/>
    <n v="0"/>
    <s v="VIEW_SUMMARY"/>
    <n v="651"/>
    <n v="279"/>
    <n v="1311"/>
    <n v="1311"/>
    <m/>
    <x v="3"/>
    <n v="91"/>
    <s v="table3"/>
    <n v="19"/>
    <s v="250923_EPA_IntroDays_Overasselt"/>
    <n v="22"/>
    <n v="15"/>
    <s v="(Natu-city)"/>
    <n v="3"/>
    <x v="1"/>
    <n v="1"/>
    <n v="16000"/>
  </r>
  <r>
    <n v="1138"/>
    <d v="2025-09-23T10:46:41"/>
    <n v="110000"/>
    <n v="60000"/>
    <n v="4000"/>
    <n v="17000"/>
    <n v="0"/>
    <n v="0"/>
    <n v="30000"/>
    <n v="0"/>
    <n v="0"/>
    <n v="4000"/>
    <n v="0"/>
    <n v="-5000"/>
    <n v="0"/>
    <n v="0"/>
    <n v="0"/>
    <n v="0"/>
    <n v="2"/>
    <n v="0"/>
    <n v="1"/>
    <n v="-4"/>
    <n v="6"/>
    <n v="170000"/>
    <n v="170000"/>
    <n v="119000"/>
    <n v="0"/>
    <n v="0"/>
    <n v="170000"/>
    <n v="102000"/>
    <m/>
    <m/>
    <n v="6"/>
    <n v="9"/>
    <n v="-2"/>
    <n v="-1"/>
    <n v="0"/>
    <n v="0"/>
    <s v="VIEW_SUMMARY"/>
    <n v="651"/>
    <n v="283"/>
    <n v="1311"/>
    <n v="1311"/>
    <m/>
    <x v="4"/>
    <n v="91"/>
    <s v="table3"/>
    <n v="19"/>
    <s v="250923_EPA_IntroDays_Overasselt"/>
    <n v="22"/>
    <n v="15"/>
    <s v="(Natu-city)"/>
    <n v="4"/>
    <x v="1"/>
    <n v="0"/>
    <n v="4000"/>
  </r>
  <r>
    <n v="1041"/>
    <d v="2025-09-23T10:45:24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52"/>
    <n v="268"/>
    <m/>
    <m/>
    <m/>
    <x v="0"/>
    <n v="91"/>
    <s v="table3"/>
    <n v="19"/>
    <s v="250923_EPA_IntroDays_Overasselt"/>
    <n v="22"/>
    <n v="0"/>
    <s v=""/>
    <n v="0"/>
    <x v="2"/>
    <m/>
    <n v="0"/>
  </r>
  <r>
    <n v="1065"/>
    <d v="2025-09-23T10:45:24"/>
    <n v="60000"/>
    <n v="30000"/>
    <n v="0"/>
    <n v="8000"/>
    <n v="0"/>
    <n v="20000"/>
    <n v="20000"/>
    <n v="0"/>
    <n v="0"/>
    <n v="0"/>
    <n v="4000"/>
    <n v="-22000"/>
    <n v="0"/>
    <n v="0"/>
    <n v="0"/>
    <n v="0"/>
    <n v="0"/>
    <n v="1"/>
    <n v="0"/>
    <n v="4"/>
    <n v="3"/>
    <n v="80000"/>
    <n v="0"/>
    <n v="0"/>
    <n v="0"/>
    <n v="100000"/>
    <n v="80000"/>
    <n v="72000"/>
    <m/>
    <m/>
    <n v="6"/>
    <n v="9"/>
    <n v="0"/>
    <n v="0"/>
    <n v="0"/>
    <n v="0"/>
    <s v="VIEW_SUMMARY"/>
    <n v="652"/>
    <n v="272"/>
    <m/>
    <n v="1313"/>
    <m/>
    <x v="1"/>
    <n v="91"/>
    <s v="table3"/>
    <n v="19"/>
    <s v="250923_EPA_IntroDays_Overasselt"/>
    <n v="22"/>
    <n v="15"/>
    <s v="(Natu-city)"/>
    <n v="1"/>
    <x v="2"/>
    <n v="0"/>
    <n v="4000"/>
  </r>
  <r>
    <n v="1083"/>
    <d v="2025-09-23T10:45:24"/>
    <n v="60000"/>
    <n v="30000"/>
    <n v="22000"/>
    <n v="8000"/>
    <n v="0"/>
    <n v="0"/>
    <n v="20000"/>
    <n v="0"/>
    <n v="0"/>
    <n v="0"/>
    <n v="4000"/>
    <n v="-24000"/>
    <n v="0"/>
    <n v="0"/>
    <n v="0"/>
    <n v="0"/>
    <n v="0"/>
    <n v="1"/>
    <n v="1"/>
    <n v="2"/>
    <n v="3"/>
    <n v="80000"/>
    <n v="80000"/>
    <n v="72000"/>
    <n v="0"/>
    <n v="0"/>
    <n v="80000"/>
    <n v="64000"/>
    <m/>
    <m/>
    <n v="6"/>
    <n v="9"/>
    <n v="0"/>
    <n v="0"/>
    <n v="0"/>
    <n v="0"/>
    <s v="VIEW_SUMMARY"/>
    <n v="652"/>
    <n v="275"/>
    <n v="1313"/>
    <n v="1313"/>
    <m/>
    <x v="2"/>
    <n v="91"/>
    <s v="table3"/>
    <n v="19"/>
    <s v="250923_EPA_IntroDays_Overasselt"/>
    <n v="22"/>
    <n v="15"/>
    <s v="(Natu-city)"/>
    <n v="2"/>
    <x v="2"/>
    <n v="0"/>
    <n v="4000"/>
  </r>
  <r>
    <n v="1109"/>
    <d v="2025-09-23T10:45:24"/>
    <n v="60000"/>
    <n v="30000"/>
    <n v="24000"/>
    <n v="8000"/>
    <n v="0"/>
    <n v="0"/>
    <n v="20000"/>
    <n v="0"/>
    <n v="0"/>
    <n v="16000"/>
    <n v="0"/>
    <n v="-38000"/>
    <n v="0"/>
    <n v="0"/>
    <n v="0"/>
    <n v="0"/>
    <n v="5"/>
    <n v="0"/>
    <n v="1"/>
    <n v="-4"/>
    <n v="3"/>
    <n v="80000"/>
    <n v="80000"/>
    <n v="64000"/>
    <n v="0"/>
    <n v="0"/>
    <n v="80000"/>
    <n v="56000"/>
    <m/>
    <m/>
    <n v="6"/>
    <n v="9"/>
    <n v="-1"/>
    <n v="-2"/>
    <n v="0"/>
    <n v="0"/>
    <s v="VIEW_SUMMARY"/>
    <n v="652"/>
    <n v="279"/>
    <n v="1313"/>
    <n v="1313"/>
    <m/>
    <x v="3"/>
    <n v="91"/>
    <s v="table3"/>
    <n v="19"/>
    <s v="250923_EPA_IntroDays_Overasselt"/>
    <n v="22"/>
    <n v="15"/>
    <s v="(Natu-city)"/>
    <n v="3"/>
    <x v="2"/>
    <n v="0"/>
    <n v="16000"/>
  </r>
  <r>
    <n v="1135"/>
    <d v="2025-09-23T10:45:24"/>
    <n v="60000"/>
    <n v="30000"/>
    <n v="30000"/>
    <n v="8000"/>
    <n v="0"/>
    <n v="0"/>
    <n v="30000"/>
    <n v="0"/>
    <n v="0"/>
    <n v="4000"/>
    <n v="0"/>
    <n v="-50000"/>
    <n v="0"/>
    <n v="0"/>
    <n v="0"/>
    <n v="0"/>
    <n v="2"/>
    <n v="0"/>
    <n v="1"/>
    <n v="-7"/>
    <n v="3"/>
    <n v="80000"/>
    <n v="80000"/>
    <n v="56000"/>
    <n v="0"/>
    <n v="0"/>
    <n v="80000"/>
    <n v="48000"/>
    <m/>
    <m/>
    <n v="6"/>
    <n v="9"/>
    <n v="-2"/>
    <n v="-1"/>
    <n v="0"/>
    <n v="0"/>
    <s v="VIEW_SUMMARY"/>
    <n v="652"/>
    <n v="283"/>
    <n v="1313"/>
    <n v="1313"/>
    <m/>
    <x v="4"/>
    <n v="91"/>
    <s v="table3"/>
    <n v="19"/>
    <s v="250923_EPA_IntroDays_Overasselt"/>
    <n v="22"/>
    <n v="15"/>
    <s v="(Natu-city)"/>
    <n v="4"/>
    <x v="2"/>
    <n v="0"/>
    <n v="4000"/>
  </r>
  <r>
    <n v="1044"/>
    <d v="2025-09-23T10:45:41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53"/>
    <n v="268"/>
    <m/>
    <m/>
    <m/>
    <x v="0"/>
    <n v="91"/>
    <s v="table3"/>
    <n v="19"/>
    <s v="250923_EPA_IntroDays_Overasselt"/>
    <n v="22"/>
    <n v="0"/>
    <s v=""/>
    <n v="0"/>
    <x v="3"/>
    <m/>
    <n v="0"/>
  </r>
  <r>
    <n v="1062"/>
    <d v="2025-09-23T10:45:41"/>
    <n v="90000"/>
    <n v="50000"/>
    <n v="0"/>
    <n v="12500"/>
    <n v="0"/>
    <n v="0"/>
    <n v="20000"/>
    <n v="8000"/>
    <n v="3125"/>
    <n v="4000"/>
    <n v="4000"/>
    <n v="3375"/>
    <n v="0"/>
    <n v="-1"/>
    <n v="1"/>
    <n v="1"/>
    <n v="2"/>
    <n v="1"/>
    <n v="0"/>
    <n v="3"/>
    <n v="5"/>
    <n v="130000"/>
    <n v="0"/>
    <n v="0"/>
    <n v="0"/>
    <n v="125000"/>
    <n v="125000"/>
    <n v="112500"/>
    <m/>
    <m/>
    <n v="6"/>
    <n v="6"/>
    <n v="0"/>
    <n v="0"/>
    <n v="1"/>
    <n v="0"/>
    <s v="VIEW_SUMMARY"/>
    <n v="653"/>
    <n v="272"/>
    <m/>
    <n v="1321"/>
    <m/>
    <x v="1"/>
    <n v="91"/>
    <s v="table3"/>
    <n v="19"/>
    <s v="250923_EPA_IntroDays_Overasselt"/>
    <n v="22"/>
    <n v="12"/>
    <s v="(U-village)"/>
    <n v="1"/>
    <x v="3"/>
    <n v="1"/>
    <n v="8000"/>
  </r>
  <r>
    <n v="1086"/>
    <d v="2025-09-23T10:45:41"/>
    <n v="90000"/>
    <n v="50000"/>
    <n v="0"/>
    <n v="12500"/>
    <n v="0"/>
    <n v="0"/>
    <n v="20000"/>
    <n v="8000"/>
    <n v="0"/>
    <n v="0"/>
    <n v="4000"/>
    <n v="-1125"/>
    <n v="0"/>
    <n v="0"/>
    <n v="1"/>
    <n v="0"/>
    <n v="0"/>
    <n v="1"/>
    <n v="0"/>
    <n v="3"/>
    <n v="5"/>
    <n v="130000"/>
    <n v="125000"/>
    <n v="112500"/>
    <n v="0"/>
    <n v="0"/>
    <n v="125000"/>
    <n v="100000"/>
    <m/>
    <m/>
    <n v="6"/>
    <n v="6"/>
    <n v="0"/>
    <n v="0"/>
    <n v="1"/>
    <n v="1"/>
    <s v="VIEW_SUMMARY"/>
    <n v="653"/>
    <n v="275"/>
    <n v="1321"/>
    <n v="1321"/>
    <m/>
    <x v="2"/>
    <n v="91"/>
    <s v="table3"/>
    <n v="19"/>
    <s v="250923_EPA_IntroDays_Overasselt"/>
    <n v="22"/>
    <n v="12"/>
    <s v="(U-village)"/>
    <n v="2"/>
    <x v="3"/>
    <n v="2"/>
    <n v="4000"/>
  </r>
  <r>
    <n v="1103"/>
    <d v="2025-09-23T10:45:41"/>
    <n v="90000"/>
    <n v="50000"/>
    <n v="1125"/>
    <n v="12500"/>
    <n v="0"/>
    <n v="0"/>
    <n v="20000"/>
    <n v="0"/>
    <n v="0"/>
    <n v="28000"/>
    <n v="0"/>
    <n v="-21625"/>
    <n v="0"/>
    <n v="0"/>
    <n v="0"/>
    <n v="0"/>
    <n v="8"/>
    <n v="0"/>
    <n v="1"/>
    <n v="-6"/>
    <n v="5"/>
    <n v="130000"/>
    <n v="125000"/>
    <n v="100000"/>
    <n v="0"/>
    <n v="0"/>
    <n v="125000"/>
    <n v="87500"/>
    <m/>
    <m/>
    <n v="6"/>
    <n v="6"/>
    <n v="-1"/>
    <n v="-2"/>
    <n v="0"/>
    <n v="0"/>
    <s v="VIEW_SUMMARY"/>
    <n v="653"/>
    <n v="279"/>
    <n v="1321"/>
    <n v="1321"/>
    <m/>
    <x v="3"/>
    <n v="91"/>
    <s v="table3"/>
    <n v="19"/>
    <s v="250923_EPA_IntroDays_Overasselt"/>
    <n v="22"/>
    <n v="12"/>
    <s v="(U-village)"/>
    <n v="3"/>
    <x v="3"/>
    <n v="0"/>
    <n v="28000"/>
  </r>
  <r>
    <n v="1134"/>
    <d v="2025-09-23T10:45:41"/>
    <n v="90000"/>
    <n v="50000"/>
    <n v="21625"/>
    <n v="12500"/>
    <n v="0"/>
    <n v="0"/>
    <n v="20000"/>
    <n v="0"/>
    <n v="0"/>
    <n v="16000"/>
    <n v="0"/>
    <n v="-30125"/>
    <n v="0"/>
    <n v="0"/>
    <n v="0"/>
    <n v="0"/>
    <n v="5"/>
    <n v="0"/>
    <n v="1"/>
    <n v="-12"/>
    <n v="5"/>
    <n v="130000"/>
    <n v="125000"/>
    <n v="87500"/>
    <n v="0"/>
    <n v="0"/>
    <n v="125000"/>
    <n v="75000"/>
    <m/>
    <m/>
    <n v="6"/>
    <n v="6"/>
    <n v="-2"/>
    <n v="-1"/>
    <n v="0"/>
    <n v="0"/>
    <s v="VIEW_SUMMARY"/>
    <n v="653"/>
    <n v="283"/>
    <n v="1321"/>
    <n v="1321"/>
    <m/>
    <x v="4"/>
    <n v="91"/>
    <s v="table3"/>
    <n v="19"/>
    <s v="250923_EPA_IntroDays_Overasselt"/>
    <n v="22"/>
    <n v="12"/>
    <s v="(U-village)"/>
    <n v="4"/>
    <x v="3"/>
    <n v="0"/>
    <n v="16000"/>
  </r>
  <r>
    <n v="1040"/>
    <d v="2025-09-23T10:45:23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54"/>
    <n v="268"/>
    <m/>
    <m/>
    <m/>
    <x v="0"/>
    <n v="91"/>
    <s v="table3"/>
    <n v="19"/>
    <s v="250923_EPA_IntroDays_Overasselt"/>
    <n v="22"/>
    <n v="0"/>
    <s v=""/>
    <n v="0"/>
    <x v="4"/>
    <m/>
    <n v="0"/>
  </r>
  <r>
    <n v="1067"/>
    <d v="2025-09-23T10:45:23"/>
    <n v="130000"/>
    <n v="75000"/>
    <n v="0"/>
    <n v="20000"/>
    <n v="0"/>
    <n v="100000"/>
    <n v="20000"/>
    <n v="0"/>
    <n v="0"/>
    <n v="0"/>
    <n v="4000"/>
    <n v="-39000"/>
    <n v="0"/>
    <n v="1"/>
    <n v="0"/>
    <n v="0"/>
    <n v="0"/>
    <n v="1"/>
    <n v="0"/>
    <n v="5"/>
    <n v="7"/>
    <n v="200000"/>
    <n v="0"/>
    <n v="0"/>
    <n v="0"/>
    <n v="300000"/>
    <n v="200000"/>
    <n v="180000"/>
    <m/>
    <m/>
    <n v="4"/>
    <n v="9"/>
    <n v="0"/>
    <n v="0"/>
    <n v="0"/>
    <n v="0"/>
    <s v="VIEW_SUMMARY"/>
    <n v="654"/>
    <n v="272"/>
    <m/>
    <n v="1315"/>
    <m/>
    <x v="1"/>
    <n v="91"/>
    <s v="table3"/>
    <n v="19"/>
    <s v="250923_EPA_IntroDays_Overasselt"/>
    <n v="22"/>
    <n v="13"/>
    <s v="(Dike-town)"/>
    <n v="1"/>
    <x v="4"/>
    <n v="0"/>
    <n v="4000"/>
  </r>
  <r>
    <n v="1084"/>
    <d v="2025-09-23T10:45:23"/>
    <n v="130000"/>
    <n v="75000"/>
    <n v="39000"/>
    <n v="20000"/>
    <n v="0"/>
    <n v="0"/>
    <n v="20000"/>
    <n v="0"/>
    <n v="0"/>
    <n v="0"/>
    <n v="4000"/>
    <n v="-28000"/>
    <n v="0"/>
    <n v="0"/>
    <n v="0"/>
    <n v="0"/>
    <n v="0"/>
    <n v="1"/>
    <n v="1"/>
    <n v="3"/>
    <n v="7"/>
    <n v="200000"/>
    <n v="200000"/>
    <n v="180000"/>
    <n v="0"/>
    <n v="0"/>
    <n v="200000"/>
    <n v="160000"/>
    <m/>
    <m/>
    <n v="4"/>
    <n v="9"/>
    <n v="0"/>
    <n v="0"/>
    <n v="0"/>
    <n v="0"/>
    <s v="VIEW_SUMMARY"/>
    <n v="654"/>
    <n v="275"/>
    <n v="1315"/>
    <n v="1315"/>
    <m/>
    <x v="2"/>
    <n v="91"/>
    <s v="table3"/>
    <n v="19"/>
    <s v="250923_EPA_IntroDays_Overasselt"/>
    <n v="22"/>
    <n v="13"/>
    <s v="(Dike-town)"/>
    <n v="2"/>
    <x v="4"/>
    <n v="0"/>
    <n v="4000"/>
  </r>
  <r>
    <n v="1110"/>
    <d v="2025-09-23T10:45:23"/>
    <n v="130000"/>
    <n v="75000"/>
    <n v="28000"/>
    <n v="20000"/>
    <n v="0"/>
    <n v="0"/>
    <n v="20000"/>
    <n v="0"/>
    <n v="0"/>
    <n v="16000"/>
    <n v="0"/>
    <n v="-29000"/>
    <n v="0"/>
    <n v="0"/>
    <n v="0"/>
    <n v="0"/>
    <n v="5"/>
    <n v="0"/>
    <n v="1"/>
    <n v="-3"/>
    <n v="7"/>
    <n v="200000"/>
    <n v="200000"/>
    <n v="160000"/>
    <n v="0"/>
    <n v="0"/>
    <n v="200000"/>
    <n v="140000"/>
    <m/>
    <m/>
    <n v="4"/>
    <n v="9"/>
    <n v="-1"/>
    <n v="-2"/>
    <n v="0"/>
    <n v="0"/>
    <s v="VIEW_SUMMARY"/>
    <n v="654"/>
    <n v="279"/>
    <n v="1315"/>
    <n v="1315"/>
    <m/>
    <x v="3"/>
    <n v="91"/>
    <s v="table3"/>
    <n v="19"/>
    <s v="250923_EPA_IntroDays_Overasselt"/>
    <n v="22"/>
    <n v="13"/>
    <s v="(Dike-town)"/>
    <n v="3"/>
    <x v="4"/>
    <n v="0"/>
    <n v="16000"/>
  </r>
  <r>
    <n v="1139"/>
    <d v="2025-09-23T10:45:23"/>
    <n v="130000"/>
    <n v="75000"/>
    <n v="29000"/>
    <n v="20000"/>
    <n v="160000"/>
    <n v="0"/>
    <n v="30000"/>
    <n v="23000"/>
    <n v="25500"/>
    <n v="0"/>
    <n v="0"/>
    <n v="87500"/>
    <n v="1"/>
    <n v="-1"/>
    <n v="3"/>
    <n v="4"/>
    <n v="1"/>
    <n v="0"/>
    <n v="1"/>
    <n v="0"/>
    <n v="7"/>
    <n v="200000"/>
    <n v="200000"/>
    <n v="140000"/>
    <n v="300000"/>
    <n v="200000"/>
    <n v="200000"/>
    <n v="180000"/>
    <n v="32"/>
    <m/>
    <n v="6"/>
    <n v="9"/>
    <n v="-2"/>
    <n v="-1"/>
    <n v="4"/>
    <n v="3"/>
    <s v="VIEW_SUMMARY"/>
    <n v="654"/>
    <n v="283"/>
    <n v="1315"/>
    <n v="1366"/>
    <m/>
    <x v="4"/>
    <n v="91"/>
    <s v="table3"/>
    <n v="19"/>
    <s v="250923_EPA_IntroDays_Overasselt"/>
    <n v="22"/>
    <n v="15"/>
    <s v="(Natu-city)"/>
    <n v="4"/>
    <x v="4"/>
    <n v="7"/>
    <n v="0"/>
  </r>
  <r>
    <n v="1035"/>
    <d v="2025-09-23T10:42:00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55"/>
    <n v="268"/>
    <m/>
    <m/>
    <m/>
    <x v="0"/>
    <n v="91"/>
    <s v="table3"/>
    <n v="19"/>
    <s v="250923_EPA_IntroDays_Overasselt"/>
    <n v="22"/>
    <n v="0"/>
    <s v=""/>
    <n v="0"/>
    <x v="5"/>
    <m/>
    <n v="0"/>
  </r>
  <r>
    <n v="1063"/>
    <d v="2025-09-23T10:42:00"/>
    <n v="190000"/>
    <n v="115000"/>
    <n v="0"/>
    <n v="30000"/>
    <n v="0"/>
    <n v="0"/>
    <n v="20000"/>
    <n v="10000"/>
    <n v="21000"/>
    <n v="0"/>
    <n v="4000"/>
    <n v="70000"/>
    <n v="0"/>
    <n v="0"/>
    <n v="0"/>
    <n v="2"/>
    <n v="0"/>
    <n v="1"/>
    <n v="0"/>
    <n v="6"/>
    <n v="8"/>
    <n v="300000"/>
    <n v="0"/>
    <n v="0"/>
    <n v="0"/>
    <n v="300000"/>
    <n v="300000"/>
    <n v="270000"/>
    <m/>
    <m/>
    <n v="4"/>
    <n v="9"/>
    <n v="0"/>
    <n v="0"/>
    <n v="1"/>
    <n v="1"/>
    <s v="VIEW_SUMMARY"/>
    <n v="655"/>
    <n v="272"/>
    <m/>
    <n v="1314"/>
    <m/>
    <x v="1"/>
    <n v="91"/>
    <s v="table3"/>
    <n v="19"/>
    <s v="250923_EPA_IntroDays_Overasselt"/>
    <n v="22"/>
    <n v="13"/>
    <s v="(Dike-town)"/>
    <n v="1"/>
    <x v="5"/>
    <n v="2"/>
    <n v="4000"/>
  </r>
  <r>
    <n v="1085"/>
    <d v="2025-09-23T10:42:00"/>
    <n v="190000"/>
    <n v="115000"/>
    <n v="0"/>
    <n v="30000"/>
    <n v="0"/>
    <n v="0"/>
    <n v="20000"/>
    <n v="9000"/>
    <n v="0"/>
    <n v="0"/>
    <n v="4000"/>
    <n v="82000"/>
    <n v="0"/>
    <n v="0"/>
    <n v="1"/>
    <n v="0"/>
    <n v="0"/>
    <n v="1"/>
    <n v="0"/>
    <n v="6"/>
    <n v="8"/>
    <n v="300000"/>
    <n v="300000"/>
    <n v="270000"/>
    <n v="0"/>
    <n v="0"/>
    <n v="300000"/>
    <n v="240000"/>
    <m/>
    <m/>
    <n v="4"/>
    <n v="9"/>
    <n v="0"/>
    <n v="0"/>
    <n v="1"/>
    <n v="1"/>
    <s v="VIEW_SUMMARY"/>
    <n v="655"/>
    <n v="275"/>
    <n v="1314"/>
    <n v="1314"/>
    <m/>
    <x v="2"/>
    <n v="91"/>
    <s v="table3"/>
    <n v="19"/>
    <s v="250923_EPA_IntroDays_Overasselt"/>
    <n v="22"/>
    <n v="13"/>
    <s v="(Dike-town)"/>
    <n v="2"/>
    <x v="5"/>
    <n v="2"/>
    <n v="4000"/>
  </r>
  <r>
    <n v="1106"/>
    <d v="2025-09-23T10:42:00"/>
    <n v="190000"/>
    <n v="115000"/>
    <n v="0"/>
    <n v="30000"/>
    <n v="0"/>
    <n v="0"/>
    <n v="20000"/>
    <n v="14000"/>
    <n v="0"/>
    <n v="12000"/>
    <n v="0"/>
    <n v="81000"/>
    <n v="0"/>
    <n v="0"/>
    <n v="2"/>
    <n v="0"/>
    <n v="4"/>
    <n v="0"/>
    <n v="0"/>
    <n v="4"/>
    <n v="8"/>
    <n v="300000"/>
    <n v="300000"/>
    <n v="240000"/>
    <n v="0"/>
    <n v="0"/>
    <n v="300000"/>
    <n v="210000"/>
    <m/>
    <m/>
    <n v="4"/>
    <n v="9"/>
    <n v="-1"/>
    <n v="-2"/>
    <n v="2"/>
    <n v="1"/>
    <s v="VIEW_SUMMARY"/>
    <n v="655"/>
    <n v="279"/>
    <n v="1314"/>
    <n v="1314"/>
    <m/>
    <x v="3"/>
    <n v="91"/>
    <s v="table3"/>
    <n v="19"/>
    <s v="250923_EPA_IntroDays_Overasselt"/>
    <n v="22"/>
    <n v="13"/>
    <s v="(Dike-town)"/>
    <n v="3"/>
    <x v="5"/>
    <n v="3"/>
    <n v="12000"/>
  </r>
  <r>
    <n v="1136"/>
    <d v="2025-09-23T10:42:00"/>
    <n v="190000"/>
    <n v="115000"/>
    <n v="0"/>
    <n v="30000"/>
    <n v="90000"/>
    <n v="125000"/>
    <n v="30000"/>
    <n v="15000"/>
    <n v="20125"/>
    <n v="0"/>
    <n v="0"/>
    <n v="25875"/>
    <n v="1"/>
    <n v="1"/>
    <n v="2"/>
    <n v="2"/>
    <n v="1"/>
    <n v="0"/>
    <n v="0"/>
    <n v="7"/>
    <n v="8"/>
    <n v="300000"/>
    <n v="300000"/>
    <n v="210000"/>
    <n v="300000"/>
    <n v="425000"/>
    <n v="300000"/>
    <n v="270000"/>
    <n v="34"/>
    <m/>
    <n v="6"/>
    <n v="9"/>
    <n v="-2"/>
    <n v="-1"/>
    <n v="4"/>
    <n v="3"/>
    <s v="VIEW_SUMMARY"/>
    <n v="655"/>
    <n v="283"/>
    <n v="1314"/>
    <n v="1367"/>
    <m/>
    <x v="4"/>
    <n v="91"/>
    <s v="table3"/>
    <n v="19"/>
    <s v="250923_EPA_IntroDays_Overasselt"/>
    <n v="22"/>
    <n v="15"/>
    <s v="(Natu-city)"/>
    <n v="4"/>
    <x v="5"/>
    <n v="7"/>
    <n v="0"/>
  </r>
  <r>
    <n v="1069"/>
    <d v="2025-09-23T10:48:27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58"/>
    <n v="266"/>
    <m/>
    <m/>
    <m/>
    <x v="0"/>
    <n v="92"/>
    <s v="table4"/>
    <n v="19"/>
    <s v="250923_EPA_IntroDays_Overasselt"/>
    <n v="22"/>
    <n v="0"/>
    <s v=""/>
    <n v="0"/>
    <x v="0"/>
    <m/>
    <n v="0"/>
  </r>
  <r>
    <n v="1073"/>
    <d v="2025-09-23T10:48:27"/>
    <n v="75000"/>
    <n v="40000"/>
    <n v="0"/>
    <n v="0"/>
    <n v="0"/>
    <n v="0"/>
    <n v="0"/>
    <n v="0"/>
    <n v="0"/>
    <n v="0"/>
    <n v="0"/>
    <n v="40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VIEW_BUY_HOUSE"/>
    <n v="658"/>
    <n v="273"/>
    <m/>
    <m/>
    <m/>
    <x v="1"/>
    <n v="92"/>
    <s v="table4"/>
    <n v="19"/>
    <s v="250923_EPA_IntroDays_Overasselt"/>
    <n v="22"/>
    <n v="0"/>
    <s v=""/>
    <n v="1"/>
    <x v="0"/>
    <n v="0"/>
    <n v="0"/>
  </r>
  <r>
    <n v="1057"/>
    <d v="2025-09-23T10:47:25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59"/>
    <n v="266"/>
    <m/>
    <m/>
    <m/>
    <x v="0"/>
    <n v="92"/>
    <s v="table4"/>
    <n v="19"/>
    <s v="250923_EPA_IntroDays_Overasselt"/>
    <n v="22"/>
    <n v="0"/>
    <s v=""/>
    <n v="0"/>
    <x v="1"/>
    <m/>
    <n v="0"/>
  </r>
  <r>
    <n v="1074"/>
    <d v="2025-09-23T10:47:25"/>
    <n v="110000"/>
    <n v="60000"/>
    <n v="0"/>
    <n v="16000"/>
    <n v="0"/>
    <n v="0"/>
    <n v="15000"/>
    <n v="18000"/>
    <n v="8000"/>
    <n v="0"/>
    <n v="0"/>
    <n v="23000"/>
    <n v="0"/>
    <n v="-1"/>
    <n v="1"/>
    <n v="2"/>
    <n v="0"/>
    <n v="0"/>
    <n v="0"/>
    <n v="7"/>
    <n v="6"/>
    <n v="170000"/>
    <n v="0"/>
    <n v="0"/>
    <n v="0"/>
    <n v="160000"/>
    <n v="160000"/>
    <n v="144000"/>
    <m/>
    <m/>
    <n v="4"/>
    <n v="9"/>
    <n v="0"/>
    <n v="0"/>
    <n v="2"/>
    <n v="2"/>
    <s v="VIEW_SUMMARY"/>
    <n v="659"/>
    <n v="273"/>
    <m/>
    <n v="1331"/>
    <m/>
    <x v="1"/>
    <n v="92"/>
    <s v="table4"/>
    <n v="19"/>
    <s v="250923_EPA_IntroDays_Overasselt"/>
    <n v="22"/>
    <n v="13"/>
    <s v="(Dike-town)"/>
    <n v="1"/>
    <x v="1"/>
    <n v="4"/>
    <n v="0"/>
  </r>
  <r>
    <n v="1117"/>
    <d v="2025-09-23T10:47:25"/>
    <n v="110000"/>
    <n v="60000"/>
    <n v="0"/>
    <n v="16000"/>
    <n v="0"/>
    <n v="0"/>
    <n v="15000"/>
    <n v="15000"/>
    <n v="9500"/>
    <n v="0"/>
    <n v="0"/>
    <n v="17500"/>
    <n v="0"/>
    <n v="0"/>
    <n v="2"/>
    <n v="2"/>
    <n v="0"/>
    <n v="0"/>
    <n v="0"/>
    <n v="11"/>
    <n v="6"/>
    <n v="170000"/>
    <n v="160000"/>
    <n v="144000"/>
    <n v="0"/>
    <n v="0"/>
    <n v="160000"/>
    <n v="128000"/>
    <m/>
    <m/>
    <n v="4"/>
    <n v="9"/>
    <n v="0"/>
    <n v="0"/>
    <n v="2"/>
    <n v="1"/>
    <s v="VIEW_SUMMARY"/>
    <n v="659"/>
    <n v="280"/>
    <n v="1331"/>
    <n v="1331"/>
    <m/>
    <x v="2"/>
    <n v="92"/>
    <s v="table4"/>
    <n v="19"/>
    <s v="250923_EPA_IntroDays_Overasselt"/>
    <n v="22"/>
    <n v="13"/>
    <s v="(Dike-town)"/>
    <n v="2"/>
    <x v="1"/>
    <n v="3"/>
    <n v="0"/>
  </r>
  <r>
    <n v="1142"/>
    <d v="2025-09-23T10:47:25"/>
    <n v="110000"/>
    <n v="60000"/>
    <n v="0"/>
    <n v="16000"/>
    <n v="0"/>
    <n v="0"/>
    <n v="15000"/>
    <n v="0"/>
    <n v="3200"/>
    <n v="0"/>
    <n v="4000"/>
    <n v="29300"/>
    <n v="0"/>
    <n v="0"/>
    <n v="0"/>
    <n v="0"/>
    <n v="0"/>
    <n v="1"/>
    <n v="0"/>
    <n v="10"/>
    <n v="6"/>
    <n v="170000"/>
    <n v="160000"/>
    <n v="128000"/>
    <n v="0"/>
    <n v="0"/>
    <n v="160000"/>
    <n v="112000"/>
    <m/>
    <m/>
    <n v="4"/>
    <n v="9"/>
    <n v="-2"/>
    <n v="-1"/>
    <n v="0"/>
    <n v="0"/>
    <s v="VIEW_SUMMARY"/>
    <n v="659"/>
    <n v="284"/>
    <n v="1331"/>
    <n v="1331"/>
    <m/>
    <x v="3"/>
    <n v="92"/>
    <s v="table4"/>
    <n v="19"/>
    <s v="250923_EPA_IntroDays_Overasselt"/>
    <n v="22"/>
    <n v="13"/>
    <s v="(Dike-town)"/>
    <n v="3"/>
    <x v="1"/>
    <n v="0"/>
    <n v="4000"/>
  </r>
  <r>
    <n v="1150"/>
    <d v="2025-09-23T10:47:25"/>
    <n v="110000"/>
    <n v="60000"/>
    <n v="0"/>
    <n v="17000"/>
    <n v="88000"/>
    <n v="30000"/>
    <n v="30000"/>
    <n v="0"/>
    <n v="0"/>
    <n v="0"/>
    <n v="0"/>
    <n v="90300"/>
    <n v="1"/>
    <n v="0"/>
    <n v="0"/>
    <n v="0"/>
    <n v="0"/>
    <n v="0"/>
    <n v="0"/>
    <n v="9"/>
    <n v="6"/>
    <n v="170000"/>
    <n v="160000"/>
    <n v="112000"/>
    <n v="200000"/>
    <n v="200000"/>
    <n v="170000"/>
    <n v="153000"/>
    <n v="35"/>
    <m/>
    <n v="6"/>
    <n v="9"/>
    <n v="-2"/>
    <n v="-1"/>
    <n v="4"/>
    <n v="3"/>
    <s v="VIEW_SUMMARY"/>
    <n v="659"/>
    <n v="285"/>
    <n v="1331"/>
    <n v="1378"/>
    <m/>
    <x v="4"/>
    <n v="92"/>
    <s v="table4"/>
    <n v="19"/>
    <s v="250923_EPA_IntroDays_Overasselt"/>
    <n v="22"/>
    <n v="15"/>
    <s v="(Natu-city)"/>
    <n v="4"/>
    <x v="1"/>
    <n v="7"/>
    <n v="0"/>
  </r>
  <r>
    <n v="1058"/>
    <d v="2025-09-23T10:47:29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60"/>
    <n v="266"/>
    <m/>
    <m/>
    <m/>
    <x v="0"/>
    <n v="92"/>
    <s v="table4"/>
    <n v="19"/>
    <s v="250923_EPA_IntroDays_Overasselt"/>
    <n v="22"/>
    <n v="0"/>
    <s v=""/>
    <n v="0"/>
    <x v="2"/>
    <m/>
    <n v="0"/>
  </r>
  <r>
    <n v="1072"/>
    <d v="2025-09-23T10:47:29"/>
    <n v="60000"/>
    <n v="30000"/>
    <n v="0"/>
    <n v="8000"/>
    <n v="0"/>
    <n v="0"/>
    <n v="15000"/>
    <n v="0"/>
    <n v="1600"/>
    <n v="0"/>
    <n v="0"/>
    <n v="5400"/>
    <n v="0"/>
    <n v="-1"/>
    <n v="0"/>
    <n v="0"/>
    <n v="0"/>
    <n v="0"/>
    <n v="0"/>
    <n v="4"/>
    <n v="3"/>
    <n v="80000"/>
    <n v="0"/>
    <n v="0"/>
    <n v="0"/>
    <n v="80000"/>
    <n v="80000"/>
    <n v="72000"/>
    <m/>
    <m/>
    <n v="4"/>
    <n v="9"/>
    <n v="0"/>
    <n v="0"/>
    <n v="0"/>
    <n v="0"/>
    <s v="VIEW_SUMMARY"/>
    <n v="660"/>
    <n v="273"/>
    <m/>
    <n v="1334"/>
    <m/>
    <x v="1"/>
    <n v="92"/>
    <s v="table4"/>
    <n v="19"/>
    <s v="250923_EPA_IntroDays_Overasselt"/>
    <n v="22"/>
    <n v="13"/>
    <s v="(Dike-town)"/>
    <n v="1"/>
    <x v="2"/>
    <n v="0"/>
    <n v="0"/>
  </r>
  <r>
    <n v="1120"/>
    <d v="2025-09-23T10:47:29"/>
    <n v="60000"/>
    <n v="30000"/>
    <n v="0"/>
    <n v="8000"/>
    <n v="0"/>
    <n v="0"/>
    <n v="15000"/>
    <n v="8000"/>
    <n v="0"/>
    <n v="0"/>
    <n v="0"/>
    <n v="4400"/>
    <n v="0"/>
    <n v="0"/>
    <n v="1"/>
    <n v="0"/>
    <n v="0"/>
    <n v="0"/>
    <n v="0"/>
    <n v="5"/>
    <n v="3"/>
    <n v="80000"/>
    <n v="80000"/>
    <n v="72000"/>
    <n v="0"/>
    <n v="0"/>
    <n v="80000"/>
    <n v="64000"/>
    <m/>
    <m/>
    <n v="4"/>
    <n v="9"/>
    <n v="0"/>
    <n v="0"/>
    <n v="1"/>
    <n v="1"/>
    <s v="VIEW_SUMMARY"/>
    <n v="660"/>
    <n v="280"/>
    <n v="1334"/>
    <n v="1334"/>
    <m/>
    <x v="2"/>
    <n v="92"/>
    <s v="table4"/>
    <n v="19"/>
    <s v="250923_EPA_IntroDays_Overasselt"/>
    <n v="22"/>
    <n v="13"/>
    <s v="(Dike-town)"/>
    <n v="2"/>
    <x v="2"/>
    <n v="2"/>
    <n v="0"/>
  </r>
  <r>
    <n v="1144"/>
    <d v="2025-09-23T10:47:29"/>
    <n v="60000"/>
    <n v="30000"/>
    <n v="0"/>
    <n v="8000"/>
    <n v="0"/>
    <n v="0"/>
    <n v="15000"/>
    <n v="6000"/>
    <n v="0"/>
    <n v="0"/>
    <n v="4000"/>
    <n v="1400"/>
    <n v="0"/>
    <n v="0"/>
    <n v="1"/>
    <n v="0"/>
    <n v="0"/>
    <n v="1"/>
    <n v="0"/>
    <n v="5"/>
    <n v="3"/>
    <n v="80000"/>
    <n v="80000"/>
    <n v="64000"/>
    <n v="0"/>
    <n v="0"/>
    <n v="80000"/>
    <n v="56000"/>
    <m/>
    <m/>
    <n v="4"/>
    <n v="9"/>
    <n v="-2"/>
    <n v="-1"/>
    <n v="1"/>
    <n v="0"/>
    <s v="VIEW_SUMMARY"/>
    <n v="660"/>
    <n v="284"/>
    <n v="1334"/>
    <n v="1334"/>
    <m/>
    <x v="3"/>
    <n v="92"/>
    <s v="table4"/>
    <n v="19"/>
    <s v="250923_EPA_IntroDays_Overasselt"/>
    <n v="22"/>
    <n v="13"/>
    <s v="(Dike-town)"/>
    <n v="3"/>
    <x v="2"/>
    <n v="1"/>
    <n v="4000"/>
  </r>
  <r>
    <n v="1151"/>
    <d v="2025-09-23T10:47:29"/>
    <n v="60000"/>
    <n v="30000"/>
    <n v="0"/>
    <n v="8000"/>
    <n v="0"/>
    <n v="0"/>
    <n v="20000"/>
    <n v="0"/>
    <n v="2000"/>
    <n v="0"/>
    <n v="4000"/>
    <n v="-2600"/>
    <n v="0"/>
    <n v="0"/>
    <n v="0"/>
    <n v="1"/>
    <n v="0"/>
    <n v="1"/>
    <n v="0"/>
    <n v="5"/>
    <n v="3"/>
    <n v="80000"/>
    <n v="80000"/>
    <n v="56000"/>
    <n v="0"/>
    <n v="0"/>
    <n v="80000"/>
    <n v="48000"/>
    <m/>
    <m/>
    <n v="4"/>
    <n v="9"/>
    <n v="-2"/>
    <n v="-1"/>
    <n v="0"/>
    <n v="0"/>
    <s v="VIEW_SUMMARY"/>
    <n v="660"/>
    <n v="285"/>
    <n v="1334"/>
    <n v="1334"/>
    <m/>
    <x v="4"/>
    <n v="92"/>
    <s v="table4"/>
    <n v="19"/>
    <s v="250923_EPA_IntroDays_Overasselt"/>
    <n v="22"/>
    <n v="13"/>
    <s v="(Dike-town)"/>
    <n v="4"/>
    <x v="2"/>
    <n v="0"/>
    <n v="4000"/>
  </r>
  <r>
    <n v="1059"/>
    <d v="2025-09-23T10:47:34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61"/>
    <n v="266"/>
    <m/>
    <m/>
    <m/>
    <x v="0"/>
    <n v="92"/>
    <s v="table4"/>
    <n v="19"/>
    <s v="250923_EPA_IntroDays_Overasselt"/>
    <n v="22"/>
    <n v="0"/>
    <s v=""/>
    <n v="0"/>
    <x v="3"/>
    <m/>
    <n v="0"/>
  </r>
  <r>
    <n v="1076"/>
    <d v="2025-09-23T10:47:34"/>
    <n v="90000"/>
    <n v="50000"/>
    <n v="0"/>
    <n v="10000"/>
    <n v="0"/>
    <n v="0"/>
    <n v="15000"/>
    <n v="6000"/>
    <n v="7000"/>
    <n v="0"/>
    <n v="0"/>
    <n v="17000"/>
    <n v="0"/>
    <n v="-2"/>
    <n v="1"/>
    <n v="2"/>
    <n v="0"/>
    <n v="0"/>
    <n v="0"/>
    <n v="6"/>
    <n v="5"/>
    <n v="130000"/>
    <n v="0"/>
    <n v="0"/>
    <n v="0"/>
    <n v="100000"/>
    <n v="100000"/>
    <n v="90000"/>
    <m/>
    <m/>
    <n v="6"/>
    <n v="9"/>
    <n v="0"/>
    <n v="0"/>
    <n v="1"/>
    <n v="0"/>
    <s v="VIEW_SUMMARY"/>
    <n v="661"/>
    <n v="273"/>
    <m/>
    <n v="1328"/>
    <m/>
    <x v="1"/>
    <n v="92"/>
    <s v="table4"/>
    <n v="19"/>
    <s v="250923_EPA_IntroDays_Overasselt"/>
    <n v="22"/>
    <n v="15"/>
    <s v="(Natu-city)"/>
    <n v="1"/>
    <x v="3"/>
    <n v="1"/>
    <n v="0"/>
  </r>
  <r>
    <n v="1118"/>
    <d v="2025-09-23T10:47:34"/>
    <n v="90000"/>
    <n v="50000"/>
    <n v="0"/>
    <n v="10000"/>
    <n v="0"/>
    <n v="0"/>
    <n v="15000"/>
    <n v="8000"/>
    <n v="7000"/>
    <n v="0"/>
    <n v="0"/>
    <n v="17000"/>
    <n v="0"/>
    <n v="0"/>
    <n v="1"/>
    <n v="2"/>
    <n v="0"/>
    <n v="0"/>
    <n v="0"/>
    <n v="9"/>
    <n v="5"/>
    <n v="130000"/>
    <n v="100000"/>
    <n v="90000"/>
    <n v="0"/>
    <n v="0"/>
    <n v="100000"/>
    <n v="80000"/>
    <m/>
    <m/>
    <n v="6"/>
    <n v="9"/>
    <n v="0"/>
    <n v="0"/>
    <n v="1"/>
    <n v="1"/>
    <s v="VIEW_SUMMARY"/>
    <n v="661"/>
    <n v="280"/>
    <n v="1328"/>
    <n v="1328"/>
    <m/>
    <x v="2"/>
    <n v="92"/>
    <s v="table4"/>
    <n v="19"/>
    <s v="250923_EPA_IntroDays_Overasselt"/>
    <n v="22"/>
    <n v="15"/>
    <s v="(Natu-city)"/>
    <n v="2"/>
    <x v="3"/>
    <n v="2"/>
    <n v="0"/>
  </r>
  <r>
    <n v="1141"/>
    <d v="2025-09-23T10:47:34"/>
    <n v="90000"/>
    <n v="50000"/>
    <n v="0"/>
    <n v="10000"/>
    <n v="0"/>
    <n v="0"/>
    <n v="15000"/>
    <n v="0"/>
    <n v="0"/>
    <n v="0"/>
    <n v="4000"/>
    <n v="28000"/>
    <n v="0"/>
    <n v="0"/>
    <n v="0"/>
    <n v="0"/>
    <n v="0"/>
    <n v="1"/>
    <n v="0"/>
    <n v="8"/>
    <n v="5"/>
    <n v="130000"/>
    <n v="100000"/>
    <n v="80000"/>
    <n v="0"/>
    <n v="0"/>
    <n v="100000"/>
    <n v="70000"/>
    <m/>
    <m/>
    <n v="6"/>
    <n v="9"/>
    <n v="-2"/>
    <n v="-1"/>
    <n v="0"/>
    <n v="0"/>
    <s v="VIEW_SUMMARY"/>
    <n v="661"/>
    <n v="284"/>
    <n v="1328"/>
    <n v="1328"/>
    <m/>
    <x v="3"/>
    <n v="92"/>
    <s v="table4"/>
    <n v="19"/>
    <s v="250923_EPA_IntroDays_Overasselt"/>
    <n v="22"/>
    <n v="15"/>
    <s v="(Natu-city)"/>
    <n v="3"/>
    <x v="3"/>
    <n v="0"/>
    <n v="4000"/>
  </r>
  <r>
    <n v="1148"/>
    <d v="2025-09-23T10:47:34"/>
    <n v="90000"/>
    <n v="50000"/>
    <n v="0"/>
    <n v="10000"/>
    <n v="0"/>
    <n v="0"/>
    <n v="30000"/>
    <n v="8000"/>
    <n v="0"/>
    <n v="0"/>
    <n v="0"/>
    <n v="20000"/>
    <n v="0"/>
    <n v="0"/>
    <n v="1"/>
    <n v="0"/>
    <n v="0"/>
    <n v="0"/>
    <n v="0"/>
    <n v="9"/>
    <n v="5"/>
    <n v="130000"/>
    <n v="100000"/>
    <n v="70000"/>
    <n v="0"/>
    <n v="0"/>
    <n v="100000"/>
    <n v="60000"/>
    <m/>
    <m/>
    <n v="6"/>
    <n v="9"/>
    <n v="-2"/>
    <n v="-1"/>
    <n v="1"/>
    <n v="0"/>
    <s v="VIEW_SUMMARY"/>
    <n v="661"/>
    <n v="285"/>
    <n v="1328"/>
    <n v="1328"/>
    <m/>
    <x v="4"/>
    <n v="92"/>
    <s v="table4"/>
    <n v="19"/>
    <s v="250923_EPA_IntroDays_Overasselt"/>
    <n v="22"/>
    <n v="15"/>
    <s v="(Natu-city)"/>
    <n v="4"/>
    <x v="3"/>
    <n v="1"/>
    <n v="0"/>
  </r>
  <r>
    <n v="1068"/>
    <d v="2025-09-23T10:48:05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62"/>
    <n v="266"/>
    <m/>
    <m/>
    <m/>
    <x v="0"/>
    <n v="92"/>
    <s v="table4"/>
    <n v="19"/>
    <s v="250923_EPA_IntroDays_Overasselt"/>
    <n v="22"/>
    <n v="0"/>
    <s v=""/>
    <n v="0"/>
    <x v="4"/>
    <m/>
    <n v="0"/>
  </r>
  <r>
    <n v="1075"/>
    <d v="2025-09-23T10:48:05"/>
    <n v="130000"/>
    <n v="75000"/>
    <n v="0"/>
    <n v="20000"/>
    <n v="0"/>
    <n v="0"/>
    <n v="15000"/>
    <n v="24000"/>
    <n v="0"/>
    <n v="0"/>
    <n v="0"/>
    <n v="46000"/>
    <n v="0"/>
    <n v="-1"/>
    <n v="2"/>
    <n v="0"/>
    <n v="0"/>
    <n v="0"/>
    <n v="0"/>
    <n v="6"/>
    <n v="7"/>
    <n v="200000"/>
    <n v="0"/>
    <n v="0"/>
    <n v="0"/>
    <n v="200000"/>
    <n v="200000"/>
    <n v="180000"/>
    <m/>
    <m/>
    <n v="6"/>
    <n v="9"/>
    <n v="0"/>
    <n v="0"/>
    <n v="3"/>
    <n v="2"/>
    <s v="VIEW_SUMMARY"/>
    <n v="662"/>
    <n v="273"/>
    <m/>
    <n v="1326"/>
    <m/>
    <x v="1"/>
    <n v="92"/>
    <s v="table4"/>
    <n v="19"/>
    <s v="250923_EPA_IntroDays_Overasselt"/>
    <n v="22"/>
    <n v="15"/>
    <s v="(Natu-city)"/>
    <n v="1"/>
    <x v="4"/>
    <n v="5"/>
    <n v="0"/>
  </r>
  <r>
    <n v="1116"/>
    <d v="2025-09-23T10:48:05"/>
    <n v="130000"/>
    <n v="75000"/>
    <n v="0"/>
    <n v="20000"/>
    <n v="0"/>
    <n v="0"/>
    <n v="15000"/>
    <n v="8000"/>
    <n v="10000"/>
    <n v="0"/>
    <n v="0"/>
    <n v="48000"/>
    <n v="0"/>
    <n v="0"/>
    <n v="1"/>
    <n v="2"/>
    <n v="0"/>
    <n v="0"/>
    <n v="0"/>
    <n v="9"/>
    <n v="7"/>
    <n v="200000"/>
    <n v="200000"/>
    <n v="180000"/>
    <n v="0"/>
    <n v="0"/>
    <n v="200000"/>
    <n v="160000"/>
    <m/>
    <m/>
    <n v="6"/>
    <n v="9"/>
    <n v="0"/>
    <n v="0"/>
    <n v="1"/>
    <n v="0"/>
    <s v="VIEW_SUMMARY"/>
    <n v="662"/>
    <n v="280"/>
    <n v="1326"/>
    <n v="1326"/>
    <m/>
    <x v="2"/>
    <n v="92"/>
    <s v="table4"/>
    <n v="19"/>
    <s v="250923_EPA_IntroDays_Overasselt"/>
    <n v="22"/>
    <n v="15"/>
    <s v="(Natu-city)"/>
    <n v="2"/>
    <x v="4"/>
    <n v="1"/>
    <n v="0"/>
  </r>
  <r>
    <n v="1145"/>
    <d v="2025-09-23T10:48:05"/>
    <n v="130000"/>
    <n v="75000"/>
    <n v="0"/>
    <n v="20000"/>
    <n v="0"/>
    <n v="0"/>
    <n v="15000"/>
    <n v="1000"/>
    <n v="0"/>
    <n v="0"/>
    <n v="4000"/>
    <n v="63000"/>
    <n v="0"/>
    <n v="0"/>
    <n v="0"/>
    <n v="0"/>
    <n v="0"/>
    <n v="1"/>
    <n v="0"/>
    <n v="8"/>
    <n v="7"/>
    <n v="200000"/>
    <n v="200000"/>
    <n v="160000"/>
    <n v="0"/>
    <n v="0"/>
    <n v="200000"/>
    <n v="140000"/>
    <m/>
    <m/>
    <n v="6"/>
    <n v="9"/>
    <n v="-2"/>
    <n v="-1"/>
    <n v="0"/>
    <n v="1"/>
    <s v="VIEW_SUMMARY"/>
    <n v="662"/>
    <n v="284"/>
    <n v="1326"/>
    <n v="1326"/>
    <m/>
    <x v="3"/>
    <n v="92"/>
    <s v="table4"/>
    <n v="19"/>
    <s v="250923_EPA_IntroDays_Overasselt"/>
    <n v="22"/>
    <n v="15"/>
    <s v="(Natu-city)"/>
    <n v="3"/>
    <x v="4"/>
    <n v="1"/>
    <n v="4000"/>
  </r>
  <r>
    <n v="1149"/>
    <d v="2025-09-23T10:48:05"/>
    <n v="130000"/>
    <n v="75000"/>
    <n v="0"/>
    <n v="20000"/>
    <n v="0"/>
    <n v="0"/>
    <n v="30000"/>
    <n v="0"/>
    <n v="15500"/>
    <n v="0"/>
    <n v="0"/>
    <n v="52500"/>
    <n v="0"/>
    <n v="0"/>
    <n v="0"/>
    <n v="2"/>
    <n v="0"/>
    <n v="0"/>
    <n v="0"/>
    <n v="10"/>
    <n v="7"/>
    <n v="200000"/>
    <n v="200000"/>
    <n v="140000"/>
    <n v="0"/>
    <n v="0"/>
    <n v="200000"/>
    <n v="120000"/>
    <m/>
    <m/>
    <n v="6"/>
    <n v="9"/>
    <n v="-2"/>
    <n v="-1"/>
    <n v="0"/>
    <n v="0"/>
    <s v="VIEW_SUMMARY"/>
    <n v="662"/>
    <n v="285"/>
    <n v="1326"/>
    <n v="1326"/>
    <m/>
    <x v="4"/>
    <n v="92"/>
    <s v="table4"/>
    <n v="19"/>
    <s v="250923_EPA_IntroDays_Overasselt"/>
    <n v="22"/>
    <n v="15"/>
    <s v="(Natu-city)"/>
    <n v="4"/>
    <x v="4"/>
    <n v="0"/>
    <n v="0"/>
  </r>
  <r>
    <n v="1060"/>
    <d v="2025-09-23T10:47:34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63"/>
    <n v="266"/>
    <m/>
    <m/>
    <m/>
    <x v="0"/>
    <n v="92"/>
    <s v="table4"/>
    <n v="19"/>
    <s v="250923_EPA_IntroDays_Overasselt"/>
    <n v="22"/>
    <n v="0"/>
    <s v=""/>
    <n v="0"/>
    <x v="5"/>
    <m/>
    <n v="0"/>
  </r>
  <r>
    <n v="1071"/>
    <d v="2025-09-23T10:47:34"/>
    <n v="190000"/>
    <n v="115000"/>
    <n v="0"/>
    <n v="30000"/>
    <n v="0"/>
    <n v="0"/>
    <n v="15000"/>
    <n v="24000"/>
    <n v="21000"/>
    <n v="0"/>
    <n v="0"/>
    <n v="65000"/>
    <n v="0"/>
    <n v="0"/>
    <n v="2"/>
    <n v="2"/>
    <n v="0"/>
    <n v="0"/>
    <n v="0"/>
    <n v="9"/>
    <n v="8"/>
    <n v="300000"/>
    <n v="0"/>
    <n v="0"/>
    <n v="0"/>
    <n v="300000"/>
    <n v="300000"/>
    <n v="270000"/>
    <m/>
    <m/>
    <n v="4"/>
    <n v="9"/>
    <n v="0"/>
    <n v="0"/>
    <n v="4"/>
    <n v="2"/>
    <s v="VIEW_SUMMARY"/>
    <n v="663"/>
    <n v="273"/>
    <m/>
    <n v="1329"/>
    <m/>
    <x v="1"/>
    <n v="92"/>
    <s v="table4"/>
    <n v="19"/>
    <s v="250923_EPA_IntroDays_Overasselt"/>
    <n v="22"/>
    <n v="13"/>
    <s v="(Dike-town)"/>
    <n v="1"/>
    <x v="5"/>
    <n v="6"/>
    <n v="0"/>
  </r>
  <r>
    <n v="1119"/>
    <d v="2025-09-23T10:47:34"/>
    <n v="190000"/>
    <n v="115000"/>
    <n v="0"/>
    <n v="30000"/>
    <n v="0"/>
    <n v="0"/>
    <n v="15000"/>
    <n v="1000"/>
    <n v="17000"/>
    <n v="0"/>
    <n v="4000"/>
    <n v="73000"/>
    <n v="0"/>
    <n v="0"/>
    <n v="0"/>
    <n v="2"/>
    <n v="0"/>
    <n v="1"/>
    <n v="0"/>
    <n v="10"/>
    <n v="8"/>
    <n v="300000"/>
    <n v="300000"/>
    <n v="270000"/>
    <n v="0"/>
    <n v="0"/>
    <n v="300000"/>
    <n v="240000"/>
    <m/>
    <m/>
    <n v="4"/>
    <n v="9"/>
    <n v="0"/>
    <n v="0"/>
    <n v="0"/>
    <n v="1"/>
    <s v="VIEW_SUMMARY"/>
    <n v="663"/>
    <n v="280"/>
    <n v="1329"/>
    <n v="1329"/>
    <m/>
    <x v="2"/>
    <n v="92"/>
    <s v="table4"/>
    <n v="19"/>
    <s v="250923_EPA_IntroDays_Overasselt"/>
    <n v="22"/>
    <n v="13"/>
    <s v="(Dike-town)"/>
    <n v="2"/>
    <x v="5"/>
    <n v="1"/>
    <n v="4000"/>
  </r>
  <r>
    <n v="1143"/>
    <d v="2025-09-23T10:47:34"/>
    <n v="190000"/>
    <n v="115000"/>
    <n v="0"/>
    <n v="30000"/>
    <n v="0"/>
    <n v="0"/>
    <n v="15000"/>
    <n v="0"/>
    <n v="0"/>
    <n v="0"/>
    <n v="4000"/>
    <n v="99000"/>
    <n v="0"/>
    <n v="0"/>
    <n v="0"/>
    <n v="0"/>
    <n v="0"/>
    <n v="1"/>
    <n v="0"/>
    <n v="9"/>
    <n v="8"/>
    <n v="300000"/>
    <n v="300000"/>
    <n v="240000"/>
    <n v="0"/>
    <n v="0"/>
    <n v="300000"/>
    <n v="210000"/>
    <m/>
    <m/>
    <n v="4"/>
    <n v="9"/>
    <n v="-2"/>
    <n v="-1"/>
    <n v="0"/>
    <n v="0"/>
    <s v="VIEW_SUMMARY"/>
    <n v="663"/>
    <n v="284"/>
    <n v="1329"/>
    <n v="1329"/>
    <m/>
    <x v="3"/>
    <n v="92"/>
    <s v="table4"/>
    <n v="19"/>
    <s v="250923_EPA_IntroDays_Overasselt"/>
    <n v="22"/>
    <n v="13"/>
    <s v="(Dike-town)"/>
    <n v="3"/>
    <x v="5"/>
    <n v="0"/>
    <n v="4000"/>
  </r>
  <r>
    <n v="1147"/>
    <d v="2025-09-23T10:47:34"/>
    <n v="190000"/>
    <n v="115000"/>
    <n v="0"/>
    <n v="30000"/>
    <n v="90000"/>
    <n v="125000"/>
    <n v="30000"/>
    <n v="0"/>
    <n v="0"/>
    <n v="0"/>
    <n v="0"/>
    <n v="79000"/>
    <n v="1"/>
    <n v="1"/>
    <n v="0"/>
    <n v="0"/>
    <n v="0"/>
    <n v="0"/>
    <n v="0"/>
    <n v="9"/>
    <n v="8"/>
    <n v="300000"/>
    <n v="300000"/>
    <n v="210000"/>
    <n v="300000"/>
    <n v="425000"/>
    <n v="300000"/>
    <n v="270000"/>
    <n v="33"/>
    <m/>
    <n v="6"/>
    <n v="9"/>
    <n v="-2"/>
    <n v="-1"/>
    <n v="4"/>
    <n v="2"/>
    <s v="ANSWER_SURVEY"/>
    <n v="663"/>
    <n v="285"/>
    <n v="1329"/>
    <n v="1379"/>
    <m/>
    <x v="4"/>
    <n v="92"/>
    <s v="table4"/>
    <n v="19"/>
    <s v="250923_EPA_IntroDays_Overasselt"/>
    <n v="22"/>
    <n v="15"/>
    <s v="(Natu-city)"/>
    <n v="4"/>
    <x v="5"/>
    <n v="6"/>
    <n v="0"/>
  </r>
  <r>
    <n v="1056"/>
    <d v="2025-09-23T10:47:24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64"/>
    <n v="266"/>
    <m/>
    <m/>
    <m/>
    <x v="0"/>
    <n v="92"/>
    <s v="table4"/>
    <n v="19"/>
    <s v="250923_EPA_IntroDays_Overasselt"/>
    <n v="22"/>
    <n v="0"/>
    <s v=""/>
    <n v="0"/>
    <x v="1"/>
    <m/>
    <n v="0"/>
  </r>
  <r>
    <n v="1070"/>
    <d v="2025-09-23T10:47:24"/>
    <n v="110000"/>
    <n v="60000"/>
    <n v="0"/>
    <n v="17000"/>
    <n v="0"/>
    <n v="30000"/>
    <n v="15000"/>
    <n v="0"/>
    <n v="0"/>
    <n v="0"/>
    <n v="0"/>
    <n v="18000"/>
    <n v="0"/>
    <n v="0"/>
    <n v="0"/>
    <n v="0"/>
    <n v="0"/>
    <n v="0"/>
    <n v="0"/>
    <n v="5"/>
    <n v="6"/>
    <n v="170000"/>
    <n v="0"/>
    <n v="0"/>
    <n v="0"/>
    <n v="200000"/>
    <n v="170000"/>
    <n v="153000"/>
    <m/>
    <m/>
    <n v="6"/>
    <n v="9"/>
    <n v="0"/>
    <n v="0"/>
    <n v="1"/>
    <n v="1"/>
    <s v="VIEW_SUMMARY"/>
    <n v="664"/>
    <n v="273"/>
    <m/>
    <n v="1327"/>
    <m/>
    <x v="1"/>
    <n v="92"/>
    <s v="table4"/>
    <n v="19"/>
    <s v="250923_EPA_IntroDays_Overasselt"/>
    <n v="22"/>
    <n v="15"/>
    <s v="(Natu-city)"/>
    <n v="1"/>
    <x v="1"/>
    <n v="2"/>
    <n v="0"/>
  </r>
  <r>
    <n v="1115"/>
    <d v="2025-09-23T10:47:24"/>
    <n v="110000"/>
    <n v="60000"/>
    <n v="0"/>
    <n v="17000"/>
    <n v="0"/>
    <n v="0"/>
    <n v="15000"/>
    <n v="24000"/>
    <n v="0"/>
    <n v="0"/>
    <n v="0"/>
    <n v="12000"/>
    <n v="0"/>
    <n v="0"/>
    <n v="2"/>
    <n v="0"/>
    <n v="0"/>
    <n v="0"/>
    <n v="0"/>
    <n v="7"/>
    <n v="6"/>
    <n v="170000"/>
    <n v="170000"/>
    <n v="153000"/>
    <n v="0"/>
    <n v="0"/>
    <n v="170000"/>
    <n v="136000"/>
    <m/>
    <m/>
    <n v="6"/>
    <n v="9"/>
    <n v="0"/>
    <n v="0"/>
    <n v="3"/>
    <n v="1"/>
    <s v="VIEW_SUMMARY"/>
    <n v="664"/>
    <n v="280"/>
    <n v="1327"/>
    <n v="1327"/>
    <m/>
    <x v="2"/>
    <n v="92"/>
    <s v="table4"/>
    <n v="19"/>
    <s v="250923_EPA_IntroDays_Overasselt"/>
    <n v="22"/>
    <n v="15"/>
    <s v="(Natu-city)"/>
    <n v="2"/>
    <x v="1"/>
    <n v="4"/>
    <n v="0"/>
  </r>
  <r>
    <n v="1140"/>
    <d v="2025-09-23T10:47:24"/>
    <n v="110000"/>
    <n v="60000"/>
    <n v="0"/>
    <n v="17000"/>
    <n v="0"/>
    <n v="0"/>
    <n v="15000"/>
    <n v="1000"/>
    <n v="5000"/>
    <n v="0"/>
    <n v="4000"/>
    <n v="20000"/>
    <n v="0"/>
    <n v="0"/>
    <n v="0"/>
    <n v="1"/>
    <n v="0"/>
    <n v="1"/>
    <n v="0"/>
    <n v="7"/>
    <n v="6"/>
    <n v="170000"/>
    <n v="170000"/>
    <n v="136000"/>
    <n v="0"/>
    <n v="0"/>
    <n v="170000"/>
    <n v="119000"/>
    <m/>
    <m/>
    <n v="6"/>
    <n v="9"/>
    <n v="-2"/>
    <n v="-1"/>
    <n v="0"/>
    <n v="1"/>
    <s v="VIEW_SUMMARY"/>
    <n v="664"/>
    <n v="284"/>
    <n v="1327"/>
    <n v="1327"/>
    <m/>
    <x v="3"/>
    <n v="92"/>
    <s v="table4"/>
    <n v="19"/>
    <s v="250923_EPA_IntroDays_Overasselt"/>
    <n v="22"/>
    <n v="15"/>
    <s v="(Natu-city)"/>
    <n v="3"/>
    <x v="1"/>
    <n v="1"/>
    <n v="4000"/>
  </r>
  <r>
    <n v="1146"/>
    <d v="2025-09-23T10:47:24"/>
    <n v="110000"/>
    <n v="60000"/>
    <n v="0"/>
    <n v="17000"/>
    <n v="121000"/>
    <n v="130000"/>
    <n v="20000"/>
    <n v="0"/>
    <n v="5500"/>
    <n v="0"/>
    <n v="4000"/>
    <n v="14500"/>
    <n v="3"/>
    <n v="2"/>
    <n v="0"/>
    <n v="1"/>
    <n v="0"/>
    <n v="1"/>
    <n v="0"/>
    <n v="6"/>
    <n v="6"/>
    <n v="170000"/>
    <n v="170000"/>
    <n v="119000"/>
    <n v="240000"/>
    <n v="300000"/>
    <n v="170000"/>
    <n v="153000"/>
    <n v="36"/>
    <m/>
    <n v="4"/>
    <n v="9"/>
    <n v="-2"/>
    <n v="-1"/>
    <n v="0"/>
    <n v="0"/>
    <s v="VIEW_SUMMARY"/>
    <n v="664"/>
    <n v="285"/>
    <n v="1327"/>
    <n v="1329"/>
    <m/>
    <x v="4"/>
    <n v="92"/>
    <s v="table4"/>
    <n v="19"/>
    <s v="250923_EPA_IntroDays_Overasselt"/>
    <n v="22"/>
    <n v="13"/>
    <s v="(Dike-town)"/>
    <n v="4"/>
    <x v="1"/>
    <n v="0"/>
    <n v="4000"/>
  </r>
  <r>
    <n v="1153"/>
    <d v="2025-09-23T14:07:49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66"/>
    <n v="289"/>
    <m/>
    <m/>
    <m/>
    <x v="0"/>
    <n v="93"/>
    <s v="table5"/>
    <n v="19"/>
    <s v="250923_EPA_IntroDays_Overasselt"/>
    <n v="22"/>
    <n v="0"/>
    <s v=""/>
    <n v="0"/>
    <x v="0"/>
    <m/>
    <n v="0"/>
  </r>
  <r>
    <n v="1182"/>
    <d v="2025-09-23T14:07:49"/>
    <n v="75000"/>
    <n v="40000"/>
    <n v="0"/>
    <n v="7000"/>
    <n v="0"/>
    <n v="0"/>
    <n v="20000"/>
    <n v="1000"/>
    <n v="3500"/>
    <n v="12000"/>
    <n v="4000"/>
    <n v="-7500"/>
    <n v="0"/>
    <n v="-2"/>
    <n v="0"/>
    <n v="2"/>
    <n v="4"/>
    <n v="1"/>
    <n v="0"/>
    <n v="0"/>
    <n v="4"/>
    <n v="110000"/>
    <n v="0"/>
    <n v="0"/>
    <n v="0"/>
    <n v="70000"/>
    <n v="70000"/>
    <n v="63000"/>
    <m/>
    <m/>
    <n v="6"/>
    <n v="6"/>
    <n v="0"/>
    <n v="0"/>
    <n v="0"/>
    <n v="1"/>
    <s v="VIEW_SUMMARY"/>
    <n v="666"/>
    <n v="291"/>
    <m/>
    <n v="1417"/>
    <m/>
    <x v="1"/>
    <n v="93"/>
    <s v="table5"/>
    <n v="19"/>
    <s v="250923_EPA_IntroDays_Overasselt"/>
    <n v="22"/>
    <n v="12"/>
    <s v="(U-village)"/>
    <n v="1"/>
    <x v="0"/>
    <n v="1"/>
    <n v="16000"/>
  </r>
  <r>
    <n v="1225"/>
    <d v="2025-09-23T14:07:49"/>
    <n v="75000"/>
    <n v="40000"/>
    <n v="7500"/>
    <n v="7000"/>
    <n v="0"/>
    <n v="0"/>
    <n v="20000"/>
    <n v="0"/>
    <n v="0"/>
    <n v="24000"/>
    <n v="4000"/>
    <n v="-27500"/>
    <n v="0"/>
    <n v="0"/>
    <n v="0"/>
    <n v="0"/>
    <n v="7"/>
    <n v="1"/>
    <n v="1"/>
    <n v="-9"/>
    <n v="4"/>
    <n v="110000"/>
    <n v="70000"/>
    <n v="63000"/>
    <n v="0"/>
    <n v="0"/>
    <n v="70000"/>
    <n v="56000"/>
    <m/>
    <m/>
    <n v="6"/>
    <n v="6"/>
    <n v="0"/>
    <n v="0"/>
    <n v="0"/>
    <n v="0"/>
    <s v="VIEW_SUMMARY"/>
    <n v="666"/>
    <n v="297"/>
    <n v="1417"/>
    <n v="1417"/>
    <m/>
    <x v="2"/>
    <n v="93"/>
    <s v="table5"/>
    <n v="19"/>
    <s v="250923_EPA_IntroDays_Overasselt"/>
    <n v="22"/>
    <n v="12"/>
    <s v="(U-village)"/>
    <n v="2"/>
    <x v="0"/>
    <n v="0"/>
    <n v="28000"/>
  </r>
  <r>
    <n v="1246"/>
    <d v="2025-09-23T14:07:49"/>
    <n v="75000"/>
    <n v="40000"/>
    <n v="27500"/>
    <n v="7000"/>
    <n v="0"/>
    <n v="0"/>
    <n v="20000"/>
    <n v="0"/>
    <n v="0"/>
    <n v="12000"/>
    <n v="4000"/>
    <n v="-35500"/>
    <n v="0"/>
    <n v="0"/>
    <n v="0"/>
    <n v="0"/>
    <n v="4"/>
    <n v="1"/>
    <n v="1"/>
    <n v="-15"/>
    <n v="4"/>
    <n v="110000"/>
    <n v="70000"/>
    <n v="56000"/>
    <n v="0"/>
    <n v="0"/>
    <n v="70000"/>
    <n v="49000"/>
    <m/>
    <m/>
    <n v="6"/>
    <n v="6"/>
    <n v="-2"/>
    <n v="-1"/>
    <n v="0"/>
    <n v="0"/>
    <s v="VIEW_SUMMARY"/>
    <n v="666"/>
    <n v="301"/>
    <n v="1417"/>
    <n v="1417"/>
    <m/>
    <x v="3"/>
    <n v="93"/>
    <s v="table5"/>
    <n v="19"/>
    <s v="250923_EPA_IntroDays_Overasselt"/>
    <n v="22"/>
    <n v="12"/>
    <s v="(U-village)"/>
    <n v="3"/>
    <x v="0"/>
    <n v="0"/>
    <n v="16000"/>
  </r>
  <r>
    <n v="1268"/>
    <d v="2025-09-23T14:07:49"/>
    <n v="75000"/>
    <n v="40000"/>
    <n v="35000"/>
    <n v="7000"/>
    <n v="0"/>
    <n v="0"/>
    <n v="20000"/>
    <n v="0"/>
    <n v="0"/>
    <n v="8000"/>
    <n v="4000"/>
    <n v="-39500"/>
    <n v="0"/>
    <n v="0"/>
    <n v="0"/>
    <n v="0"/>
    <n v="3"/>
    <n v="1"/>
    <n v="1"/>
    <n v="-20"/>
    <n v="4"/>
    <n v="110000"/>
    <n v="70000"/>
    <n v="49000"/>
    <n v="0"/>
    <n v="0"/>
    <n v="70000"/>
    <n v="42000"/>
    <m/>
    <m/>
    <n v="6"/>
    <n v="6"/>
    <n v="-2"/>
    <n v="-1"/>
    <n v="0"/>
    <n v="0"/>
    <s v="VIEW_DAMAGE"/>
    <n v="666"/>
    <n v="304"/>
    <n v="1417"/>
    <n v="1417"/>
    <m/>
    <x v="4"/>
    <n v="93"/>
    <s v="table5"/>
    <n v="19"/>
    <s v="250923_EPA_IntroDays_Overasselt"/>
    <n v="22"/>
    <n v="12"/>
    <s v="(U-village)"/>
    <n v="4"/>
    <x v="0"/>
    <n v="0"/>
    <n v="12000"/>
  </r>
  <r>
    <n v="1152"/>
    <d v="2025-09-23T14:07:12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67"/>
    <n v="289"/>
    <m/>
    <m/>
    <m/>
    <x v="0"/>
    <n v="93"/>
    <s v="table5"/>
    <n v="19"/>
    <s v="250923_EPA_IntroDays_Overasselt"/>
    <n v="22"/>
    <n v="0"/>
    <s v=""/>
    <n v="0"/>
    <x v="1"/>
    <m/>
    <n v="0"/>
  </r>
  <r>
    <n v="1201"/>
    <d v="2025-09-23T14:07:12"/>
    <n v="110000"/>
    <n v="60000"/>
    <n v="0"/>
    <n v="17000"/>
    <n v="0"/>
    <n v="30000"/>
    <n v="15000"/>
    <n v="0"/>
    <n v="10000"/>
    <n v="4000"/>
    <n v="4000"/>
    <n v="0"/>
    <n v="0"/>
    <n v="0"/>
    <n v="0"/>
    <n v="2"/>
    <n v="2"/>
    <n v="1"/>
    <n v="0"/>
    <n v="4"/>
    <n v="6"/>
    <n v="170000"/>
    <n v="0"/>
    <n v="0"/>
    <n v="0"/>
    <n v="200000"/>
    <n v="170000"/>
    <n v="153000"/>
    <m/>
    <m/>
    <n v="6"/>
    <n v="9"/>
    <n v="0"/>
    <n v="0"/>
    <n v="0"/>
    <n v="0"/>
    <s v="VIEW_SUMMARY"/>
    <n v="667"/>
    <n v="291"/>
    <m/>
    <n v="1404"/>
    <m/>
    <x v="1"/>
    <n v="93"/>
    <s v="table5"/>
    <n v="19"/>
    <s v="250923_EPA_IntroDays_Overasselt"/>
    <n v="22"/>
    <n v="15"/>
    <s v="(Natu-city)"/>
    <n v="1"/>
    <x v="1"/>
    <n v="0"/>
    <n v="8000"/>
  </r>
  <r>
    <n v="1226"/>
    <d v="2025-09-23T14:07:12"/>
    <n v="110000"/>
    <n v="60000"/>
    <n v="0"/>
    <n v="17000"/>
    <n v="0"/>
    <n v="0"/>
    <n v="15000"/>
    <n v="8000"/>
    <n v="0"/>
    <n v="8000"/>
    <n v="4000"/>
    <n v="-2000"/>
    <n v="0"/>
    <n v="0"/>
    <n v="1"/>
    <n v="0"/>
    <n v="3"/>
    <n v="1"/>
    <n v="0"/>
    <n v="1"/>
    <n v="6"/>
    <n v="170000"/>
    <n v="170000"/>
    <n v="153000"/>
    <n v="0"/>
    <n v="0"/>
    <n v="170000"/>
    <n v="136000"/>
    <m/>
    <m/>
    <n v="6"/>
    <n v="9"/>
    <n v="0"/>
    <n v="0"/>
    <n v="1"/>
    <n v="1"/>
    <s v="VIEW_SUMMARY"/>
    <n v="667"/>
    <n v="297"/>
    <n v="1404"/>
    <n v="1404"/>
    <m/>
    <x v="2"/>
    <n v="93"/>
    <s v="table5"/>
    <n v="19"/>
    <s v="250923_EPA_IntroDays_Overasselt"/>
    <n v="22"/>
    <n v="15"/>
    <s v="(Natu-city)"/>
    <n v="2"/>
    <x v="1"/>
    <n v="2"/>
    <n v="12000"/>
  </r>
  <r>
    <n v="1251"/>
    <d v="2025-09-23T14:07:12"/>
    <n v="110000"/>
    <n v="60000"/>
    <n v="2000"/>
    <n v="17000"/>
    <n v="0"/>
    <n v="0"/>
    <n v="15000"/>
    <n v="7000"/>
    <n v="0"/>
    <n v="0"/>
    <n v="4000"/>
    <n v="5000"/>
    <n v="0"/>
    <n v="0"/>
    <n v="1"/>
    <n v="0"/>
    <n v="0"/>
    <n v="1"/>
    <n v="1"/>
    <n v="0"/>
    <n v="6"/>
    <n v="170000"/>
    <n v="170000"/>
    <n v="136000"/>
    <n v="0"/>
    <n v="0"/>
    <n v="170000"/>
    <n v="119000"/>
    <m/>
    <m/>
    <n v="6"/>
    <n v="9"/>
    <n v="-2"/>
    <n v="-1"/>
    <n v="1"/>
    <n v="1"/>
    <s v="VIEW_SUMMARY"/>
    <n v="667"/>
    <n v="301"/>
    <n v="1404"/>
    <n v="1404"/>
    <m/>
    <x v="3"/>
    <n v="93"/>
    <s v="table5"/>
    <n v="19"/>
    <s v="250923_EPA_IntroDays_Overasselt"/>
    <n v="22"/>
    <n v="15"/>
    <s v="(Natu-city)"/>
    <n v="3"/>
    <x v="1"/>
    <n v="2"/>
    <n v="4000"/>
  </r>
  <r>
    <n v="1272"/>
    <d v="2025-09-23T14:07:12"/>
    <n v="110000"/>
    <n v="60000"/>
    <n v="0"/>
    <n v="17000"/>
    <n v="0"/>
    <n v="0"/>
    <n v="30000"/>
    <n v="0"/>
    <n v="0"/>
    <n v="0"/>
    <n v="4000"/>
    <n v="4000"/>
    <n v="0"/>
    <n v="0"/>
    <n v="0"/>
    <n v="0"/>
    <n v="0"/>
    <n v="1"/>
    <n v="0"/>
    <n v="-1"/>
    <n v="6"/>
    <n v="170000"/>
    <n v="170000"/>
    <n v="119000"/>
    <n v="0"/>
    <n v="0"/>
    <n v="170000"/>
    <n v="102000"/>
    <m/>
    <m/>
    <n v="6"/>
    <n v="9"/>
    <n v="-2"/>
    <n v="-1"/>
    <n v="0"/>
    <n v="0"/>
    <s v="VIEW_DAMAGE"/>
    <n v="667"/>
    <n v="304"/>
    <n v="1404"/>
    <n v="1404"/>
    <m/>
    <x v="4"/>
    <n v="93"/>
    <s v="table5"/>
    <n v="19"/>
    <s v="250923_EPA_IntroDays_Overasselt"/>
    <n v="22"/>
    <n v="15"/>
    <s v="(Natu-city)"/>
    <n v="4"/>
    <x v="1"/>
    <n v="0"/>
    <n v="4000"/>
  </r>
  <r>
    <n v="1186"/>
    <d v="2025-09-23T14:27:07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68"/>
    <n v="289"/>
    <m/>
    <m/>
    <m/>
    <x v="0"/>
    <n v="93"/>
    <s v="table5"/>
    <n v="19"/>
    <s v="250923_EPA_IntroDays_Overasselt"/>
    <n v="22"/>
    <n v="0"/>
    <s v=""/>
    <n v="0"/>
    <x v="2"/>
    <m/>
    <n v="0"/>
  </r>
  <r>
    <n v="1187"/>
    <d v="2025-09-23T14:27:07"/>
    <n v="60000"/>
    <n v="30000"/>
    <n v="0"/>
    <n v="7000"/>
    <n v="0"/>
    <n v="0"/>
    <n v="20000"/>
    <n v="0"/>
    <n v="0"/>
    <n v="16000"/>
    <n v="4000"/>
    <n v="-17000"/>
    <n v="0"/>
    <n v="-1"/>
    <n v="0"/>
    <n v="0"/>
    <n v="5"/>
    <n v="1"/>
    <n v="0"/>
    <n v="-2"/>
    <n v="3"/>
    <n v="80000"/>
    <n v="0"/>
    <n v="0"/>
    <n v="0"/>
    <n v="70000"/>
    <n v="70000"/>
    <n v="63000"/>
    <m/>
    <m/>
    <n v="6"/>
    <n v="6"/>
    <n v="0"/>
    <n v="0"/>
    <n v="0"/>
    <n v="0"/>
    <s v="VIEW_SUMMARY"/>
    <n v="668"/>
    <n v="291"/>
    <m/>
    <n v="1416"/>
    <m/>
    <x v="1"/>
    <n v="93"/>
    <s v="table5"/>
    <n v="19"/>
    <s v="250923_EPA_IntroDays_Overasselt"/>
    <n v="22"/>
    <n v="12"/>
    <s v="(U-village)"/>
    <n v="1"/>
    <x v="2"/>
    <n v="0"/>
    <n v="20000"/>
  </r>
  <r>
    <n v="1220"/>
    <d v="2025-09-23T14:27:07"/>
    <n v="60000"/>
    <n v="30000"/>
    <n v="17000"/>
    <n v="7000"/>
    <n v="0"/>
    <n v="0"/>
    <n v="20000"/>
    <n v="0"/>
    <n v="0"/>
    <n v="24000"/>
    <n v="4000"/>
    <n v="-42000"/>
    <n v="0"/>
    <n v="0"/>
    <n v="0"/>
    <n v="0"/>
    <n v="7"/>
    <n v="1"/>
    <n v="1"/>
    <n v="-11"/>
    <n v="3"/>
    <n v="80000"/>
    <n v="70000"/>
    <n v="63000"/>
    <n v="0"/>
    <n v="0"/>
    <n v="70000"/>
    <n v="56000"/>
    <m/>
    <m/>
    <n v="6"/>
    <n v="6"/>
    <n v="0"/>
    <n v="0"/>
    <n v="0"/>
    <n v="0"/>
    <s v="VIEW_SUMMARY"/>
    <n v="668"/>
    <n v="297"/>
    <n v="1416"/>
    <n v="1416"/>
    <m/>
    <x v="2"/>
    <n v="93"/>
    <s v="table5"/>
    <n v="19"/>
    <s v="250923_EPA_IntroDays_Overasselt"/>
    <n v="22"/>
    <n v="12"/>
    <s v="(U-village)"/>
    <n v="2"/>
    <x v="2"/>
    <n v="0"/>
    <n v="28000"/>
  </r>
  <r>
    <n v="1250"/>
    <d v="2025-09-23T14:27:07"/>
    <n v="60000"/>
    <n v="30000"/>
    <n v="30000"/>
    <n v="7000"/>
    <n v="0"/>
    <n v="0"/>
    <n v="20000"/>
    <n v="0"/>
    <n v="0"/>
    <n v="12000"/>
    <n v="4000"/>
    <n v="-55000"/>
    <n v="0"/>
    <n v="0"/>
    <n v="0"/>
    <n v="0"/>
    <n v="4"/>
    <n v="1"/>
    <n v="1"/>
    <n v="-17"/>
    <n v="3"/>
    <n v="80000"/>
    <n v="70000"/>
    <n v="56000"/>
    <n v="0"/>
    <n v="0"/>
    <n v="70000"/>
    <n v="49000"/>
    <m/>
    <m/>
    <n v="6"/>
    <n v="6"/>
    <n v="-2"/>
    <n v="-1"/>
    <n v="0"/>
    <n v="0"/>
    <s v="VIEW_SUMMARY"/>
    <n v="668"/>
    <n v="301"/>
    <n v="1416"/>
    <n v="1416"/>
    <m/>
    <x v="3"/>
    <n v="93"/>
    <s v="table5"/>
    <n v="19"/>
    <s v="250923_EPA_IntroDays_Overasselt"/>
    <n v="22"/>
    <n v="12"/>
    <s v="(U-village)"/>
    <n v="3"/>
    <x v="2"/>
    <n v="0"/>
    <n v="16000"/>
  </r>
  <r>
    <n v="1276"/>
    <d v="2025-09-23T14:27:07"/>
    <n v="60000"/>
    <n v="30000"/>
    <n v="30000"/>
    <n v="7000"/>
    <n v="0"/>
    <n v="0"/>
    <n v="20000"/>
    <n v="0"/>
    <n v="0"/>
    <n v="8000"/>
    <n v="4000"/>
    <n v="-64000"/>
    <n v="0"/>
    <n v="0"/>
    <n v="0"/>
    <n v="0"/>
    <n v="3"/>
    <n v="1"/>
    <n v="1"/>
    <n v="-22"/>
    <n v="3"/>
    <n v="80000"/>
    <n v="70000"/>
    <n v="49000"/>
    <n v="0"/>
    <n v="0"/>
    <n v="70000"/>
    <n v="42000"/>
    <m/>
    <m/>
    <n v="6"/>
    <n v="6"/>
    <n v="-2"/>
    <n v="-1"/>
    <n v="0"/>
    <n v="0"/>
    <s v="VIEW_DAMAGE"/>
    <n v="668"/>
    <n v="304"/>
    <n v="1416"/>
    <n v="1416"/>
    <m/>
    <x v="4"/>
    <n v="93"/>
    <s v="table5"/>
    <n v="19"/>
    <s v="250923_EPA_IntroDays_Overasselt"/>
    <n v="22"/>
    <n v="12"/>
    <s v="(U-village)"/>
    <n v="4"/>
    <x v="2"/>
    <n v="0"/>
    <n v="12000"/>
  </r>
  <r>
    <n v="1159"/>
    <d v="2025-09-23T14:15:12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69"/>
    <n v="289"/>
    <m/>
    <m/>
    <m/>
    <x v="0"/>
    <n v="93"/>
    <s v="table5"/>
    <n v="19"/>
    <s v="250923_EPA_IntroDays_Overasselt"/>
    <n v="22"/>
    <n v="0"/>
    <s v=""/>
    <n v="0"/>
    <x v="3"/>
    <m/>
    <n v="0"/>
  </r>
  <r>
    <n v="1188"/>
    <d v="2025-09-23T14:15:12"/>
    <n v="90000"/>
    <n v="50000"/>
    <n v="0"/>
    <n v="10000"/>
    <n v="0"/>
    <n v="0"/>
    <n v="15000"/>
    <n v="6000"/>
    <n v="4500"/>
    <n v="4000"/>
    <n v="4000"/>
    <n v="11500"/>
    <n v="0"/>
    <n v="-2"/>
    <n v="1"/>
    <n v="1"/>
    <n v="2"/>
    <n v="1"/>
    <n v="0"/>
    <n v="2"/>
    <n v="5"/>
    <n v="130000"/>
    <n v="0"/>
    <n v="0"/>
    <n v="0"/>
    <n v="100000"/>
    <n v="100000"/>
    <n v="90000"/>
    <m/>
    <m/>
    <n v="6"/>
    <n v="9"/>
    <n v="0"/>
    <n v="0"/>
    <n v="1"/>
    <n v="0"/>
    <s v="VIEW_SUMMARY"/>
    <n v="669"/>
    <n v="291"/>
    <m/>
    <n v="1406"/>
    <m/>
    <x v="1"/>
    <n v="93"/>
    <s v="table5"/>
    <n v="19"/>
    <s v="250923_EPA_IntroDays_Overasselt"/>
    <n v="22"/>
    <n v="15"/>
    <s v="(Natu-city)"/>
    <n v="1"/>
    <x v="3"/>
    <n v="1"/>
    <n v="8000"/>
  </r>
  <r>
    <n v="1224"/>
    <d v="2025-09-23T14:15:12"/>
    <n v="90000"/>
    <n v="50000"/>
    <n v="0"/>
    <n v="10000"/>
    <n v="0"/>
    <n v="0"/>
    <n v="15000"/>
    <n v="8000"/>
    <n v="0"/>
    <n v="12000"/>
    <n v="4000"/>
    <n v="2500"/>
    <n v="0"/>
    <n v="0"/>
    <n v="1"/>
    <n v="0"/>
    <n v="4"/>
    <n v="1"/>
    <n v="0"/>
    <n v="-2"/>
    <n v="5"/>
    <n v="130000"/>
    <n v="100000"/>
    <n v="90000"/>
    <n v="0"/>
    <n v="0"/>
    <n v="100000"/>
    <n v="80000"/>
    <m/>
    <m/>
    <n v="6"/>
    <n v="9"/>
    <n v="0"/>
    <n v="0"/>
    <n v="1"/>
    <n v="0"/>
    <s v="VIEW_SUMMARY"/>
    <n v="669"/>
    <n v="297"/>
    <n v="1406"/>
    <n v="1406"/>
    <m/>
    <x v="2"/>
    <n v="93"/>
    <s v="table5"/>
    <n v="19"/>
    <s v="250923_EPA_IntroDays_Overasselt"/>
    <n v="22"/>
    <n v="15"/>
    <s v="(Natu-city)"/>
    <n v="2"/>
    <x v="3"/>
    <n v="1"/>
    <n v="16000"/>
  </r>
  <r>
    <n v="1247"/>
    <d v="2025-09-23T14:15:12"/>
    <n v="90000"/>
    <n v="50000"/>
    <n v="0"/>
    <n v="10000"/>
    <n v="0"/>
    <n v="0"/>
    <n v="15000"/>
    <n v="8000"/>
    <n v="0"/>
    <n v="0"/>
    <n v="4000"/>
    <n v="5500"/>
    <n v="0"/>
    <n v="0"/>
    <n v="1"/>
    <n v="0"/>
    <n v="0"/>
    <n v="1"/>
    <n v="0"/>
    <n v="-2"/>
    <n v="5"/>
    <n v="130000"/>
    <n v="100000"/>
    <n v="80000"/>
    <n v="0"/>
    <n v="0"/>
    <n v="100000"/>
    <n v="70000"/>
    <m/>
    <m/>
    <n v="6"/>
    <n v="9"/>
    <n v="-2"/>
    <n v="-1"/>
    <n v="1"/>
    <n v="1"/>
    <s v="VIEW_SUMMARY"/>
    <n v="669"/>
    <n v="301"/>
    <n v="1406"/>
    <n v="1406"/>
    <m/>
    <x v="3"/>
    <n v="93"/>
    <s v="table5"/>
    <n v="19"/>
    <s v="250923_EPA_IntroDays_Overasselt"/>
    <n v="22"/>
    <n v="15"/>
    <s v="(Natu-city)"/>
    <n v="3"/>
    <x v="3"/>
    <n v="2"/>
    <n v="4000"/>
  </r>
  <r>
    <n v="1265"/>
    <d v="2025-09-23T14:15:12"/>
    <n v="90000"/>
    <n v="50000"/>
    <n v="0"/>
    <n v="10000"/>
    <n v="0"/>
    <n v="0"/>
    <n v="30000"/>
    <n v="0"/>
    <n v="0"/>
    <n v="0"/>
    <n v="4000"/>
    <n v="1500"/>
    <n v="0"/>
    <n v="0"/>
    <n v="0"/>
    <n v="0"/>
    <n v="0"/>
    <n v="1"/>
    <n v="0"/>
    <n v="-3"/>
    <n v="5"/>
    <n v="130000"/>
    <n v="100000"/>
    <n v="70000"/>
    <n v="0"/>
    <n v="0"/>
    <n v="100000"/>
    <n v="60000"/>
    <m/>
    <m/>
    <n v="6"/>
    <n v="9"/>
    <n v="-2"/>
    <n v="-1"/>
    <n v="0"/>
    <n v="0"/>
    <s v="ANSWER_SURVEY"/>
    <n v="669"/>
    <n v="304"/>
    <n v="1406"/>
    <n v="1406"/>
    <m/>
    <x v="4"/>
    <n v="93"/>
    <s v="table5"/>
    <n v="19"/>
    <s v="250923_EPA_IntroDays_Overasselt"/>
    <n v="22"/>
    <n v="15"/>
    <s v="(Natu-city)"/>
    <n v="4"/>
    <x v="3"/>
    <n v="0"/>
    <n v="4000"/>
  </r>
  <r>
    <n v="1155"/>
    <d v="2025-09-23T14:14:25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70"/>
    <n v="289"/>
    <m/>
    <m/>
    <m/>
    <x v="0"/>
    <n v="93"/>
    <s v="table5"/>
    <n v="19"/>
    <s v="250923_EPA_IntroDays_Overasselt"/>
    <n v="22"/>
    <n v="0"/>
    <s v=""/>
    <n v="0"/>
    <x v="4"/>
    <m/>
    <n v="0"/>
  </r>
  <r>
    <n v="1185"/>
    <d v="2025-09-23T14:14:25"/>
    <n v="130000"/>
    <n v="75000"/>
    <n v="0"/>
    <n v="16000"/>
    <n v="0"/>
    <n v="0"/>
    <n v="20000"/>
    <n v="8000"/>
    <n v="8000"/>
    <n v="0"/>
    <n v="4000"/>
    <n v="49000"/>
    <n v="0"/>
    <n v="-2"/>
    <n v="1"/>
    <n v="2"/>
    <n v="1"/>
    <n v="1"/>
    <n v="0"/>
    <n v="4"/>
    <n v="7"/>
    <n v="200000"/>
    <n v="0"/>
    <n v="0"/>
    <n v="0"/>
    <n v="160000"/>
    <n v="160000"/>
    <n v="144000"/>
    <m/>
    <m/>
    <n v="4"/>
    <n v="9"/>
    <n v="0"/>
    <n v="0"/>
    <n v="1"/>
    <n v="1"/>
    <s v="VIEW_SUMMARY"/>
    <n v="670"/>
    <n v="291"/>
    <m/>
    <n v="1410"/>
    <m/>
    <x v="1"/>
    <n v="93"/>
    <s v="table5"/>
    <n v="19"/>
    <s v="250923_EPA_IntroDays_Overasselt"/>
    <n v="22"/>
    <n v="13"/>
    <s v="(Dike-town)"/>
    <n v="1"/>
    <x v="4"/>
    <n v="2"/>
    <n v="4000"/>
  </r>
  <r>
    <n v="1221"/>
    <d v="2025-09-23T14:14:25"/>
    <n v="130000"/>
    <n v="75000"/>
    <n v="0"/>
    <n v="16000"/>
    <n v="0"/>
    <n v="0"/>
    <n v="20000"/>
    <n v="14000"/>
    <n v="7200"/>
    <n v="12000"/>
    <n v="4000"/>
    <n v="30800"/>
    <n v="0"/>
    <n v="0"/>
    <n v="2"/>
    <n v="1"/>
    <n v="4"/>
    <n v="1"/>
    <n v="0"/>
    <n v="2"/>
    <n v="7"/>
    <n v="200000"/>
    <n v="160000"/>
    <n v="144000"/>
    <n v="0"/>
    <n v="0"/>
    <n v="160000"/>
    <n v="128000"/>
    <m/>
    <m/>
    <n v="4"/>
    <n v="9"/>
    <n v="0"/>
    <n v="0"/>
    <n v="2"/>
    <n v="0"/>
    <s v="VIEW_SUMMARY"/>
    <n v="670"/>
    <n v="297"/>
    <n v="1410"/>
    <n v="1410"/>
    <m/>
    <x v="2"/>
    <n v="93"/>
    <s v="table5"/>
    <n v="19"/>
    <s v="250923_EPA_IntroDays_Overasselt"/>
    <n v="22"/>
    <n v="13"/>
    <s v="(Dike-town)"/>
    <n v="2"/>
    <x v="4"/>
    <n v="2"/>
    <n v="16000"/>
  </r>
  <r>
    <n v="1248"/>
    <d v="2025-09-23T14:14:25"/>
    <n v="130000"/>
    <n v="75000"/>
    <n v="0"/>
    <n v="16000"/>
    <n v="0"/>
    <n v="0"/>
    <n v="20000"/>
    <n v="11000"/>
    <n v="6500"/>
    <n v="0"/>
    <n v="4000"/>
    <n v="28300"/>
    <n v="0"/>
    <n v="0"/>
    <n v="0"/>
    <n v="1"/>
    <n v="0"/>
    <n v="1"/>
    <n v="0"/>
    <n v="2"/>
    <n v="7"/>
    <n v="200000"/>
    <n v="160000"/>
    <n v="128000"/>
    <n v="0"/>
    <n v="0"/>
    <n v="160000"/>
    <n v="112000"/>
    <m/>
    <m/>
    <n v="4"/>
    <n v="9"/>
    <n v="-2"/>
    <n v="-1"/>
    <n v="1"/>
    <n v="2"/>
    <s v="VIEW_SUMMARY"/>
    <n v="670"/>
    <n v="301"/>
    <n v="1410"/>
    <n v="1410"/>
    <m/>
    <x v="3"/>
    <n v="93"/>
    <s v="table5"/>
    <n v="19"/>
    <s v="250923_EPA_IntroDays_Overasselt"/>
    <n v="22"/>
    <n v="13"/>
    <s v="(Dike-town)"/>
    <n v="3"/>
    <x v="4"/>
    <n v="3"/>
    <n v="4000"/>
  </r>
  <r>
    <n v="1267"/>
    <d v="2025-09-23T14:14:25"/>
    <n v="130000"/>
    <n v="75000"/>
    <n v="0"/>
    <n v="16000"/>
    <n v="0"/>
    <n v="0"/>
    <n v="20000"/>
    <n v="0"/>
    <n v="0"/>
    <n v="0"/>
    <n v="4000"/>
    <n v="43300"/>
    <n v="0"/>
    <n v="0"/>
    <n v="0"/>
    <n v="0"/>
    <n v="0"/>
    <n v="1"/>
    <n v="0"/>
    <n v="1"/>
    <n v="7"/>
    <n v="200000"/>
    <n v="160000"/>
    <n v="112000"/>
    <n v="0"/>
    <n v="0"/>
    <n v="160000"/>
    <n v="96000"/>
    <m/>
    <m/>
    <n v="4"/>
    <n v="9"/>
    <n v="-2"/>
    <n v="-1"/>
    <n v="0"/>
    <n v="0"/>
    <s v="VIEW_DAMAGE"/>
    <n v="670"/>
    <n v="304"/>
    <n v="1410"/>
    <n v="1410"/>
    <m/>
    <x v="4"/>
    <n v="93"/>
    <s v="table5"/>
    <n v="19"/>
    <s v="250923_EPA_IntroDays_Overasselt"/>
    <n v="22"/>
    <n v="13"/>
    <s v="(Dike-town)"/>
    <n v="4"/>
    <x v="4"/>
    <n v="0"/>
    <n v="4000"/>
  </r>
  <r>
    <n v="1171"/>
    <d v="2025-09-23T14:25:13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71"/>
    <n v="289"/>
    <m/>
    <m/>
    <m/>
    <x v="0"/>
    <n v="93"/>
    <s v="table5"/>
    <n v="19"/>
    <s v="250923_EPA_IntroDays_Overasselt"/>
    <n v="22"/>
    <n v="0"/>
    <s v=""/>
    <n v="0"/>
    <x v="5"/>
    <m/>
    <n v="0"/>
  </r>
  <r>
    <n v="1181"/>
    <d v="2025-09-23T14:25:13"/>
    <n v="190000"/>
    <n v="115000"/>
    <n v="0"/>
    <n v="30000"/>
    <n v="0"/>
    <n v="0"/>
    <n v="20000"/>
    <n v="32000"/>
    <n v="15500"/>
    <n v="0"/>
    <n v="4000"/>
    <n v="53500"/>
    <n v="0"/>
    <n v="0"/>
    <n v="3"/>
    <n v="1"/>
    <n v="1"/>
    <n v="1"/>
    <n v="0"/>
    <n v="7"/>
    <n v="8"/>
    <n v="300000"/>
    <n v="0"/>
    <n v="0"/>
    <n v="0"/>
    <n v="300000"/>
    <n v="300000"/>
    <n v="270000"/>
    <m/>
    <m/>
    <n v="4"/>
    <n v="9"/>
    <n v="0"/>
    <n v="0"/>
    <n v="4"/>
    <n v="2"/>
    <s v="VIEW_SUMMARY"/>
    <n v="671"/>
    <n v="291"/>
    <m/>
    <n v="1407"/>
    <m/>
    <x v="1"/>
    <n v="93"/>
    <s v="table5"/>
    <n v="19"/>
    <s v="250923_EPA_IntroDays_Overasselt"/>
    <n v="22"/>
    <n v="13"/>
    <s v="(Dike-town)"/>
    <n v="1"/>
    <x v="5"/>
    <n v="6"/>
    <n v="4000"/>
  </r>
  <r>
    <n v="1223"/>
    <d v="2025-09-23T14:25:13"/>
    <n v="190000"/>
    <n v="115000"/>
    <n v="0"/>
    <n v="30000"/>
    <n v="0"/>
    <n v="0"/>
    <n v="20000"/>
    <n v="0"/>
    <n v="15000"/>
    <n v="12000"/>
    <n v="4000"/>
    <n v="47500"/>
    <n v="0"/>
    <n v="0"/>
    <n v="0"/>
    <n v="2"/>
    <n v="4"/>
    <n v="1"/>
    <n v="0"/>
    <n v="4"/>
    <n v="8"/>
    <n v="300000"/>
    <n v="300000"/>
    <n v="270000"/>
    <n v="0"/>
    <n v="0"/>
    <n v="300000"/>
    <n v="240000"/>
    <m/>
    <m/>
    <n v="4"/>
    <n v="9"/>
    <n v="0"/>
    <n v="0"/>
    <n v="0"/>
    <n v="0"/>
    <s v="VIEW_SUMMARY"/>
    <n v="671"/>
    <n v="297"/>
    <n v="1407"/>
    <n v="1407"/>
    <m/>
    <x v="2"/>
    <n v="93"/>
    <s v="table5"/>
    <n v="19"/>
    <s v="250923_EPA_IntroDays_Overasselt"/>
    <n v="22"/>
    <n v="13"/>
    <s v="(Dike-town)"/>
    <n v="2"/>
    <x v="5"/>
    <n v="0"/>
    <n v="16000"/>
  </r>
  <r>
    <n v="1245"/>
    <d v="2025-09-23T14:25:13"/>
    <n v="190000"/>
    <n v="115000"/>
    <n v="0"/>
    <n v="30000"/>
    <n v="0"/>
    <n v="0"/>
    <n v="20000"/>
    <n v="1000"/>
    <n v="7500"/>
    <n v="0"/>
    <n v="4000"/>
    <n v="60000"/>
    <n v="0"/>
    <n v="0"/>
    <n v="0"/>
    <n v="1"/>
    <n v="0"/>
    <n v="1"/>
    <n v="0"/>
    <n v="4"/>
    <n v="8"/>
    <n v="300000"/>
    <n v="300000"/>
    <n v="240000"/>
    <n v="0"/>
    <n v="0"/>
    <n v="300000"/>
    <n v="210000"/>
    <m/>
    <m/>
    <n v="4"/>
    <n v="9"/>
    <n v="-2"/>
    <n v="-1"/>
    <n v="0"/>
    <n v="1"/>
    <s v="VIEW_SUMMARY"/>
    <n v="671"/>
    <n v="301"/>
    <n v="1407"/>
    <n v="1407"/>
    <m/>
    <x v="3"/>
    <n v="93"/>
    <s v="table5"/>
    <n v="19"/>
    <s v="250923_EPA_IntroDays_Overasselt"/>
    <n v="22"/>
    <n v="13"/>
    <s v="(Dike-town)"/>
    <n v="3"/>
    <x v="5"/>
    <n v="1"/>
    <n v="4000"/>
  </r>
  <r>
    <n v="1266"/>
    <d v="2025-09-23T14:25:13"/>
    <n v="190000"/>
    <n v="115000"/>
    <n v="0"/>
    <n v="30000"/>
    <n v="90000"/>
    <n v="125000"/>
    <n v="30000"/>
    <n v="14000"/>
    <n v="0"/>
    <n v="0"/>
    <n v="0"/>
    <n v="26000"/>
    <n v="1"/>
    <n v="1"/>
    <n v="2"/>
    <n v="0"/>
    <n v="0"/>
    <n v="0"/>
    <n v="0"/>
    <n v="6"/>
    <n v="8"/>
    <n v="300000"/>
    <n v="300000"/>
    <n v="210000"/>
    <n v="300000"/>
    <n v="425000"/>
    <n v="300000"/>
    <n v="270000"/>
    <n v="33"/>
    <m/>
    <n v="6"/>
    <n v="9"/>
    <n v="-2"/>
    <n v="-1"/>
    <n v="4"/>
    <n v="2"/>
    <s v="VIEW_DAMAGE"/>
    <n v="671"/>
    <n v="304"/>
    <n v="1407"/>
    <n v="1477"/>
    <m/>
    <x v="4"/>
    <n v="93"/>
    <s v="table5"/>
    <n v="19"/>
    <s v="250923_EPA_IntroDays_Overasselt"/>
    <n v="22"/>
    <n v="15"/>
    <s v="(Natu-city)"/>
    <n v="4"/>
    <x v="5"/>
    <n v="6"/>
    <n v="0"/>
  </r>
  <r>
    <n v="1156"/>
    <d v="2025-09-23T14:14:26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72"/>
    <n v="289"/>
    <m/>
    <m/>
    <m/>
    <x v="0"/>
    <n v="93"/>
    <s v="table5"/>
    <n v="19"/>
    <s v="250923_EPA_IntroDays_Overasselt"/>
    <n v="22"/>
    <n v="0"/>
    <s v=""/>
    <n v="0"/>
    <x v="1"/>
    <m/>
    <n v="0"/>
  </r>
  <r>
    <n v="1183"/>
    <d v="2025-09-23T14:14:26"/>
    <n v="110000"/>
    <n v="60000"/>
    <n v="0"/>
    <n v="17000"/>
    <n v="0"/>
    <n v="100000"/>
    <n v="15000"/>
    <n v="0"/>
    <n v="0"/>
    <n v="4000"/>
    <n v="4000"/>
    <n v="-60000"/>
    <n v="0"/>
    <n v="0"/>
    <n v="0"/>
    <n v="0"/>
    <n v="2"/>
    <n v="1"/>
    <n v="0"/>
    <n v="2"/>
    <n v="6"/>
    <n v="170000"/>
    <n v="0"/>
    <n v="0"/>
    <n v="0"/>
    <n v="270000"/>
    <n v="170000"/>
    <n v="153000"/>
    <m/>
    <m/>
    <n v="6"/>
    <n v="9"/>
    <n v="0"/>
    <n v="0"/>
    <n v="0"/>
    <n v="0"/>
    <s v="VIEW_SUMMARY"/>
    <n v="672"/>
    <n v="291"/>
    <m/>
    <n v="1405"/>
    <m/>
    <x v="1"/>
    <n v="93"/>
    <s v="table5"/>
    <n v="19"/>
    <s v="250923_EPA_IntroDays_Overasselt"/>
    <n v="22"/>
    <n v="15"/>
    <s v="(Natu-city)"/>
    <n v="1"/>
    <x v="1"/>
    <n v="0"/>
    <n v="8000"/>
  </r>
  <r>
    <n v="1222"/>
    <d v="2025-09-23T14:14:26"/>
    <n v="110000"/>
    <n v="60000"/>
    <n v="50000"/>
    <n v="17000"/>
    <n v="0"/>
    <n v="0"/>
    <n v="15000"/>
    <n v="0"/>
    <n v="0"/>
    <n v="12000"/>
    <n v="4000"/>
    <n v="-58000"/>
    <n v="0"/>
    <n v="0"/>
    <n v="0"/>
    <n v="0"/>
    <n v="4"/>
    <n v="1"/>
    <n v="1"/>
    <n v="-4"/>
    <n v="6"/>
    <n v="170000"/>
    <n v="170000"/>
    <n v="153000"/>
    <n v="0"/>
    <n v="0"/>
    <n v="170000"/>
    <n v="136000"/>
    <m/>
    <m/>
    <n v="6"/>
    <n v="9"/>
    <n v="0"/>
    <n v="0"/>
    <n v="0"/>
    <n v="0"/>
    <s v="VIEW_SUMMARY"/>
    <n v="672"/>
    <n v="297"/>
    <n v="1405"/>
    <n v="1405"/>
    <m/>
    <x v="2"/>
    <n v="93"/>
    <s v="table5"/>
    <n v="19"/>
    <s v="250923_EPA_IntroDays_Overasselt"/>
    <n v="22"/>
    <n v="15"/>
    <s v="(Natu-city)"/>
    <n v="2"/>
    <x v="1"/>
    <n v="0"/>
    <n v="16000"/>
  </r>
  <r>
    <n v="1249"/>
    <d v="2025-09-23T14:14:26"/>
    <n v="110000"/>
    <n v="60000"/>
    <n v="50000"/>
    <n v="17000"/>
    <n v="0"/>
    <n v="0"/>
    <n v="15000"/>
    <n v="0"/>
    <n v="0"/>
    <n v="0"/>
    <n v="4000"/>
    <n v="-44000"/>
    <n v="0"/>
    <n v="0"/>
    <n v="0"/>
    <n v="0"/>
    <n v="0"/>
    <n v="1"/>
    <n v="1"/>
    <n v="-6"/>
    <n v="6"/>
    <n v="170000"/>
    <n v="170000"/>
    <n v="136000"/>
    <n v="0"/>
    <n v="0"/>
    <n v="170000"/>
    <n v="119000"/>
    <m/>
    <m/>
    <n v="6"/>
    <n v="9"/>
    <n v="-2"/>
    <n v="-1"/>
    <n v="0"/>
    <n v="0"/>
    <s v="VIEW_SUMMARY"/>
    <n v="672"/>
    <n v="301"/>
    <n v="1405"/>
    <n v="1405"/>
    <m/>
    <x v="3"/>
    <n v="93"/>
    <s v="table5"/>
    <n v="19"/>
    <s v="250923_EPA_IntroDays_Overasselt"/>
    <n v="22"/>
    <n v="15"/>
    <s v="(Natu-city)"/>
    <n v="3"/>
    <x v="1"/>
    <n v="0"/>
    <n v="4000"/>
  </r>
  <r>
    <n v="1264"/>
    <d v="2025-09-23T14:14:26"/>
    <n v="110000"/>
    <n v="60000"/>
    <n v="44000"/>
    <n v="17000"/>
    <n v="0"/>
    <n v="0"/>
    <n v="30000"/>
    <n v="0"/>
    <n v="0"/>
    <n v="0"/>
    <n v="4000"/>
    <n v="-45000"/>
    <n v="0"/>
    <n v="0"/>
    <n v="0"/>
    <n v="0"/>
    <n v="0"/>
    <n v="1"/>
    <n v="1"/>
    <n v="-8"/>
    <n v="6"/>
    <n v="170000"/>
    <n v="170000"/>
    <n v="119000"/>
    <n v="0"/>
    <n v="0"/>
    <n v="170000"/>
    <n v="85000"/>
    <m/>
    <m/>
    <n v="6"/>
    <n v="9"/>
    <n v="-2"/>
    <n v="-1"/>
    <n v="0"/>
    <n v="0"/>
    <s v="VIEW_DAMAGE"/>
    <n v="672"/>
    <n v="304"/>
    <n v="1405"/>
    <n v="1405"/>
    <m/>
    <x v="4"/>
    <n v="93"/>
    <s v="table5"/>
    <n v="19"/>
    <s v="250923_EPA_IntroDays_Overasselt"/>
    <n v="22"/>
    <n v="15"/>
    <s v="(Natu-city)"/>
    <n v="4"/>
    <x v="1"/>
    <n v="0"/>
    <n v="4000"/>
  </r>
  <r>
    <n v="1162"/>
    <d v="2025-09-23T14:16:18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74"/>
    <n v="288"/>
    <m/>
    <m/>
    <m/>
    <x v="0"/>
    <n v="94"/>
    <s v="table6"/>
    <n v="19"/>
    <s v="250923_EPA_IntroDays_Overasselt"/>
    <n v="22"/>
    <n v="0"/>
    <s v=""/>
    <n v="0"/>
    <x v="0"/>
    <m/>
    <n v="0"/>
  </r>
  <r>
    <n v="1190"/>
    <d v="2025-09-23T14:16:18"/>
    <n v="75000"/>
    <n v="40000"/>
    <n v="0"/>
    <n v="10000"/>
    <n v="0"/>
    <n v="0"/>
    <n v="15000"/>
    <n v="0"/>
    <n v="7000"/>
    <n v="0"/>
    <n v="4000"/>
    <n v="4000"/>
    <n v="0"/>
    <n v="-1"/>
    <n v="0"/>
    <n v="2"/>
    <n v="0"/>
    <n v="1"/>
    <n v="0"/>
    <n v="5"/>
    <n v="4"/>
    <n v="110000"/>
    <n v="0"/>
    <n v="0"/>
    <n v="0"/>
    <n v="100000"/>
    <n v="100000"/>
    <n v="90000"/>
    <m/>
    <m/>
    <n v="6"/>
    <n v="9"/>
    <n v="0"/>
    <n v="0"/>
    <n v="0"/>
    <n v="0"/>
    <s v="VIEW_SUMMARY"/>
    <n v="674"/>
    <n v="292"/>
    <m/>
    <n v="1421"/>
    <m/>
    <x v="1"/>
    <n v="94"/>
    <s v="table6"/>
    <n v="19"/>
    <s v="250923_EPA_IntroDays_Overasselt"/>
    <n v="22"/>
    <n v="15"/>
    <s v="(Natu-city)"/>
    <n v="1"/>
    <x v="0"/>
    <n v="0"/>
    <n v="4000"/>
  </r>
  <r>
    <n v="1206"/>
    <d v="2025-09-23T14:16:18"/>
    <n v="75000"/>
    <n v="40000"/>
    <n v="0"/>
    <n v="10000"/>
    <n v="0"/>
    <n v="0"/>
    <n v="15000"/>
    <n v="1000"/>
    <n v="0"/>
    <n v="0"/>
    <n v="0"/>
    <n v="13000"/>
    <n v="0"/>
    <n v="0"/>
    <n v="0"/>
    <n v="0"/>
    <n v="0"/>
    <n v="0"/>
    <n v="0"/>
    <n v="5"/>
    <n v="4"/>
    <n v="110000"/>
    <n v="100000"/>
    <n v="90000"/>
    <n v="0"/>
    <n v="0"/>
    <n v="100000"/>
    <n v="80000"/>
    <m/>
    <m/>
    <n v="6"/>
    <n v="9"/>
    <n v="0"/>
    <n v="0"/>
    <n v="0"/>
    <n v="1"/>
    <s v="VIEW_SUMMARY"/>
    <n v="674"/>
    <n v="294"/>
    <n v="1421"/>
    <n v="1421"/>
    <m/>
    <x v="2"/>
    <n v="94"/>
    <s v="table6"/>
    <n v="19"/>
    <s v="250923_EPA_IntroDays_Overasselt"/>
    <n v="22"/>
    <n v="15"/>
    <s v="(Natu-city)"/>
    <n v="2"/>
    <x v="0"/>
    <n v="1"/>
    <n v="0"/>
  </r>
  <r>
    <n v="1229"/>
    <d v="2025-09-23T14:16:18"/>
    <n v="75000"/>
    <n v="40000"/>
    <n v="0"/>
    <n v="10000"/>
    <n v="0"/>
    <n v="0"/>
    <n v="15000"/>
    <n v="14000"/>
    <n v="0"/>
    <n v="8000"/>
    <n v="0"/>
    <n v="1000"/>
    <n v="0"/>
    <n v="0"/>
    <n v="2"/>
    <n v="0"/>
    <n v="3"/>
    <n v="0"/>
    <n v="0"/>
    <n v="4"/>
    <n v="4"/>
    <n v="110000"/>
    <n v="100000"/>
    <n v="80000"/>
    <n v="0"/>
    <n v="0"/>
    <n v="100000"/>
    <n v="70000"/>
    <m/>
    <m/>
    <n v="6"/>
    <n v="9"/>
    <n v="-2"/>
    <n v="-1"/>
    <n v="2"/>
    <n v="0"/>
    <s v="VIEW_SUMMARY"/>
    <n v="674"/>
    <n v="298"/>
    <n v="1421"/>
    <n v="1421"/>
    <m/>
    <x v="3"/>
    <n v="94"/>
    <s v="table6"/>
    <n v="19"/>
    <s v="250923_EPA_IntroDays_Overasselt"/>
    <n v="22"/>
    <n v="15"/>
    <s v="(Natu-city)"/>
    <n v="3"/>
    <x v="0"/>
    <n v="2"/>
    <n v="8000"/>
  </r>
  <r>
    <n v="1270"/>
    <d v="2025-09-23T14:16:18"/>
    <n v="75000"/>
    <n v="40000"/>
    <n v="0"/>
    <n v="10000"/>
    <n v="0"/>
    <n v="0"/>
    <n v="30000"/>
    <n v="0"/>
    <n v="0"/>
    <n v="0"/>
    <n v="0"/>
    <n v="-4000"/>
    <n v="0"/>
    <n v="0"/>
    <n v="0"/>
    <n v="0"/>
    <n v="0"/>
    <n v="0"/>
    <n v="0"/>
    <n v="4"/>
    <n v="4"/>
    <n v="110000"/>
    <n v="100000"/>
    <n v="70000"/>
    <n v="0"/>
    <n v="0"/>
    <n v="100000"/>
    <n v="60000"/>
    <m/>
    <m/>
    <n v="6"/>
    <n v="9"/>
    <n v="-2"/>
    <n v="-1"/>
    <n v="0"/>
    <n v="0"/>
    <s v="VIEW_SUMMARY"/>
    <n v="674"/>
    <n v="305"/>
    <n v="1421"/>
    <n v="1421"/>
    <m/>
    <x v="4"/>
    <n v="94"/>
    <s v="table6"/>
    <n v="19"/>
    <s v="250923_EPA_IntroDays_Overasselt"/>
    <n v="22"/>
    <n v="15"/>
    <s v="(Natu-city)"/>
    <n v="4"/>
    <x v="0"/>
    <n v="0"/>
    <n v="0"/>
  </r>
  <r>
    <n v="1163"/>
    <d v="2025-09-23T14:24:27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75"/>
    <n v="288"/>
    <m/>
    <m/>
    <m/>
    <x v="0"/>
    <n v="94"/>
    <s v="table6"/>
    <n v="19"/>
    <s v="250923_EPA_IntroDays_Overasselt"/>
    <n v="22"/>
    <n v="0"/>
    <s v=""/>
    <n v="0"/>
    <x v="1"/>
    <m/>
    <n v="0"/>
  </r>
  <r>
    <n v="1193"/>
    <d v="2025-09-23T14:24:27"/>
    <n v="110000"/>
    <n v="60000"/>
    <n v="0"/>
    <n v="17000"/>
    <n v="0"/>
    <n v="30000"/>
    <n v="15000"/>
    <n v="8000"/>
    <n v="4000"/>
    <n v="0"/>
    <n v="0"/>
    <n v="6000"/>
    <n v="0"/>
    <n v="0"/>
    <n v="1"/>
    <n v="0"/>
    <n v="0"/>
    <n v="0"/>
    <n v="0"/>
    <n v="6"/>
    <n v="6"/>
    <n v="170000"/>
    <n v="0"/>
    <n v="0"/>
    <n v="0"/>
    <n v="200000"/>
    <n v="170000"/>
    <n v="153000"/>
    <m/>
    <m/>
    <n v="6"/>
    <n v="9"/>
    <n v="0"/>
    <n v="0"/>
    <n v="1"/>
    <n v="1"/>
    <s v="VIEW_SUMMARY"/>
    <n v="675"/>
    <n v="292"/>
    <m/>
    <n v="1419"/>
    <m/>
    <x v="1"/>
    <n v="94"/>
    <s v="table6"/>
    <n v="19"/>
    <s v="250923_EPA_IntroDays_Overasselt"/>
    <n v="22"/>
    <n v="15"/>
    <s v="(Natu-city)"/>
    <n v="1"/>
    <x v="1"/>
    <n v="2"/>
    <n v="0"/>
  </r>
  <r>
    <n v="1205"/>
    <d v="2025-09-23T14:24:27"/>
    <n v="110000"/>
    <n v="60000"/>
    <n v="0"/>
    <n v="17000"/>
    <n v="0"/>
    <n v="0"/>
    <n v="15000"/>
    <n v="7000"/>
    <n v="0"/>
    <n v="0"/>
    <n v="0"/>
    <n v="17000"/>
    <n v="0"/>
    <n v="0"/>
    <n v="1"/>
    <n v="0"/>
    <n v="0"/>
    <n v="0"/>
    <n v="0"/>
    <n v="7"/>
    <n v="6"/>
    <n v="170000"/>
    <n v="170000"/>
    <n v="153000"/>
    <n v="0"/>
    <n v="0"/>
    <n v="170000"/>
    <n v="136000"/>
    <m/>
    <m/>
    <n v="6"/>
    <n v="9"/>
    <n v="0"/>
    <n v="0"/>
    <n v="1"/>
    <n v="1"/>
    <s v="VIEW_SUMMARY"/>
    <n v="675"/>
    <n v="294"/>
    <n v="1419"/>
    <n v="1419"/>
    <m/>
    <x v="2"/>
    <n v="94"/>
    <s v="table6"/>
    <n v="19"/>
    <s v="250923_EPA_IntroDays_Overasselt"/>
    <n v="22"/>
    <n v="15"/>
    <s v="(Natu-city)"/>
    <n v="2"/>
    <x v="1"/>
    <n v="2"/>
    <n v="0"/>
  </r>
  <r>
    <n v="1230"/>
    <d v="2025-09-23T14:24:27"/>
    <n v="110000"/>
    <n v="60000"/>
    <n v="0"/>
    <n v="17000"/>
    <n v="0"/>
    <n v="0"/>
    <n v="15000"/>
    <n v="18000"/>
    <n v="0"/>
    <n v="4000"/>
    <n v="0"/>
    <n v="13000"/>
    <n v="0"/>
    <n v="0"/>
    <n v="1"/>
    <n v="0"/>
    <n v="2"/>
    <n v="0"/>
    <n v="0"/>
    <n v="6"/>
    <n v="6"/>
    <n v="170000"/>
    <n v="170000"/>
    <n v="136000"/>
    <n v="0"/>
    <n v="0"/>
    <n v="170000"/>
    <n v="119000"/>
    <m/>
    <m/>
    <n v="6"/>
    <n v="9"/>
    <n v="-2"/>
    <n v="-1"/>
    <n v="2"/>
    <n v="1"/>
    <s v="VIEW_SUMMARY"/>
    <n v="675"/>
    <n v="298"/>
    <n v="1419"/>
    <n v="1419"/>
    <m/>
    <x v="3"/>
    <n v="94"/>
    <s v="table6"/>
    <n v="19"/>
    <s v="250923_EPA_IntroDays_Overasselt"/>
    <n v="22"/>
    <n v="15"/>
    <s v="(Natu-city)"/>
    <n v="3"/>
    <x v="1"/>
    <n v="3"/>
    <n v="4000"/>
  </r>
  <r>
    <n v="1271"/>
    <d v="2025-09-23T14:24:27"/>
    <n v="110000"/>
    <n v="60000"/>
    <n v="0"/>
    <n v="17000"/>
    <n v="0"/>
    <n v="0"/>
    <n v="30000"/>
    <n v="0"/>
    <n v="10000"/>
    <n v="0"/>
    <n v="0"/>
    <n v="6000"/>
    <n v="0"/>
    <n v="0"/>
    <n v="0"/>
    <n v="2"/>
    <n v="0"/>
    <n v="0"/>
    <n v="0"/>
    <n v="8"/>
    <n v="6"/>
    <n v="170000"/>
    <n v="170000"/>
    <n v="119000"/>
    <n v="0"/>
    <n v="0"/>
    <n v="170000"/>
    <n v="102000"/>
    <m/>
    <m/>
    <n v="6"/>
    <n v="9"/>
    <n v="-2"/>
    <n v="-1"/>
    <n v="0"/>
    <n v="0"/>
    <s v="VIEW_SUMMARY"/>
    <n v="675"/>
    <n v="305"/>
    <n v="1419"/>
    <n v="1419"/>
    <m/>
    <x v="4"/>
    <n v="94"/>
    <s v="table6"/>
    <n v="19"/>
    <s v="250923_EPA_IntroDays_Overasselt"/>
    <n v="22"/>
    <n v="15"/>
    <s v="(Natu-city)"/>
    <n v="4"/>
    <x v="1"/>
    <n v="0"/>
    <n v="0"/>
  </r>
  <r>
    <n v="1160"/>
    <d v="2025-09-23T14:15:48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76"/>
    <n v="288"/>
    <m/>
    <m/>
    <m/>
    <x v="0"/>
    <n v="94"/>
    <s v="table6"/>
    <n v="19"/>
    <s v="250923_EPA_IntroDays_Overasselt"/>
    <n v="22"/>
    <n v="0"/>
    <s v=""/>
    <n v="0"/>
    <x v="2"/>
    <m/>
    <n v="0"/>
  </r>
  <r>
    <n v="1184"/>
    <d v="2025-09-23T14:15:48"/>
    <n v="60000"/>
    <n v="30000"/>
    <n v="0"/>
    <n v="8000"/>
    <n v="0"/>
    <n v="0"/>
    <n v="20000"/>
    <n v="0"/>
    <n v="1600"/>
    <n v="0"/>
    <n v="4000"/>
    <n v="-3600"/>
    <n v="0"/>
    <n v="-1"/>
    <n v="0"/>
    <n v="0"/>
    <n v="0"/>
    <n v="1"/>
    <n v="0"/>
    <n v="3"/>
    <n v="3"/>
    <n v="80000"/>
    <n v="0"/>
    <n v="0"/>
    <n v="0"/>
    <n v="80000"/>
    <n v="80000"/>
    <n v="72000"/>
    <m/>
    <m/>
    <n v="4"/>
    <n v="9"/>
    <n v="0"/>
    <n v="0"/>
    <n v="0"/>
    <n v="0"/>
    <s v="VIEW_SUMMARY"/>
    <n v="676"/>
    <n v="292"/>
    <m/>
    <n v="1427"/>
    <m/>
    <x v="1"/>
    <n v="94"/>
    <s v="table6"/>
    <n v="19"/>
    <s v="250923_EPA_IntroDays_Overasselt"/>
    <n v="22"/>
    <n v="13"/>
    <s v="(Dike-town)"/>
    <n v="1"/>
    <x v="2"/>
    <n v="0"/>
    <n v="4000"/>
  </r>
  <r>
    <n v="1207"/>
    <d v="2025-09-23T14:15:48"/>
    <n v="60000"/>
    <n v="30000"/>
    <n v="3600"/>
    <n v="8000"/>
    <n v="0"/>
    <n v="0"/>
    <n v="20000"/>
    <n v="0"/>
    <n v="0"/>
    <n v="0"/>
    <n v="4000"/>
    <n v="-5600"/>
    <n v="0"/>
    <n v="0"/>
    <n v="0"/>
    <n v="0"/>
    <n v="0"/>
    <n v="1"/>
    <n v="1"/>
    <n v="1"/>
    <n v="3"/>
    <n v="80000"/>
    <n v="80000"/>
    <n v="72000"/>
    <n v="0"/>
    <n v="0"/>
    <n v="80000"/>
    <n v="64000"/>
    <m/>
    <m/>
    <n v="4"/>
    <n v="9"/>
    <n v="0"/>
    <n v="0"/>
    <n v="0"/>
    <n v="0"/>
    <s v="VIEW_SUMMARY"/>
    <n v="676"/>
    <n v="294"/>
    <n v="1427"/>
    <n v="1427"/>
    <m/>
    <x v="2"/>
    <n v="94"/>
    <s v="table6"/>
    <n v="19"/>
    <s v="250923_EPA_IntroDays_Overasselt"/>
    <n v="22"/>
    <n v="13"/>
    <s v="(Dike-town)"/>
    <n v="2"/>
    <x v="2"/>
    <n v="0"/>
    <n v="4000"/>
  </r>
  <r>
    <n v="1227"/>
    <d v="2025-09-23T14:15:48"/>
    <n v="60000"/>
    <n v="30000"/>
    <n v="5600"/>
    <n v="8000"/>
    <n v="16000"/>
    <n v="0"/>
    <n v="20000"/>
    <n v="6000"/>
    <n v="2000"/>
    <n v="8000"/>
    <n v="4000"/>
    <n v="-7600"/>
    <n v="1"/>
    <n v="-1"/>
    <n v="1"/>
    <n v="1"/>
    <n v="3"/>
    <n v="1"/>
    <n v="1"/>
    <n v="-4"/>
    <n v="3"/>
    <n v="80000"/>
    <n v="80000"/>
    <n v="64000"/>
    <n v="80000"/>
    <n v="80000"/>
    <n v="80000"/>
    <n v="72000"/>
    <n v="34"/>
    <m/>
    <n v="4"/>
    <n v="9"/>
    <n v="-2"/>
    <n v="-1"/>
    <n v="1"/>
    <n v="0"/>
    <s v="VIEW_SUMMARY"/>
    <n v="676"/>
    <n v="298"/>
    <n v="1427"/>
    <n v="1427"/>
    <m/>
    <x v="3"/>
    <n v="94"/>
    <s v="table6"/>
    <n v="19"/>
    <s v="250923_EPA_IntroDays_Overasselt"/>
    <n v="22"/>
    <n v="13"/>
    <s v="(Dike-town)"/>
    <n v="3"/>
    <x v="2"/>
    <n v="1"/>
    <n v="12000"/>
  </r>
  <r>
    <n v="1275"/>
    <d v="2025-09-23T14:15:48"/>
    <n v="60000"/>
    <n v="30000"/>
    <n v="7600"/>
    <n v="8000"/>
    <n v="20000"/>
    <n v="0"/>
    <n v="20000"/>
    <n v="9000"/>
    <n v="0"/>
    <n v="0"/>
    <n v="0"/>
    <n v="5400"/>
    <n v="1"/>
    <n v="-1"/>
    <n v="1"/>
    <n v="0"/>
    <n v="0"/>
    <n v="0"/>
    <n v="1"/>
    <n v="-6"/>
    <n v="3"/>
    <n v="80000"/>
    <n v="80000"/>
    <n v="72000"/>
    <n v="92000"/>
    <n v="80000"/>
    <n v="80000"/>
    <n v="72000"/>
    <n v="34"/>
    <m/>
    <n v="4"/>
    <n v="9"/>
    <n v="-2"/>
    <n v="-1"/>
    <n v="1"/>
    <n v="1"/>
    <s v="VIEW_SUMMARY"/>
    <n v="676"/>
    <n v="305"/>
    <n v="1427"/>
    <n v="1427"/>
    <m/>
    <x v="4"/>
    <n v="94"/>
    <s v="table6"/>
    <n v="19"/>
    <s v="250923_EPA_IntroDays_Overasselt"/>
    <n v="22"/>
    <n v="13"/>
    <s v="(Dike-town)"/>
    <n v="4"/>
    <x v="2"/>
    <n v="2"/>
    <n v="0"/>
  </r>
  <r>
    <n v="1161"/>
    <d v="2025-09-23T14:16:09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77"/>
    <n v="288"/>
    <m/>
    <m/>
    <m/>
    <x v="0"/>
    <n v="94"/>
    <s v="table6"/>
    <n v="19"/>
    <s v="250923_EPA_IntroDays_Overasselt"/>
    <n v="22"/>
    <n v="0"/>
    <s v=""/>
    <n v="0"/>
    <x v="3"/>
    <m/>
    <n v="0"/>
  </r>
  <r>
    <n v="1192"/>
    <d v="2025-09-23T14:16:09"/>
    <n v="90000"/>
    <n v="50000"/>
    <n v="0"/>
    <n v="12500"/>
    <n v="0"/>
    <n v="0"/>
    <n v="20000"/>
    <n v="9000"/>
    <n v="2500"/>
    <n v="0"/>
    <n v="0"/>
    <n v="11000"/>
    <n v="0"/>
    <n v="-1"/>
    <n v="1"/>
    <n v="0"/>
    <n v="1"/>
    <n v="0"/>
    <n v="0"/>
    <n v="4"/>
    <n v="5"/>
    <n v="130000"/>
    <n v="0"/>
    <n v="0"/>
    <n v="0"/>
    <n v="125000"/>
    <n v="125000"/>
    <n v="112500"/>
    <m/>
    <m/>
    <n v="6"/>
    <n v="6"/>
    <n v="0"/>
    <n v="0"/>
    <n v="1"/>
    <n v="2"/>
    <s v="VIEW_SUMMARY"/>
    <n v="677"/>
    <n v="292"/>
    <m/>
    <n v="1429"/>
    <m/>
    <x v="1"/>
    <n v="94"/>
    <s v="table6"/>
    <n v="19"/>
    <s v="250923_EPA_IntroDays_Overasselt"/>
    <n v="22"/>
    <n v="12"/>
    <s v="(U-village)"/>
    <n v="1"/>
    <x v="3"/>
    <n v="3"/>
    <n v="0"/>
  </r>
  <r>
    <n v="1203"/>
    <d v="2025-09-23T14:16:09"/>
    <n v="90000"/>
    <n v="50000"/>
    <n v="0"/>
    <n v="12500"/>
    <n v="0"/>
    <n v="0"/>
    <n v="20000"/>
    <n v="0"/>
    <n v="4500"/>
    <n v="12000"/>
    <n v="0"/>
    <n v="2000"/>
    <n v="0"/>
    <n v="0"/>
    <n v="0"/>
    <n v="1"/>
    <n v="4"/>
    <n v="0"/>
    <n v="0"/>
    <n v="1"/>
    <n v="5"/>
    <n v="130000"/>
    <n v="125000"/>
    <n v="112500"/>
    <n v="0"/>
    <n v="0"/>
    <n v="125000"/>
    <n v="100000"/>
    <m/>
    <m/>
    <n v="6"/>
    <n v="6"/>
    <n v="0"/>
    <n v="0"/>
    <n v="0"/>
    <n v="0"/>
    <s v="VIEW_SUMMARY"/>
    <n v="677"/>
    <n v="294"/>
    <n v="1429"/>
    <n v="1429"/>
    <m/>
    <x v="2"/>
    <n v="94"/>
    <s v="table6"/>
    <n v="19"/>
    <s v="250923_EPA_IntroDays_Overasselt"/>
    <n v="22"/>
    <n v="12"/>
    <s v="(U-village)"/>
    <n v="2"/>
    <x v="3"/>
    <n v="0"/>
    <n v="12000"/>
  </r>
  <r>
    <n v="1232"/>
    <d v="2025-09-23T14:16:09"/>
    <n v="90000"/>
    <n v="50000"/>
    <n v="0"/>
    <n v="12500"/>
    <n v="0"/>
    <n v="0"/>
    <n v="20000"/>
    <n v="0"/>
    <n v="0"/>
    <n v="20000"/>
    <n v="4000"/>
    <n v="-14500"/>
    <n v="0"/>
    <n v="0"/>
    <n v="0"/>
    <n v="0"/>
    <n v="6"/>
    <n v="1"/>
    <n v="0"/>
    <n v="-6"/>
    <n v="5"/>
    <n v="130000"/>
    <n v="125000"/>
    <n v="100000"/>
    <n v="0"/>
    <n v="0"/>
    <n v="125000"/>
    <n v="87500"/>
    <m/>
    <m/>
    <n v="6"/>
    <n v="6"/>
    <n v="-2"/>
    <n v="-1"/>
    <n v="0"/>
    <n v="0"/>
    <s v="VIEW_SUMMARY"/>
    <n v="677"/>
    <n v="298"/>
    <n v="1429"/>
    <n v="1429"/>
    <m/>
    <x v="3"/>
    <n v="94"/>
    <s v="table6"/>
    <n v="19"/>
    <s v="250923_EPA_IntroDays_Overasselt"/>
    <n v="22"/>
    <n v="12"/>
    <s v="(U-village)"/>
    <n v="3"/>
    <x v="3"/>
    <n v="0"/>
    <n v="24000"/>
  </r>
  <r>
    <n v="1274"/>
    <d v="2025-09-23T14:16:09"/>
    <n v="90000"/>
    <n v="50000"/>
    <n v="14500"/>
    <n v="11100"/>
    <n v="37500"/>
    <n v="0"/>
    <n v="30000"/>
    <n v="14000"/>
    <n v="2500"/>
    <n v="0"/>
    <n v="0"/>
    <n v="5400"/>
    <n v="1"/>
    <n v="-2"/>
    <n v="2"/>
    <n v="1"/>
    <n v="0"/>
    <n v="0"/>
    <n v="1"/>
    <n v="-7"/>
    <n v="5"/>
    <n v="130000"/>
    <n v="125000"/>
    <n v="87500"/>
    <n v="125000"/>
    <n v="111000"/>
    <n v="111000"/>
    <n v="99900"/>
    <n v="34"/>
    <m/>
    <n v="6"/>
    <n v="9"/>
    <n v="-2"/>
    <n v="-1"/>
    <n v="2"/>
    <n v="2"/>
    <s v="VIEW_SUMMARY"/>
    <n v="677"/>
    <n v="305"/>
    <n v="1429"/>
    <n v="1488"/>
    <m/>
    <x v="4"/>
    <n v="94"/>
    <s v="table6"/>
    <n v="19"/>
    <s v="250923_EPA_IntroDays_Overasselt"/>
    <n v="22"/>
    <n v="15"/>
    <s v="(Natu-city)"/>
    <n v="4"/>
    <x v="3"/>
    <n v="4"/>
    <n v="0"/>
  </r>
  <r>
    <n v="1157"/>
    <d v="2025-09-23T14:14:38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78"/>
    <n v="288"/>
    <m/>
    <m/>
    <m/>
    <x v="0"/>
    <n v="94"/>
    <s v="table6"/>
    <n v="19"/>
    <s v="250923_EPA_IntroDays_Overasselt"/>
    <n v="22"/>
    <n v="0"/>
    <s v=""/>
    <n v="0"/>
    <x v="4"/>
    <m/>
    <n v="0"/>
  </r>
  <r>
    <n v="1191"/>
    <d v="2025-09-23T14:14:38"/>
    <n v="130000"/>
    <n v="75000"/>
    <n v="0"/>
    <n v="20000"/>
    <n v="0"/>
    <n v="0"/>
    <n v="15000"/>
    <n v="33000"/>
    <n v="25500"/>
    <n v="0"/>
    <n v="0"/>
    <n v="11500"/>
    <n v="0"/>
    <n v="-1"/>
    <n v="3"/>
    <n v="4"/>
    <n v="0"/>
    <n v="0"/>
    <n v="0"/>
    <n v="11"/>
    <n v="7"/>
    <n v="200000"/>
    <n v="0"/>
    <n v="0"/>
    <n v="0"/>
    <n v="200000"/>
    <n v="200000"/>
    <n v="180000"/>
    <m/>
    <m/>
    <n v="6"/>
    <n v="9"/>
    <n v="0"/>
    <n v="0"/>
    <n v="4"/>
    <n v="3"/>
    <s v="VIEW_SUMMARY"/>
    <n v="678"/>
    <n v="292"/>
    <m/>
    <n v="1420"/>
    <m/>
    <x v="1"/>
    <n v="94"/>
    <s v="table6"/>
    <n v="19"/>
    <s v="250923_EPA_IntroDays_Overasselt"/>
    <n v="22"/>
    <n v="15"/>
    <s v="(Natu-city)"/>
    <n v="1"/>
    <x v="4"/>
    <n v="7"/>
    <n v="0"/>
  </r>
  <r>
    <n v="1204"/>
    <d v="2025-09-23T14:14:38"/>
    <n v="130000"/>
    <n v="75000"/>
    <n v="0"/>
    <n v="20000"/>
    <n v="0"/>
    <n v="0"/>
    <n v="15000"/>
    <n v="0"/>
    <n v="0"/>
    <n v="0"/>
    <n v="0"/>
    <n v="31500"/>
    <n v="0"/>
    <n v="0"/>
    <n v="0"/>
    <n v="0"/>
    <n v="0"/>
    <n v="0"/>
    <n v="0"/>
    <n v="11"/>
    <n v="7"/>
    <n v="200000"/>
    <n v="200000"/>
    <n v="180000"/>
    <n v="0"/>
    <n v="0"/>
    <n v="200000"/>
    <n v="160000"/>
    <m/>
    <m/>
    <n v="6"/>
    <n v="9"/>
    <n v="0"/>
    <n v="0"/>
    <n v="0"/>
    <n v="0"/>
    <s v="VIEW_SUMMARY"/>
    <n v="678"/>
    <n v="294"/>
    <n v="1420"/>
    <n v="1420"/>
    <m/>
    <x v="2"/>
    <n v="94"/>
    <s v="table6"/>
    <n v="19"/>
    <s v="250923_EPA_IntroDays_Overasselt"/>
    <n v="22"/>
    <n v="15"/>
    <s v="(Natu-city)"/>
    <n v="2"/>
    <x v="4"/>
    <n v="0"/>
    <n v="0"/>
  </r>
  <r>
    <n v="1231"/>
    <d v="2025-09-23T14:14:38"/>
    <n v="130000"/>
    <n v="75000"/>
    <n v="0"/>
    <n v="20000"/>
    <n v="0"/>
    <n v="0"/>
    <n v="15000"/>
    <n v="0"/>
    <n v="0"/>
    <n v="8000"/>
    <n v="4000"/>
    <n v="39500"/>
    <n v="0"/>
    <n v="0"/>
    <n v="0"/>
    <n v="0"/>
    <n v="3"/>
    <n v="1"/>
    <n v="0"/>
    <n v="7"/>
    <n v="7"/>
    <n v="200000"/>
    <n v="200000"/>
    <n v="160000"/>
    <n v="0"/>
    <n v="0"/>
    <n v="200000"/>
    <n v="140000"/>
    <m/>
    <m/>
    <n v="6"/>
    <n v="9"/>
    <n v="-2"/>
    <n v="-1"/>
    <n v="0"/>
    <n v="0"/>
    <s v="VIEW_SUMMARY"/>
    <n v="678"/>
    <n v="298"/>
    <n v="1420"/>
    <n v="1420"/>
    <m/>
    <x v="3"/>
    <n v="94"/>
    <s v="table6"/>
    <n v="19"/>
    <s v="250923_EPA_IntroDays_Overasselt"/>
    <n v="22"/>
    <n v="15"/>
    <s v="(Natu-city)"/>
    <n v="3"/>
    <x v="4"/>
    <n v="0"/>
    <n v="12000"/>
  </r>
  <r>
    <n v="1273"/>
    <d v="2025-09-23T14:14:38"/>
    <n v="130000"/>
    <n v="75000"/>
    <n v="0"/>
    <n v="20000"/>
    <n v="0"/>
    <n v="0"/>
    <n v="30000"/>
    <n v="0"/>
    <n v="0"/>
    <n v="0"/>
    <n v="0"/>
    <n v="44500"/>
    <n v="0"/>
    <n v="0"/>
    <n v="0"/>
    <n v="0"/>
    <n v="0"/>
    <n v="0"/>
    <n v="0"/>
    <n v="7"/>
    <n v="7"/>
    <n v="200000"/>
    <n v="200000"/>
    <n v="140000"/>
    <n v="0"/>
    <n v="0"/>
    <n v="200000"/>
    <n v="120000"/>
    <m/>
    <m/>
    <n v="6"/>
    <n v="9"/>
    <n v="-2"/>
    <n v="-1"/>
    <n v="0"/>
    <n v="0"/>
    <s v="VIEW_SUMMARY"/>
    <n v="678"/>
    <n v="305"/>
    <n v="1420"/>
    <n v="1420"/>
    <m/>
    <x v="4"/>
    <n v="94"/>
    <s v="table6"/>
    <n v="19"/>
    <s v="250923_EPA_IntroDays_Overasselt"/>
    <n v="22"/>
    <n v="15"/>
    <s v="(Natu-city)"/>
    <n v="4"/>
    <x v="4"/>
    <n v="0"/>
    <n v="0"/>
  </r>
  <r>
    <n v="1178"/>
    <d v="2025-09-23T14:25:49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79"/>
    <n v="288"/>
    <m/>
    <m/>
    <m/>
    <x v="0"/>
    <n v="94"/>
    <s v="table6"/>
    <n v="19"/>
    <s v="250923_EPA_IntroDays_Overasselt"/>
    <n v="22"/>
    <n v="0"/>
    <s v=""/>
    <n v="0"/>
    <x v="5"/>
    <m/>
    <n v="0"/>
  </r>
  <r>
    <n v="1189"/>
    <d v="2025-09-23T14:25:49"/>
    <n v="190000"/>
    <n v="115000"/>
    <n v="0"/>
    <n v="30000"/>
    <n v="0"/>
    <n v="0"/>
    <n v="20000"/>
    <n v="33000"/>
    <n v="38000"/>
    <n v="0"/>
    <n v="0"/>
    <n v="34000"/>
    <n v="0"/>
    <n v="0"/>
    <n v="3"/>
    <n v="4"/>
    <n v="0"/>
    <n v="0"/>
    <n v="0"/>
    <n v="12"/>
    <n v="8"/>
    <n v="300000"/>
    <n v="0"/>
    <n v="0"/>
    <n v="0"/>
    <n v="300000"/>
    <n v="300000"/>
    <n v="270000"/>
    <m/>
    <m/>
    <n v="4"/>
    <n v="9"/>
    <n v="0"/>
    <n v="0"/>
    <n v="4"/>
    <n v="3"/>
    <s v="VIEW_SUMMARY"/>
    <n v="679"/>
    <n v="292"/>
    <m/>
    <n v="1423"/>
    <m/>
    <x v="1"/>
    <n v="94"/>
    <s v="table6"/>
    <n v="19"/>
    <s v="250923_EPA_IntroDays_Overasselt"/>
    <n v="22"/>
    <n v="13"/>
    <s v="(Dike-town)"/>
    <n v="1"/>
    <x v="5"/>
    <n v="7"/>
    <n v="0"/>
  </r>
  <r>
    <n v="1202"/>
    <d v="2025-09-23T14:25:49"/>
    <n v="190000"/>
    <n v="115000"/>
    <n v="0"/>
    <n v="30000"/>
    <n v="0"/>
    <n v="0"/>
    <n v="20000"/>
    <n v="0"/>
    <n v="0"/>
    <n v="0"/>
    <n v="4000"/>
    <n v="55000"/>
    <n v="0"/>
    <n v="0"/>
    <n v="0"/>
    <n v="0"/>
    <n v="0"/>
    <n v="1"/>
    <n v="0"/>
    <n v="11"/>
    <n v="8"/>
    <n v="300000"/>
    <n v="300000"/>
    <n v="270000"/>
    <n v="0"/>
    <n v="0"/>
    <n v="300000"/>
    <n v="240000"/>
    <m/>
    <m/>
    <n v="4"/>
    <n v="9"/>
    <n v="0"/>
    <n v="0"/>
    <n v="0"/>
    <n v="0"/>
    <s v="VIEW_SUMMARY"/>
    <n v="679"/>
    <n v="294"/>
    <n v="1423"/>
    <n v="1423"/>
    <m/>
    <x v="2"/>
    <n v="94"/>
    <s v="table6"/>
    <n v="19"/>
    <s v="250923_EPA_IntroDays_Overasselt"/>
    <n v="22"/>
    <n v="13"/>
    <s v="(Dike-town)"/>
    <n v="2"/>
    <x v="5"/>
    <n v="0"/>
    <n v="4000"/>
  </r>
  <r>
    <n v="1228"/>
    <d v="2025-09-23T14:25:49"/>
    <n v="190000"/>
    <n v="115000"/>
    <n v="0"/>
    <n v="30000"/>
    <n v="0"/>
    <n v="0"/>
    <n v="20000"/>
    <n v="0"/>
    <n v="0"/>
    <n v="8000"/>
    <n v="4000"/>
    <n v="68000"/>
    <n v="0"/>
    <n v="0"/>
    <n v="0"/>
    <n v="0"/>
    <n v="3"/>
    <n v="1"/>
    <n v="0"/>
    <n v="7"/>
    <n v="8"/>
    <n v="300000"/>
    <n v="300000"/>
    <n v="240000"/>
    <n v="0"/>
    <n v="0"/>
    <n v="300000"/>
    <n v="210000"/>
    <m/>
    <m/>
    <n v="4"/>
    <n v="9"/>
    <n v="-2"/>
    <n v="-1"/>
    <n v="0"/>
    <n v="0"/>
    <s v="VIEW_SUMMARY"/>
    <n v="679"/>
    <n v="298"/>
    <n v="1423"/>
    <n v="1423"/>
    <m/>
    <x v="3"/>
    <n v="94"/>
    <s v="table6"/>
    <n v="19"/>
    <s v="250923_EPA_IntroDays_Overasselt"/>
    <n v="22"/>
    <n v="13"/>
    <s v="(Dike-town)"/>
    <n v="3"/>
    <x v="5"/>
    <n v="0"/>
    <n v="12000"/>
  </r>
  <r>
    <n v="1269"/>
    <d v="2025-09-23T14:25:49"/>
    <n v="190000"/>
    <n v="115000"/>
    <n v="0"/>
    <n v="30000"/>
    <n v="140000"/>
    <n v="125000"/>
    <n v="30000"/>
    <n v="15000"/>
    <n v="0"/>
    <n v="0"/>
    <n v="0"/>
    <n v="83000"/>
    <n v="1"/>
    <n v="1"/>
    <n v="2"/>
    <n v="0"/>
    <n v="0"/>
    <n v="0"/>
    <n v="0"/>
    <n v="9"/>
    <n v="8"/>
    <n v="300000"/>
    <n v="300000"/>
    <n v="210000"/>
    <n v="350000"/>
    <n v="425000"/>
    <n v="300000"/>
    <n v="270000"/>
    <n v="34"/>
    <m/>
    <n v="6"/>
    <n v="9"/>
    <n v="-2"/>
    <n v="-1"/>
    <n v="4"/>
    <n v="3"/>
    <s v="VIEW_SUMMARY"/>
    <n v="679"/>
    <n v="305"/>
    <n v="1423"/>
    <n v="1487"/>
    <m/>
    <x v="4"/>
    <n v="94"/>
    <s v="table6"/>
    <n v="19"/>
    <s v="250923_EPA_IntroDays_Overasselt"/>
    <n v="22"/>
    <n v="15"/>
    <s v="(Natu-city)"/>
    <n v="4"/>
    <x v="5"/>
    <n v="7"/>
    <n v="0"/>
  </r>
  <r>
    <n v="1164"/>
    <d v="2025-09-23T14:24:57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82"/>
    <n v="286"/>
    <m/>
    <m/>
    <m/>
    <x v="0"/>
    <n v="95"/>
    <s v="table7"/>
    <n v="19"/>
    <s v="250923_EPA_IntroDays_Overasselt"/>
    <n v="22"/>
    <n v="0"/>
    <s v=""/>
    <n v="0"/>
    <x v="0"/>
    <m/>
    <n v="0"/>
  </r>
  <r>
    <n v="1176"/>
    <d v="2025-09-23T14:24:57"/>
    <n v="75000"/>
    <n v="40000"/>
    <n v="0"/>
    <n v="11000"/>
    <n v="0"/>
    <n v="15000"/>
    <n v="15000"/>
    <n v="0"/>
    <n v="0"/>
    <n v="8000"/>
    <n v="0"/>
    <n v="-9000"/>
    <n v="0"/>
    <n v="0"/>
    <n v="0"/>
    <n v="0"/>
    <n v="3"/>
    <n v="0"/>
    <n v="0"/>
    <n v="2"/>
    <n v="4"/>
    <n v="110000"/>
    <n v="0"/>
    <n v="0"/>
    <n v="0"/>
    <n v="125000"/>
    <n v="110000"/>
    <n v="99000"/>
    <m/>
    <m/>
    <n v="6"/>
    <n v="6"/>
    <n v="0"/>
    <n v="0"/>
    <n v="0"/>
    <n v="0"/>
    <s v="VIEW_SUMMARY"/>
    <n v="682"/>
    <n v="290"/>
    <m/>
    <n v="1399"/>
    <m/>
    <x v="1"/>
    <n v="95"/>
    <s v="table7"/>
    <n v="19"/>
    <s v="250923_EPA_IntroDays_Overasselt"/>
    <n v="22"/>
    <n v="12"/>
    <s v="(U-village)"/>
    <n v="1"/>
    <x v="0"/>
    <n v="0"/>
    <n v="8000"/>
  </r>
  <r>
    <n v="1215"/>
    <d v="2025-09-23T14:24:57"/>
    <n v="75000"/>
    <n v="40000"/>
    <n v="9000"/>
    <n v="11000"/>
    <n v="0"/>
    <n v="0"/>
    <n v="15000"/>
    <n v="0"/>
    <n v="0"/>
    <n v="0"/>
    <n v="4000"/>
    <n v="-4000"/>
    <n v="0"/>
    <n v="0"/>
    <n v="0"/>
    <n v="0"/>
    <n v="0"/>
    <n v="1"/>
    <n v="1"/>
    <n v="0"/>
    <n v="4"/>
    <n v="110000"/>
    <n v="110000"/>
    <n v="99000"/>
    <n v="0"/>
    <n v="0"/>
    <n v="110000"/>
    <n v="88000"/>
    <m/>
    <m/>
    <n v="6"/>
    <n v="6"/>
    <n v="0"/>
    <n v="0"/>
    <n v="0"/>
    <n v="0"/>
    <s v="VIEW_SUMMARY"/>
    <n v="682"/>
    <n v="296"/>
    <n v="1399"/>
    <n v="1399"/>
    <m/>
    <x v="2"/>
    <n v="95"/>
    <s v="table7"/>
    <n v="19"/>
    <s v="250923_EPA_IntroDays_Overasselt"/>
    <n v="22"/>
    <n v="12"/>
    <s v="(U-village)"/>
    <n v="2"/>
    <x v="0"/>
    <n v="0"/>
    <n v="4000"/>
  </r>
  <r>
    <n v="1233"/>
    <d v="2025-09-23T14:24:57"/>
    <n v="75000"/>
    <n v="40000"/>
    <n v="4000"/>
    <n v="11000"/>
    <n v="0"/>
    <n v="0"/>
    <n v="15000"/>
    <n v="1000"/>
    <n v="3750"/>
    <n v="20000"/>
    <n v="0"/>
    <n v="-19750"/>
    <n v="0"/>
    <n v="0"/>
    <n v="0"/>
    <n v="1"/>
    <n v="6"/>
    <n v="0"/>
    <n v="1"/>
    <n v="-6"/>
    <n v="4"/>
    <n v="110000"/>
    <n v="110000"/>
    <n v="88000"/>
    <n v="0"/>
    <n v="0"/>
    <n v="110000"/>
    <n v="77000"/>
    <m/>
    <m/>
    <n v="6"/>
    <n v="6"/>
    <n v="-2"/>
    <n v="-1"/>
    <n v="0"/>
    <n v="1"/>
    <s v="VIEW_SUMMARY"/>
    <n v="682"/>
    <n v="299"/>
    <n v="1399"/>
    <n v="1399"/>
    <m/>
    <x v="3"/>
    <n v="95"/>
    <s v="table7"/>
    <n v="19"/>
    <s v="250923_EPA_IntroDays_Overasselt"/>
    <n v="22"/>
    <n v="12"/>
    <s v="(U-village)"/>
    <n v="3"/>
    <x v="0"/>
    <n v="1"/>
    <n v="20000"/>
  </r>
  <r>
    <n v="1252"/>
    <d v="2025-09-23T14:24:57"/>
    <n v="75000"/>
    <n v="40000"/>
    <n v="19750"/>
    <n v="11000"/>
    <n v="0"/>
    <n v="0"/>
    <n v="15000"/>
    <n v="0"/>
    <n v="0"/>
    <n v="16000"/>
    <n v="4000"/>
    <n v="-30750"/>
    <n v="0"/>
    <n v="0"/>
    <n v="0"/>
    <n v="0"/>
    <n v="5"/>
    <n v="1"/>
    <n v="1"/>
    <n v="-13"/>
    <n v="4"/>
    <n v="110000"/>
    <n v="110000"/>
    <n v="77000"/>
    <n v="0"/>
    <n v="0"/>
    <n v="110000"/>
    <n v="66000"/>
    <m/>
    <m/>
    <n v="6"/>
    <n v="6"/>
    <n v="-2"/>
    <n v="-1"/>
    <n v="0"/>
    <n v="0"/>
    <s v="VIEW_DAMAGE"/>
    <n v="682"/>
    <n v="302"/>
    <n v="1399"/>
    <n v="1399"/>
    <m/>
    <x v="4"/>
    <n v="95"/>
    <s v="table7"/>
    <n v="19"/>
    <s v="250923_EPA_IntroDays_Overasselt"/>
    <n v="22"/>
    <n v="12"/>
    <s v="(U-village)"/>
    <n v="4"/>
    <x v="0"/>
    <n v="0"/>
    <n v="20000"/>
  </r>
  <r>
    <n v="1167"/>
    <d v="2025-09-23T14:24:59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83"/>
    <n v="286"/>
    <m/>
    <m/>
    <m/>
    <x v="0"/>
    <n v="95"/>
    <s v="table7"/>
    <n v="19"/>
    <s v="250923_EPA_IntroDays_Overasselt"/>
    <n v="22"/>
    <n v="0"/>
    <s v=""/>
    <n v="0"/>
    <x v="1"/>
    <m/>
    <n v="0"/>
  </r>
  <r>
    <n v="1179"/>
    <d v="2025-09-23T14:24:59"/>
    <n v="110000"/>
    <n v="60000"/>
    <n v="0"/>
    <n v="12500"/>
    <n v="0"/>
    <n v="0"/>
    <n v="15000"/>
    <n v="8000"/>
    <n v="8000"/>
    <n v="4000"/>
    <n v="0"/>
    <n v="32500"/>
    <n v="0"/>
    <n v="-2"/>
    <n v="1"/>
    <n v="1"/>
    <n v="2"/>
    <n v="0"/>
    <n v="0"/>
    <n v="3"/>
    <n v="6"/>
    <n v="170000"/>
    <n v="0"/>
    <n v="0"/>
    <n v="0"/>
    <n v="125000"/>
    <n v="125000"/>
    <n v="112500"/>
    <m/>
    <m/>
    <n v="6"/>
    <n v="6"/>
    <n v="0"/>
    <n v="0"/>
    <n v="1"/>
    <n v="1"/>
    <s v="VIEW_SUMMARY"/>
    <n v="683"/>
    <n v="290"/>
    <m/>
    <n v="1400"/>
    <m/>
    <x v="1"/>
    <n v="95"/>
    <s v="table7"/>
    <n v="19"/>
    <s v="250923_EPA_IntroDays_Overasselt"/>
    <n v="22"/>
    <n v="12"/>
    <s v="(U-village)"/>
    <n v="1"/>
    <x v="1"/>
    <n v="2"/>
    <n v="4000"/>
  </r>
  <r>
    <n v="1219"/>
    <d v="2025-09-23T14:24:59"/>
    <n v="110000"/>
    <n v="60000"/>
    <n v="0"/>
    <n v="12500"/>
    <n v="0"/>
    <n v="0"/>
    <n v="15000"/>
    <n v="10000"/>
    <n v="0"/>
    <n v="0"/>
    <n v="4000"/>
    <n v="41000"/>
    <n v="0"/>
    <n v="0"/>
    <n v="0"/>
    <n v="0"/>
    <n v="0"/>
    <n v="1"/>
    <n v="0"/>
    <n v="2"/>
    <n v="6"/>
    <n v="170000"/>
    <n v="125000"/>
    <n v="112500"/>
    <n v="0"/>
    <n v="0"/>
    <n v="125000"/>
    <n v="100000"/>
    <m/>
    <m/>
    <n v="6"/>
    <n v="6"/>
    <n v="0"/>
    <n v="0"/>
    <n v="1"/>
    <n v="1"/>
    <s v="VIEW_SUMMARY"/>
    <n v="683"/>
    <n v="296"/>
    <n v="1400"/>
    <n v="1400"/>
    <m/>
    <x v="2"/>
    <n v="95"/>
    <s v="table7"/>
    <n v="19"/>
    <s v="250923_EPA_IntroDays_Overasselt"/>
    <n v="22"/>
    <n v="12"/>
    <s v="(U-village)"/>
    <n v="2"/>
    <x v="1"/>
    <n v="2"/>
    <n v="4000"/>
  </r>
  <r>
    <n v="1238"/>
    <d v="2025-09-23T14:24:59"/>
    <n v="110000"/>
    <n v="60000"/>
    <n v="0"/>
    <n v="12500"/>
    <n v="0"/>
    <n v="0"/>
    <n v="15000"/>
    <n v="8000"/>
    <n v="6250"/>
    <n v="24000"/>
    <n v="0"/>
    <n v="25250"/>
    <n v="0"/>
    <n v="0"/>
    <n v="1"/>
    <n v="2"/>
    <n v="7"/>
    <n v="0"/>
    <n v="0"/>
    <n v="-2"/>
    <n v="6"/>
    <n v="170000"/>
    <n v="125000"/>
    <n v="100000"/>
    <n v="0"/>
    <n v="0"/>
    <n v="125000"/>
    <n v="87500"/>
    <m/>
    <m/>
    <n v="6"/>
    <n v="6"/>
    <n v="-2"/>
    <n v="-1"/>
    <n v="1"/>
    <n v="0"/>
    <s v="VIEW_SUMMARY"/>
    <n v="683"/>
    <n v="299"/>
    <n v="1400"/>
    <n v="1400"/>
    <m/>
    <x v="3"/>
    <n v="95"/>
    <s v="table7"/>
    <n v="19"/>
    <s v="250923_EPA_IntroDays_Overasselt"/>
    <n v="22"/>
    <n v="12"/>
    <s v="(U-village)"/>
    <n v="3"/>
    <x v="1"/>
    <n v="1"/>
    <n v="24000"/>
  </r>
  <r>
    <n v="1257"/>
    <d v="2025-09-23T14:24:59"/>
    <n v="110000"/>
    <n v="60000"/>
    <n v="0"/>
    <n v="12500"/>
    <n v="0"/>
    <n v="0"/>
    <n v="15000"/>
    <n v="6000"/>
    <n v="0"/>
    <n v="16000"/>
    <n v="4000"/>
    <n v="21750"/>
    <n v="0"/>
    <n v="0"/>
    <n v="1"/>
    <n v="0"/>
    <n v="5"/>
    <n v="1"/>
    <n v="0"/>
    <n v="-7"/>
    <n v="6"/>
    <n v="170000"/>
    <n v="125000"/>
    <n v="87500"/>
    <n v="0"/>
    <n v="0"/>
    <n v="125000"/>
    <n v="75000"/>
    <m/>
    <m/>
    <n v="6"/>
    <n v="6"/>
    <n v="-2"/>
    <n v="-1"/>
    <n v="1"/>
    <n v="0"/>
    <s v="VIEW_SUMMARY"/>
    <n v="683"/>
    <n v="302"/>
    <n v="1400"/>
    <n v="1400"/>
    <m/>
    <x v="4"/>
    <n v="95"/>
    <s v="table7"/>
    <n v="19"/>
    <s v="250923_EPA_IntroDays_Overasselt"/>
    <n v="22"/>
    <n v="12"/>
    <s v="(U-village)"/>
    <n v="4"/>
    <x v="1"/>
    <n v="1"/>
    <n v="20000"/>
  </r>
  <r>
    <n v="1165"/>
    <d v="2025-09-23T14:24:57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84"/>
    <n v="286"/>
    <m/>
    <m/>
    <m/>
    <x v="0"/>
    <n v="95"/>
    <s v="table7"/>
    <n v="19"/>
    <s v="250923_EPA_IntroDays_Overasselt"/>
    <n v="22"/>
    <n v="0"/>
    <s v=""/>
    <n v="0"/>
    <x v="2"/>
    <m/>
    <n v="0"/>
  </r>
  <r>
    <n v="1173"/>
    <d v="2025-09-23T14:24:57"/>
    <n v="60000"/>
    <n v="30000"/>
    <n v="0"/>
    <n v="7000"/>
    <n v="0"/>
    <n v="0"/>
    <n v="15000"/>
    <n v="1000"/>
    <n v="1400"/>
    <n v="4000"/>
    <n v="0"/>
    <n v="1600"/>
    <n v="0"/>
    <n v="-1"/>
    <n v="0"/>
    <n v="0"/>
    <n v="2"/>
    <n v="0"/>
    <n v="0"/>
    <n v="2"/>
    <n v="3"/>
    <n v="80000"/>
    <n v="0"/>
    <n v="0"/>
    <n v="0"/>
    <n v="70000"/>
    <n v="70000"/>
    <n v="63000"/>
    <m/>
    <m/>
    <n v="6"/>
    <n v="6"/>
    <n v="0"/>
    <n v="0"/>
    <n v="0"/>
    <n v="1"/>
    <s v="VIEW_SUMMARY"/>
    <n v="684"/>
    <n v="290"/>
    <m/>
    <n v="1402"/>
    <m/>
    <x v="1"/>
    <n v="95"/>
    <s v="table7"/>
    <n v="19"/>
    <s v="250923_EPA_IntroDays_Overasselt"/>
    <n v="22"/>
    <n v="12"/>
    <s v="(U-village)"/>
    <n v="1"/>
    <x v="2"/>
    <n v="1"/>
    <n v="4000"/>
  </r>
  <r>
    <n v="1213"/>
    <d v="2025-09-23T14:24:57"/>
    <n v="60000"/>
    <n v="30000"/>
    <n v="0"/>
    <n v="7000"/>
    <n v="0"/>
    <n v="0"/>
    <n v="15000"/>
    <n v="0"/>
    <n v="3500"/>
    <n v="0"/>
    <n v="4000"/>
    <n v="2100"/>
    <n v="0"/>
    <n v="0"/>
    <n v="0"/>
    <n v="2"/>
    <n v="0"/>
    <n v="1"/>
    <n v="0"/>
    <n v="3"/>
    <n v="3"/>
    <n v="80000"/>
    <n v="70000"/>
    <n v="63000"/>
    <n v="0"/>
    <n v="0"/>
    <n v="70000"/>
    <n v="56000"/>
    <m/>
    <m/>
    <n v="6"/>
    <n v="6"/>
    <n v="0"/>
    <n v="0"/>
    <n v="0"/>
    <n v="0"/>
    <s v="VIEW_SUMMARY"/>
    <n v="684"/>
    <n v="296"/>
    <n v="1402"/>
    <n v="1402"/>
    <m/>
    <x v="2"/>
    <n v="95"/>
    <s v="table7"/>
    <n v="19"/>
    <s v="250923_EPA_IntroDays_Overasselt"/>
    <n v="22"/>
    <n v="12"/>
    <s v="(U-village)"/>
    <n v="2"/>
    <x v="2"/>
    <n v="0"/>
    <n v="4000"/>
  </r>
  <r>
    <n v="1235"/>
    <d v="2025-09-23T14:24:57"/>
    <n v="60000"/>
    <n v="30000"/>
    <n v="0"/>
    <n v="7000"/>
    <n v="0"/>
    <n v="0"/>
    <n v="15000"/>
    <n v="0"/>
    <n v="1750"/>
    <n v="24000"/>
    <n v="0"/>
    <n v="-15650"/>
    <n v="0"/>
    <n v="0"/>
    <n v="0"/>
    <n v="1"/>
    <n v="7"/>
    <n v="0"/>
    <n v="0"/>
    <n v="-3"/>
    <n v="3"/>
    <n v="80000"/>
    <n v="70000"/>
    <n v="56000"/>
    <n v="0"/>
    <n v="0"/>
    <n v="70000"/>
    <n v="49000"/>
    <m/>
    <m/>
    <n v="6"/>
    <n v="6"/>
    <n v="-2"/>
    <n v="-1"/>
    <n v="0"/>
    <n v="0"/>
    <s v="VIEW_SUMMARY"/>
    <n v="684"/>
    <n v="299"/>
    <n v="1402"/>
    <n v="1402"/>
    <m/>
    <x v="3"/>
    <n v="95"/>
    <s v="table7"/>
    <n v="19"/>
    <s v="250923_EPA_IntroDays_Overasselt"/>
    <n v="22"/>
    <n v="12"/>
    <s v="(U-village)"/>
    <n v="3"/>
    <x v="2"/>
    <n v="0"/>
    <n v="24000"/>
  </r>
  <r>
    <n v="1255"/>
    <d v="2025-09-23T14:24:57"/>
    <n v="60000"/>
    <n v="30000"/>
    <n v="15650"/>
    <n v="0"/>
    <n v="0"/>
    <n v="0"/>
    <n v="15000"/>
    <n v="0"/>
    <n v="0"/>
    <n v="16000"/>
    <n v="4000"/>
    <n v="-20650"/>
    <n v="0"/>
    <n v="0"/>
    <n v="0"/>
    <n v="0"/>
    <n v="5"/>
    <n v="1"/>
    <n v="1"/>
    <n v="-10"/>
    <n v="3"/>
    <n v="80000"/>
    <n v="70000"/>
    <n v="49000"/>
    <n v="0"/>
    <n v="0"/>
    <n v="70000"/>
    <n v="49000"/>
    <m/>
    <m/>
    <n v="6"/>
    <n v="6"/>
    <n v="-2"/>
    <n v="-1"/>
    <n v="0"/>
    <n v="0"/>
    <s v="VIEW_SUMMARY"/>
    <n v="684"/>
    <n v="302"/>
    <n v="1402"/>
    <n v="1402"/>
    <m/>
    <x v="4"/>
    <n v="95"/>
    <s v="table7"/>
    <n v="19"/>
    <s v="250923_EPA_IntroDays_Overasselt"/>
    <n v="22"/>
    <n v="12"/>
    <s v="(U-village)"/>
    <n v="4"/>
    <x v="2"/>
    <n v="0"/>
    <n v="20000"/>
  </r>
  <r>
    <n v="1154"/>
    <d v="2025-09-23T14:10:15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85"/>
    <n v="286"/>
    <m/>
    <m/>
    <m/>
    <x v="0"/>
    <n v="95"/>
    <s v="table7"/>
    <n v="19"/>
    <s v="250923_EPA_IntroDays_Overasselt"/>
    <n v="22"/>
    <n v="0"/>
    <s v=""/>
    <n v="0"/>
    <x v="3"/>
    <m/>
    <n v="0"/>
  </r>
  <r>
    <n v="1175"/>
    <d v="2025-09-23T14:10:15"/>
    <n v="90000"/>
    <n v="50000"/>
    <n v="0"/>
    <n v="7000"/>
    <n v="0"/>
    <n v="0"/>
    <n v="15000"/>
    <n v="6000"/>
    <n v="3500"/>
    <n v="8000"/>
    <n v="0"/>
    <n v="15500"/>
    <n v="0"/>
    <n v="-3"/>
    <n v="1"/>
    <n v="2"/>
    <n v="3"/>
    <n v="0"/>
    <n v="0"/>
    <n v="2"/>
    <n v="5"/>
    <n v="130000"/>
    <n v="0"/>
    <n v="0"/>
    <n v="0"/>
    <n v="70000"/>
    <n v="70000"/>
    <n v="63000"/>
    <m/>
    <m/>
    <n v="6"/>
    <n v="6"/>
    <n v="0"/>
    <n v="0"/>
    <n v="1"/>
    <n v="0"/>
    <s v="VIEW_SUMMARY"/>
    <n v="685"/>
    <n v="290"/>
    <m/>
    <n v="1401"/>
    <m/>
    <x v="1"/>
    <n v="95"/>
    <s v="table7"/>
    <n v="19"/>
    <s v="250923_EPA_IntroDays_Overasselt"/>
    <n v="22"/>
    <n v="12"/>
    <s v="(U-village)"/>
    <n v="1"/>
    <x v="3"/>
    <n v="1"/>
    <n v="8000"/>
  </r>
  <r>
    <n v="1214"/>
    <d v="2025-09-23T14:10:15"/>
    <n v="90000"/>
    <n v="50000"/>
    <n v="0"/>
    <n v="7000"/>
    <n v="0"/>
    <n v="0"/>
    <n v="15000"/>
    <n v="11000"/>
    <n v="1400"/>
    <n v="0"/>
    <n v="4000"/>
    <n v="17100"/>
    <n v="0"/>
    <n v="0"/>
    <n v="0"/>
    <n v="0"/>
    <n v="0"/>
    <n v="1"/>
    <n v="0"/>
    <n v="1"/>
    <n v="5"/>
    <n v="130000"/>
    <n v="70000"/>
    <n v="63000"/>
    <n v="0"/>
    <n v="0"/>
    <n v="70000"/>
    <n v="56000"/>
    <m/>
    <m/>
    <n v="6"/>
    <n v="6"/>
    <n v="0"/>
    <n v="0"/>
    <n v="1"/>
    <n v="2"/>
    <s v="VIEW_SUMMARY"/>
    <n v="685"/>
    <n v="296"/>
    <n v="1401"/>
    <n v="1401"/>
    <m/>
    <x v="2"/>
    <n v="95"/>
    <s v="table7"/>
    <n v="19"/>
    <s v="250923_EPA_IntroDays_Overasselt"/>
    <n v="22"/>
    <n v="12"/>
    <s v="(U-village)"/>
    <n v="2"/>
    <x v="3"/>
    <n v="3"/>
    <n v="4000"/>
  </r>
  <r>
    <n v="1236"/>
    <d v="2025-09-23T14:10:15"/>
    <n v="90000"/>
    <n v="50000"/>
    <n v="0"/>
    <n v="7000"/>
    <n v="0"/>
    <n v="0"/>
    <n v="15000"/>
    <n v="16000"/>
    <n v="1750"/>
    <n v="20000"/>
    <n v="0"/>
    <n v="-2650"/>
    <n v="0"/>
    <n v="0"/>
    <n v="2"/>
    <n v="1"/>
    <n v="6"/>
    <n v="0"/>
    <n v="0"/>
    <n v="-2"/>
    <n v="5"/>
    <n v="130000"/>
    <n v="70000"/>
    <n v="56000"/>
    <n v="0"/>
    <n v="0"/>
    <n v="70000"/>
    <n v="49000"/>
    <m/>
    <m/>
    <n v="6"/>
    <n v="6"/>
    <n v="-2"/>
    <n v="-1"/>
    <n v="2"/>
    <n v="1"/>
    <s v="VIEW_SUMMARY"/>
    <n v="685"/>
    <n v="299"/>
    <n v="1401"/>
    <n v="1401"/>
    <m/>
    <x v="3"/>
    <n v="95"/>
    <s v="table7"/>
    <n v="19"/>
    <s v="250923_EPA_IntroDays_Overasselt"/>
    <n v="22"/>
    <n v="12"/>
    <s v="(U-village)"/>
    <n v="3"/>
    <x v="3"/>
    <n v="3"/>
    <n v="20000"/>
  </r>
  <r>
    <n v="1253"/>
    <d v="2025-09-23T14:10:15"/>
    <n v="90000"/>
    <n v="50000"/>
    <n v="2650"/>
    <n v="10000"/>
    <n v="21000"/>
    <n v="0"/>
    <n v="25000"/>
    <n v="6000"/>
    <n v="0"/>
    <n v="0"/>
    <n v="4000"/>
    <n v="13350"/>
    <n v="1"/>
    <n v="-2"/>
    <n v="1"/>
    <n v="0"/>
    <n v="1"/>
    <n v="1"/>
    <n v="1"/>
    <n v="-7"/>
    <n v="5"/>
    <n v="130000"/>
    <n v="70000"/>
    <n v="49000"/>
    <n v="70000"/>
    <n v="100000"/>
    <n v="100000"/>
    <n v="90000"/>
    <n v="34"/>
    <m/>
    <n v="6"/>
    <n v="9"/>
    <n v="-2"/>
    <n v="-1"/>
    <n v="1"/>
    <n v="1"/>
    <s v="VIEW_SUMMARY"/>
    <n v="685"/>
    <n v="302"/>
    <n v="1401"/>
    <n v="1458"/>
    <m/>
    <x v="4"/>
    <n v="95"/>
    <s v="table7"/>
    <n v="19"/>
    <s v="250923_EPA_IntroDays_Overasselt"/>
    <n v="22"/>
    <n v="15"/>
    <s v="(Natu-city)"/>
    <n v="4"/>
    <x v="3"/>
    <n v="2"/>
    <n v="4000"/>
  </r>
  <r>
    <n v="1158"/>
    <d v="2025-09-23T14:14:52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86"/>
    <n v="286"/>
    <m/>
    <m/>
    <m/>
    <x v="0"/>
    <n v="95"/>
    <s v="table7"/>
    <n v="19"/>
    <s v="250923_EPA_IntroDays_Overasselt"/>
    <n v="22"/>
    <n v="0"/>
    <s v=""/>
    <n v="0"/>
    <x v="4"/>
    <m/>
    <n v="0"/>
  </r>
  <r>
    <n v="1174"/>
    <d v="2025-09-23T14:14:52"/>
    <n v="130000"/>
    <n v="75000"/>
    <n v="0"/>
    <n v="8000"/>
    <n v="0"/>
    <n v="0"/>
    <n v="20000"/>
    <n v="14000"/>
    <n v="7600"/>
    <n v="0"/>
    <n v="0"/>
    <n v="55400"/>
    <n v="0"/>
    <n v="-5"/>
    <n v="2"/>
    <n v="3"/>
    <n v="0"/>
    <n v="0"/>
    <n v="0"/>
    <n v="5"/>
    <n v="7"/>
    <n v="200000"/>
    <n v="0"/>
    <n v="0"/>
    <n v="0"/>
    <n v="80000"/>
    <n v="80000"/>
    <n v="72000"/>
    <m/>
    <m/>
    <n v="4"/>
    <n v="9"/>
    <n v="0"/>
    <n v="0"/>
    <n v="2"/>
    <n v="0"/>
    <s v="VIEW_SUMMARY"/>
    <n v="686"/>
    <n v="290"/>
    <m/>
    <n v="1397"/>
    <m/>
    <x v="1"/>
    <n v="95"/>
    <s v="table7"/>
    <n v="19"/>
    <s v="250923_EPA_IntroDays_Overasselt"/>
    <n v="22"/>
    <n v="13"/>
    <s v="(Dike-town)"/>
    <n v="1"/>
    <x v="4"/>
    <n v="2"/>
    <n v="0"/>
  </r>
  <r>
    <n v="1217"/>
    <d v="2025-09-23T14:14:52"/>
    <n v="130000"/>
    <n v="75000"/>
    <n v="0"/>
    <n v="8000"/>
    <n v="0"/>
    <n v="0"/>
    <n v="20000"/>
    <n v="18000"/>
    <n v="0"/>
    <n v="0"/>
    <n v="4000"/>
    <n v="60400"/>
    <n v="0"/>
    <n v="0"/>
    <n v="1"/>
    <n v="0"/>
    <n v="0"/>
    <n v="1"/>
    <n v="0"/>
    <n v="5"/>
    <n v="7"/>
    <n v="200000"/>
    <n v="80000"/>
    <n v="72000"/>
    <n v="0"/>
    <n v="0"/>
    <n v="80000"/>
    <n v="64000"/>
    <m/>
    <m/>
    <n v="4"/>
    <n v="9"/>
    <n v="0"/>
    <n v="0"/>
    <n v="2"/>
    <n v="2"/>
    <s v="VIEW_SUMMARY"/>
    <n v="686"/>
    <n v="296"/>
    <n v="1397"/>
    <n v="1397"/>
    <m/>
    <x v="2"/>
    <n v="95"/>
    <s v="table7"/>
    <n v="19"/>
    <s v="250923_EPA_IntroDays_Overasselt"/>
    <n v="22"/>
    <n v="13"/>
    <s v="(Dike-town)"/>
    <n v="2"/>
    <x v="4"/>
    <n v="4"/>
    <n v="4000"/>
  </r>
  <r>
    <n v="1237"/>
    <d v="2025-09-23T14:14:52"/>
    <n v="130000"/>
    <n v="75000"/>
    <n v="0"/>
    <n v="8000"/>
    <n v="0"/>
    <n v="0"/>
    <n v="20000"/>
    <n v="1000"/>
    <n v="6500"/>
    <n v="8000"/>
    <n v="4000"/>
    <n v="67900"/>
    <n v="0"/>
    <n v="0"/>
    <n v="0"/>
    <n v="1"/>
    <n v="3"/>
    <n v="1"/>
    <n v="0"/>
    <n v="2"/>
    <n v="7"/>
    <n v="200000"/>
    <n v="80000"/>
    <n v="64000"/>
    <n v="0"/>
    <n v="0"/>
    <n v="80000"/>
    <n v="56000"/>
    <m/>
    <m/>
    <n v="4"/>
    <n v="9"/>
    <n v="-2"/>
    <n v="-1"/>
    <n v="0"/>
    <n v="1"/>
    <s v="VIEW_SUMMARY"/>
    <n v="686"/>
    <n v="299"/>
    <n v="1397"/>
    <n v="1397"/>
    <m/>
    <x v="3"/>
    <n v="95"/>
    <s v="table7"/>
    <n v="19"/>
    <s v="250923_EPA_IntroDays_Overasselt"/>
    <n v="22"/>
    <n v="13"/>
    <s v="(Dike-town)"/>
    <n v="3"/>
    <x v="4"/>
    <n v="1"/>
    <n v="12000"/>
  </r>
  <r>
    <n v="1256"/>
    <d v="2025-09-23T14:14:52"/>
    <n v="130000"/>
    <n v="75000"/>
    <n v="0"/>
    <n v="0"/>
    <n v="0"/>
    <n v="0"/>
    <n v="20000"/>
    <n v="0"/>
    <n v="0"/>
    <n v="4000"/>
    <n v="4000"/>
    <n v="94900"/>
    <n v="0"/>
    <n v="0"/>
    <n v="0"/>
    <n v="0"/>
    <n v="2"/>
    <n v="1"/>
    <n v="0"/>
    <n v="-1"/>
    <n v="7"/>
    <n v="200000"/>
    <n v="80000"/>
    <n v="56000"/>
    <n v="0"/>
    <n v="0"/>
    <n v="80000"/>
    <n v="56000"/>
    <m/>
    <m/>
    <n v="4"/>
    <n v="9"/>
    <n v="-2"/>
    <n v="-1"/>
    <n v="0"/>
    <n v="0"/>
    <s v="VIEW_SUMMARY"/>
    <n v="686"/>
    <n v="302"/>
    <n v="1397"/>
    <n v="1397"/>
    <m/>
    <x v="4"/>
    <n v="95"/>
    <s v="table7"/>
    <n v="19"/>
    <s v="250923_EPA_IntroDays_Overasselt"/>
    <n v="22"/>
    <n v="13"/>
    <s v="(Dike-town)"/>
    <n v="4"/>
    <x v="4"/>
    <n v="0"/>
    <n v="8000"/>
  </r>
  <r>
    <n v="1177"/>
    <d v="2025-09-23T14:25:48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87"/>
    <n v="286"/>
    <m/>
    <m/>
    <m/>
    <x v="0"/>
    <n v="95"/>
    <s v="table7"/>
    <n v="19"/>
    <s v="250923_EPA_IntroDays_Overasselt"/>
    <n v="22"/>
    <n v="0"/>
    <s v=""/>
    <n v="0"/>
    <x v="5"/>
    <m/>
    <n v="0"/>
  </r>
  <r>
    <n v="1180"/>
    <d v="2025-09-23T14:25:48"/>
    <n v="190000"/>
    <n v="115000"/>
    <n v="0"/>
    <n v="20000"/>
    <n v="0"/>
    <n v="0"/>
    <n v="20000"/>
    <n v="33000"/>
    <n v="14000"/>
    <n v="0"/>
    <n v="0"/>
    <n v="68000"/>
    <n v="0"/>
    <n v="-2"/>
    <n v="3"/>
    <n v="2"/>
    <n v="0"/>
    <n v="0"/>
    <n v="0"/>
    <n v="8"/>
    <n v="8"/>
    <n v="300000"/>
    <n v="0"/>
    <n v="0"/>
    <n v="0"/>
    <n v="200000"/>
    <n v="200000"/>
    <n v="180000"/>
    <m/>
    <m/>
    <n v="6"/>
    <n v="9"/>
    <n v="0"/>
    <n v="0"/>
    <n v="4"/>
    <n v="3"/>
    <s v="VIEW_SUMMARY"/>
    <n v="687"/>
    <n v="290"/>
    <m/>
    <n v="1389"/>
    <m/>
    <x v="1"/>
    <n v="95"/>
    <s v="table7"/>
    <n v="19"/>
    <s v="250923_EPA_IntroDays_Overasselt"/>
    <n v="22"/>
    <n v="15"/>
    <s v="(Natu-city)"/>
    <n v="1"/>
    <x v="5"/>
    <n v="7"/>
    <n v="0"/>
  </r>
  <r>
    <n v="1218"/>
    <d v="2025-09-23T14:25:48"/>
    <n v="190000"/>
    <n v="115000"/>
    <n v="0"/>
    <n v="20000"/>
    <n v="0"/>
    <n v="0"/>
    <n v="20000"/>
    <n v="0"/>
    <n v="14500"/>
    <n v="0"/>
    <n v="4000"/>
    <n v="84500"/>
    <n v="0"/>
    <n v="0"/>
    <n v="0"/>
    <n v="2"/>
    <n v="0"/>
    <n v="1"/>
    <n v="0"/>
    <n v="9"/>
    <n v="8"/>
    <n v="300000"/>
    <n v="200000"/>
    <n v="180000"/>
    <n v="0"/>
    <n v="0"/>
    <n v="200000"/>
    <n v="160000"/>
    <m/>
    <m/>
    <n v="6"/>
    <n v="9"/>
    <n v="0"/>
    <n v="0"/>
    <n v="0"/>
    <n v="0"/>
    <s v="VIEW_SUMMARY"/>
    <n v="687"/>
    <n v="296"/>
    <n v="1389"/>
    <n v="1389"/>
    <m/>
    <x v="2"/>
    <n v="95"/>
    <s v="table7"/>
    <n v="19"/>
    <s v="250923_EPA_IntroDays_Overasselt"/>
    <n v="22"/>
    <n v="15"/>
    <s v="(Natu-city)"/>
    <n v="2"/>
    <x v="5"/>
    <n v="0"/>
    <n v="4000"/>
  </r>
  <r>
    <n v="1234"/>
    <d v="2025-09-23T14:25:48"/>
    <n v="190000"/>
    <n v="115000"/>
    <n v="0"/>
    <n v="20000"/>
    <n v="0"/>
    <n v="0"/>
    <n v="20000"/>
    <n v="0"/>
    <n v="0"/>
    <n v="12000"/>
    <n v="0"/>
    <n v="107500"/>
    <n v="0"/>
    <n v="0"/>
    <n v="0"/>
    <n v="0"/>
    <n v="4"/>
    <n v="0"/>
    <n v="0"/>
    <n v="5"/>
    <n v="8"/>
    <n v="300000"/>
    <n v="200000"/>
    <n v="160000"/>
    <n v="0"/>
    <n v="0"/>
    <n v="200000"/>
    <n v="140000"/>
    <m/>
    <m/>
    <n v="6"/>
    <n v="9"/>
    <n v="-2"/>
    <n v="-1"/>
    <n v="0"/>
    <n v="0"/>
    <s v="VIEW_SUMMARY"/>
    <n v="687"/>
    <n v="299"/>
    <n v="1389"/>
    <n v="1389"/>
    <m/>
    <x v="3"/>
    <n v="95"/>
    <s v="table7"/>
    <n v="19"/>
    <s v="250923_EPA_IntroDays_Overasselt"/>
    <n v="22"/>
    <n v="15"/>
    <s v="(Natu-city)"/>
    <n v="3"/>
    <x v="5"/>
    <n v="0"/>
    <n v="12000"/>
  </r>
  <r>
    <n v="1254"/>
    <d v="2025-09-23T14:25:48"/>
    <n v="190000"/>
    <n v="115000"/>
    <n v="0"/>
    <n v="20000"/>
    <n v="0"/>
    <n v="0"/>
    <n v="25000"/>
    <n v="0"/>
    <n v="0"/>
    <n v="4000"/>
    <n v="4000"/>
    <n v="129500"/>
    <n v="0"/>
    <n v="0"/>
    <n v="0"/>
    <n v="0"/>
    <n v="2"/>
    <n v="1"/>
    <n v="0"/>
    <n v="2"/>
    <n v="8"/>
    <n v="300000"/>
    <n v="200000"/>
    <n v="140000"/>
    <n v="0"/>
    <n v="0"/>
    <n v="200000"/>
    <n v="120000"/>
    <m/>
    <m/>
    <n v="6"/>
    <n v="9"/>
    <n v="-2"/>
    <n v="-1"/>
    <n v="0"/>
    <n v="0"/>
    <s v="SURVEY_COMPLETED"/>
    <n v="687"/>
    <n v="302"/>
    <n v="1389"/>
    <n v="1389"/>
    <m/>
    <x v="4"/>
    <n v="95"/>
    <s v="table7"/>
    <n v="19"/>
    <s v="250923_EPA_IntroDays_Overasselt"/>
    <n v="22"/>
    <n v="15"/>
    <s v="(Natu-city)"/>
    <n v="4"/>
    <x v="5"/>
    <n v="0"/>
    <n v="8000"/>
  </r>
  <r>
    <n v="1168"/>
    <d v="2025-09-23T14:25:00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90"/>
    <n v="287"/>
    <m/>
    <m/>
    <m/>
    <x v="0"/>
    <n v="96"/>
    <s v="table8"/>
    <n v="19"/>
    <s v="250923_EPA_IntroDays_Overasselt"/>
    <n v="22"/>
    <n v="0"/>
    <s v=""/>
    <n v="0"/>
    <x v="0"/>
    <m/>
    <n v="0"/>
  </r>
  <r>
    <n v="1200"/>
    <d v="2025-09-23T14:25:00"/>
    <n v="75000"/>
    <n v="40000"/>
    <n v="0"/>
    <n v="10000"/>
    <n v="0"/>
    <n v="0"/>
    <n v="15000"/>
    <n v="6000"/>
    <n v="0"/>
    <n v="0"/>
    <n v="4000"/>
    <n v="5000"/>
    <n v="0"/>
    <n v="-1"/>
    <n v="1"/>
    <n v="0"/>
    <n v="0"/>
    <n v="1"/>
    <n v="0"/>
    <n v="4"/>
    <n v="4"/>
    <n v="110000"/>
    <n v="0"/>
    <n v="0"/>
    <n v="0"/>
    <n v="100000"/>
    <n v="100000"/>
    <n v="90000"/>
    <m/>
    <m/>
    <n v="6"/>
    <n v="9"/>
    <n v="0"/>
    <n v="0"/>
    <n v="1"/>
    <n v="0"/>
    <s v="VIEW_SUMMARY"/>
    <n v="690"/>
    <n v="293"/>
    <m/>
    <n v="1436"/>
    <m/>
    <x v="1"/>
    <n v="96"/>
    <s v="table8"/>
    <n v="19"/>
    <s v="250923_EPA_IntroDays_Overasselt"/>
    <n v="22"/>
    <n v="15"/>
    <s v="(Natu-city)"/>
    <n v="1"/>
    <x v="0"/>
    <n v="1"/>
    <n v="4000"/>
  </r>
  <r>
    <n v="1216"/>
    <d v="2025-09-23T14:25:00"/>
    <n v="75000"/>
    <n v="40000"/>
    <n v="0"/>
    <n v="10000"/>
    <n v="0"/>
    <n v="0"/>
    <n v="15000"/>
    <n v="0"/>
    <n v="7000"/>
    <n v="0"/>
    <n v="0"/>
    <n v="8000"/>
    <n v="0"/>
    <n v="0"/>
    <n v="0"/>
    <n v="2"/>
    <n v="0"/>
    <n v="0"/>
    <n v="0"/>
    <n v="6"/>
    <n v="4"/>
    <n v="110000"/>
    <n v="100000"/>
    <n v="90000"/>
    <n v="0"/>
    <n v="0"/>
    <n v="100000"/>
    <n v="80000"/>
    <m/>
    <m/>
    <n v="6"/>
    <n v="9"/>
    <n v="0"/>
    <n v="0"/>
    <n v="0"/>
    <n v="0"/>
    <s v="VIEW_SUMMARY"/>
    <n v="690"/>
    <n v="295"/>
    <n v="1436"/>
    <n v="1436"/>
    <m/>
    <x v="2"/>
    <n v="96"/>
    <s v="table8"/>
    <n v="19"/>
    <s v="250923_EPA_IntroDays_Overasselt"/>
    <n v="22"/>
    <n v="15"/>
    <s v="(Natu-city)"/>
    <n v="2"/>
    <x v="0"/>
    <n v="0"/>
    <n v="0"/>
  </r>
  <r>
    <n v="1244"/>
    <d v="2025-09-23T14:25:00"/>
    <n v="75000"/>
    <n v="40000"/>
    <n v="0"/>
    <n v="10000"/>
    <n v="0"/>
    <n v="0"/>
    <n v="15000"/>
    <n v="10000"/>
    <n v="0"/>
    <n v="0"/>
    <n v="0"/>
    <n v="8000"/>
    <n v="0"/>
    <n v="0"/>
    <n v="0"/>
    <n v="0"/>
    <n v="0"/>
    <n v="0"/>
    <n v="0"/>
    <n v="6"/>
    <n v="4"/>
    <n v="110000"/>
    <n v="100000"/>
    <n v="80000"/>
    <n v="0"/>
    <n v="0"/>
    <n v="100000"/>
    <n v="70000"/>
    <m/>
    <m/>
    <n v="6"/>
    <n v="9"/>
    <n v="-2"/>
    <n v="-1"/>
    <n v="1"/>
    <n v="1"/>
    <s v="VIEW_SUMMARY"/>
    <n v="690"/>
    <n v="300"/>
    <n v="1436"/>
    <n v="1436"/>
    <m/>
    <x v="3"/>
    <n v="96"/>
    <s v="table8"/>
    <n v="19"/>
    <s v="250923_EPA_IntroDays_Overasselt"/>
    <n v="22"/>
    <n v="15"/>
    <s v="(Natu-city)"/>
    <n v="3"/>
    <x v="0"/>
    <n v="2"/>
    <n v="0"/>
  </r>
  <r>
    <n v="1263"/>
    <d v="2025-09-23T14:25:00"/>
    <n v="75000"/>
    <n v="40000"/>
    <n v="0"/>
    <n v="10000"/>
    <n v="0"/>
    <n v="0"/>
    <n v="30000"/>
    <n v="0"/>
    <n v="0"/>
    <n v="0"/>
    <n v="0"/>
    <n v="3000"/>
    <n v="0"/>
    <n v="0"/>
    <n v="0"/>
    <n v="0"/>
    <n v="0"/>
    <n v="0"/>
    <n v="0"/>
    <n v="6"/>
    <n v="4"/>
    <n v="110000"/>
    <n v="100000"/>
    <n v="70000"/>
    <n v="0"/>
    <n v="0"/>
    <n v="100000"/>
    <n v="60000"/>
    <m/>
    <m/>
    <n v="6"/>
    <n v="9"/>
    <n v="-2"/>
    <n v="-1"/>
    <n v="0"/>
    <n v="0"/>
    <s v="VIEW_SUMMARY"/>
    <n v="690"/>
    <n v="303"/>
    <n v="1436"/>
    <n v="1436"/>
    <m/>
    <x v="4"/>
    <n v="96"/>
    <s v="table8"/>
    <n v="19"/>
    <s v="250923_EPA_IntroDays_Overasselt"/>
    <n v="22"/>
    <n v="15"/>
    <s v="(Natu-city)"/>
    <n v="4"/>
    <x v="0"/>
    <n v="0"/>
    <n v="0"/>
  </r>
  <r>
    <n v="1194"/>
    <d v="2025-09-23T14:28:39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91"/>
    <n v="287"/>
    <m/>
    <m/>
    <m/>
    <x v="0"/>
    <n v="96"/>
    <s v="table8"/>
    <n v="19"/>
    <s v="250923_EPA_IntroDays_Overasselt"/>
    <n v="22"/>
    <n v="0"/>
    <s v=""/>
    <n v="0"/>
    <x v="1"/>
    <m/>
    <n v="0"/>
  </r>
  <r>
    <n v="1199"/>
    <d v="2025-09-23T14:28:39"/>
    <n v="110000"/>
    <n v="60000"/>
    <n v="0"/>
    <n v="17000"/>
    <n v="0"/>
    <n v="30000"/>
    <n v="15000"/>
    <n v="8000"/>
    <n v="0"/>
    <n v="0"/>
    <n v="4000"/>
    <n v="6000"/>
    <n v="0"/>
    <n v="0"/>
    <n v="1"/>
    <n v="0"/>
    <n v="0"/>
    <n v="1"/>
    <n v="0"/>
    <n v="5"/>
    <n v="6"/>
    <n v="170000"/>
    <n v="0"/>
    <n v="0"/>
    <n v="0"/>
    <n v="200000"/>
    <n v="170000"/>
    <n v="153000"/>
    <m/>
    <m/>
    <n v="6"/>
    <n v="9"/>
    <n v="0"/>
    <n v="0"/>
    <n v="1"/>
    <n v="1"/>
    <s v="VIEW_SUMMARY"/>
    <n v="691"/>
    <n v="293"/>
    <m/>
    <n v="1435"/>
    <m/>
    <x v="1"/>
    <n v="96"/>
    <s v="table8"/>
    <n v="19"/>
    <s v="250923_EPA_IntroDays_Overasselt"/>
    <n v="22"/>
    <n v="15"/>
    <s v="(Natu-city)"/>
    <n v="1"/>
    <x v="1"/>
    <n v="2"/>
    <n v="4000"/>
  </r>
  <r>
    <n v="1212"/>
    <d v="2025-09-23T14:28:39"/>
    <n v="110000"/>
    <n v="60000"/>
    <n v="0"/>
    <n v="17000"/>
    <n v="0"/>
    <n v="0"/>
    <n v="15000"/>
    <n v="14000"/>
    <n v="0"/>
    <n v="0"/>
    <n v="0"/>
    <n v="10000"/>
    <n v="0"/>
    <n v="0"/>
    <n v="2"/>
    <n v="0"/>
    <n v="0"/>
    <n v="0"/>
    <n v="0"/>
    <n v="7"/>
    <n v="6"/>
    <n v="170000"/>
    <n v="170000"/>
    <n v="153000"/>
    <n v="0"/>
    <n v="0"/>
    <n v="170000"/>
    <n v="136000"/>
    <m/>
    <m/>
    <n v="6"/>
    <n v="9"/>
    <n v="0"/>
    <n v="0"/>
    <n v="2"/>
    <n v="0"/>
    <s v="VIEW_SUMMARY"/>
    <n v="691"/>
    <n v="295"/>
    <n v="1435"/>
    <n v="1435"/>
    <m/>
    <x v="2"/>
    <n v="96"/>
    <s v="table8"/>
    <n v="19"/>
    <s v="250923_EPA_IntroDays_Overasselt"/>
    <n v="22"/>
    <n v="15"/>
    <s v="(Natu-city)"/>
    <n v="2"/>
    <x v="1"/>
    <n v="2"/>
    <n v="0"/>
  </r>
  <r>
    <n v="1241"/>
    <d v="2025-09-23T14:28:39"/>
    <n v="110000"/>
    <n v="60000"/>
    <n v="0"/>
    <n v="17000"/>
    <n v="0"/>
    <n v="0"/>
    <n v="15000"/>
    <n v="11000"/>
    <n v="4000"/>
    <n v="0"/>
    <n v="0"/>
    <n v="13000"/>
    <n v="0"/>
    <n v="0"/>
    <n v="0"/>
    <n v="0"/>
    <n v="0"/>
    <n v="0"/>
    <n v="0"/>
    <n v="7"/>
    <n v="6"/>
    <n v="170000"/>
    <n v="170000"/>
    <n v="136000"/>
    <n v="0"/>
    <n v="0"/>
    <n v="170000"/>
    <n v="119000"/>
    <m/>
    <m/>
    <n v="6"/>
    <n v="9"/>
    <n v="-2"/>
    <n v="-1"/>
    <n v="1"/>
    <n v="2"/>
    <s v="VIEW_SUMMARY"/>
    <n v="691"/>
    <n v="300"/>
    <n v="1435"/>
    <n v="1435"/>
    <m/>
    <x v="3"/>
    <n v="96"/>
    <s v="table8"/>
    <n v="19"/>
    <s v="250923_EPA_IntroDays_Overasselt"/>
    <n v="22"/>
    <n v="15"/>
    <s v="(Natu-city)"/>
    <n v="3"/>
    <x v="1"/>
    <n v="3"/>
    <n v="0"/>
  </r>
  <r>
    <n v="1259"/>
    <d v="2025-09-23T14:28:39"/>
    <n v="110000"/>
    <n v="60000"/>
    <n v="0"/>
    <n v="17000"/>
    <n v="0"/>
    <n v="0"/>
    <n v="30000"/>
    <n v="0"/>
    <n v="5000"/>
    <n v="0"/>
    <n v="0"/>
    <n v="11000"/>
    <n v="0"/>
    <n v="0"/>
    <n v="0"/>
    <n v="1"/>
    <n v="0"/>
    <n v="0"/>
    <n v="0"/>
    <n v="8"/>
    <n v="6"/>
    <n v="170000"/>
    <n v="170000"/>
    <n v="119000"/>
    <n v="0"/>
    <n v="0"/>
    <n v="170000"/>
    <n v="102000"/>
    <m/>
    <m/>
    <n v="6"/>
    <n v="9"/>
    <n v="-2"/>
    <n v="-1"/>
    <n v="0"/>
    <n v="0"/>
    <s v="VIEW_SUMMARY"/>
    <n v="691"/>
    <n v="303"/>
    <n v="1435"/>
    <n v="1435"/>
    <m/>
    <x v="4"/>
    <n v="96"/>
    <s v="table8"/>
    <n v="19"/>
    <s v="250923_EPA_IntroDays_Overasselt"/>
    <n v="22"/>
    <n v="15"/>
    <s v="(Natu-city)"/>
    <n v="4"/>
    <x v="1"/>
    <n v="0"/>
    <n v="0"/>
  </r>
  <r>
    <n v="1170"/>
    <d v="2025-09-23T14:25:10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93"/>
    <n v="287"/>
    <m/>
    <m/>
    <m/>
    <x v="0"/>
    <n v="96"/>
    <s v="table8"/>
    <n v="19"/>
    <s v="250923_EPA_IntroDays_Overasselt"/>
    <n v="22"/>
    <n v="0"/>
    <s v=""/>
    <n v="0"/>
    <x v="3"/>
    <m/>
    <n v="0"/>
  </r>
  <r>
    <n v="1198"/>
    <d v="2025-09-23T14:25:10"/>
    <n v="90000"/>
    <n v="50000"/>
    <n v="0"/>
    <n v="7000"/>
    <n v="0"/>
    <n v="0"/>
    <n v="20000"/>
    <n v="9000"/>
    <n v="1400"/>
    <n v="0"/>
    <n v="4000"/>
    <n v="13600"/>
    <n v="0"/>
    <n v="-3"/>
    <n v="1"/>
    <n v="0"/>
    <n v="1"/>
    <n v="1"/>
    <n v="0"/>
    <n v="1"/>
    <n v="5"/>
    <n v="130000"/>
    <n v="0"/>
    <n v="0"/>
    <n v="0"/>
    <n v="70000"/>
    <n v="70000"/>
    <n v="63000"/>
    <m/>
    <m/>
    <n v="6"/>
    <n v="6"/>
    <n v="0"/>
    <n v="0"/>
    <n v="1"/>
    <n v="1"/>
    <s v="VIEW_SUMMARY"/>
    <n v="693"/>
    <n v="293"/>
    <m/>
    <n v="1447"/>
    <m/>
    <x v="1"/>
    <n v="96"/>
    <s v="table8"/>
    <n v="19"/>
    <s v="250923_EPA_IntroDays_Overasselt"/>
    <n v="22"/>
    <n v="12"/>
    <s v="(U-village)"/>
    <n v="1"/>
    <x v="3"/>
    <n v="2"/>
    <n v="4000"/>
  </r>
  <r>
    <n v="1210"/>
    <d v="2025-09-23T14:25:10"/>
    <n v="90000"/>
    <n v="50000"/>
    <n v="0"/>
    <n v="7000"/>
    <n v="0"/>
    <n v="0"/>
    <n v="20000"/>
    <n v="0"/>
    <n v="5250"/>
    <n v="8000"/>
    <n v="0"/>
    <n v="13350"/>
    <n v="0"/>
    <n v="0"/>
    <n v="0"/>
    <n v="3"/>
    <n v="3"/>
    <n v="0"/>
    <n v="0"/>
    <n v="1"/>
    <n v="5"/>
    <n v="130000"/>
    <n v="70000"/>
    <n v="63000"/>
    <n v="0"/>
    <n v="0"/>
    <n v="70000"/>
    <n v="56000"/>
    <m/>
    <m/>
    <n v="6"/>
    <n v="6"/>
    <n v="0"/>
    <n v="0"/>
    <n v="0"/>
    <n v="0"/>
    <s v="VIEW_SUMMARY"/>
    <n v="693"/>
    <n v="295"/>
    <n v="1447"/>
    <n v="1447"/>
    <m/>
    <x v="2"/>
    <n v="96"/>
    <s v="table8"/>
    <n v="19"/>
    <s v="250923_EPA_IntroDays_Overasselt"/>
    <n v="22"/>
    <n v="12"/>
    <s v="(U-village)"/>
    <n v="2"/>
    <x v="3"/>
    <n v="0"/>
    <n v="8000"/>
  </r>
  <r>
    <n v="1239"/>
    <d v="2025-09-23T14:25:10"/>
    <n v="90000"/>
    <n v="50000"/>
    <n v="0"/>
    <n v="7000"/>
    <n v="0"/>
    <n v="0"/>
    <n v="20000"/>
    <n v="8000"/>
    <n v="0"/>
    <n v="8000"/>
    <n v="0"/>
    <n v="10350"/>
    <n v="0"/>
    <n v="0"/>
    <n v="1"/>
    <n v="0"/>
    <n v="3"/>
    <n v="0"/>
    <n v="0"/>
    <n v="-1"/>
    <n v="5"/>
    <n v="130000"/>
    <n v="70000"/>
    <n v="56000"/>
    <n v="0"/>
    <n v="0"/>
    <n v="70000"/>
    <n v="49000"/>
    <m/>
    <m/>
    <n v="6"/>
    <n v="6"/>
    <n v="-2"/>
    <n v="-1"/>
    <n v="1"/>
    <n v="1"/>
    <s v="VIEW_SUMMARY"/>
    <n v="693"/>
    <n v="300"/>
    <n v="1447"/>
    <n v="1447"/>
    <m/>
    <x v="3"/>
    <n v="96"/>
    <s v="table8"/>
    <n v="19"/>
    <s v="250923_EPA_IntroDays_Overasselt"/>
    <n v="22"/>
    <n v="12"/>
    <s v="(U-village)"/>
    <n v="3"/>
    <x v="3"/>
    <n v="2"/>
    <n v="8000"/>
  </r>
  <r>
    <n v="1258"/>
    <d v="2025-09-23T14:25:10"/>
    <n v="90000"/>
    <n v="50000"/>
    <n v="0"/>
    <n v="10000"/>
    <n v="21000"/>
    <n v="0"/>
    <n v="30000"/>
    <n v="6000"/>
    <n v="4500"/>
    <n v="0"/>
    <n v="0"/>
    <n v="20850"/>
    <n v="1"/>
    <n v="-2"/>
    <n v="1"/>
    <n v="1"/>
    <n v="0"/>
    <n v="0"/>
    <n v="0"/>
    <n v="-2"/>
    <n v="5"/>
    <n v="130000"/>
    <n v="70000"/>
    <n v="49000"/>
    <n v="70000"/>
    <n v="100000"/>
    <n v="100000"/>
    <n v="90000"/>
    <n v="34"/>
    <m/>
    <n v="6"/>
    <n v="9"/>
    <n v="-2"/>
    <n v="-1"/>
    <n v="1"/>
    <n v="1"/>
    <s v="VIEW_SUMMARY"/>
    <n v="693"/>
    <n v="303"/>
    <n v="1447"/>
    <n v="1468"/>
    <m/>
    <x v="4"/>
    <n v="96"/>
    <s v="table8"/>
    <n v="19"/>
    <s v="250923_EPA_IntroDays_Overasselt"/>
    <n v="22"/>
    <n v="15"/>
    <s v="(Natu-city)"/>
    <n v="4"/>
    <x v="3"/>
    <n v="2"/>
    <n v="0"/>
  </r>
  <r>
    <n v="1172"/>
    <d v="2025-09-23T14:25:25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94"/>
    <n v="287"/>
    <m/>
    <m/>
    <m/>
    <x v="0"/>
    <n v="96"/>
    <s v="table8"/>
    <n v="19"/>
    <s v="250923_EPA_IntroDays_Overasselt"/>
    <n v="22"/>
    <n v="0"/>
    <s v=""/>
    <n v="0"/>
    <x v="4"/>
    <m/>
    <n v="0"/>
  </r>
  <r>
    <n v="1197"/>
    <d v="2025-09-23T14:25:25"/>
    <n v="130000"/>
    <n v="75000"/>
    <n v="0"/>
    <n v="20000"/>
    <n v="0"/>
    <n v="0"/>
    <n v="20000"/>
    <n v="16000"/>
    <n v="4000"/>
    <n v="0"/>
    <n v="0"/>
    <n v="45000"/>
    <n v="0"/>
    <n v="-1"/>
    <n v="2"/>
    <n v="0"/>
    <n v="1"/>
    <n v="0"/>
    <n v="0"/>
    <n v="5"/>
    <n v="7"/>
    <n v="200000"/>
    <n v="0"/>
    <n v="0"/>
    <n v="0"/>
    <n v="200000"/>
    <n v="200000"/>
    <n v="180000"/>
    <m/>
    <m/>
    <n v="6"/>
    <n v="6"/>
    <n v="0"/>
    <n v="0"/>
    <n v="2"/>
    <n v="1"/>
    <s v="VIEW_SUMMARY"/>
    <n v="694"/>
    <n v="293"/>
    <m/>
    <n v="1443"/>
    <m/>
    <x v="1"/>
    <n v="96"/>
    <s v="table8"/>
    <n v="19"/>
    <s v="250923_EPA_IntroDays_Overasselt"/>
    <n v="22"/>
    <n v="12"/>
    <s v="(U-village)"/>
    <n v="1"/>
    <x v="4"/>
    <n v="3"/>
    <n v="0"/>
  </r>
  <r>
    <n v="1211"/>
    <d v="2025-09-23T14:25:25"/>
    <n v="130000"/>
    <n v="75000"/>
    <n v="0"/>
    <n v="20000"/>
    <n v="0"/>
    <n v="0"/>
    <n v="20000"/>
    <n v="1000"/>
    <n v="10000"/>
    <n v="4000"/>
    <n v="0"/>
    <n v="45000"/>
    <n v="0"/>
    <n v="0"/>
    <n v="0"/>
    <n v="2"/>
    <n v="2"/>
    <n v="0"/>
    <n v="0"/>
    <n v="5"/>
    <n v="7"/>
    <n v="200000"/>
    <n v="200000"/>
    <n v="180000"/>
    <n v="0"/>
    <n v="0"/>
    <n v="200000"/>
    <n v="160000"/>
    <m/>
    <m/>
    <n v="6"/>
    <n v="6"/>
    <n v="0"/>
    <n v="0"/>
    <n v="0"/>
    <n v="1"/>
    <s v="VIEW_SUMMARY"/>
    <n v="694"/>
    <n v="295"/>
    <n v="1443"/>
    <n v="1443"/>
    <m/>
    <x v="2"/>
    <n v="96"/>
    <s v="table8"/>
    <n v="19"/>
    <s v="250923_EPA_IntroDays_Overasselt"/>
    <n v="22"/>
    <n v="12"/>
    <s v="(U-village)"/>
    <n v="2"/>
    <x v="4"/>
    <n v="1"/>
    <n v="4000"/>
  </r>
  <r>
    <n v="1243"/>
    <d v="2025-09-23T14:25:25"/>
    <n v="130000"/>
    <n v="75000"/>
    <n v="0"/>
    <n v="20000"/>
    <n v="0"/>
    <n v="0"/>
    <n v="20000"/>
    <n v="10000"/>
    <n v="11500"/>
    <n v="8000"/>
    <n v="0"/>
    <n v="30500"/>
    <n v="0"/>
    <n v="0"/>
    <n v="0"/>
    <n v="2"/>
    <n v="3"/>
    <n v="0"/>
    <n v="0"/>
    <n v="4"/>
    <n v="7"/>
    <n v="200000"/>
    <n v="200000"/>
    <n v="160000"/>
    <n v="0"/>
    <n v="0"/>
    <n v="200000"/>
    <n v="140000"/>
    <m/>
    <m/>
    <n v="6"/>
    <n v="6"/>
    <n v="-2"/>
    <n v="-1"/>
    <n v="1"/>
    <n v="1"/>
    <s v="VIEW_SUMMARY"/>
    <n v="694"/>
    <n v="300"/>
    <n v="1443"/>
    <n v="1443"/>
    <m/>
    <x v="3"/>
    <n v="96"/>
    <s v="table8"/>
    <n v="19"/>
    <s v="250923_EPA_IntroDays_Overasselt"/>
    <n v="22"/>
    <n v="12"/>
    <s v="(U-village)"/>
    <n v="3"/>
    <x v="4"/>
    <n v="2"/>
    <n v="8000"/>
  </r>
  <r>
    <n v="1260"/>
    <d v="2025-09-23T14:25:25"/>
    <n v="130000"/>
    <n v="75000"/>
    <n v="0"/>
    <n v="0"/>
    <n v="60000"/>
    <n v="0"/>
    <n v="30000"/>
    <n v="23000"/>
    <n v="0"/>
    <n v="0"/>
    <n v="0"/>
    <n v="92500"/>
    <n v="1"/>
    <n v="0"/>
    <n v="3"/>
    <n v="0"/>
    <n v="0"/>
    <n v="0"/>
    <n v="0"/>
    <n v="6"/>
    <n v="7"/>
    <n v="200000"/>
    <n v="200000"/>
    <n v="140000"/>
    <n v="200000"/>
    <n v="0"/>
    <n v="0"/>
    <n v="0"/>
    <n v="34"/>
    <m/>
    <n v="6"/>
    <n v="9"/>
    <n v="-2"/>
    <n v="-1"/>
    <n v="4"/>
    <n v="3"/>
    <s v="VIEW_SUMMARY"/>
    <n v="694"/>
    <n v="303"/>
    <n v="1443"/>
    <n v="1466"/>
    <m/>
    <x v="4"/>
    <n v="96"/>
    <s v="table8"/>
    <n v="19"/>
    <s v="250923_EPA_IntroDays_Overasselt"/>
    <n v="22"/>
    <n v="15"/>
    <s v="(Natu-city)"/>
    <n v="4"/>
    <x v="4"/>
    <n v="7"/>
    <n v="0"/>
  </r>
  <r>
    <n v="1166"/>
    <d v="2025-09-23T14:24:58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95"/>
    <n v="287"/>
    <m/>
    <m/>
    <m/>
    <x v="0"/>
    <n v="96"/>
    <s v="table8"/>
    <n v="19"/>
    <s v="250923_EPA_IntroDays_Overasselt"/>
    <n v="22"/>
    <n v="0"/>
    <s v=""/>
    <n v="0"/>
    <x v="5"/>
    <m/>
    <n v="0"/>
  </r>
  <r>
    <n v="1195"/>
    <d v="2025-09-23T14:24:58"/>
    <n v="190000"/>
    <n v="115000"/>
    <n v="0"/>
    <n v="20000"/>
    <n v="0"/>
    <n v="0"/>
    <n v="15000"/>
    <n v="14000"/>
    <n v="19500"/>
    <n v="0"/>
    <n v="0"/>
    <n v="86500"/>
    <n v="0"/>
    <n v="-2"/>
    <n v="2"/>
    <n v="3"/>
    <n v="0"/>
    <n v="0"/>
    <n v="0"/>
    <n v="8"/>
    <n v="8"/>
    <n v="300000"/>
    <n v="0"/>
    <n v="0"/>
    <n v="0"/>
    <n v="200000"/>
    <n v="200000"/>
    <n v="180000"/>
    <m/>
    <m/>
    <n v="6"/>
    <n v="9"/>
    <n v="0"/>
    <n v="0"/>
    <n v="2"/>
    <n v="0"/>
    <s v="VIEW_SUMMARY"/>
    <n v="695"/>
    <n v="293"/>
    <m/>
    <n v="1434"/>
    <m/>
    <x v="1"/>
    <n v="96"/>
    <s v="table8"/>
    <n v="19"/>
    <s v="250923_EPA_IntroDays_Overasselt"/>
    <n v="22"/>
    <n v="15"/>
    <s v="(Natu-city)"/>
    <n v="1"/>
    <x v="5"/>
    <n v="2"/>
    <n v="0"/>
  </r>
  <r>
    <n v="1209"/>
    <d v="2025-09-23T14:24:58"/>
    <n v="190000"/>
    <n v="115000"/>
    <n v="0"/>
    <n v="20000"/>
    <n v="0"/>
    <n v="0"/>
    <n v="15000"/>
    <n v="0"/>
    <n v="5000"/>
    <n v="0"/>
    <n v="0"/>
    <n v="121500"/>
    <n v="0"/>
    <n v="0"/>
    <n v="0"/>
    <n v="1"/>
    <n v="0"/>
    <n v="0"/>
    <n v="0"/>
    <n v="9"/>
    <n v="8"/>
    <n v="300000"/>
    <n v="200000"/>
    <n v="180000"/>
    <n v="0"/>
    <n v="0"/>
    <n v="200000"/>
    <n v="160000"/>
    <m/>
    <m/>
    <n v="6"/>
    <n v="9"/>
    <n v="0"/>
    <n v="0"/>
    <n v="0"/>
    <n v="0"/>
    <s v="VIEW_SUMMARY"/>
    <n v="695"/>
    <n v="295"/>
    <n v="1434"/>
    <n v="1434"/>
    <m/>
    <x v="2"/>
    <n v="96"/>
    <s v="table8"/>
    <n v="19"/>
    <s v="250923_EPA_IntroDays_Overasselt"/>
    <n v="22"/>
    <n v="15"/>
    <s v="(Natu-city)"/>
    <n v="2"/>
    <x v="5"/>
    <n v="0"/>
    <n v="0"/>
  </r>
  <r>
    <n v="1242"/>
    <d v="2025-09-23T14:24:58"/>
    <n v="190000"/>
    <n v="115000"/>
    <n v="0"/>
    <n v="20000"/>
    <n v="0"/>
    <n v="0"/>
    <n v="15000"/>
    <n v="8000"/>
    <n v="4000"/>
    <n v="0"/>
    <n v="0"/>
    <n v="149500"/>
    <n v="0"/>
    <n v="0"/>
    <n v="1"/>
    <n v="0"/>
    <n v="0"/>
    <n v="0"/>
    <n v="0"/>
    <n v="10"/>
    <n v="8"/>
    <n v="300000"/>
    <n v="200000"/>
    <n v="160000"/>
    <n v="0"/>
    <n v="0"/>
    <n v="200000"/>
    <n v="140000"/>
    <m/>
    <m/>
    <n v="6"/>
    <n v="9"/>
    <n v="-2"/>
    <n v="-1"/>
    <n v="1"/>
    <n v="1"/>
    <s v="VIEW_SUMMARY"/>
    <n v="695"/>
    <n v="300"/>
    <n v="1434"/>
    <n v="1434"/>
    <m/>
    <x v="3"/>
    <n v="96"/>
    <s v="table8"/>
    <n v="19"/>
    <s v="250923_EPA_IntroDays_Overasselt"/>
    <n v="22"/>
    <n v="15"/>
    <s v="(Natu-city)"/>
    <n v="3"/>
    <x v="5"/>
    <n v="2"/>
    <n v="0"/>
  </r>
  <r>
    <n v="1261"/>
    <d v="2025-09-23T14:24:58"/>
    <n v="190000"/>
    <n v="115000"/>
    <n v="0"/>
    <n v="30000"/>
    <n v="110000"/>
    <n v="125000"/>
    <n v="30000"/>
    <n v="15000"/>
    <n v="0"/>
    <n v="0"/>
    <n v="0"/>
    <n v="134500"/>
    <n v="3"/>
    <n v="1"/>
    <n v="2"/>
    <n v="0"/>
    <n v="0"/>
    <n v="0"/>
    <n v="0"/>
    <n v="10"/>
    <n v="8"/>
    <n v="300000"/>
    <n v="200000"/>
    <n v="140000"/>
    <n v="250000"/>
    <n v="425000"/>
    <n v="300000"/>
    <n v="270000"/>
    <n v="33"/>
    <m/>
    <n v="6"/>
    <n v="9"/>
    <n v="-2"/>
    <n v="-1"/>
    <n v="4"/>
    <n v="3"/>
    <s v="VIEW_SUMMARY"/>
    <n v="695"/>
    <n v="303"/>
    <n v="1434"/>
    <n v="1467"/>
    <m/>
    <x v="4"/>
    <n v="96"/>
    <s v="table8"/>
    <n v="19"/>
    <s v="250923_EPA_IntroDays_Overasselt"/>
    <n v="22"/>
    <n v="15"/>
    <s v="(Natu-city)"/>
    <n v="4"/>
    <x v="5"/>
    <n v="7"/>
    <n v="0"/>
  </r>
  <r>
    <n v="1169"/>
    <d v="2025-09-23T14:25:04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96"/>
    <n v="287"/>
    <m/>
    <m/>
    <m/>
    <x v="0"/>
    <n v="96"/>
    <s v="table8"/>
    <n v="19"/>
    <s v="250923_EPA_IntroDays_Overasselt"/>
    <n v="22"/>
    <n v="0"/>
    <s v=""/>
    <n v="0"/>
    <x v="1"/>
    <m/>
    <n v="0"/>
  </r>
  <r>
    <n v="1196"/>
    <d v="2025-09-23T14:25:04"/>
    <n v="110000"/>
    <n v="60000"/>
    <n v="0"/>
    <n v="16000"/>
    <n v="0"/>
    <n v="0"/>
    <n v="20000"/>
    <n v="23000"/>
    <n v="0"/>
    <n v="0"/>
    <n v="4000"/>
    <n v="17000"/>
    <n v="0"/>
    <n v="-1"/>
    <n v="3"/>
    <n v="0"/>
    <n v="0"/>
    <n v="1"/>
    <n v="0"/>
    <n v="6"/>
    <n v="6"/>
    <n v="170000"/>
    <n v="0"/>
    <n v="0"/>
    <n v="0"/>
    <n v="160000"/>
    <n v="160000"/>
    <n v="144000"/>
    <m/>
    <m/>
    <n v="4"/>
    <n v="9"/>
    <n v="0"/>
    <n v="0"/>
    <n v="3"/>
    <n v="2"/>
    <s v="VIEW_SUMMARY"/>
    <n v="696"/>
    <n v="293"/>
    <m/>
    <n v="1440"/>
    <m/>
    <x v="1"/>
    <n v="96"/>
    <s v="table8"/>
    <n v="19"/>
    <s v="250923_EPA_IntroDays_Overasselt"/>
    <n v="22"/>
    <n v="13"/>
    <s v="(Dike-town)"/>
    <n v="1"/>
    <x v="1"/>
    <n v="5"/>
    <n v="4000"/>
  </r>
  <r>
    <n v="1208"/>
    <d v="2025-09-23T14:25:04"/>
    <n v="110000"/>
    <n v="60000"/>
    <n v="0"/>
    <n v="0"/>
    <n v="0"/>
    <n v="0"/>
    <n v="20000"/>
    <n v="10000"/>
    <n v="4000"/>
    <n v="0"/>
    <n v="0"/>
    <n v="33000"/>
    <n v="0"/>
    <n v="0"/>
    <n v="0"/>
    <n v="1"/>
    <n v="0"/>
    <n v="0"/>
    <n v="0"/>
    <n v="7"/>
    <n v="6"/>
    <n v="170000"/>
    <n v="160000"/>
    <n v="144000"/>
    <n v="0"/>
    <n v="0"/>
    <n v="160000"/>
    <n v="144000"/>
    <m/>
    <m/>
    <n v="4"/>
    <n v="9"/>
    <n v="0"/>
    <n v="0"/>
    <n v="1"/>
    <n v="1"/>
    <s v="VIEW_SUMMARY"/>
    <n v="696"/>
    <n v="295"/>
    <n v="1440"/>
    <n v="1440"/>
    <m/>
    <x v="2"/>
    <n v="96"/>
    <s v="table8"/>
    <n v="19"/>
    <s v="250923_EPA_IntroDays_Overasselt"/>
    <n v="22"/>
    <n v="13"/>
    <s v="(Dike-town)"/>
    <n v="2"/>
    <x v="1"/>
    <n v="2"/>
    <n v="0"/>
  </r>
  <r>
    <n v="1240"/>
    <d v="2025-09-23T14:25:04"/>
    <n v="110000"/>
    <n v="60000"/>
    <n v="0"/>
    <n v="16000"/>
    <n v="0"/>
    <n v="0"/>
    <n v="20000"/>
    <n v="0"/>
    <n v="16700"/>
    <n v="0"/>
    <n v="0"/>
    <n v="30300"/>
    <n v="0"/>
    <n v="0"/>
    <n v="0"/>
    <n v="3"/>
    <n v="0"/>
    <n v="0"/>
    <n v="0"/>
    <n v="10"/>
    <n v="6"/>
    <n v="170000"/>
    <n v="160000"/>
    <n v="144000"/>
    <n v="0"/>
    <n v="0"/>
    <n v="160000"/>
    <n v="128000"/>
    <m/>
    <m/>
    <n v="4"/>
    <n v="9"/>
    <n v="-2"/>
    <n v="-1"/>
    <n v="0"/>
    <n v="0"/>
    <s v="VIEW_SUMMARY"/>
    <n v="696"/>
    <n v="300"/>
    <n v="1440"/>
    <n v="1440"/>
    <m/>
    <x v="3"/>
    <n v="96"/>
    <s v="table8"/>
    <n v="19"/>
    <s v="250923_EPA_IntroDays_Overasselt"/>
    <n v="22"/>
    <n v="13"/>
    <s v="(Dike-town)"/>
    <n v="3"/>
    <x v="1"/>
    <n v="0"/>
    <n v="0"/>
  </r>
  <r>
    <n v="1262"/>
    <d v="2025-09-23T14:25:04"/>
    <n v="110000"/>
    <n v="60000"/>
    <n v="0"/>
    <n v="16000"/>
    <n v="0"/>
    <n v="0"/>
    <n v="20000"/>
    <n v="0"/>
    <n v="0"/>
    <n v="0"/>
    <n v="0"/>
    <n v="44300"/>
    <n v="0"/>
    <n v="0"/>
    <n v="0"/>
    <n v="0"/>
    <n v="0"/>
    <n v="0"/>
    <n v="0"/>
    <n v="10"/>
    <n v="6"/>
    <n v="170000"/>
    <n v="160000"/>
    <n v="128000"/>
    <n v="0"/>
    <n v="0"/>
    <n v="160000"/>
    <n v="112000"/>
    <m/>
    <m/>
    <n v="4"/>
    <n v="9"/>
    <n v="-2"/>
    <n v="-1"/>
    <n v="0"/>
    <n v="0"/>
    <s v="VIEW_SUMMARY"/>
    <n v="696"/>
    <n v="303"/>
    <n v="1440"/>
    <n v="1440"/>
    <m/>
    <x v="4"/>
    <n v="96"/>
    <s v="table8"/>
    <n v="19"/>
    <s v="250923_EPA_IntroDays_Overasselt"/>
    <n v="22"/>
    <n v="13"/>
    <s v="(Dike-town)"/>
    <n v="4"/>
    <x v="1"/>
    <n v="0"/>
    <n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7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n v="1036"/>
    <d v="2025-09-23T10:45:04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34"/>
    <n v="269"/>
    <m/>
    <m/>
    <m/>
    <x v="0"/>
    <n v="89"/>
    <s v="table1"/>
    <n v="19"/>
    <s v="250923_EPA_IntroDays_Overasselt"/>
    <n v="22"/>
    <n v="0"/>
    <s v=""/>
    <n v="0"/>
    <x v="0"/>
    <m/>
    <n v="0"/>
  </r>
  <r>
    <n v="1054"/>
    <d v="2025-09-23T10:45:04"/>
    <n v="75000"/>
    <n v="40000"/>
    <n v="0"/>
    <n v="11000"/>
    <n v="0"/>
    <n v="15000"/>
    <n v="20000"/>
    <n v="0"/>
    <n v="0"/>
    <n v="0"/>
    <n v="0"/>
    <n v="-6000"/>
    <n v="0"/>
    <n v="0"/>
    <n v="0"/>
    <n v="0"/>
    <n v="0"/>
    <n v="0"/>
    <n v="0"/>
    <n v="5"/>
    <n v="4"/>
    <n v="110000"/>
    <n v="0"/>
    <n v="0"/>
    <n v="0"/>
    <n v="125000"/>
    <n v="110000"/>
    <n v="99000"/>
    <m/>
    <m/>
    <n v="6"/>
    <n v="6"/>
    <n v="0"/>
    <n v="0"/>
    <n v="0"/>
    <n v="0"/>
    <s v="VIEW_SUMMARY"/>
    <n v="634"/>
    <n v="271"/>
    <m/>
    <n v="1307"/>
    <m/>
    <x v="1"/>
    <n v="89"/>
    <s v="table1"/>
    <n v="19"/>
    <s v="250923_EPA_IntroDays_Overasselt"/>
    <n v="22"/>
    <n v="12"/>
    <s v="(U-village)"/>
    <n v="1"/>
    <x v="0"/>
    <n v="0"/>
    <n v="0"/>
  </r>
  <r>
    <n v="1092"/>
    <d v="2025-09-23T10:45:04"/>
    <n v="75000"/>
    <n v="40000"/>
    <n v="6000"/>
    <n v="11000"/>
    <n v="0"/>
    <n v="0"/>
    <n v="20000"/>
    <n v="0"/>
    <n v="0"/>
    <n v="0"/>
    <n v="0"/>
    <n v="-2000"/>
    <n v="0"/>
    <n v="0"/>
    <n v="0"/>
    <n v="0"/>
    <n v="0"/>
    <n v="0"/>
    <n v="1"/>
    <n v="4"/>
    <n v="4"/>
    <n v="110000"/>
    <n v="110000"/>
    <n v="99000"/>
    <n v="0"/>
    <n v="0"/>
    <n v="110000"/>
    <n v="88000"/>
    <m/>
    <m/>
    <n v="6"/>
    <n v="6"/>
    <n v="0"/>
    <n v="0"/>
    <n v="0"/>
    <n v="0"/>
    <s v="VIEW_SUMMARY"/>
    <n v="634"/>
    <n v="276"/>
    <n v="1307"/>
    <n v="1307"/>
    <m/>
    <x v="2"/>
    <n v="89"/>
    <s v="table1"/>
    <n v="19"/>
    <s v="250923_EPA_IntroDays_Overasselt"/>
    <n v="22"/>
    <n v="12"/>
    <s v="(U-village)"/>
    <n v="2"/>
    <x v="0"/>
    <n v="0"/>
    <n v="0"/>
  </r>
  <r>
    <n v="1105"/>
    <d v="2025-09-23T10:45:04"/>
    <n v="75000"/>
    <n v="40000"/>
    <n v="2000"/>
    <n v="11000"/>
    <n v="0"/>
    <n v="0"/>
    <n v="20000"/>
    <n v="0"/>
    <n v="0"/>
    <n v="12000"/>
    <n v="0"/>
    <n v="-10000"/>
    <n v="0"/>
    <n v="0"/>
    <n v="0"/>
    <n v="0"/>
    <n v="4"/>
    <n v="0"/>
    <n v="1"/>
    <n v="-1"/>
    <n v="4"/>
    <n v="110000"/>
    <n v="110000"/>
    <n v="88000"/>
    <n v="0"/>
    <n v="0"/>
    <n v="110000"/>
    <n v="77000"/>
    <m/>
    <m/>
    <n v="6"/>
    <n v="6"/>
    <n v="-1"/>
    <n v="-2"/>
    <n v="0"/>
    <n v="0"/>
    <s v="VIEW_SUMMARY"/>
    <n v="634"/>
    <n v="278"/>
    <n v="1307"/>
    <n v="1307"/>
    <m/>
    <x v="3"/>
    <n v="89"/>
    <s v="table1"/>
    <n v="19"/>
    <s v="250923_EPA_IntroDays_Overasselt"/>
    <n v="22"/>
    <n v="12"/>
    <s v="(U-village)"/>
    <n v="3"/>
    <x v="0"/>
    <n v="0"/>
    <n v="12000"/>
  </r>
  <r>
    <n v="1131"/>
    <d v="2025-09-23T10:45:04"/>
    <n v="75000"/>
    <n v="40000"/>
    <n v="10000"/>
    <n v="11000"/>
    <n v="0"/>
    <n v="0"/>
    <n v="20000"/>
    <n v="0"/>
    <n v="0"/>
    <n v="12000"/>
    <n v="0"/>
    <n v="-18000"/>
    <n v="0"/>
    <n v="0"/>
    <n v="0"/>
    <n v="0"/>
    <n v="4"/>
    <n v="0"/>
    <n v="1"/>
    <n v="-6"/>
    <n v="4"/>
    <n v="110000"/>
    <n v="110000"/>
    <n v="77000"/>
    <n v="0"/>
    <n v="0"/>
    <n v="110000"/>
    <n v="66000"/>
    <m/>
    <m/>
    <n v="6"/>
    <n v="6"/>
    <n v="-2"/>
    <n v="-1"/>
    <n v="0"/>
    <n v="0"/>
    <s v="VIEW_SUMMARY"/>
    <n v="634"/>
    <n v="282"/>
    <n v="1307"/>
    <n v="1307"/>
    <m/>
    <x v="4"/>
    <n v="89"/>
    <s v="table1"/>
    <n v="19"/>
    <s v="250923_EPA_IntroDays_Overasselt"/>
    <n v="22"/>
    <n v="12"/>
    <s v="(U-village)"/>
    <n v="4"/>
    <x v="0"/>
    <n v="0"/>
    <n v="12000"/>
  </r>
  <r>
    <n v="1030"/>
    <d v="2025-09-23T10:28:36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35"/>
    <n v="269"/>
    <m/>
    <m/>
    <m/>
    <x v="0"/>
    <n v="89"/>
    <s v="table1"/>
    <n v="19"/>
    <s v="250923_EPA_IntroDays_Overasselt"/>
    <n v="22"/>
    <n v="0"/>
    <s v=""/>
    <n v="0"/>
    <x v="1"/>
    <m/>
    <n v="0"/>
  </r>
  <r>
    <n v="1049"/>
    <d v="2025-09-23T10:28:36"/>
    <n v="110000"/>
    <n v="60000"/>
    <n v="0"/>
    <n v="17000"/>
    <n v="0"/>
    <n v="30000"/>
    <n v="15000"/>
    <n v="8000"/>
    <n v="0"/>
    <n v="0"/>
    <n v="0"/>
    <n v="10000"/>
    <n v="0"/>
    <n v="0"/>
    <n v="1"/>
    <n v="0"/>
    <n v="0"/>
    <n v="0"/>
    <n v="0"/>
    <n v="6"/>
    <n v="6"/>
    <n v="170000"/>
    <n v="0"/>
    <n v="0"/>
    <n v="0"/>
    <n v="200000"/>
    <n v="170000"/>
    <n v="153000"/>
    <m/>
    <m/>
    <n v="6"/>
    <n v="9"/>
    <n v="0"/>
    <n v="0"/>
    <n v="1"/>
    <n v="1"/>
    <s v="VIEW_SUMMARY"/>
    <n v="635"/>
    <n v="271"/>
    <m/>
    <n v="1296"/>
    <m/>
    <x v="1"/>
    <n v="89"/>
    <s v="table1"/>
    <n v="19"/>
    <s v="250923_EPA_IntroDays_Overasselt"/>
    <n v="22"/>
    <n v="15"/>
    <s v="(Natu-city)"/>
    <n v="1"/>
    <x v="1"/>
    <n v="2"/>
    <n v="0"/>
  </r>
  <r>
    <n v="1090"/>
    <d v="2025-09-23T10:28:36"/>
    <n v="110000"/>
    <n v="60000"/>
    <n v="0"/>
    <n v="17000"/>
    <n v="0"/>
    <n v="0"/>
    <n v="15000"/>
    <n v="0"/>
    <n v="9000"/>
    <n v="0"/>
    <n v="0"/>
    <n v="19000"/>
    <n v="0"/>
    <n v="0"/>
    <n v="0"/>
    <n v="1"/>
    <n v="0"/>
    <n v="0"/>
    <n v="0"/>
    <n v="7"/>
    <n v="6"/>
    <n v="170000"/>
    <n v="170000"/>
    <n v="153000"/>
    <n v="0"/>
    <n v="0"/>
    <n v="170000"/>
    <n v="136000"/>
    <m/>
    <m/>
    <n v="6"/>
    <n v="9"/>
    <n v="0"/>
    <n v="0"/>
    <n v="0"/>
    <n v="0"/>
    <s v="VIEW_SUMMARY"/>
    <n v="635"/>
    <n v="276"/>
    <n v="1296"/>
    <n v="1296"/>
    <m/>
    <x v="2"/>
    <n v="89"/>
    <s v="table1"/>
    <n v="19"/>
    <s v="250923_EPA_IntroDays_Overasselt"/>
    <n v="22"/>
    <n v="15"/>
    <s v="(Natu-city)"/>
    <n v="2"/>
    <x v="1"/>
    <n v="0"/>
    <n v="0"/>
  </r>
  <r>
    <n v="1102"/>
    <d v="2025-09-23T10:28:36"/>
    <n v="110000"/>
    <n v="60000"/>
    <n v="0"/>
    <n v="17000"/>
    <n v="0"/>
    <n v="0"/>
    <n v="15000"/>
    <n v="6000"/>
    <n v="15500"/>
    <n v="0"/>
    <n v="0"/>
    <n v="15500"/>
    <n v="0"/>
    <n v="0"/>
    <n v="1"/>
    <n v="3"/>
    <n v="0"/>
    <n v="0"/>
    <n v="0"/>
    <n v="11"/>
    <n v="6"/>
    <n v="170000"/>
    <n v="170000"/>
    <n v="136000"/>
    <n v="0"/>
    <n v="0"/>
    <n v="170000"/>
    <n v="119000"/>
    <m/>
    <m/>
    <n v="6"/>
    <n v="9"/>
    <n v="-1"/>
    <n v="-2"/>
    <n v="1"/>
    <n v="0"/>
    <s v="VIEW_SUMMARY"/>
    <n v="635"/>
    <n v="278"/>
    <n v="1296"/>
    <n v="1296"/>
    <m/>
    <x v="3"/>
    <n v="89"/>
    <s v="table1"/>
    <n v="19"/>
    <s v="250923_EPA_IntroDays_Overasselt"/>
    <n v="22"/>
    <n v="15"/>
    <s v="(Natu-city)"/>
    <n v="3"/>
    <x v="1"/>
    <n v="1"/>
    <n v="0"/>
  </r>
  <r>
    <n v="1127"/>
    <d v="2025-09-23T10:28:36"/>
    <n v="110000"/>
    <n v="60000"/>
    <n v="0"/>
    <n v="17000"/>
    <n v="0"/>
    <n v="0"/>
    <n v="30000"/>
    <n v="1000"/>
    <n v="0"/>
    <n v="0"/>
    <n v="0"/>
    <n v="17500"/>
    <n v="0"/>
    <n v="0"/>
    <n v="0"/>
    <n v="0"/>
    <n v="0"/>
    <n v="0"/>
    <n v="0"/>
    <n v="11"/>
    <n v="6"/>
    <n v="170000"/>
    <n v="170000"/>
    <n v="119000"/>
    <n v="0"/>
    <n v="0"/>
    <n v="170000"/>
    <n v="102000"/>
    <m/>
    <m/>
    <n v="6"/>
    <n v="9"/>
    <n v="-2"/>
    <n v="-1"/>
    <n v="0"/>
    <n v="1"/>
    <s v="VIEW_SUMMARY"/>
    <n v="635"/>
    <n v="282"/>
    <n v="1296"/>
    <n v="1296"/>
    <m/>
    <x v="4"/>
    <n v="89"/>
    <s v="table1"/>
    <n v="19"/>
    <s v="250923_EPA_IntroDays_Overasselt"/>
    <n v="22"/>
    <n v="15"/>
    <s v="(Natu-city)"/>
    <n v="4"/>
    <x v="1"/>
    <n v="1"/>
    <n v="0"/>
  </r>
  <r>
    <n v="1025"/>
    <d v="2025-09-23T10:26:01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36"/>
    <n v="269"/>
    <m/>
    <m/>
    <m/>
    <x v="0"/>
    <n v="89"/>
    <s v="table1"/>
    <n v="19"/>
    <s v="250923_EPA_IntroDays_Overasselt"/>
    <n v="22"/>
    <n v="0"/>
    <s v=""/>
    <n v="0"/>
    <x v="2"/>
    <m/>
    <n v="0"/>
  </r>
  <r>
    <n v="1050"/>
    <d v="2025-09-23T10:26:01"/>
    <n v="60000"/>
    <n v="30000"/>
    <n v="0"/>
    <n v="7000"/>
    <n v="0"/>
    <n v="0"/>
    <n v="20000"/>
    <n v="0"/>
    <n v="1750"/>
    <n v="0"/>
    <n v="0"/>
    <n v="1250"/>
    <n v="0"/>
    <n v="-1"/>
    <n v="0"/>
    <n v="1"/>
    <n v="0"/>
    <n v="0"/>
    <n v="0"/>
    <n v="5"/>
    <n v="3"/>
    <n v="80000"/>
    <n v="0"/>
    <n v="0"/>
    <n v="0"/>
    <n v="70000"/>
    <n v="70000"/>
    <n v="63000"/>
    <m/>
    <m/>
    <n v="6"/>
    <n v="6"/>
    <n v="0"/>
    <n v="0"/>
    <n v="0"/>
    <n v="0"/>
    <s v="VIEW_SUMMARY"/>
    <n v="636"/>
    <n v="271"/>
    <m/>
    <n v="1308"/>
    <m/>
    <x v="1"/>
    <n v="89"/>
    <s v="table1"/>
    <n v="19"/>
    <s v="250923_EPA_IntroDays_Overasselt"/>
    <n v="22"/>
    <n v="12"/>
    <s v="(U-village)"/>
    <n v="1"/>
    <x v="2"/>
    <n v="0"/>
    <n v="0"/>
  </r>
  <r>
    <n v="1091"/>
    <d v="2025-09-23T10:26:01"/>
    <n v="60000"/>
    <n v="30000"/>
    <n v="0"/>
    <n v="7000"/>
    <n v="0"/>
    <n v="0"/>
    <n v="20000"/>
    <n v="1000"/>
    <n v="1400"/>
    <n v="0"/>
    <n v="0"/>
    <n v="1850"/>
    <n v="0"/>
    <n v="0"/>
    <n v="0"/>
    <n v="0"/>
    <n v="0"/>
    <n v="0"/>
    <n v="0"/>
    <n v="5"/>
    <n v="3"/>
    <n v="80000"/>
    <n v="70000"/>
    <n v="63000"/>
    <n v="0"/>
    <n v="0"/>
    <n v="70000"/>
    <n v="56000"/>
    <m/>
    <m/>
    <n v="6"/>
    <n v="6"/>
    <n v="0"/>
    <n v="0"/>
    <n v="0"/>
    <n v="1"/>
    <s v="VIEW_SUMMARY"/>
    <n v="636"/>
    <n v="276"/>
    <n v="1308"/>
    <n v="1308"/>
    <m/>
    <x v="2"/>
    <n v="89"/>
    <s v="table1"/>
    <n v="19"/>
    <s v="250923_EPA_IntroDays_Overasselt"/>
    <n v="22"/>
    <n v="12"/>
    <s v="(U-village)"/>
    <n v="2"/>
    <x v="2"/>
    <n v="1"/>
    <n v="0"/>
  </r>
  <r>
    <n v="1111"/>
    <d v="2025-09-23T10:26:01"/>
    <n v="60000"/>
    <n v="30000"/>
    <n v="0"/>
    <n v="7000"/>
    <n v="0"/>
    <n v="0"/>
    <n v="20000"/>
    <n v="0"/>
    <n v="0"/>
    <n v="12000"/>
    <n v="0"/>
    <n v="-7150"/>
    <n v="0"/>
    <n v="0"/>
    <n v="0"/>
    <n v="0"/>
    <n v="4"/>
    <n v="0"/>
    <n v="0"/>
    <n v="1"/>
    <n v="3"/>
    <n v="80000"/>
    <n v="70000"/>
    <n v="56000"/>
    <n v="0"/>
    <n v="0"/>
    <n v="70000"/>
    <n v="49000"/>
    <m/>
    <m/>
    <n v="6"/>
    <n v="6"/>
    <n v="-1"/>
    <n v="-2"/>
    <n v="0"/>
    <n v="0"/>
    <s v="VIEW_SUMMARY"/>
    <n v="636"/>
    <n v="278"/>
    <n v="1308"/>
    <n v="1308"/>
    <m/>
    <x v="3"/>
    <n v="89"/>
    <s v="table1"/>
    <n v="19"/>
    <s v="250923_EPA_IntroDays_Overasselt"/>
    <n v="22"/>
    <n v="12"/>
    <s v="(U-village)"/>
    <n v="3"/>
    <x v="2"/>
    <n v="0"/>
    <n v="12000"/>
  </r>
  <r>
    <n v="1128"/>
    <d v="2025-09-23T10:26:01"/>
    <n v="60000"/>
    <n v="30000"/>
    <n v="7150"/>
    <n v="7000"/>
    <n v="0"/>
    <n v="0"/>
    <n v="20000"/>
    <n v="0"/>
    <n v="0"/>
    <n v="12000"/>
    <n v="0"/>
    <n v="-16150"/>
    <n v="0"/>
    <n v="0"/>
    <n v="0"/>
    <n v="0"/>
    <n v="4"/>
    <n v="0"/>
    <n v="1"/>
    <n v="-4"/>
    <n v="3"/>
    <n v="80000"/>
    <n v="70000"/>
    <n v="49000"/>
    <n v="0"/>
    <n v="0"/>
    <n v="70000"/>
    <n v="42000"/>
    <m/>
    <m/>
    <n v="6"/>
    <n v="6"/>
    <n v="-2"/>
    <n v="-1"/>
    <n v="0"/>
    <n v="0"/>
    <s v="VIEW_SUMMARY"/>
    <n v="636"/>
    <n v="282"/>
    <n v="1308"/>
    <n v="1308"/>
    <m/>
    <x v="4"/>
    <n v="89"/>
    <s v="table1"/>
    <n v="19"/>
    <s v="250923_EPA_IntroDays_Overasselt"/>
    <n v="22"/>
    <n v="12"/>
    <s v="(U-village)"/>
    <n v="4"/>
    <x v="2"/>
    <n v="0"/>
    <n v="12000"/>
  </r>
  <r>
    <n v="1034"/>
    <d v="2025-09-23T10:33:43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37"/>
    <n v="269"/>
    <m/>
    <m/>
    <m/>
    <x v="0"/>
    <n v="89"/>
    <s v="table1"/>
    <n v="19"/>
    <s v="250923_EPA_IntroDays_Overasselt"/>
    <n v="22"/>
    <n v="0"/>
    <s v=""/>
    <n v="0"/>
    <x v="3"/>
    <m/>
    <n v="0"/>
  </r>
  <r>
    <n v="1052"/>
    <d v="2025-09-23T10:33:43"/>
    <n v="90000"/>
    <n v="50000"/>
    <n v="0"/>
    <n v="10000"/>
    <n v="0"/>
    <n v="0"/>
    <n v="15000"/>
    <n v="6000"/>
    <n v="5000"/>
    <n v="0"/>
    <n v="0"/>
    <n v="19000"/>
    <n v="0"/>
    <n v="-2"/>
    <n v="1"/>
    <n v="2"/>
    <n v="0"/>
    <n v="0"/>
    <n v="0"/>
    <n v="6"/>
    <n v="5"/>
    <n v="130000"/>
    <n v="0"/>
    <n v="0"/>
    <n v="0"/>
    <n v="100000"/>
    <n v="100000"/>
    <n v="90000"/>
    <m/>
    <m/>
    <n v="6"/>
    <n v="9"/>
    <n v="0"/>
    <n v="0"/>
    <n v="1"/>
    <n v="0"/>
    <s v="VIEW_SUMMARY"/>
    <n v="637"/>
    <n v="271"/>
    <m/>
    <n v="1298"/>
    <m/>
    <x v="1"/>
    <n v="89"/>
    <s v="table1"/>
    <n v="19"/>
    <s v="250923_EPA_IntroDays_Overasselt"/>
    <n v="22"/>
    <n v="15"/>
    <s v="(Natu-city)"/>
    <n v="1"/>
    <x v="3"/>
    <n v="1"/>
    <n v="0"/>
  </r>
  <r>
    <n v="1094"/>
    <d v="2025-09-23T10:33:43"/>
    <n v="90000"/>
    <n v="50000"/>
    <n v="0"/>
    <n v="10000"/>
    <n v="0"/>
    <n v="0"/>
    <n v="15000"/>
    <n v="10000"/>
    <n v="2500"/>
    <n v="0"/>
    <n v="0"/>
    <n v="21500"/>
    <n v="0"/>
    <n v="0"/>
    <n v="0"/>
    <n v="1"/>
    <n v="0"/>
    <n v="0"/>
    <n v="0"/>
    <n v="7"/>
    <n v="5"/>
    <n v="130000"/>
    <n v="100000"/>
    <n v="90000"/>
    <n v="0"/>
    <n v="0"/>
    <n v="100000"/>
    <n v="80000"/>
    <m/>
    <m/>
    <n v="6"/>
    <n v="9"/>
    <n v="0"/>
    <n v="0"/>
    <n v="1"/>
    <n v="1"/>
    <s v="VIEW_SUMMARY"/>
    <n v="637"/>
    <n v="276"/>
    <n v="1298"/>
    <n v="1298"/>
    <m/>
    <x v="2"/>
    <n v="89"/>
    <s v="table1"/>
    <n v="19"/>
    <s v="250923_EPA_IntroDays_Overasselt"/>
    <n v="22"/>
    <n v="15"/>
    <s v="(Natu-city)"/>
    <n v="2"/>
    <x v="3"/>
    <n v="2"/>
    <n v="0"/>
  </r>
  <r>
    <n v="1108"/>
    <d v="2025-09-23T10:33:43"/>
    <n v="90000"/>
    <n v="50000"/>
    <n v="0"/>
    <n v="10000"/>
    <n v="0"/>
    <n v="0"/>
    <n v="15000"/>
    <n v="8000"/>
    <n v="0"/>
    <n v="0"/>
    <n v="0"/>
    <n v="28500"/>
    <n v="0"/>
    <n v="0"/>
    <n v="1"/>
    <n v="0"/>
    <n v="0"/>
    <n v="0"/>
    <n v="0"/>
    <n v="8"/>
    <n v="5"/>
    <n v="130000"/>
    <n v="100000"/>
    <n v="80000"/>
    <n v="0"/>
    <n v="0"/>
    <n v="100000"/>
    <n v="70000"/>
    <m/>
    <m/>
    <n v="6"/>
    <n v="9"/>
    <n v="-1"/>
    <n v="-2"/>
    <n v="1"/>
    <n v="0"/>
    <s v="VIEW_SUMMARY"/>
    <n v="637"/>
    <n v="278"/>
    <n v="1298"/>
    <n v="1298"/>
    <m/>
    <x v="3"/>
    <n v="89"/>
    <s v="table1"/>
    <n v="19"/>
    <s v="250923_EPA_IntroDays_Overasselt"/>
    <n v="22"/>
    <n v="15"/>
    <s v="(Natu-city)"/>
    <n v="3"/>
    <x v="3"/>
    <n v="1"/>
    <n v="0"/>
  </r>
  <r>
    <n v="1133"/>
    <d v="2025-09-23T10:33:43"/>
    <n v="90000"/>
    <n v="50000"/>
    <n v="0"/>
    <n v="10000"/>
    <n v="0"/>
    <n v="0"/>
    <n v="30000"/>
    <n v="9000"/>
    <n v="0"/>
    <n v="0"/>
    <n v="0"/>
    <n v="19500"/>
    <n v="0"/>
    <n v="0"/>
    <n v="1"/>
    <n v="0"/>
    <n v="0"/>
    <n v="0"/>
    <n v="0"/>
    <n v="9"/>
    <n v="5"/>
    <n v="130000"/>
    <n v="100000"/>
    <n v="70000"/>
    <n v="0"/>
    <n v="0"/>
    <n v="100000"/>
    <n v="60000"/>
    <m/>
    <m/>
    <n v="6"/>
    <n v="9"/>
    <n v="-2"/>
    <n v="-1"/>
    <n v="1"/>
    <n v="2"/>
    <s v="ANSWER_SURVEY"/>
    <n v="637"/>
    <n v="282"/>
    <n v="1298"/>
    <n v="1298"/>
    <m/>
    <x v="4"/>
    <n v="89"/>
    <s v="table1"/>
    <n v="19"/>
    <s v="250923_EPA_IntroDays_Overasselt"/>
    <n v="22"/>
    <n v="15"/>
    <s v="(Natu-city)"/>
    <n v="4"/>
    <x v="3"/>
    <n v="3"/>
    <n v="0"/>
  </r>
  <r>
    <n v="1033"/>
    <d v="2025-09-23T10:33:32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38"/>
    <n v="269"/>
    <m/>
    <m/>
    <m/>
    <x v="0"/>
    <n v="89"/>
    <s v="table1"/>
    <n v="19"/>
    <s v="250923_EPA_IntroDays_Overasselt"/>
    <n v="22"/>
    <n v="0"/>
    <s v=""/>
    <n v="0"/>
    <x v="4"/>
    <m/>
    <n v="0"/>
  </r>
  <r>
    <n v="1051"/>
    <d v="2025-09-23T10:33:32"/>
    <n v="130000"/>
    <n v="75000"/>
    <n v="0"/>
    <n v="20000"/>
    <n v="0"/>
    <n v="100000"/>
    <n v="20000"/>
    <n v="0"/>
    <n v="0"/>
    <n v="0"/>
    <n v="4000"/>
    <n v="-39000"/>
    <n v="0"/>
    <n v="1"/>
    <n v="0"/>
    <n v="0"/>
    <n v="0"/>
    <n v="1"/>
    <n v="0"/>
    <n v="5"/>
    <n v="7"/>
    <n v="200000"/>
    <n v="0"/>
    <n v="0"/>
    <n v="0"/>
    <n v="300000"/>
    <n v="200000"/>
    <n v="180000"/>
    <m/>
    <m/>
    <n v="4"/>
    <n v="9"/>
    <n v="0"/>
    <n v="0"/>
    <n v="0"/>
    <n v="0"/>
    <s v="VIEW_SUMMARY"/>
    <n v="638"/>
    <n v="271"/>
    <m/>
    <n v="1299"/>
    <m/>
    <x v="1"/>
    <n v="89"/>
    <s v="table1"/>
    <n v="19"/>
    <s v="250923_EPA_IntroDays_Overasselt"/>
    <n v="22"/>
    <n v="13"/>
    <s v="(Dike-town)"/>
    <n v="1"/>
    <x v="4"/>
    <n v="0"/>
    <n v="4000"/>
  </r>
  <r>
    <n v="1093"/>
    <d v="2025-09-23T10:33:32"/>
    <n v="130000"/>
    <n v="75000"/>
    <n v="39000"/>
    <n v="20000"/>
    <n v="0"/>
    <n v="0"/>
    <n v="20000"/>
    <n v="0"/>
    <n v="0"/>
    <n v="0"/>
    <n v="0"/>
    <n v="-24000"/>
    <n v="0"/>
    <n v="0"/>
    <n v="0"/>
    <n v="0"/>
    <n v="0"/>
    <n v="0"/>
    <n v="1"/>
    <n v="4"/>
    <n v="7"/>
    <n v="200000"/>
    <n v="200000"/>
    <n v="180000"/>
    <n v="0"/>
    <n v="0"/>
    <n v="200000"/>
    <n v="160000"/>
    <m/>
    <m/>
    <n v="4"/>
    <n v="9"/>
    <n v="0"/>
    <n v="0"/>
    <n v="0"/>
    <n v="0"/>
    <s v="VIEW_SUMMARY"/>
    <n v="638"/>
    <n v="276"/>
    <n v="1299"/>
    <n v="1299"/>
    <m/>
    <x v="2"/>
    <n v="89"/>
    <s v="table1"/>
    <n v="19"/>
    <s v="250923_EPA_IntroDays_Overasselt"/>
    <n v="22"/>
    <n v="13"/>
    <s v="(Dike-town)"/>
    <n v="2"/>
    <x v="4"/>
    <n v="0"/>
    <n v="0"/>
  </r>
  <r>
    <n v="1107"/>
    <d v="2025-09-23T10:33:32"/>
    <n v="130000"/>
    <n v="75000"/>
    <n v="24000"/>
    <n v="20000"/>
    <n v="0"/>
    <n v="0"/>
    <n v="20000"/>
    <n v="0"/>
    <n v="0"/>
    <n v="0"/>
    <n v="0"/>
    <n v="-9000"/>
    <n v="0"/>
    <n v="0"/>
    <n v="0"/>
    <n v="0"/>
    <n v="0"/>
    <n v="0"/>
    <n v="1"/>
    <n v="3"/>
    <n v="7"/>
    <n v="200000"/>
    <n v="200000"/>
    <n v="160000"/>
    <n v="0"/>
    <n v="0"/>
    <n v="200000"/>
    <n v="140000"/>
    <m/>
    <m/>
    <n v="4"/>
    <n v="9"/>
    <n v="-1"/>
    <n v="-2"/>
    <n v="0"/>
    <n v="0"/>
    <s v="VIEW_SUMMARY"/>
    <n v="638"/>
    <n v="278"/>
    <n v="1299"/>
    <n v="1299"/>
    <m/>
    <x v="3"/>
    <n v="89"/>
    <s v="table1"/>
    <n v="19"/>
    <s v="250923_EPA_IntroDays_Overasselt"/>
    <n v="22"/>
    <n v="13"/>
    <s v="(Dike-town)"/>
    <n v="3"/>
    <x v="4"/>
    <n v="0"/>
    <n v="0"/>
  </r>
  <r>
    <n v="1129"/>
    <d v="2025-09-23T10:33:32"/>
    <n v="130000"/>
    <n v="75000"/>
    <n v="9000"/>
    <n v="20000"/>
    <n v="0"/>
    <n v="0"/>
    <n v="20000"/>
    <n v="6000"/>
    <n v="0"/>
    <n v="0"/>
    <n v="0"/>
    <n v="0"/>
    <n v="0"/>
    <n v="0"/>
    <n v="1"/>
    <n v="0"/>
    <n v="0"/>
    <n v="0"/>
    <n v="1"/>
    <n v="3"/>
    <n v="7"/>
    <n v="200000"/>
    <n v="200000"/>
    <n v="140000"/>
    <n v="0"/>
    <n v="0"/>
    <n v="200000"/>
    <n v="120000"/>
    <m/>
    <m/>
    <n v="4"/>
    <n v="9"/>
    <n v="-2"/>
    <n v="-1"/>
    <n v="1"/>
    <n v="0"/>
    <s v="VIEW_SUMMARY"/>
    <n v="638"/>
    <n v="282"/>
    <n v="1299"/>
    <n v="1299"/>
    <m/>
    <x v="4"/>
    <n v="89"/>
    <s v="table1"/>
    <n v="19"/>
    <s v="250923_EPA_IntroDays_Overasselt"/>
    <n v="22"/>
    <n v="13"/>
    <s v="(Dike-town)"/>
    <n v="4"/>
    <x v="4"/>
    <n v="1"/>
    <n v="0"/>
  </r>
  <r>
    <n v="1043"/>
    <d v="2025-09-23T10:45:35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39"/>
    <n v="269"/>
    <m/>
    <m/>
    <m/>
    <x v="0"/>
    <n v="89"/>
    <s v="table1"/>
    <n v="19"/>
    <s v="250923_EPA_IntroDays_Overasselt"/>
    <n v="22"/>
    <n v="0"/>
    <s v=""/>
    <n v="0"/>
    <x v="5"/>
    <m/>
    <n v="0"/>
  </r>
  <r>
    <n v="1053"/>
    <d v="2025-09-23T10:45:35"/>
    <n v="190000"/>
    <n v="115000"/>
    <n v="0"/>
    <n v="0"/>
    <n v="0"/>
    <n v="0"/>
    <n v="20000"/>
    <n v="8000"/>
    <n v="21000"/>
    <n v="0"/>
    <n v="0"/>
    <n v="106000"/>
    <n v="0"/>
    <n v="0"/>
    <n v="1"/>
    <n v="2"/>
    <n v="0"/>
    <n v="0"/>
    <n v="0"/>
    <n v="8"/>
    <n v="8"/>
    <n v="300000"/>
    <n v="0"/>
    <n v="0"/>
    <n v="0"/>
    <n v="0"/>
    <n v="0"/>
    <n v="0"/>
    <m/>
    <m/>
    <n v="4"/>
    <n v="9"/>
    <n v="0"/>
    <n v="0"/>
    <n v="1"/>
    <n v="1"/>
    <s v="VIEW_SUMMARY"/>
    <n v="639"/>
    <n v="271"/>
    <m/>
    <n v="1300"/>
    <m/>
    <x v="1"/>
    <n v="89"/>
    <s v="table1"/>
    <n v="19"/>
    <s v="250923_EPA_IntroDays_Overasselt"/>
    <n v="22"/>
    <n v="13"/>
    <s v="(Dike-town)"/>
    <n v="1"/>
    <x v="5"/>
    <n v="2"/>
    <n v="0"/>
  </r>
  <r>
    <n v="1095"/>
    <d v="2025-09-23T10:45:35"/>
    <n v="190000"/>
    <n v="115000"/>
    <n v="0"/>
    <n v="0"/>
    <n v="0"/>
    <n v="0"/>
    <n v="20000"/>
    <n v="16000"/>
    <n v="0"/>
    <n v="0"/>
    <n v="0"/>
    <n v="145000"/>
    <n v="0"/>
    <n v="0"/>
    <n v="1"/>
    <n v="0"/>
    <n v="0"/>
    <n v="0"/>
    <n v="0"/>
    <n v="9"/>
    <n v="8"/>
    <n v="300000"/>
    <n v="0"/>
    <n v="0"/>
    <n v="0"/>
    <n v="0"/>
    <n v="0"/>
    <n v="0"/>
    <m/>
    <m/>
    <n v="4"/>
    <n v="9"/>
    <n v="0"/>
    <n v="0"/>
    <n v="2"/>
    <n v="1"/>
    <s v="VIEW_SUMMARY"/>
    <n v="639"/>
    <n v="276"/>
    <n v="1300"/>
    <n v="1300"/>
    <m/>
    <x v="2"/>
    <n v="89"/>
    <s v="table1"/>
    <n v="19"/>
    <s v="250923_EPA_IntroDays_Overasselt"/>
    <n v="22"/>
    <n v="13"/>
    <s v="(Dike-town)"/>
    <n v="2"/>
    <x v="5"/>
    <n v="3"/>
    <n v="0"/>
  </r>
  <r>
    <n v="1114"/>
    <d v="2025-09-23T10:45:35"/>
    <n v="190000"/>
    <n v="115000"/>
    <n v="0"/>
    <n v="0"/>
    <n v="0"/>
    <n v="0"/>
    <n v="20000"/>
    <n v="8000"/>
    <n v="17000"/>
    <n v="0"/>
    <n v="0"/>
    <n v="175000"/>
    <n v="0"/>
    <n v="0"/>
    <n v="1"/>
    <n v="2"/>
    <n v="0"/>
    <n v="0"/>
    <n v="0"/>
    <n v="12"/>
    <n v="8"/>
    <n v="300000"/>
    <n v="0"/>
    <n v="0"/>
    <n v="0"/>
    <n v="0"/>
    <n v="0"/>
    <n v="0"/>
    <m/>
    <m/>
    <n v="4"/>
    <n v="9"/>
    <n v="-1"/>
    <n v="-2"/>
    <n v="1"/>
    <n v="0"/>
    <s v="VIEW_SUMMARY"/>
    <n v="639"/>
    <n v="278"/>
    <n v="1300"/>
    <n v="1300"/>
    <m/>
    <x v="3"/>
    <n v="89"/>
    <s v="table1"/>
    <n v="19"/>
    <s v="250923_EPA_IntroDays_Overasselt"/>
    <n v="22"/>
    <n v="13"/>
    <s v="(Dike-town)"/>
    <n v="3"/>
    <x v="5"/>
    <n v="1"/>
    <n v="0"/>
  </r>
  <r>
    <n v="1132"/>
    <d v="2025-09-23T10:45:35"/>
    <n v="190000"/>
    <n v="115000"/>
    <n v="0"/>
    <n v="30000"/>
    <n v="300000"/>
    <n v="125000"/>
    <n v="30000"/>
    <n v="14000"/>
    <n v="0"/>
    <n v="0"/>
    <n v="0"/>
    <n v="351000"/>
    <n v="1"/>
    <n v="1"/>
    <n v="2"/>
    <n v="0"/>
    <n v="0"/>
    <n v="0"/>
    <n v="0"/>
    <n v="14"/>
    <n v="8"/>
    <n v="300000"/>
    <n v="0"/>
    <n v="0"/>
    <n v="300000"/>
    <n v="425000"/>
    <n v="300000"/>
    <n v="270000"/>
    <n v="34"/>
    <s v="Other"/>
    <n v="6"/>
    <n v="9"/>
    <n v="-2"/>
    <n v="-1"/>
    <n v="4"/>
    <n v="2"/>
    <s v="VIEW_SUMMARY"/>
    <n v="639"/>
    <n v="282"/>
    <n v="1300"/>
    <n v="1357"/>
    <m/>
    <x v="4"/>
    <n v="89"/>
    <s v="table1"/>
    <n v="19"/>
    <s v="250923_EPA_IntroDays_Overasselt"/>
    <n v="22"/>
    <n v="15"/>
    <s v="(Natu-city)"/>
    <n v="4"/>
    <x v="5"/>
    <n v="6"/>
    <n v="0"/>
  </r>
  <r>
    <n v="1032"/>
    <d v="2025-09-23T10:33:18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40"/>
    <n v="269"/>
    <m/>
    <m/>
    <m/>
    <x v="0"/>
    <n v="89"/>
    <s v="table1"/>
    <n v="19"/>
    <s v="250923_EPA_IntroDays_Overasselt"/>
    <n v="22"/>
    <n v="0"/>
    <s v=""/>
    <n v="0"/>
    <x v="1"/>
    <m/>
    <n v="0"/>
  </r>
  <r>
    <n v="1061"/>
    <d v="2025-09-23T10:33:18"/>
    <n v="110000"/>
    <n v="60000"/>
    <n v="0"/>
    <n v="17000"/>
    <n v="0"/>
    <n v="75000"/>
    <n v="15000"/>
    <n v="0"/>
    <n v="0"/>
    <n v="0"/>
    <n v="0"/>
    <n v="-27000"/>
    <n v="0"/>
    <n v="0"/>
    <n v="0"/>
    <n v="0"/>
    <n v="0"/>
    <n v="0"/>
    <n v="0"/>
    <n v="5"/>
    <n v="6"/>
    <n v="170000"/>
    <n v="0"/>
    <n v="0"/>
    <n v="0"/>
    <n v="245000"/>
    <n v="170000"/>
    <n v="153000"/>
    <m/>
    <m/>
    <n v="6"/>
    <n v="9"/>
    <n v="0"/>
    <n v="0"/>
    <n v="0"/>
    <n v="0"/>
    <s v="VIEW_SUMMARY"/>
    <n v="640"/>
    <n v="271"/>
    <m/>
    <n v="1297"/>
    <m/>
    <x v="1"/>
    <n v="89"/>
    <s v="table1"/>
    <n v="19"/>
    <s v="250923_EPA_IntroDays_Overasselt"/>
    <n v="22"/>
    <n v="15"/>
    <s v="(Natu-city)"/>
    <n v="1"/>
    <x v="1"/>
    <n v="0"/>
    <n v="0"/>
  </r>
  <r>
    <n v="1089"/>
    <d v="2025-09-23T10:33:18"/>
    <n v="110000"/>
    <n v="60000"/>
    <n v="27000"/>
    <n v="17000"/>
    <n v="0"/>
    <n v="0"/>
    <n v="15000"/>
    <n v="0"/>
    <n v="0"/>
    <n v="0"/>
    <n v="0"/>
    <n v="-9000"/>
    <n v="0"/>
    <n v="0"/>
    <n v="0"/>
    <n v="0"/>
    <n v="0"/>
    <n v="0"/>
    <n v="1"/>
    <n v="4"/>
    <n v="6"/>
    <n v="170000"/>
    <n v="170000"/>
    <n v="153000"/>
    <n v="0"/>
    <n v="0"/>
    <n v="170000"/>
    <n v="136000"/>
    <m/>
    <m/>
    <n v="6"/>
    <n v="9"/>
    <n v="0"/>
    <n v="0"/>
    <n v="0"/>
    <n v="0"/>
    <s v="VIEW_SUMMARY"/>
    <n v="640"/>
    <n v="276"/>
    <n v="1297"/>
    <n v="1297"/>
    <m/>
    <x v="2"/>
    <n v="89"/>
    <s v="table1"/>
    <n v="19"/>
    <s v="250923_EPA_IntroDays_Overasselt"/>
    <n v="22"/>
    <n v="15"/>
    <s v="(Natu-city)"/>
    <n v="2"/>
    <x v="1"/>
    <n v="0"/>
    <n v="0"/>
  </r>
  <r>
    <n v="1112"/>
    <d v="2025-09-23T10:33:18"/>
    <n v="110000"/>
    <n v="60000"/>
    <n v="9000"/>
    <n v="17000"/>
    <n v="0"/>
    <n v="0"/>
    <n v="15000"/>
    <n v="7000"/>
    <n v="0"/>
    <n v="0"/>
    <n v="0"/>
    <n v="2000"/>
    <n v="0"/>
    <n v="0"/>
    <n v="1"/>
    <n v="0"/>
    <n v="0"/>
    <n v="0"/>
    <n v="1"/>
    <n v="4"/>
    <n v="6"/>
    <n v="170000"/>
    <n v="170000"/>
    <n v="136000"/>
    <n v="0"/>
    <n v="0"/>
    <n v="170000"/>
    <n v="119000"/>
    <m/>
    <m/>
    <n v="6"/>
    <n v="9"/>
    <n v="-1"/>
    <n v="-2"/>
    <n v="1"/>
    <n v="1"/>
    <s v="VIEW_SUMMARY"/>
    <n v="640"/>
    <n v="278"/>
    <n v="1297"/>
    <n v="1297"/>
    <m/>
    <x v="3"/>
    <n v="89"/>
    <s v="table1"/>
    <n v="19"/>
    <s v="250923_EPA_IntroDays_Overasselt"/>
    <n v="22"/>
    <n v="15"/>
    <s v="(Natu-city)"/>
    <n v="3"/>
    <x v="1"/>
    <n v="2"/>
    <n v="0"/>
  </r>
  <r>
    <n v="1130"/>
    <d v="2025-09-23T10:33:18"/>
    <n v="110000"/>
    <n v="60000"/>
    <n v="0"/>
    <n v="17000"/>
    <n v="0"/>
    <n v="0"/>
    <n v="30000"/>
    <n v="0"/>
    <n v="0"/>
    <n v="0"/>
    <n v="0"/>
    <n v="5000"/>
    <n v="0"/>
    <n v="0"/>
    <n v="0"/>
    <n v="0"/>
    <n v="0"/>
    <n v="0"/>
    <n v="0"/>
    <n v="4"/>
    <n v="6"/>
    <n v="170000"/>
    <n v="170000"/>
    <n v="119000"/>
    <n v="0"/>
    <n v="0"/>
    <n v="170000"/>
    <n v="102000"/>
    <m/>
    <m/>
    <n v="6"/>
    <n v="9"/>
    <n v="-2"/>
    <n v="-1"/>
    <n v="0"/>
    <n v="0"/>
    <s v="VIEW_SUMMARY"/>
    <n v="640"/>
    <n v="282"/>
    <n v="1297"/>
    <n v="1297"/>
    <m/>
    <x v="4"/>
    <n v="89"/>
    <s v="table1"/>
    <n v="19"/>
    <s v="250923_EPA_IntroDays_Overasselt"/>
    <n v="22"/>
    <n v="15"/>
    <s v="(Natu-city)"/>
    <n v="4"/>
    <x v="1"/>
    <n v="0"/>
    <n v="0"/>
  </r>
  <r>
    <n v="1026"/>
    <d v="2025-09-23T10:26:33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42"/>
    <n v="267"/>
    <m/>
    <m/>
    <m/>
    <x v="0"/>
    <n v="90"/>
    <s v="table2"/>
    <n v="19"/>
    <s v="250923_EPA_IntroDays_Overasselt"/>
    <n v="22"/>
    <n v="0"/>
    <s v=""/>
    <n v="0"/>
    <x v="2"/>
    <m/>
    <n v="0"/>
  </r>
  <r>
    <n v="1038"/>
    <d v="2025-09-23T10:26:33"/>
    <n v="60000"/>
    <n v="30000"/>
    <n v="0"/>
    <n v="8000"/>
    <n v="0"/>
    <n v="20000"/>
    <n v="15000"/>
    <n v="0"/>
    <n v="0"/>
    <n v="0"/>
    <n v="0"/>
    <n v="-13000"/>
    <n v="0"/>
    <n v="0"/>
    <n v="0"/>
    <n v="0"/>
    <n v="0"/>
    <n v="0"/>
    <n v="0"/>
    <n v="5"/>
    <n v="3"/>
    <n v="80000"/>
    <n v="0"/>
    <n v="0"/>
    <n v="0"/>
    <n v="100000"/>
    <n v="80000"/>
    <n v="72000"/>
    <m/>
    <m/>
    <n v="6"/>
    <n v="9"/>
    <n v="0"/>
    <n v="0"/>
    <n v="0"/>
    <n v="0"/>
    <s v="VIEW_SUMMARY"/>
    <n v="642"/>
    <n v="270"/>
    <m/>
    <n v="1283"/>
    <m/>
    <x v="1"/>
    <n v="90"/>
    <s v="table2"/>
    <n v="19"/>
    <s v="250923_EPA_IntroDays_Overasselt"/>
    <n v="22"/>
    <n v="15"/>
    <s v="(Natu-city)"/>
    <n v="1"/>
    <x v="2"/>
    <n v="0"/>
    <n v="0"/>
  </r>
  <r>
    <n v="1078"/>
    <d v="2025-09-23T10:26:33"/>
    <n v="60000"/>
    <n v="30000"/>
    <n v="13000"/>
    <n v="8000"/>
    <n v="0"/>
    <n v="0"/>
    <n v="15000"/>
    <n v="0"/>
    <n v="0"/>
    <n v="0"/>
    <n v="4000"/>
    <n v="-10000"/>
    <n v="0"/>
    <n v="0"/>
    <n v="0"/>
    <n v="0"/>
    <n v="0"/>
    <n v="1"/>
    <n v="1"/>
    <n v="3"/>
    <n v="3"/>
    <n v="80000"/>
    <n v="80000"/>
    <n v="72000"/>
    <n v="0"/>
    <n v="0"/>
    <n v="80000"/>
    <n v="64000"/>
    <m/>
    <m/>
    <n v="6"/>
    <n v="9"/>
    <n v="0"/>
    <n v="0"/>
    <n v="0"/>
    <n v="0"/>
    <s v="VIEW_SUMMARY"/>
    <n v="642"/>
    <n v="274"/>
    <n v="1283"/>
    <n v="1283"/>
    <m/>
    <x v="2"/>
    <n v="90"/>
    <s v="table2"/>
    <n v="19"/>
    <s v="250923_EPA_IntroDays_Overasselt"/>
    <n v="22"/>
    <n v="15"/>
    <s v="(Natu-city)"/>
    <n v="2"/>
    <x v="2"/>
    <n v="0"/>
    <n v="4000"/>
  </r>
  <r>
    <n v="1096"/>
    <d v="2025-09-23T10:26:33"/>
    <n v="60000"/>
    <n v="30000"/>
    <n v="10000"/>
    <n v="8000"/>
    <n v="0"/>
    <n v="0"/>
    <n v="15000"/>
    <n v="0"/>
    <n v="0"/>
    <n v="16000"/>
    <n v="0"/>
    <n v="-19000"/>
    <n v="0"/>
    <n v="0"/>
    <n v="0"/>
    <n v="0"/>
    <n v="5"/>
    <n v="0"/>
    <n v="1"/>
    <n v="-3"/>
    <n v="3"/>
    <n v="80000"/>
    <n v="80000"/>
    <n v="64000"/>
    <n v="0"/>
    <n v="0"/>
    <n v="80000"/>
    <n v="56000"/>
    <m/>
    <m/>
    <n v="6"/>
    <n v="9"/>
    <n v="-1"/>
    <n v="-2"/>
    <n v="0"/>
    <n v="0"/>
    <s v="VIEW_SUMMARY"/>
    <n v="642"/>
    <n v="277"/>
    <n v="1283"/>
    <n v="1283"/>
    <m/>
    <x v="3"/>
    <n v="90"/>
    <s v="table2"/>
    <n v="19"/>
    <s v="250923_EPA_IntroDays_Overasselt"/>
    <n v="22"/>
    <n v="15"/>
    <s v="(Natu-city)"/>
    <n v="3"/>
    <x v="2"/>
    <n v="0"/>
    <n v="16000"/>
  </r>
  <r>
    <n v="1123"/>
    <d v="2025-09-23T10:26:33"/>
    <n v="60000"/>
    <n v="30000"/>
    <n v="19000"/>
    <n v="8000"/>
    <n v="0"/>
    <n v="0"/>
    <n v="20000"/>
    <n v="0"/>
    <n v="0"/>
    <n v="0"/>
    <n v="4000"/>
    <n v="-21000"/>
    <n v="0"/>
    <n v="0"/>
    <n v="0"/>
    <n v="0"/>
    <n v="0"/>
    <n v="1"/>
    <n v="1"/>
    <n v="-5"/>
    <n v="3"/>
    <n v="80000"/>
    <n v="80000"/>
    <n v="56000"/>
    <n v="0"/>
    <n v="0"/>
    <n v="80000"/>
    <n v="48000"/>
    <m/>
    <m/>
    <n v="6"/>
    <n v="9"/>
    <n v="-2"/>
    <n v="-1"/>
    <n v="0"/>
    <n v="0"/>
    <s v="VIEW_SUMMARY"/>
    <n v="642"/>
    <n v="281"/>
    <n v="1283"/>
    <n v="1283"/>
    <m/>
    <x v="4"/>
    <n v="90"/>
    <s v="table2"/>
    <n v="19"/>
    <s v="250923_EPA_IntroDays_Overasselt"/>
    <n v="22"/>
    <n v="15"/>
    <s v="(Natu-city)"/>
    <n v="4"/>
    <x v="2"/>
    <n v="0"/>
    <n v="4000"/>
  </r>
  <r>
    <n v="1027"/>
    <d v="2025-09-23T10:26:41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43"/>
    <n v="267"/>
    <m/>
    <m/>
    <m/>
    <x v="0"/>
    <n v="90"/>
    <s v="table2"/>
    <n v="19"/>
    <s v="250923_EPA_IntroDays_Overasselt"/>
    <n v="22"/>
    <n v="0"/>
    <s v=""/>
    <n v="0"/>
    <x v="1"/>
    <m/>
    <n v="0"/>
  </r>
  <r>
    <n v="1039"/>
    <d v="2025-09-23T10:26:41"/>
    <n v="110000"/>
    <n v="60000"/>
    <n v="0"/>
    <n v="17000"/>
    <n v="0"/>
    <n v="30000"/>
    <n v="15000"/>
    <n v="0"/>
    <n v="15000"/>
    <n v="0"/>
    <n v="0"/>
    <n v="3000"/>
    <n v="0"/>
    <n v="0"/>
    <n v="0"/>
    <n v="3"/>
    <n v="0"/>
    <n v="0"/>
    <n v="0"/>
    <n v="8"/>
    <n v="6"/>
    <n v="170000"/>
    <n v="0"/>
    <n v="0"/>
    <n v="0"/>
    <n v="200000"/>
    <n v="170000"/>
    <n v="153000"/>
    <m/>
    <m/>
    <n v="6"/>
    <n v="9"/>
    <n v="0"/>
    <n v="0"/>
    <n v="0"/>
    <n v="0"/>
    <s v="VIEW_SUMMARY"/>
    <n v="643"/>
    <n v="270"/>
    <m/>
    <n v="1281"/>
    <m/>
    <x v="1"/>
    <n v="90"/>
    <s v="table2"/>
    <n v="19"/>
    <s v="250923_EPA_IntroDays_Overasselt"/>
    <n v="22"/>
    <n v="15"/>
    <s v="(Natu-city)"/>
    <n v="1"/>
    <x v="1"/>
    <n v="0"/>
    <n v="0"/>
  </r>
  <r>
    <n v="1077"/>
    <d v="2025-09-23T10:26:41"/>
    <n v="110000"/>
    <n v="60000"/>
    <n v="0"/>
    <n v="17000"/>
    <n v="0"/>
    <n v="0"/>
    <n v="15000"/>
    <n v="8000"/>
    <n v="0"/>
    <n v="0"/>
    <n v="4000"/>
    <n v="9000"/>
    <n v="0"/>
    <n v="0"/>
    <n v="1"/>
    <n v="0"/>
    <n v="0"/>
    <n v="1"/>
    <n v="0"/>
    <n v="8"/>
    <n v="6"/>
    <n v="170000"/>
    <n v="170000"/>
    <n v="153000"/>
    <n v="0"/>
    <n v="0"/>
    <n v="170000"/>
    <n v="136000"/>
    <m/>
    <m/>
    <n v="6"/>
    <n v="9"/>
    <n v="0"/>
    <n v="0"/>
    <n v="1"/>
    <n v="1"/>
    <s v="VIEW_SUMMARY"/>
    <n v="643"/>
    <n v="274"/>
    <n v="1281"/>
    <n v="1281"/>
    <m/>
    <x v="2"/>
    <n v="90"/>
    <s v="table2"/>
    <n v="19"/>
    <s v="250923_EPA_IntroDays_Overasselt"/>
    <n v="22"/>
    <n v="15"/>
    <s v="(Natu-city)"/>
    <n v="2"/>
    <x v="1"/>
    <n v="2"/>
    <n v="4000"/>
  </r>
  <r>
    <n v="1097"/>
    <d v="2025-09-23T10:26:41"/>
    <n v="110000"/>
    <n v="60000"/>
    <n v="0"/>
    <n v="17000"/>
    <n v="0"/>
    <n v="0"/>
    <n v="15000"/>
    <n v="0"/>
    <n v="0"/>
    <n v="16000"/>
    <n v="0"/>
    <n v="11000"/>
    <n v="0"/>
    <n v="0"/>
    <n v="0"/>
    <n v="0"/>
    <n v="5"/>
    <n v="0"/>
    <n v="0"/>
    <n v="3"/>
    <n v="6"/>
    <n v="170000"/>
    <n v="170000"/>
    <n v="136000"/>
    <n v="0"/>
    <n v="0"/>
    <n v="170000"/>
    <n v="119000"/>
    <m/>
    <m/>
    <n v="6"/>
    <n v="9"/>
    <n v="-1"/>
    <n v="-2"/>
    <n v="0"/>
    <n v="0"/>
    <s v="VIEW_SUMMARY"/>
    <n v="643"/>
    <n v="277"/>
    <n v="1281"/>
    <n v="1281"/>
    <m/>
    <x v="3"/>
    <n v="90"/>
    <s v="table2"/>
    <n v="19"/>
    <s v="250923_EPA_IntroDays_Overasselt"/>
    <n v="22"/>
    <n v="15"/>
    <s v="(Natu-city)"/>
    <n v="3"/>
    <x v="1"/>
    <n v="0"/>
    <n v="16000"/>
  </r>
  <r>
    <n v="1125"/>
    <d v="2025-09-23T10:26:41"/>
    <n v="110000"/>
    <n v="60000"/>
    <n v="0"/>
    <n v="17000"/>
    <n v="101000"/>
    <n v="130000"/>
    <n v="15000"/>
    <n v="0"/>
    <n v="0"/>
    <n v="0"/>
    <n v="4000"/>
    <n v="-4000"/>
    <n v="3"/>
    <n v="2"/>
    <n v="0"/>
    <n v="0"/>
    <n v="0"/>
    <n v="1"/>
    <n v="0"/>
    <n v="1"/>
    <n v="6"/>
    <n v="170000"/>
    <n v="170000"/>
    <n v="119000"/>
    <n v="220000"/>
    <n v="300000"/>
    <n v="170000"/>
    <n v="153000"/>
    <n v="33"/>
    <m/>
    <n v="4"/>
    <n v="9"/>
    <n v="-2"/>
    <n v="-1"/>
    <n v="0"/>
    <n v="0"/>
    <s v="VIEW_SUMMARY"/>
    <n v="643"/>
    <n v="281"/>
    <n v="1281"/>
    <n v="1349"/>
    <m/>
    <x v="4"/>
    <n v="90"/>
    <s v="table2"/>
    <n v="19"/>
    <s v="250923_EPA_IntroDays_Overasselt"/>
    <n v="22"/>
    <n v="13"/>
    <s v="(Dike-town)"/>
    <n v="4"/>
    <x v="1"/>
    <n v="0"/>
    <n v="4000"/>
  </r>
  <r>
    <n v="1028"/>
    <d v="2025-09-23T10:27:01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44"/>
    <n v="267"/>
    <m/>
    <m/>
    <m/>
    <x v="0"/>
    <n v="90"/>
    <s v="table2"/>
    <n v="19"/>
    <s v="250923_EPA_IntroDays_Overasselt"/>
    <n v="22"/>
    <n v="0"/>
    <s v=""/>
    <n v="0"/>
    <x v="2"/>
    <m/>
    <n v="0"/>
  </r>
  <r>
    <n v="1042"/>
    <d v="2025-09-23T10:27:01"/>
    <n v="60000"/>
    <n v="30000"/>
    <n v="0"/>
    <n v="8000"/>
    <n v="0"/>
    <n v="0"/>
    <n v="15000"/>
    <n v="0"/>
    <n v="3600"/>
    <n v="0"/>
    <n v="0"/>
    <n v="3400"/>
    <n v="0"/>
    <n v="-1"/>
    <n v="0"/>
    <n v="1"/>
    <n v="0"/>
    <n v="0"/>
    <n v="0"/>
    <n v="5"/>
    <n v="3"/>
    <n v="80000"/>
    <n v="0"/>
    <n v="0"/>
    <n v="0"/>
    <n v="80000"/>
    <n v="80000"/>
    <n v="72000"/>
    <m/>
    <m/>
    <n v="4"/>
    <n v="9"/>
    <n v="0"/>
    <n v="0"/>
    <n v="0"/>
    <n v="0"/>
    <s v="VIEW_SUMMARY"/>
    <n v="644"/>
    <n v="270"/>
    <m/>
    <n v="1288"/>
    <m/>
    <x v="1"/>
    <n v="90"/>
    <s v="table2"/>
    <n v="19"/>
    <s v="250923_EPA_IntroDays_Overasselt"/>
    <n v="22"/>
    <n v="13"/>
    <s v="(Dike-town)"/>
    <n v="1"/>
    <x v="2"/>
    <n v="0"/>
    <n v="0"/>
  </r>
  <r>
    <n v="1079"/>
    <d v="2025-09-23T10:27:01"/>
    <n v="60000"/>
    <n v="30000"/>
    <n v="0"/>
    <n v="8000"/>
    <n v="0"/>
    <n v="0"/>
    <n v="15000"/>
    <n v="8000"/>
    <n v="0"/>
    <n v="0"/>
    <n v="4000"/>
    <n v="-1600"/>
    <n v="0"/>
    <n v="0"/>
    <n v="1"/>
    <n v="0"/>
    <n v="0"/>
    <n v="1"/>
    <n v="0"/>
    <n v="5"/>
    <n v="3"/>
    <n v="80000"/>
    <n v="80000"/>
    <n v="72000"/>
    <n v="0"/>
    <n v="0"/>
    <n v="80000"/>
    <n v="64000"/>
    <m/>
    <m/>
    <n v="4"/>
    <n v="9"/>
    <n v="0"/>
    <n v="0"/>
    <n v="1"/>
    <n v="1"/>
    <s v="VIEW_SUMMARY"/>
    <n v="644"/>
    <n v="274"/>
    <n v="1288"/>
    <n v="1288"/>
    <m/>
    <x v="2"/>
    <n v="90"/>
    <s v="table2"/>
    <n v="19"/>
    <s v="250923_EPA_IntroDays_Overasselt"/>
    <n v="22"/>
    <n v="13"/>
    <s v="(Dike-town)"/>
    <n v="2"/>
    <x v="2"/>
    <n v="2"/>
    <n v="4000"/>
  </r>
  <r>
    <n v="1099"/>
    <d v="2025-09-23T10:27:01"/>
    <n v="60000"/>
    <n v="30000"/>
    <n v="1600"/>
    <n v="8000"/>
    <n v="0"/>
    <n v="0"/>
    <n v="15000"/>
    <n v="0"/>
    <n v="0"/>
    <n v="16000"/>
    <n v="4000"/>
    <n v="-14600"/>
    <n v="0"/>
    <n v="0"/>
    <n v="0"/>
    <n v="0"/>
    <n v="5"/>
    <n v="1"/>
    <n v="1"/>
    <n v="-2"/>
    <n v="3"/>
    <n v="80000"/>
    <n v="80000"/>
    <n v="64000"/>
    <n v="0"/>
    <n v="0"/>
    <n v="80000"/>
    <n v="56000"/>
    <m/>
    <m/>
    <n v="4"/>
    <n v="9"/>
    <n v="-1"/>
    <n v="-2"/>
    <n v="0"/>
    <n v="0"/>
    <s v="VIEW_SUMMARY"/>
    <n v="644"/>
    <n v="277"/>
    <n v="1288"/>
    <n v="1288"/>
    <m/>
    <x v="3"/>
    <n v="90"/>
    <s v="table2"/>
    <n v="19"/>
    <s v="250923_EPA_IntroDays_Overasselt"/>
    <n v="22"/>
    <n v="13"/>
    <s v="(Dike-town)"/>
    <n v="3"/>
    <x v="2"/>
    <n v="0"/>
    <n v="20000"/>
  </r>
  <r>
    <n v="1122"/>
    <d v="2025-09-23T10:27:01"/>
    <n v="60000"/>
    <n v="30000"/>
    <n v="14600"/>
    <n v="8000"/>
    <n v="0"/>
    <n v="0"/>
    <n v="15000"/>
    <n v="0"/>
    <n v="0"/>
    <n v="0"/>
    <n v="4000"/>
    <n v="-11600"/>
    <n v="0"/>
    <n v="0"/>
    <n v="0"/>
    <n v="0"/>
    <n v="0"/>
    <n v="1"/>
    <n v="1"/>
    <n v="-4"/>
    <n v="3"/>
    <n v="80000"/>
    <n v="80000"/>
    <n v="56000"/>
    <n v="0"/>
    <n v="0"/>
    <n v="80000"/>
    <n v="48000"/>
    <m/>
    <m/>
    <n v="4"/>
    <n v="9"/>
    <n v="-2"/>
    <n v="-1"/>
    <n v="0"/>
    <n v="0"/>
    <s v="VIEW_SUMMARY"/>
    <n v="644"/>
    <n v="281"/>
    <n v="1288"/>
    <n v="1288"/>
    <m/>
    <x v="4"/>
    <n v="90"/>
    <s v="table2"/>
    <n v="19"/>
    <s v="250923_EPA_IntroDays_Overasselt"/>
    <n v="22"/>
    <n v="13"/>
    <s v="(Dike-town)"/>
    <n v="4"/>
    <x v="2"/>
    <n v="0"/>
    <n v="4000"/>
  </r>
  <r>
    <n v="1029"/>
    <d v="2025-09-23T10:27:08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45"/>
    <n v="267"/>
    <m/>
    <m/>
    <m/>
    <x v="0"/>
    <n v="90"/>
    <s v="table2"/>
    <n v="19"/>
    <s v="250923_EPA_IntroDays_Overasselt"/>
    <n v="22"/>
    <n v="0"/>
    <s v=""/>
    <n v="0"/>
    <x v="0"/>
    <m/>
    <n v="0"/>
  </r>
  <r>
    <n v="1045"/>
    <d v="2025-09-23T10:27:08"/>
    <n v="90000"/>
    <n v="50000"/>
    <n v="0"/>
    <n v="13000"/>
    <n v="0"/>
    <n v="30000"/>
    <n v="15000"/>
    <n v="0"/>
    <n v="0"/>
    <n v="0"/>
    <n v="0"/>
    <n v="-3000"/>
    <n v="0"/>
    <n v="0"/>
    <n v="0"/>
    <n v="0"/>
    <n v="0"/>
    <n v="0"/>
    <n v="0"/>
    <n v="5"/>
    <n v="5"/>
    <n v="130000"/>
    <n v="0"/>
    <n v="0"/>
    <n v="0"/>
    <n v="160000"/>
    <n v="130000"/>
    <n v="117000"/>
    <m/>
    <m/>
    <n v="4"/>
    <n v="9"/>
    <n v="0"/>
    <n v="0"/>
    <n v="0"/>
    <n v="0"/>
    <s v="VIEW_SUMMARY"/>
    <n v="645"/>
    <n v="270"/>
    <m/>
    <n v="1286"/>
    <m/>
    <x v="1"/>
    <n v="90"/>
    <s v="table2"/>
    <n v="19"/>
    <s v="250923_EPA_IntroDays_Overasselt"/>
    <n v="22"/>
    <n v="13"/>
    <s v="(Dike-town)"/>
    <n v="1"/>
    <x v="0"/>
    <n v="0"/>
    <n v="0"/>
  </r>
  <r>
    <n v="1081"/>
    <d v="2025-09-23T10:27:08"/>
    <n v="90000"/>
    <n v="50000"/>
    <n v="3000"/>
    <n v="13000"/>
    <n v="0"/>
    <n v="0"/>
    <n v="15000"/>
    <n v="6000"/>
    <n v="0"/>
    <n v="0"/>
    <n v="4000"/>
    <n v="-1000"/>
    <n v="0"/>
    <n v="0"/>
    <n v="1"/>
    <n v="0"/>
    <n v="0"/>
    <n v="1"/>
    <n v="1"/>
    <n v="4"/>
    <n v="5"/>
    <n v="130000"/>
    <n v="130000"/>
    <n v="117000"/>
    <n v="0"/>
    <n v="0"/>
    <n v="130000"/>
    <n v="104000"/>
    <m/>
    <m/>
    <n v="4"/>
    <n v="9"/>
    <n v="0"/>
    <n v="0"/>
    <n v="1"/>
    <n v="0"/>
    <s v="VIEW_SUMMARY"/>
    <n v="645"/>
    <n v="274"/>
    <n v="1286"/>
    <n v="1286"/>
    <m/>
    <x v="2"/>
    <n v="90"/>
    <s v="table2"/>
    <n v="19"/>
    <s v="250923_EPA_IntroDays_Overasselt"/>
    <n v="22"/>
    <n v="13"/>
    <s v="(Dike-town)"/>
    <n v="2"/>
    <x v="0"/>
    <n v="1"/>
    <n v="4000"/>
  </r>
  <r>
    <n v="1098"/>
    <d v="2025-09-23T10:27:08"/>
    <n v="90000"/>
    <n v="50000"/>
    <n v="1000"/>
    <n v="13000"/>
    <n v="0"/>
    <n v="0"/>
    <n v="15000"/>
    <n v="8000"/>
    <n v="0"/>
    <n v="16000"/>
    <n v="0"/>
    <n v="-13000"/>
    <n v="0"/>
    <n v="0"/>
    <n v="1"/>
    <n v="0"/>
    <n v="5"/>
    <n v="0"/>
    <n v="1"/>
    <n v="-1"/>
    <n v="5"/>
    <n v="130000"/>
    <n v="130000"/>
    <n v="104000"/>
    <n v="0"/>
    <n v="0"/>
    <n v="130000"/>
    <n v="91000"/>
    <m/>
    <m/>
    <n v="4"/>
    <n v="9"/>
    <n v="-1"/>
    <n v="-2"/>
    <n v="1"/>
    <n v="0"/>
    <s v="VIEW_SUMMARY"/>
    <n v="645"/>
    <n v="277"/>
    <n v="1286"/>
    <n v="1286"/>
    <m/>
    <x v="3"/>
    <n v="90"/>
    <s v="table2"/>
    <n v="19"/>
    <s v="250923_EPA_IntroDays_Overasselt"/>
    <n v="22"/>
    <n v="13"/>
    <s v="(Dike-town)"/>
    <n v="3"/>
    <x v="0"/>
    <n v="1"/>
    <n v="16000"/>
  </r>
  <r>
    <n v="1126"/>
    <d v="2025-09-23T10:27:08"/>
    <n v="90000"/>
    <n v="50000"/>
    <n v="13000"/>
    <n v="13000"/>
    <n v="0"/>
    <n v="0"/>
    <n v="15000"/>
    <n v="0"/>
    <n v="0"/>
    <n v="0"/>
    <n v="4000"/>
    <n v="-5000"/>
    <n v="0"/>
    <n v="0"/>
    <n v="0"/>
    <n v="0"/>
    <n v="0"/>
    <n v="1"/>
    <n v="1"/>
    <n v="-3"/>
    <n v="5"/>
    <n v="130000"/>
    <n v="130000"/>
    <n v="91000"/>
    <n v="0"/>
    <n v="0"/>
    <n v="130000"/>
    <n v="78000"/>
    <m/>
    <m/>
    <n v="4"/>
    <n v="9"/>
    <n v="-2"/>
    <n v="-1"/>
    <n v="0"/>
    <n v="0"/>
    <s v="VIEW_SUMMARY"/>
    <n v="645"/>
    <n v="281"/>
    <n v="1286"/>
    <n v="1286"/>
    <m/>
    <x v="4"/>
    <n v="90"/>
    <s v="table2"/>
    <n v="19"/>
    <s v="250923_EPA_IntroDays_Overasselt"/>
    <n v="22"/>
    <n v="13"/>
    <s v="(Dike-town)"/>
    <n v="4"/>
    <x v="0"/>
    <n v="0"/>
    <n v="4000"/>
  </r>
  <r>
    <n v="1037"/>
    <d v="2025-09-23T10:45:04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46"/>
    <n v="267"/>
    <m/>
    <m/>
    <m/>
    <x v="0"/>
    <n v="90"/>
    <s v="table2"/>
    <n v="19"/>
    <s v="250923_EPA_IntroDays_Overasselt"/>
    <n v="22"/>
    <n v="0"/>
    <s v=""/>
    <n v="0"/>
    <x v="4"/>
    <m/>
    <n v="0"/>
  </r>
  <r>
    <n v="1046"/>
    <d v="2025-09-23T10:45:04"/>
    <n v="130000"/>
    <n v="75000"/>
    <n v="0"/>
    <n v="20000"/>
    <n v="0"/>
    <n v="0"/>
    <n v="15000"/>
    <n v="33000"/>
    <n v="25500"/>
    <n v="0"/>
    <n v="0"/>
    <n v="11500"/>
    <n v="0"/>
    <n v="-1"/>
    <n v="3"/>
    <n v="4"/>
    <n v="0"/>
    <n v="0"/>
    <n v="0"/>
    <n v="11"/>
    <n v="7"/>
    <n v="200000"/>
    <n v="0"/>
    <n v="0"/>
    <n v="0"/>
    <n v="200000"/>
    <n v="200000"/>
    <n v="180000"/>
    <m/>
    <m/>
    <n v="6"/>
    <n v="9"/>
    <n v="0"/>
    <n v="0"/>
    <n v="4"/>
    <n v="3"/>
    <s v="VIEW_SUMMARY"/>
    <n v="646"/>
    <n v="270"/>
    <m/>
    <n v="1282"/>
    <m/>
    <x v="1"/>
    <n v="90"/>
    <s v="table2"/>
    <n v="19"/>
    <s v="250923_EPA_IntroDays_Overasselt"/>
    <n v="22"/>
    <n v="15"/>
    <s v="(Natu-city)"/>
    <n v="1"/>
    <x v="4"/>
    <n v="7"/>
    <n v="0"/>
  </r>
  <r>
    <n v="1080"/>
    <d v="2025-09-23T10:45:04"/>
    <n v="130000"/>
    <n v="75000"/>
    <n v="0"/>
    <n v="20000"/>
    <n v="0"/>
    <n v="0"/>
    <n v="15000"/>
    <n v="0"/>
    <n v="0"/>
    <n v="0"/>
    <n v="4000"/>
    <n v="27500"/>
    <n v="0"/>
    <n v="0"/>
    <n v="0"/>
    <n v="0"/>
    <n v="0"/>
    <n v="1"/>
    <n v="0"/>
    <n v="10"/>
    <n v="7"/>
    <n v="200000"/>
    <n v="200000"/>
    <n v="180000"/>
    <n v="0"/>
    <n v="0"/>
    <n v="200000"/>
    <n v="160000"/>
    <m/>
    <m/>
    <n v="6"/>
    <n v="9"/>
    <n v="0"/>
    <n v="0"/>
    <n v="0"/>
    <n v="0"/>
    <s v="VIEW_SUMMARY"/>
    <n v="646"/>
    <n v="274"/>
    <n v="1282"/>
    <n v="1282"/>
    <m/>
    <x v="2"/>
    <n v="90"/>
    <s v="table2"/>
    <n v="19"/>
    <s v="250923_EPA_IntroDays_Overasselt"/>
    <n v="22"/>
    <n v="15"/>
    <s v="(Natu-city)"/>
    <n v="2"/>
    <x v="4"/>
    <n v="0"/>
    <n v="4000"/>
  </r>
  <r>
    <n v="1101"/>
    <d v="2025-09-23T10:45:04"/>
    <n v="130000"/>
    <n v="75000"/>
    <n v="0"/>
    <n v="20000"/>
    <n v="0"/>
    <n v="0"/>
    <n v="15000"/>
    <n v="0"/>
    <n v="0"/>
    <n v="16000"/>
    <n v="0"/>
    <n v="31500"/>
    <n v="0"/>
    <n v="0"/>
    <n v="0"/>
    <n v="0"/>
    <n v="5"/>
    <n v="0"/>
    <n v="0"/>
    <n v="5"/>
    <n v="7"/>
    <n v="200000"/>
    <n v="200000"/>
    <n v="160000"/>
    <n v="0"/>
    <n v="0"/>
    <n v="200000"/>
    <n v="140000"/>
    <m/>
    <m/>
    <n v="6"/>
    <n v="9"/>
    <n v="-1"/>
    <n v="-2"/>
    <n v="0"/>
    <n v="0"/>
    <s v="VIEW_SUMMARY"/>
    <n v="646"/>
    <n v="277"/>
    <n v="1282"/>
    <n v="1282"/>
    <m/>
    <x v="3"/>
    <n v="90"/>
    <s v="table2"/>
    <n v="19"/>
    <s v="250923_EPA_IntroDays_Overasselt"/>
    <n v="22"/>
    <n v="15"/>
    <s v="(Natu-city)"/>
    <n v="3"/>
    <x v="4"/>
    <n v="0"/>
    <n v="16000"/>
  </r>
  <r>
    <n v="1121"/>
    <d v="2025-09-23T10:45:04"/>
    <n v="130000"/>
    <n v="75000"/>
    <n v="0"/>
    <n v="20000"/>
    <n v="0"/>
    <n v="0"/>
    <n v="20000"/>
    <n v="0"/>
    <n v="0"/>
    <n v="0"/>
    <n v="4000"/>
    <n v="42500"/>
    <n v="0"/>
    <n v="0"/>
    <n v="0"/>
    <n v="0"/>
    <n v="0"/>
    <n v="1"/>
    <n v="0"/>
    <n v="4"/>
    <n v="7"/>
    <n v="200000"/>
    <n v="200000"/>
    <n v="140000"/>
    <n v="0"/>
    <n v="0"/>
    <n v="200000"/>
    <n v="120000"/>
    <m/>
    <m/>
    <n v="6"/>
    <n v="9"/>
    <n v="-2"/>
    <n v="-1"/>
    <n v="0"/>
    <n v="0"/>
    <s v="VIEW_SUMMARY"/>
    <n v="646"/>
    <n v="281"/>
    <n v="1282"/>
    <n v="1282"/>
    <m/>
    <x v="4"/>
    <n v="90"/>
    <s v="table2"/>
    <n v="19"/>
    <s v="250923_EPA_IntroDays_Overasselt"/>
    <n v="22"/>
    <n v="15"/>
    <s v="(Natu-city)"/>
    <n v="4"/>
    <x v="4"/>
    <n v="0"/>
    <n v="4000"/>
  </r>
  <r>
    <n v="1031"/>
    <d v="2025-09-23T10:30:14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47"/>
    <n v="267"/>
    <m/>
    <m/>
    <m/>
    <x v="0"/>
    <n v="90"/>
    <s v="table2"/>
    <n v="19"/>
    <s v="250923_EPA_IntroDays_Overasselt"/>
    <n v="22"/>
    <n v="0"/>
    <s v=""/>
    <n v="0"/>
    <x v="5"/>
    <m/>
    <n v="0"/>
  </r>
  <r>
    <n v="1047"/>
    <d v="2025-09-23T10:30:14"/>
    <n v="190000"/>
    <n v="115000"/>
    <n v="0"/>
    <n v="30000"/>
    <n v="0"/>
    <n v="0"/>
    <n v="15000"/>
    <n v="14000"/>
    <n v="21000"/>
    <n v="0"/>
    <n v="0"/>
    <n v="75000"/>
    <n v="0"/>
    <n v="0"/>
    <n v="2"/>
    <n v="2"/>
    <n v="0"/>
    <n v="0"/>
    <n v="0"/>
    <n v="9"/>
    <n v="8"/>
    <n v="300000"/>
    <n v="0"/>
    <n v="0"/>
    <n v="0"/>
    <n v="300000"/>
    <n v="300000"/>
    <n v="270000"/>
    <m/>
    <m/>
    <n v="4"/>
    <n v="9"/>
    <n v="0"/>
    <n v="0"/>
    <n v="2"/>
    <n v="0"/>
    <s v="VIEW_SUMMARY"/>
    <n v="647"/>
    <n v="270"/>
    <m/>
    <n v="1284"/>
    <m/>
    <x v="1"/>
    <n v="90"/>
    <s v="table2"/>
    <n v="19"/>
    <s v="250923_EPA_IntroDays_Overasselt"/>
    <n v="22"/>
    <n v="13"/>
    <s v="(Dike-town)"/>
    <n v="1"/>
    <x v="5"/>
    <n v="2"/>
    <n v="0"/>
  </r>
  <r>
    <n v="1082"/>
    <d v="2025-09-23T10:30:14"/>
    <n v="190000"/>
    <n v="115000"/>
    <n v="0"/>
    <n v="30000"/>
    <n v="0"/>
    <n v="0"/>
    <n v="15000"/>
    <n v="19000"/>
    <n v="17000"/>
    <n v="0"/>
    <n v="4000"/>
    <n v="65000"/>
    <n v="0"/>
    <n v="0"/>
    <n v="1"/>
    <n v="2"/>
    <n v="0"/>
    <n v="1"/>
    <n v="0"/>
    <n v="11"/>
    <n v="8"/>
    <n v="300000"/>
    <n v="300000"/>
    <n v="270000"/>
    <n v="0"/>
    <n v="0"/>
    <n v="300000"/>
    <n v="240000"/>
    <m/>
    <m/>
    <n v="4"/>
    <n v="9"/>
    <n v="0"/>
    <n v="0"/>
    <n v="2"/>
    <n v="3"/>
    <s v="VIEW_SUMMARY"/>
    <n v="647"/>
    <n v="274"/>
    <n v="1284"/>
    <n v="1284"/>
    <m/>
    <x v="2"/>
    <n v="90"/>
    <s v="table2"/>
    <n v="19"/>
    <s v="250923_EPA_IntroDays_Overasselt"/>
    <n v="22"/>
    <n v="13"/>
    <s v="(Dike-town)"/>
    <n v="2"/>
    <x v="5"/>
    <n v="5"/>
    <n v="4000"/>
  </r>
  <r>
    <n v="1100"/>
    <d v="2025-09-23T10:30:14"/>
    <n v="190000"/>
    <n v="115000"/>
    <n v="0"/>
    <n v="30000"/>
    <n v="0"/>
    <n v="0"/>
    <n v="15000"/>
    <n v="0"/>
    <n v="0"/>
    <n v="16000"/>
    <n v="4000"/>
    <n v="75000"/>
    <n v="0"/>
    <n v="0"/>
    <n v="0"/>
    <n v="0"/>
    <n v="5"/>
    <n v="1"/>
    <n v="0"/>
    <n v="5"/>
    <n v="8"/>
    <n v="300000"/>
    <n v="300000"/>
    <n v="240000"/>
    <n v="0"/>
    <n v="0"/>
    <n v="300000"/>
    <n v="210000"/>
    <m/>
    <m/>
    <n v="4"/>
    <n v="9"/>
    <n v="-1"/>
    <n v="-2"/>
    <n v="0"/>
    <n v="0"/>
    <s v="VIEW_SUMMARY"/>
    <n v="647"/>
    <n v="277"/>
    <n v="1284"/>
    <n v="1284"/>
    <m/>
    <x v="3"/>
    <n v="90"/>
    <s v="table2"/>
    <n v="19"/>
    <s v="250923_EPA_IntroDays_Overasselt"/>
    <n v="22"/>
    <n v="13"/>
    <s v="(Dike-town)"/>
    <n v="3"/>
    <x v="5"/>
    <n v="0"/>
    <n v="20000"/>
  </r>
  <r>
    <n v="1124"/>
    <d v="2025-09-23T10:30:14"/>
    <n v="190000"/>
    <n v="115000"/>
    <n v="0"/>
    <n v="30000"/>
    <n v="190000"/>
    <n v="125000"/>
    <n v="20000"/>
    <n v="15000"/>
    <n v="0"/>
    <n v="0"/>
    <n v="0"/>
    <n v="150000"/>
    <n v="1"/>
    <n v="1"/>
    <n v="2"/>
    <n v="0"/>
    <n v="0"/>
    <n v="0"/>
    <n v="0"/>
    <n v="7"/>
    <n v="8"/>
    <n v="300000"/>
    <n v="300000"/>
    <n v="210000"/>
    <n v="400000"/>
    <n v="425000"/>
    <n v="300000"/>
    <n v="270000"/>
    <n v="35"/>
    <m/>
    <n v="6"/>
    <n v="9"/>
    <n v="-2"/>
    <n v="-1"/>
    <n v="4"/>
    <n v="3"/>
    <s v="VIEW_SUMMARY"/>
    <n v="647"/>
    <n v="281"/>
    <n v="1284"/>
    <n v="1347"/>
    <m/>
    <x v="4"/>
    <n v="90"/>
    <s v="table2"/>
    <n v="19"/>
    <s v="250923_EPA_IntroDays_Overasselt"/>
    <n v="22"/>
    <n v="15"/>
    <s v="(Natu-city)"/>
    <n v="4"/>
    <x v="5"/>
    <n v="7"/>
    <n v="0"/>
  </r>
  <r>
    <n v="1055"/>
    <d v="2025-09-23T10:46:58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50"/>
    <n v="268"/>
    <m/>
    <m/>
    <m/>
    <x v="0"/>
    <n v="91"/>
    <s v="table3"/>
    <n v="19"/>
    <s v="250923_EPA_IntroDays_Overasselt"/>
    <n v="22"/>
    <n v="0"/>
    <s v=""/>
    <n v="0"/>
    <x v="0"/>
    <m/>
    <n v="0"/>
  </r>
  <r>
    <n v="1064"/>
    <d v="2025-09-23T10:46:58"/>
    <n v="75000"/>
    <n v="40000"/>
    <n v="0"/>
    <n v="7000"/>
    <n v="0"/>
    <n v="0"/>
    <n v="20000"/>
    <n v="1000"/>
    <n v="3150"/>
    <n v="0"/>
    <n v="4000"/>
    <n v="4850"/>
    <n v="0"/>
    <n v="-2"/>
    <n v="0"/>
    <n v="1"/>
    <n v="1"/>
    <n v="1"/>
    <n v="0"/>
    <n v="2"/>
    <n v="4"/>
    <n v="110000"/>
    <n v="0"/>
    <n v="0"/>
    <n v="0"/>
    <n v="70000"/>
    <n v="70000"/>
    <n v="63000"/>
    <m/>
    <m/>
    <n v="6"/>
    <n v="6"/>
    <n v="0"/>
    <n v="0"/>
    <n v="0"/>
    <n v="1"/>
    <s v="VIEW_SUMMARY"/>
    <n v="650"/>
    <n v="272"/>
    <m/>
    <n v="1324"/>
    <m/>
    <x v="1"/>
    <n v="91"/>
    <s v="table3"/>
    <n v="19"/>
    <s v="250923_EPA_IntroDays_Overasselt"/>
    <n v="22"/>
    <n v="12"/>
    <s v="(U-village)"/>
    <n v="1"/>
    <x v="0"/>
    <n v="1"/>
    <n v="4000"/>
  </r>
  <r>
    <n v="1087"/>
    <d v="2025-09-23T10:46:58"/>
    <n v="75000"/>
    <n v="40000"/>
    <n v="0"/>
    <n v="7000"/>
    <n v="0"/>
    <n v="0"/>
    <n v="20000"/>
    <n v="0"/>
    <n v="3500"/>
    <n v="0"/>
    <n v="4000"/>
    <n v="5350"/>
    <n v="0"/>
    <n v="0"/>
    <n v="0"/>
    <n v="2"/>
    <n v="0"/>
    <n v="1"/>
    <n v="0"/>
    <n v="3"/>
    <n v="4"/>
    <n v="110000"/>
    <n v="70000"/>
    <n v="63000"/>
    <n v="0"/>
    <n v="0"/>
    <n v="70000"/>
    <n v="56000"/>
    <m/>
    <m/>
    <n v="6"/>
    <n v="6"/>
    <n v="0"/>
    <n v="0"/>
    <n v="0"/>
    <n v="0"/>
    <s v="VIEW_SUMMARY"/>
    <n v="650"/>
    <n v="275"/>
    <n v="1324"/>
    <n v="1324"/>
    <m/>
    <x v="2"/>
    <n v="91"/>
    <s v="table3"/>
    <n v="19"/>
    <s v="250923_EPA_IntroDays_Overasselt"/>
    <n v="22"/>
    <n v="12"/>
    <s v="(U-village)"/>
    <n v="2"/>
    <x v="0"/>
    <n v="0"/>
    <n v="4000"/>
  </r>
  <r>
    <n v="1113"/>
    <d v="2025-09-23T10:46:58"/>
    <n v="75000"/>
    <n v="40000"/>
    <n v="0"/>
    <n v="7000"/>
    <n v="0"/>
    <n v="0"/>
    <n v="20000"/>
    <n v="8000"/>
    <n v="0"/>
    <n v="24000"/>
    <n v="0"/>
    <n v="-18650"/>
    <n v="0"/>
    <n v="0"/>
    <n v="1"/>
    <n v="0"/>
    <n v="7"/>
    <n v="0"/>
    <n v="0"/>
    <n v="-3"/>
    <n v="4"/>
    <n v="110000"/>
    <n v="70000"/>
    <n v="56000"/>
    <n v="0"/>
    <n v="0"/>
    <n v="70000"/>
    <n v="49000"/>
    <m/>
    <m/>
    <n v="6"/>
    <n v="6"/>
    <n v="-1"/>
    <n v="-2"/>
    <n v="1"/>
    <n v="1"/>
    <s v="VIEW_SUMMARY"/>
    <n v="650"/>
    <n v="279"/>
    <n v="1324"/>
    <n v="1324"/>
    <m/>
    <x v="3"/>
    <n v="91"/>
    <s v="table3"/>
    <n v="19"/>
    <s v="250923_EPA_IntroDays_Overasselt"/>
    <n v="22"/>
    <n v="12"/>
    <s v="(U-village)"/>
    <n v="3"/>
    <x v="0"/>
    <n v="2"/>
    <n v="24000"/>
  </r>
  <r>
    <n v="1137"/>
    <d v="2025-09-23T10:46:58"/>
    <n v="75000"/>
    <n v="40000"/>
    <n v="18650"/>
    <n v="7000"/>
    <n v="0"/>
    <n v="0"/>
    <n v="20000"/>
    <n v="0"/>
    <n v="0"/>
    <n v="16000"/>
    <n v="0"/>
    <n v="-26650"/>
    <n v="0"/>
    <n v="0"/>
    <n v="0"/>
    <n v="0"/>
    <n v="5"/>
    <n v="0"/>
    <n v="1"/>
    <n v="-9"/>
    <n v="4"/>
    <n v="110000"/>
    <n v="70000"/>
    <n v="49000"/>
    <n v="0"/>
    <n v="0"/>
    <n v="70000"/>
    <n v="42000"/>
    <m/>
    <m/>
    <n v="6"/>
    <n v="6"/>
    <n v="-2"/>
    <n v="-1"/>
    <n v="0"/>
    <n v="0"/>
    <s v="VIEW_SUMMARY"/>
    <n v="650"/>
    <n v="283"/>
    <n v="1324"/>
    <n v="1324"/>
    <m/>
    <x v="4"/>
    <n v="91"/>
    <s v="table3"/>
    <n v="19"/>
    <s v="250923_EPA_IntroDays_Overasselt"/>
    <n v="22"/>
    <n v="12"/>
    <s v="(U-village)"/>
    <n v="4"/>
    <x v="0"/>
    <n v="0"/>
    <n v="16000"/>
  </r>
  <r>
    <n v="1048"/>
    <d v="2025-09-23T10:46:41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51"/>
    <n v="268"/>
    <m/>
    <m/>
    <m/>
    <x v="0"/>
    <n v="91"/>
    <s v="table3"/>
    <n v="19"/>
    <s v="250923_EPA_IntroDays_Overasselt"/>
    <n v="22"/>
    <n v="0"/>
    <s v=""/>
    <n v="0"/>
    <x v="1"/>
    <m/>
    <n v="0"/>
  </r>
  <r>
    <n v="1066"/>
    <d v="2025-09-23T10:46:41"/>
    <n v="110000"/>
    <n v="60000"/>
    <n v="0"/>
    <n v="17000"/>
    <n v="0"/>
    <n v="30000"/>
    <n v="20000"/>
    <n v="9000"/>
    <n v="4000"/>
    <n v="0"/>
    <n v="4000"/>
    <n v="-4000"/>
    <n v="0"/>
    <n v="0"/>
    <n v="1"/>
    <n v="0"/>
    <n v="0"/>
    <n v="1"/>
    <n v="0"/>
    <n v="5"/>
    <n v="6"/>
    <n v="170000"/>
    <n v="0"/>
    <n v="0"/>
    <n v="0"/>
    <n v="200000"/>
    <n v="170000"/>
    <n v="153000"/>
    <m/>
    <m/>
    <n v="6"/>
    <n v="9"/>
    <n v="0"/>
    <n v="0"/>
    <n v="1"/>
    <n v="2"/>
    <s v="VIEW_SUMMARY"/>
    <n v="651"/>
    <n v="272"/>
    <m/>
    <n v="1311"/>
    <m/>
    <x v="1"/>
    <n v="91"/>
    <s v="table3"/>
    <n v="19"/>
    <s v="250923_EPA_IntroDays_Overasselt"/>
    <n v="22"/>
    <n v="15"/>
    <s v="(Natu-city)"/>
    <n v="1"/>
    <x v="1"/>
    <n v="3"/>
    <n v="4000"/>
  </r>
  <r>
    <n v="1088"/>
    <d v="2025-09-23T10:46:41"/>
    <n v="110000"/>
    <n v="60000"/>
    <n v="4000"/>
    <n v="17000"/>
    <n v="0"/>
    <n v="0"/>
    <n v="20000"/>
    <n v="0"/>
    <n v="0"/>
    <n v="0"/>
    <n v="4000"/>
    <n v="5000"/>
    <n v="0"/>
    <n v="0"/>
    <n v="0"/>
    <n v="0"/>
    <n v="0"/>
    <n v="1"/>
    <n v="1"/>
    <n v="3"/>
    <n v="6"/>
    <n v="170000"/>
    <n v="170000"/>
    <n v="153000"/>
    <n v="0"/>
    <n v="0"/>
    <n v="170000"/>
    <n v="136000"/>
    <m/>
    <m/>
    <n v="6"/>
    <n v="9"/>
    <n v="0"/>
    <n v="0"/>
    <n v="0"/>
    <n v="0"/>
    <s v="VIEW_SUMMARY"/>
    <n v="651"/>
    <n v="275"/>
    <n v="1311"/>
    <n v="1311"/>
    <m/>
    <x v="2"/>
    <n v="91"/>
    <s v="table3"/>
    <n v="19"/>
    <s v="250923_EPA_IntroDays_Overasselt"/>
    <n v="22"/>
    <n v="15"/>
    <s v="(Natu-city)"/>
    <n v="2"/>
    <x v="1"/>
    <n v="0"/>
    <n v="4000"/>
  </r>
  <r>
    <n v="1104"/>
    <d v="2025-09-23T10:46:41"/>
    <n v="110000"/>
    <n v="60000"/>
    <n v="0"/>
    <n v="17000"/>
    <n v="0"/>
    <n v="0"/>
    <n v="20000"/>
    <n v="6000"/>
    <n v="0"/>
    <n v="16000"/>
    <n v="0"/>
    <n v="-4000"/>
    <n v="0"/>
    <n v="0"/>
    <n v="1"/>
    <n v="0"/>
    <n v="5"/>
    <n v="0"/>
    <n v="0"/>
    <n v="-1"/>
    <n v="6"/>
    <n v="170000"/>
    <n v="170000"/>
    <n v="136000"/>
    <n v="0"/>
    <n v="0"/>
    <n v="170000"/>
    <n v="119000"/>
    <m/>
    <m/>
    <n v="6"/>
    <n v="9"/>
    <n v="-1"/>
    <n v="-2"/>
    <n v="1"/>
    <n v="0"/>
    <s v="VIEW_SUMMARY"/>
    <n v="651"/>
    <n v="279"/>
    <n v="1311"/>
    <n v="1311"/>
    <m/>
    <x v="3"/>
    <n v="91"/>
    <s v="table3"/>
    <n v="19"/>
    <s v="250923_EPA_IntroDays_Overasselt"/>
    <n v="22"/>
    <n v="15"/>
    <s v="(Natu-city)"/>
    <n v="3"/>
    <x v="1"/>
    <n v="1"/>
    <n v="16000"/>
  </r>
  <r>
    <n v="1138"/>
    <d v="2025-09-23T10:46:41"/>
    <n v="110000"/>
    <n v="60000"/>
    <n v="4000"/>
    <n v="17000"/>
    <n v="0"/>
    <n v="0"/>
    <n v="30000"/>
    <n v="0"/>
    <n v="0"/>
    <n v="4000"/>
    <n v="0"/>
    <n v="-5000"/>
    <n v="0"/>
    <n v="0"/>
    <n v="0"/>
    <n v="0"/>
    <n v="2"/>
    <n v="0"/>
    <n v="1"/>
    <n v="-4"/>
    <n v="6"/>
    <n v="170000"/>
    <n v="170000"/>
    <n v="119000"/>
    <n v="0"/>
    <n v="0"/>
    <n v="170000"/>
    <n v="102000"/>
    <m/>
    <m/>
    <n v="6"/>
    <n v="9"/>
    <n v="-2"/>
    <n v="-1"/>
    <n v="0"/>
    <n v="0"/>
    <s v="VIEW_SUMMARY"/>
    <n v="651"/>
    <n v="283"/>
    <n v="1311"/>
    <n v="1311"/>
    <m/>
    <x v="4"/>
    <n v="91"/>
    <s v="table3"/>
    <n v="19"/>
    <s v="250923_EPA_IntroDays_Overasselt"/>
    <n v="22"/>
    <n v="15"/>
    <s v="(Natu-city)"/>
    <n v="4"/>
    <x v="1"/>
    <n v="0"/>
    <n v="4000"/>
  </r>
  <r>
    <n v="1041"/>
    <d v="2025-09-23T10:45:24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52"/>
    <n v="268"/>
    <m/>
    <m/>
    <m/>
    <x v="0"/>
    <n v="91"/>
    <s v="table3"/>
    <n v="19"/>
    <s v="250923_EPA_IntroDays_Overasselt"/>
    <n v="22"/>
    <n v="0"/>
    <s v=""/>
    <n v="0"/>
    <x v="2"/>
    <m/>
    <n v="0"/>
  </r>
  <r>
    <n v="1065"/>
    <d v="2025-09-23T10:45:24"/>
    <n v="60000"/>
    <n v="30000"/>
    <n v="0"/>
    <n v="8000"/>
    <n v="0"/>
    <n v="20000"/>
    <n v="20000"/>
    <n v="0"/>
    <n v="0"/>
    <n v="0"/>
    <n v="4000"/>
    <n v="-22000"/>
    <n v="0"/>
    <n v="0"/>
    <n v="0"/>
    <n v="0"/>
    <n v="0"/>
    <n v="1"/>
    <n v="0"/>
    <n v="4"/>
    <n v="3"/>
    <n v="80000"/>
    <n v="0"/>
    <n v="0"/>
    <n v="0"/>
    <n v="100000"/>
    <n v="80000"/>
    <n v="72000"/>
    <m/>
    <m/>
    <n v="6"/>
    <n v="9"/>
    <n v="0"/>
    <n v="0"/>
    <n v="0"/>
    <n v="0"/>
    <s v="VIEW_SUMMARY"/>
    <n v="652"/>
    <n v="272"/>
    <m/>
    <n v="1313"/>
    <m/>
    <x v="1"/>
    <n v="91"/>
    <s v="table3"/>
    <n v="19"/>
    <s v="250923_EPA_IntroDays_Overasselt"/>
    <n v="22"/>
    <n v="15"/>
    <s v="(Natu-city)"/>
    <n v="1"/>
    <x v="2"/>
    <n v="0"/>
    <n v="4000"/>
  </r>
  <r>
    <n v="1083"/>
    <d v="2025-09-23T10:45:24"/>
    <n v="60000"/>
    <n v="30000"/>
    <n v="22000"/>
    <n v="8000"/>
    <n v="0"/>
    <n v="0"/>
    <n v="20000"/>
    <n v="0"/>
    <n v="0"/>
    <n v="0"/>
    <n v="4000"/>
    <n v="-24000"/>
    <n v="0"/>
    <n v="0"/>
    <n v="0"/>
    <n v="0"/>
    <n v="0"/>
    <n v="1"/>
    <n v="1"/>
    <n v="2"/>
    <n v="3"/>
    <n v="80000"/>
    <n v="80000"/>
    <n v="72000"/>
    <n v="0"/>
    <n v="0"/>
    <n v="80000"/>
    <n v="64000"/>
    <m/>
    <m/>
    <n v="6"/>
    <n v="9"/>
    <n v="0"/>
    <n v="0"/>
    <n v="0"/>
    <n v="0"/>
    <s v="VIEW_SUMMARY"/>
    <n v="652"/>
    <n v="275"/>
    <n v="1313"/>
    <n v="1313"/>
    <m/>
    <x v="2"/>
    <n v="91"/>
    <s v="table3"/>
    <n v="19"/>
    <s v="250923_EPA_IntroDays_Overasselt"/>
    <n v="22"/>
    <n v="15"/>
    <s v="(Natu-city)"/>
    <n v="2"/>
    <x v="2"/>
    <n v="0"/>
    <n v="4000"/>
  </r>
  <r>
    <n v="1109"/>
    <d v="2025-09-23T10:45:24"/>
    <n v="60000"/>
    <n v="30000"/>
    <n v="24000"/>
    <n v="8000"/>
    <n v="0"/>
    <n v="0"/>
    <n v="20000"/>
    <n v="0"/>
    <n v="0"/>
    <n v="16000"/>
    <n v="0"/>
    <n v="-38000"/>
    <n v="0"/>
    <n v="0"/>
    <n v="0"/>
    <n v="0"/>
    <n v="5"/>
    <n v="0"/>
    <n v="1"/>
    <n v="-4"/>
    <n v="3"/>
    <n v="80000"/>
    <n v="80000"/>
    <n v="64000"/>
    <n v="0"/>
    <n v="0"/>
    <n v="80000"/>
    <n v="56000"/>
    <m/>
    <m/>
    <n v="6"/>
    <n v="9"/>
    <n v="-1"/>
    <n v="-2"/>
    <n v="0"/>
    <n v="0"/>
    <s v="VIEW_SUMMARY"/>
    <n v="652"/>
    <n v="279"/>
    <n v="1313"/>
    <n v="1313"/>
    <m/>
    <x v="3"/>
    <n v="91"/>
    <s v="table3"/>
    <n v="19"/>
    <s v="250923_EPA_IntroDays_Overasselt"/>
    <n v="22"/>
    <n v="15"/>
    <s v="(Natu-city)"/>
    <n v="3"/>
    <x v="2"/>
    <n v="0"/>
    <n v="16000"/>
  </r>
  <r>
    <n v="1135"/>
    <d v="2025-09-23T10:45:24"/>
    <n v="60000"/>
    <n v="30000"/>
    <n v="30000"/>
    <n v="8000"/>
    <n v="0"/>
    <n v="0"/>
    <n v="30000"/>
    <n v="0"/>
    <n v="0"/>
    <n v="4000"/>
    <n v="0"/>
    <n v="-50000"/>
    <n v="0"/>
    <n v="0"/>
    <n v="0"/>
    <n v="0"/>
    <n v="2"/>
    <n v="0"/>
    <n v="1"/>
    <n v="-7"/>
    <n v="3"/>
    <n v="80000"/>
    <n v="80000"/>
    <n v="56000"/>
    <n v="0"/>
    <n v="0"/>
    <n v="80000"/>
    <n v="48000"/>
    <m/>
    <m/>
    <n v="6"/>
    <n v="9"/>
    <n v="-2"/>
    <n v="-1"/>
    <n v="0"/>
    <n v="0"/>
    <s v="VIEW_SUMMARY"/>
    <n v="652"/>
    <n v="283"/>
    <n v="1313"/>
    <n v="1313"/>
    <m/>
    <x v="4"/>
    <n v="91"/>
    <s v="table3"/>
    <n v="19"/>
    <s v="250923_EPA_IntroDays_Overasselt"/>
    <n v="22"/>
    <n v="15"/>
    <s v="(Natu-city)"/>
    <n v="4"/>
    <x v="2"/>
    <n v="0"/>
    <n v="4000"/>
  </r>
  <r>
    <n v="1044"/>
    <d v="2025-09-23T10:45:41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53"/>
    <n v="268"/>
    <m/>
    <m/>
    <m/>
    <x v="0"/>
    <n v="91"/>
    <s v="table3"/>
    <n v="19"/>
    <s v="250923_EPA_IntroDays_Overasselt"/>
    <n v="22"/>
    <n v="0"/>
    <s v=""/>
    <n v="0"/>
    <x v="3"/>
    <m/>
    <n v="0"/>
  </r>
  <r>
    <n v="1062"/>
    <d v="2025-09-23T10:45:41"/>
    <n v="90000"/>
    <n v="50000"/>
    <n v="0"/>
    <n v="12500"/>
    <n v="0"/>
    <n v="0"/>
    <n v="20000"/>
    <n v="8000"/>
    <n v="3125"/>
    <n v="4000"/>
    <n v="4000"/>
    <n v="3375"/>
    <n v="0"/>
    <n v="-1"/>
    <n v="1"/>
    <n v="1"/>
    <n v="2"/>
    <n v="1"/>
    <n v="0"/>
    <n v="3"/>
    <n v="5"/>
    <n v="130000"/>
    <n v="0"/>
    <n v="0"/>
    <n v="0"/>
    <n v="125000"/>
    <n v="125000"/>
    <n v="112500"/>
    <m/>
    <m/>
    <n v="6"/>
    <n v="6"/>
    <n v="0"/>
    <n v="0"/>
    <n v="1"/>
    <n v="0"/>
    <s v="VIEW_SUMMARY"/>
    <n v="653"/>
    <n v="272"/>
    <m/>
    <n v="1321"/>
    <m/>
    <x v="1"/>
    <n v="91"/>
    <s v="table3"/>
    <n v="19"/>
    <s v="250923_EPA_IntroDays_Overasselt"/>
    <n v="22"/>
    <n v="12"/>
    <s v="(U-village)"/>
    <n v="1"/>
    <x v="3"/>
    <n v="1"/>
    <n v="8000"/>
  </r>
  <r>
    <n v="1086"/>
    <d v="2025-09-23T10:45:41"/>
    <n v="90000"/>
    <n v="50000"/>
    <n v="0"/>
    <n v="12500"/>
    <n v="0"/>
    <n v="0"/>
    <n v="20000"/>
    <n v="8000"/>
    <n v="0"/>
    <n v="0"/>
    <n v="4000"/>
    <n v="-1125"/>
    <n v="0"/>
    <n v="0"/>
    <n v="1"/>
    <n v="0"/>
    <n v="0"/>
    <n v="1"/>
    <n v="0"/>
    <n v="3"/>
    <n v="5"/>
    <n v="130000"/>
    <n v="125000"/>
    <n v="112500"/>
    <n v="0"/>
    <n v="0"/>
    <n v="125000"/>
    <n v="100000"/>
    <m/>
    <m/>
    <n v="6"/>
    <n v="6"/>
    <n v="0"/>
    <n v="0"/>
    <n v="1"/>
    <n v="1"/>
    <s v="VIEW_SUMMARY"/>
    <n v="653"/>
    <n v="275"/>
    <n v="1321"/>
    <n v="1321"/>
    <m/>
    <x v="2"/>
    <n v="91"/>
    <s v="table3"/>
    <n v="19"/>
    <s v="250923_EPA_IntroDays_Overasselt"/>
    <n v="22"/>
    <n v="12"/>
    <s v="(U-village)"/>
    <n v="2"/>
    <x v="3"/>
    <n v="2"/>
    <n v="4000"/>
  </r>
  <r>
    <n v="1103"/>
    <d v="2025-09-23T10:45:41"/>
    <n v="90000"/>
    <n v="50000"/>
    <n v="1125"/>
    <n v="12500"/>
    <n v="0"/>
    <n v="0"/>
    <n v="20000"/>
    <n v="0"/>
    <n v="0"/>
    <n v="28000"/>
    <n v="0"/>
    <n v="-21625"/>
    <n v="0"/>
    <n v="0"/>
    <n v="0"/>
    <n v="0"/>
    <n v="8"/>
    <n v="0"/>
    <n v="1"/>
    <n v="-6"/>
    <n v="5"/>
    <n v="130000"/>
    <n v="125000"/>
    <n v="100000"/>
    <n v="0"/>
    <n v="0"/>
    <n v="125000"/>
    <n v="87500"/>
    <m/>
    <m/>
    <n v="6"/>
    <n v="6"/>
    <n v="-1"/>
    <n v="-2"/>
    <n v="0"/>
    <n v="0"/>
    <s v="VIEW_SUMMARY"/>
    <n v="653"/>
    <n v="279"/>
    <n v="1321"/>
    <n v="1321"/>
    <m/>
    <x v="3"/>
    <n v="91"/>
    <s v="table3"/>
    <n v="19"/>
    <s v="250923_EPA_IntroDays_Overasselt"/>
    <n v="22"/>
    <n v="12"/>
    <s v="(U-village)"/>
    <n v="3"/>
    <x v="3"/>
    <n v="0"/>
    <n v="28000"/>
  </r>
  <r>
    <n v="1134"/>
    <d v="2025-09-23T10:45:41"/>
    <n v="90000"/>
    <n v="50000"/>
    <n v="21625"/>
    <n v="12500"/>
    <n v="0"/>
    <n v="0"/>
    <n v="20000"/>
    <n v="0"/>
    <n v="0"/>
    <n v="16000"/>
    <n v="0"/>
    <n v="-30125"/>
    <n v="0"/>
    <n v="0"/>
    <n v="0"/>
    <n v="0"/>
    <n v="5"/>
    <n v="0"/>
    <n v="1"/>
    <n v="-12"/>
    <n v="5"/>
    <n v="130000"/>
    <n v="125000"/>
    <n v="87500"/>
    <n v="0"/>
    <n v="0"/>
    <n v="125000"/>
    <n v="75000"/>
    <m/>
    <m/>
    <n v="6"/>
    <n v="6"/>
    <n v="-2"/>
    <n v="-1"/>
    <n v="0"/>
    <n v="0"/>
    <s v="VIEW_SUMMARY"/>
    <n v="653"/>
    <n v="283"/>
    <n v="1321"/>
    <n v="1321"/>
    <m/>
    <x v="4"/>
    <n v="91"/>
    <s v="table3"/>
    <n v="19"/>
    <s v="250923_EPA_IntroDays_Overasselt"/>
    <n v="22"/>
    <n v="12"/>
    <s v="(U-village)"/>
    <n v="4"/>
    <x v="3"/>
    <n v="0"/>
    <n v="16000"/>
  </r>
  <r>
    <n v="1040"/>
    <d v="2025-09-23T10:45:23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54"/>
    <n v="268"/>
    <m/>
    <m/>
    <m/>
    <x v="0"/>
    <n v="91"/>
    <s v="table3"/>
    <n v="19"/>
    <s v="250923_EPA_IntroDays_Overasselt"/>
    <n v="22"/>
    <n v="0"/>
    <s v=""/>
    <n v="0"/>
    <x v="4"/>
    <m/>
    <n v="0"/>
  </r>
  <r>
    <n v="1067"/>
    <d v="2025-09-23T10:45:23"/>
    <n v="130000"/>
    <n v="75000"/>
    <n v="0"/>
    <n v="20000"/>
    <n v="0"/>
    <n v="100000"/>
    <n v="20000"/>
    <n v="0"/>
    <n v="0"/>
    <n v="0"/>
    <n v="4000"/>
    <n v="-39000"/>
    <n v="0"/>
    <n v="1"/>
    <n v="0"/>
    <n v="0"/>
    <n v="0"/>
    <n v="1"/>
    <n v="0"/>
    <n v="5"/>
    <n v="7"/>
    <n v="200000"/>
    <n v="0"/>
    <n v="0"/>
    <n v="0"/>
    <n v="300000"/>
    <n v="200000"/>
    <n v="180000"/>
    <m/>
    <m/>
    <n v="4"/>
    <n v="9"/>
    <n v="0"/>
    <n v="0"/>
    <n v="0"/>
    <n v="0"/>
    <s v="VIEW_SUMMARY"/>
    <n v="654"/>
    <n v="272"/>
    <m/>
    <n v="1315"/>
    <m/>
    <x v="1"/>
    <n v="91"/>
    <s v="table3"/>
    <n v="19"/>
    <s v="250923_EPA_IntroDays_Overasselt"/>
    <n v="22"/>
    <n v="13"/>
    <s v="(Dike-town)"/>
    <n v="1"/>
    <x v="4"/>
    <n v="0"/>
    <n v="4000"/>
  </r>
  <r>
    <n v="1084"/>
    <d v="2025-09-23T10:45:23"/>
    <n v="130000"/>
    <n v="75000"/>
    <n v="39000"/>
    <n v="20000"/>
    <n v="0"/>
    <n v="0"/>
    <n v="20000"/>
    <n v="0"/>
    <n v="0"/>
    <n v="0"/>
    <n v="4000"/>
    <n v="-28000"/>
    <n v="0"/>
    <n v="0"/>
    <n v="0"/>
    <n v="0"/>
    <n v="0"/>
    <n v="1"/>
    <n v="1"/>
    <n v="3"/>
    <n v="7"/>
    <n v="200000"/>
    <n v="200000"/>
    <n v="180000"/>
    <n v="0"/>
    <n v="0"/>
    <n v="200000"/>
    <n v="160000"/>
    <m/>
    <m/>
    <n v="4"/>
    <n v="9"/>
    <n v="0"/>
    <n v="0"/>
    <n v="0"/>
    <n v="0"/>
    <s v="VIEW_SUMMARY"/>
    <n v="654"/>
    <n v="275"/>
    <n v="1315"/>
    <n v="1315"/>
    <m/>
    <x v="2"/>
    <n v="91"/>
    <s v="table3"/>
    <n v="19"/>
    <s v="250923_EPA_IntroDays_Overasselt"/>
    <n v="22"/>
    <n v="13"/>
    <s v="(Dike-town)"/>
    <n v="2"/>
    <x v="4"/>
    <n v="0"/>
    <n v="4000"/>
  </r>
  <r>
    <n v="1110"/>
    <d v="2025-09-23T10:45:23"/>
    <n v="130000"/>
    <n v="75000"/>
    <n v="28000"/>
    <n v="20000"/>
    <n v="0"/>
    <n v="0"/>
    <n v="20000"/>
    <n v="0"/>
    <n v="0"/>
    <n v="16000"/>
    <n v="0"/>
    <n v="-29000"/>
    <n v="0"/>
    <n v="0"/>
    <n v="0"/>
    <n v="0"/>
    <n v="5"/>
    <n v="0"/>
    <n v="1"/>
    <n v="-3"/>
    <n v="7"/>
    <n v="200000"/>
    <n v="200000"/>
    <n v="160000"/>
    <n v="0"/>
    <n v="0"/>
    <n v="200000"/>
    <n v="140000"/>
    <m/>
    <m/>
    <n v="4"/>
    <n v="9"/>
    <n v="-1"/>
    <n v="-2"/>
    <n v="0"/>
    <n v="0"/>
    <s v="VIEW_SUMMARY"/>
    <n v="654"/>
    <n v="279"/>
    <n v="1315"/>
    <n v="1315"/>
    <m/>
    <x v="3"/>
    <n v="91"/>
    <s v="table3"/>
    <n v="19"/>
    <s v="250923_EPA_IntroDays_Overasselt"/>
    <n v="22"/>
    <n v="13"/>
    <s v="(Dike-town)"/>
    <n v="3"/>
    <x v="4"/>
    <n v="0"/>
    <n v="16000"/>
  </r>
  <r>
    <n v="1139"/>
    <d v="2025-09-23T10:45:23"/>
    <n v="130000"/>
    <n v="75000"/>
    <n v="29000"/>
    <n v="20000"/>
    <n v="160000"/>
    <n v="0"/>
    <n v="30000"/>
    <n v="23000"/>
    <n v="25500"/>
    <n v="0"/>
    <n v="0"/>
    <n v="87500"/>
    <n v="1"/>
    <n v="-1"/>
    <n v="3"/>
    <n v="4"/>
    <n v="1"/>
    <n v="0"/>
    <n v="1"/>
    <n v="0"/>
    <n v="7"/>
    <n v="200000"/>
    <n v="200000"/>
    <n v="140000"/>
    <n v="300000"/>
    <n v="200000"/>
    <n v="200000"/>
    <n v="180000"/>
    <n v="32"/>
    <m/>
    <n v="6"/>
    <n v="9"/>
    <n v="-2"/>
    <n v="-1"/>
    <n v="4"/>
    <n v="3"/>
    <s v="VIEW_SUMMARY"/>
    <n v="654"/>
    <n v="283"/>
    <n v="1315"/>
    <n v="1366"/>
    <m/>
    <x v="4"/>
    <n v="91"/>
    <s v="table3"/>
    <n v="19"/>
    <s v="250923_EPA_IntroDays_Overasselt"/>
    <n v="22"/>
    <n v="15"/>
    <s v="(Natu-city)"/>
    <n v="4"/>
    <x v="4"/>
    <n v="7"/>
    <n v="0"/>
  </r>
  <r>
    <n v="1035"/>
    <d v="2025-09-23T10:42:00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55"/>
    <n v="268"/>
    <m/>
    <m/>
    <m/>
    <x v="0"/>
    <n v="91"/>
    <s v="table3"/>
    <n v="19"/>
    <s v="250923_EPA_IntroDays_Overasselt"/>
    <n v="22"/>
    <n v="0"/>
    <s v=""/>
    <n v="0"/>
    <x v="5"/>
    <m/>
    <n v="0"/>
  </r>
  <r>
    <n v="1063"/>
    <d v="2025-09-23T10:42:00"/>
    <n v="190000"/>
    <n v="115000"/>
    <n v="0"/>
    <n v="30000"/>
    <n v="0"/>
    <n v="0"/>
    <n v="20000"/>
    <n v="10000"/>
    <n v="21000"/>
    <n v="0"/>
    <n v="4000"/>
    <n v="70000"/>
    <n v="0"/>
    <n v="0"/>
    <n v="0"/>
    <n v="2"/>
    <n v="0"/>
    <n v="1"/>
    <n v="0"/>
    <n v="6"/>
    <n v="8"/>
    <n v="300000"/>
    <n v="0"/>
    <n v="0"/>
    <n v="0"/>
    <n v="300000"/>
    <n v="300000"/>
    <n v="270000"/>
    <m/>
    <m/>
    <n v="4"/>
    <n v="9"/>
    <n v="0"/>
    <n v="0"/>
    <n v="1"/>
    <n v="1"/>
    <s v="VIEW_SUMMARY"/>
    <n v="655"/>
    <n v="272"/>
    <m/>
    <n v="1314"/>
    <m/>
    <x v="1"/>
    <n v="91"/>
    <s v="table3"/>
    <n v="19"/>
    <s v="250923_EPA_IntroDays_Overasselt"/>
    <n v="22"/>
    <n v="13"/>
    <s v="(Dike-town)"/>
    <n v="1"/>
    <x v="5"/>
    <n v="2"/>
    <n v="4000"/>
  </r>
  <r>
    <n v="1085"/>
    <d v="2025-09-23T10:42:00"/>
    <n v="190000"/>
    <n v="115000"/>
    <n v="0"/>
    <n v="30000"/>
    <n v="0"/>
    <n v="0"/>
    <n v="20000"/>
    <n v="9000"/>
    <n v="0"/>
    <n v="0"/>
    <n v="4000"/>
    <n v="82000"/>
    <n v="0"/>
    <n v="0"/>
    <n v="1"/>
    <n v="0"/>
    <n v="0"/>
    <n v="1"/>
    <n v="0"/>
    <n v="6"/>
    <n v="8"/>
    <n v="300000"/>
    <n v="300000"/>
    <n v="270000"/>
    <n v="0"/>
    <n v="0"/>
    <n v="300000"/>
    <n v="240000"/>
    <m/>
    <m/>
    <n v="4"/>
    <n v="9"/>
    <n v="0"/>
    <n v="0"/>
    <n v="1"/>
    <n v="1"/>
    <s v="VIEW_SUMMARY"/>
    <n v="655"/>
    <n v="275"/>
    <n v="1314"/>
    <n v="1314"/>
    <m/>
    <x v="2"/>
    <n v="91"/>
    <s v="table3"/>
    <n v="19"/>
    <s v="250923_EPA_IntroDays_Overasselt"/>
    <n v="22"/>
    <n v="13"/>
    <s v="(Dike-town)"/>
    <n v="2"/>
    <x v="5"/>
    <n v="2"/>
    <n v="4000"/>
  </r>
  <r>
    <n v="1106"/>
    <d v="2025-09-23T10:42:00"/>
    <n v="190000"/>
    <n v="115000"/>
    <n v="0"/>
    <n v="30000"/>
    <n v="0"/>
    <n v="0"/>
    <n v="20000"/>
    <n v="14000"/>
    <n v="0"/>
    <n v="12000"/>
    <n v="0"/>
    <n v="81000"/>
    <n v="0"/>
    <n v="0"/>
    <n v="2"/>
    <n v="0"/>
    <n v="4"/>
    <n v="0"/>
    <n v="0"/>
    <n v="4"/>
    <n v="8"/>
    <n v="300000"/>
    <n v="300000"/>
    <n v="240000"/>
    <n v="0"/>
    <n v="0"/>
    <n v="300000"/>
    <n v="210000"/>
    <m/>
    <m/>
    <n v="4"/>
    <n v="9"/>
    <n v="-1"/>
    <n v="-2"/>
    <n v="2"/>
    <n v="1"/>
    <s v="VIEW_SUMMARY"/>
    <n v="655"/>
    <n v="279"/>
    <n v="1314"/>
    <n v="1314"/>
    <m/>
    <x v="3"/>
    <n v="91"/>
    <s v="table3"/>
    <n v="19"/>
    <s v="250923_EPA_IntroDays_Overasselt"/>
    <n v="22"/>
    <n v="13"/>
    <s v="(Dike-town)"/>
    <n v="3"/>
    <x v="5"/>
    <n v="3"/>
    <n v="12000"/>
  </r>
  <r>
    <n v="1136"/>
    <d v="2025-09-23T10:42:00"/>
    <n v="190000"/>
    <n v="115000"/>
    <n v="0"/>
    <n v="30000"/>
    <n v="90000"/>
    <n v="125000"/>
    <n v="30000"/>
    <n v="15000"/>
    <n v="20125"/>
    <n v="0"/>
    <n v="0"/>
    <n v="25875"/>
    <n v="1"/>
    <n v="1"/>
    <n v="2"/>
    <n v="2"/>
    <n v="1"/>
    <n v="0"/>
    <n v="0"/>
    <n v="7"/>
    <n v="8"/>
    <n v="300000"/>
    <n v="300000"/>
    <n v="210000"/>
    <n v="300000"/>
    <n v="425000"/>
    <n v="300000"/>
    <n v="270000"/>
    <n v="34"/>
    <m/>
    <n v="6"/>
    <n v="9"/>
    <n v="-2"/>
    <n v="-1"/>
    <n v="4"/>
    <n v="3"/>
    <s v="VIEW_SUMMARY"/>
    <n v="655"/>
    <n v="283"/>
    <n v="1314"/>
    <n v="1367"/>
    <m/>
    <x v="4"/>
    <n v="91"/>
    <s v="table3"/>
    <n v="19"/>
    <s v="250923_EPA_IntroDays_Overasselt"/>
    <n v="22"/>
    <n v="15"/>
    <s v="(Natu-city)"/>
    <n v="4"/>
    <x v="5"/>
    <n v="7"/>
    <n v="0"/>
  </r>
  <r>
    <n v="1069"/>
    <d v="2025-09-23T10:48:27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58"/>
    <n v="266"/>
    <m/>
    <m/>
    <m/>
    <x v="0"/>
    <n v="92"/>
    <s v="table4"/>
    <n v="19"/>
    <s v="250923_EPA_IntroDays_Overasselt"/>
    <n v="22"/>
    <n v="0"/>
    <s v=""/>
    <n v="0"/>
    <x v="0"/>
    <m/>
    <n v="0"/>
  </r>
  <r>
    <n v="1073"/>
    <d v="2025-09-23T10:48:27"/>
    <n v="75000"/>
    <n v="40000"/>
    <n v="0"/>
    <n v="0"/>
    <n v="0"/>
    <n v="0"/>
    <n v="0"/>
    <n v="0"/>
    <n v="0"/>
    <n v="0"/>
    <n v="0"/>
    <n v="40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VIEW_BUY_HOUSE"/>
    <n v="658"/>
    <n v="273"/>
    <m/>
    <m/>
    <m/>
    <x v="1"/>
    <n v="92"/>
    <s v="table4"/>
    <n v="19"/>
    <s v="250923_EPA_IntroDays_Overasselt"/>
    <n v="22"/>
    <n v="0"/>
    <s v=""/>
    <n v="1"/>
    <x v="0"/>
    <n v="0"/>
    <n v="0"/>
  </r>
  <r>
    <n v="1057"/>
    <d v="2025-09-23T10:47:25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59"/>
    <n v="266"/>
    <m/>
    <m/>
    <m/>
    <x v="0"/>
    <n v="92"/>
    <s v="table4"/>
    <n v="19"/>
    <s v="250923_EPA_IntroDays_Overasselt"/>
    <n v="22"/>
    <n v="0"/>
    <s v=""/>
    <n v="0"/>
    <x v="1"/>
    <m/>
    <n v="0"/>
  </r>
  <r>
    <n v="1074"/>
    <d v="2025-09-23T10:47:25"/>
    <n v="110000"/>
    <n v="60000"/>
    <n v="0"/>
    <n v="16000"/>
    <n v="0"/>
    <n v="0"/>
    <n v="15000"/>
    <n v="18000"/>
    <n v="8000"/>
    <n v="0"/>
    <n v="0"/>
    <n v="23000"/>
    <n v="0"/>
    <n v="-1"/>
    <n v="1"/>
    <n v="2"/>
    <n v="0"/>
    <n v="0"/>
    <n v="0"/>
    <n v="7"/>
    <n v="6"/>
    <n v="170000"/>
    <n v="0"/>
    <n v="0"/>
    <n v="0"/>
    <n v="160000"/>
    <n v="160000"/>
    <n v="144000"/>
    <m/>
    <m/>
    <n v="4"/>
    <n v="9"/>
    <n v="0"/>
    <n v="0"/>
    <n v="2"/>
    <n v="2"/>
    <s v="VIEW_SUMMARY"/>
    <n v="659"/>
    <n v="273"/>
    <m/>
    <n v="1331"/>
    <m/>
    <x v="1"/>
    <n v="92"/>
    <s v="table4"/>
    <n v="19"/>
    <s v="250923_EPA_IntroDays_Overasselt"/>
    <n v="22"/>
    <n v="13"/>
    <s v="(Dike-town)"/>
    <n v="1"/>
    <x v="1"/>
    <n v="4"/>
    <n v="0"/>
  </r>
  <r>
    <n v="1117"/>
    <d v="2025-09-23T10:47:25"/>
    <n v="110000"/>
    <n v="60000"/>
    <n v="0"/>
    <n v="16000"/>
    <n v="0"/>
    <n v="0"/>
    <n v="15000"/>
    <n v="15000"/>
    <n v="9500"/>
    <n v="0"/>
    <n v="0"/>
    <n v="17500"/>
    <n v="0"/>
    <n v="0"/>
    <n v="2"/>
    <n v="2"/>
    <n v="0"/>
    <n v="0"/>
    <n v="0"/>
    <n v="11"/>
    <n v="6"/>
    <n v="170000"/>
    <n v="160000"/>
    <n v="144000"/>
    <n v="0"/>
    <n v="0"/>
    <n v="160000"/>
    <n v="128000"/>
    <m/>
    <m/>
    <n v="4"/>
    <n v="9"/>
    <n v="0"/>
    <n v="0"/>
    <n v="2"/>
    <n v="1"/>
    <s v="VIEW_SUMMARY"/>
    <n v="659"/>
    <n v="280"/>
    <n v="1331"/>
    <n v="1331"/>
    <m/>
    <x v="2"/>
    <n v="92"/>
    <s v="table4"/>
    <n v="19"/>
    <s v="250923_EPA_IntroDays_Overasselt"/>
    <n v="22"/>
    <n v="13"/>
    <s v="(Dike-town)"/>
    <n v="2"/>
    <x v="1"/>
    <n v="3"/>
    <n v="0"/>
  </r>
  <r>
    <n v="1142"/>
    <d v="2025-09-23T10:47:25"/>
    <n v="110000"/>
    <n v="60000"/>
    <n v="0"/>
    <n v="16000"/>
    <n v="0"/>
    <n v="0"/>
    <n v="15000"/>
    <n v="0"/>
    <n v="3200"/>
    <n v="0"/>
    <n v="4000"/>
    <n v="29300"/>
    <n v="0"/>
    <n v="0"/>
    <n v="0"/>
    <n v="0"/>
    <n v="0"/>
    <n v="1"/>
    <n v="0"/>
    <n v="10"/>
    <n v="6"/>
    <n v="170000"/>
    <n v="160000"/>
    <n v="128000"/>
    <n v="0"/>
    <n v="0"/>
    <n v="160000"/>
    <n v="112000"/>
    <m/>
    <m/>
    <n v="4"/>
    <n v="9"/>
    <n v="-2"/>
    <n v="-1"/>
    <n v="0"/>
    <n v="0"/>
    <s v="VIEW_SUMMARY"/>
    <n v="659"/>
    <n v="284"/>
    <n v="1331"/>
    <n v="1331"/>
    <m/>
    <x v="3"/>
    <n v="92"/>
    <s v="table4"/>
    <n v="19"/>
    <s v="250923_EPA_IntroDays_Overasselt"/>
    <n v="22"/>
    <n v="13"/>
    <s v="(Dike-town)"/>
    <n v="3"/>
    <x v="1"/>
    <n v="0"/>
    <n v="4000"/>
  </r>
  <r>
    <n v="1150"/>
    <d v="2025-09-23T10:47:25"/>
    <n v="110000"/>
    <n v="60000"/>
    <n v="0"/>
    <n v="17000"/>
    <n v="88000"/>
    <n v="30000"/>
    <n v="30000"/>
    <n v="0"/>
    <n v="0"/>
    <n v="0"/>
    <n v="0"/>
    <n v="90300"/>
    <n v="1"/>
    <n v="0"/>
    <n v="0"/>
    <n v="0"/>
    <n v="0"/>
    <n v="0"/>
    <n v="0"/>
    <n v="9"/>
    <n v="6"/>
    <n v="170000"/>
    <n v="160000"/>
    <n v="112000"/>
    <n v="200000"/>
    <n v="200000"/>
    <n v="170000"/>
    <n v="153000"/>
    <n v="35"/>
    <m/>
    <n v="6"/>
    <n v="9"/>
    <n v="-2"/>
    <n v="-1"/>
    <n v="4"/>
    <n v="3"/>
    <s v="VIEW_SUMMARY"/>
    <n v="659"/>
    <n v="285"/>
    <n v="1331"/>
    <n v="1378"/>
    <m/>
    <x v="4"/>
    <n v="92"/>
    <s v="table4"/>
    <n v="19"/>
    <s v="250923_EPA_IntroDays_Overasselt"/>
    <n v="22"/>
    <n v="15"/>
    <s v="(Natu-city)"/>
    <n v="4"/>
    <x v="1"/>
    <n v="7"/>
    <n v="0"/>
  </r>
  <r>
    <n v="1058"/>
    <d v="2025-09-23T10:47:29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60"/>
    <n v="266"/>
    <m/>
    <m/>
    <m/>
    <x v="0"/>
    <n v="92"/>
    <s v="table4"/>
    <n v="19"/>
    <s v="250923_EPA_IntroDays_Overasselt"/>
    <n v="22"/>
    <n v="0"/>
    <s v=""/>
    <n v="0"/>
    <x v="2"/>
    <m/>
    <n v="0"/>
  </r>
  <r>
    <n v="1072"/>
    <d v="2025-09-23T10:47:29"/>
    <n v="60000"/>
    <n v="30000"/>
    <n v="0"/>
    <n v="8000"/>
    <n v="0"/>
    <n v="0"/>
    <n v="15000"/>
    <n v="0"/>
    <n v="1600"/>
    <n v="0"/>
    <n v="0"/>
    <n v="5400"/>
    <n v="0"/>
    <n v="-1"/>
    <n v="0"/>
    <n v="0"/>
    <n v="0"/>
    <n v="0"/>
    <n v="0"/>
    <n v="4"/>
    <n v="3"/>
    <n v="80000"/>
    <n v="0"/>
    <n v="0"/>
    <n v="0"/>
    <n v="80000"/>
    <n v="80000"/>
    <n v="72000"/>
    <m/>
    <m/>
    <n v="4"/>
    <n v="9"/>
    <n v="0"/>
    <n v="0"/>
    <n v="0"/>
    <n v="0"/>
    <s v="VIEW_SUMMARY"/>
    <n v="660"/>
    <n v="273"/>
    <m/>
    <n v="1334"/>
    <m/>
    <x v="1"/>
    <n v="92"/>
    <s v="table4"/>
    <n v="19"/>
    <s v="250923_EPA_IntroDays_Overasselt"/>
    <n v="22"/>
    <n v="13"/>
    <s v="(Dike-town)"/>
    <n v="1"/>
    <x v="2"/>
    <n v="0"/>
    <n v="0"/>
  </r>
  <r>
    <n v="1120"/>
    <d v="2025-09-23T10:47:29"/>
    <n v="60000"/>
    <n v="30000"/>
    <n v="0"/>
    <n v="8000"/>
    <n v="0"/>
    <n v="0"/>
    <n v="15000"/>
    <n v="8000"/>
    <n v="0"/>
    <n v="0"/>
    <n v="0"/>
    <n v="4400"/>
    <n v="0"/>
    <n v="0"/>
    <n v="1"/>
    <n v="0"/>
    <n v="0"/>
    <n v="0"/>
    <n v="0"/>
    <n v="5"/>
    <n v="3"/>
    <n v="80000"/>
    <n v="80000"/>
    <n v="72000"/>
    <n v="0"/>
    <n v="0"/>
    <n v="80000"/>
    <n v="64000"/>
    <m/>
    <m/>
    <n v="4"/>
    <n v="9"/>
    <n v="0"/>
    <n v="0"/>
    <n v="1"/>
    <n v="1"/>
    <s v="VIEW_SUMMARY"/>
    <n v="660"/>
    <n v="280"/>
    <n v="1334"/>
    <n v="1334"/>
    <m/>
    <x v="2"/>
    <n v="92"/>
    <s v="table4"/>
    <n v="19"/>
    <s v="250923_EPA_IntroDays_Overasselt"/>
    <n v="22"/>
    <n v="13"/>
    <s v="(Dike-town)"/>
    <n v="2"/>
    <x v="2"/>
    <n v="2"/>
    <n v="0"/>
  </r>
  <r>
    <n v="1144"/>
    <d v="2025-09-23T10:47:29"/>
    <n v="60000"/>
    <n v="30000"/>
    <n v="0"/>
    <n v="8000"/>
    <n v="0"/>
    <n v="0"/>
    <n v="15000"/>
    <n v="6000"/>
    <n v="0"/>
    <n v="0"/>
    <n v="4000"/>
    <n v="1400"/>
    <n v="0"/>
    <n v="0"/>
    <n v="1"/>
    <n v="0"/>
    <n v="0"/>
    <n v="1"/>
    <n v="0"/>
    <n v="5"/>
    <n v="3"/>
    <n v="80000"/>
    <n v="80000"/>
    <n v="64000"/>
    <n v="0"/>
    <n v="0"/>
    <n v="80000"/>
    <n v="56000"/>
    <m/>
    <m/>
    <n v="4"/>
    <n v="9"/>
    <n v="-2"/>
    <n v="-1"/>
    <n v="1"/>
    <n v="0"/>
    <s v="VIEW_SUMMARY"/>
    <n v="660"/>
    <n v="284"/>
    <n v="1334"/>
    <n v="1334"/>
    <m/>
    <x v="3"/>
    <n v="92"/>
    <s v="table4"/>
    <n v="19"/>
    <s v="250923_EPA_IntroDays_Overasselt"/>
    <n v="22"/>
    <n v="13"/>
    <s v="(Dike-town)"/>
    <n v="3"/>
    <x v="2"/>
    <n v="1"/>
    <n v="4000"/>
  </r>
  <r>
    <n v="1151"/>
    <d v="2025-09-23T10:47:29"/>
    <n v="60000"/>
    <n v="30000"/>
    <n v="0"/>
    <n v="8000"/>
    <n v="0"/>
    <n v="0"/>
    <n v="20000"/>
    <n v="0"/>
    <n v="2000"/>
    <n v="0"/>
    <n v="4000"/>
    <n v="-2600"/>
    <n v="0"/>
    <n v="0"/>
    <n v="0"/>
    <n v="1"/>
    <n v="0"/>
    <n v="1"/>
    <n v="0"/>
    <n v="5"/>
    <n v="3"/>
    <n v="80000"/>
    <n v="80000"/>
    <n v="56000"/>
    <n v="0"/>
    <n v="0"/>
    <n v="80000"/>
    <n v="48000"/>
    <m/>
    <m/>
    <n v="4"/>
    <n v="9"/>
    <n v="-2"/>
    <n v="-1"/>
    <n v="0"/>
    <n v="0"/>
    <s v="VIEW_SUMMARY"/>
    <n v="660"/>
    <n v="285"/>
    <n v="1334"/>
    <n v="1334"/>
    <m/>
    <x v="4"/>
    <n v="92"/>
    <s v="table4"/>
    <n v="19"/>
    <s v="250923_EPA_IntroDays_Overasselt"/>
    <n v="22"/>
    <n v="13"/>
    <s v="(Dike-town)"/>
    <n v="4"/>
    <x v="2"/>
    <n v="0"/>
    <n v="4000"/>
  </r>
  <r>
    <n v="1059"/>
    <d v="2025-09-23T10:47:34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61"/>
    <n v="266"/>
    <m/>
    <m/>
    <m/>
    <x v="0"/>
    <n v="92"/>
    <s v="table4"/>
    <n v="19"/>
    <s v="250923_EPA_IntroDays_Overasselt"/>
    <n v="22"/>
    <n v="0"/>
    <s v=""/>
    <n v="0"/>
    <x v="3"/>
    <m/>
    <n v="0"/>
  </r>
  <r>
    <n v="1076"/>
    <d v="2025-09-23T10:47:34"/>
    <n v="90000"/>
    <n v="50000"/>
    <n v="0"/>
    <n v="10000"/>
    <n v="0"/>
    <n v="0"/>
    <n v="15000"/>
    <n v="6000"/>
    <n v="7000"/>
    <n v="0"/>
    <n v="0"/>
    <n v="17000"/>
    <n v="0"/>
    <n v="-2"/>
    <n v="1"/>
    <n v="2"/>
    <n v="0"/>
    <n v="0"/>
    <n v="0"/>
    <n v="6"/>
    <n v="5"/>
    <n v="130000"/>
    <n v="0"/>
    <n v="0"/>
    <n v="0"/>
    <n v="100000"/>
    <n v="100000"/>
    <n v="90000"/>
    <m/>
    <m/>
    <n v="6"/>
    <n v="9"/>
    <n v="0"/>
    <n v="0"/>
    <n v="1"/>
    <n v="0"/>
    <s v="VIEW_SUMMARY"/>
    <n v="661"/>
    <n v="273"/>
    <m/>
    <n v="1328"/>
    <m/>
    <x v="1"/>
    <n v="92"/>
    <s v="table4"/>
    <n v="19"/>
    <s v="250923_EPA_IntroDays_Overasselt"/>
    <n v="22"/>
    <n v="15"/>
    <s v="(Natu-city)"/>
    <n v="1"/>
    <x v="3"/>
    <n v="1"/>
    <n v="0"/>
  </r>
  <r>
    <n v="1118"/>
    <d v="2025-09-23T10:47:34"/>
    <n v="90000"/>
    <n v="50000"/>
    <n v="0"/>
    <n v="10000"/>
    <n v="0"/>
    <n v="0"/>
    <n v="15000"/>
    <n v="8000"/>
    <n v="7000"/>
    <n v="0"/>
    <n v="0"/>
    <n v="17000"/>
    <n v="0"/>
    <n v="0"/>
    <n v="1"/>
    <n v="2"/>
    <n v="0"/>
    <n v="0"/>
    <n v="0"/>
    <n v="9"/>
    <n v="5"/>
    <n v="130000"/>
    <n v="100000"/>
    <n v="90000"/>
    <n v="0"/>
    <n v="0"/>
    <n v="100000"/>
    <n v="80000"/>
    <m/>
    <m/>
    <n v="6"/>
    <n v="9"/>
    <n v="0"/>
    <n v="0"/>
    <n v="1"/>
    <n v="1"/>
    <s v="VIEW_SUMMARY"/>
    <n v="661"/>
    <n v="280"/>
    <n v="1328"/>
    <n v="1328"/>
    <m/>
    <x v="2"/>
    <n v="92"/>
    <s v="table4"/>
    <n v="19"/>
    <s v="250923_EPA_IntroDays_Overasselt"/>
    <n v="22"/>
    <n v="15"/>
    <s v="(Natu-city)"/>
    <n v="2"/>
    <x v="3"/>
    <n v="2"/>
    <n v="0"/>
  </r>
  <r>
    <n v="1141"/>
    <d v="2025-09-23T10:47:34"/>
    <n v="90000"/>
    <n v="50000"/>
    <n v="0"/>
    <n v="10000"/>
    <n v="0"/>
    <n v="0"/>
    <n v="15000"/>
    <n v="0"/>
    <n v="0"/>
    <n v="0"/>
    <n v="4000"/>
    <n v="28000"/>
    <n v="0"/>
    <n v="0"/>
    <n v="0"/>
    <n v="0"/>
    <n v="0"/>
    <n v="1"/>
    <n v="0"/>
    <n v="8"/>
    <n v="5"/>
    <n v="130000"/>
    <n v="100000"/>
    <n v="80000"/>
    <n v="0"/>
    <n v="0"/>
    <n v="100000"/>
    <n v="70000"/>
    <m/>
    <m/>
    <n v="6"/>
    <n v="9"/>
    <n v="-2"/>
    <n v="-1"/>
    <n v="0"/>
    <n v="0"/>
    <s v="VIEW_SUMMARY"/>
    <n v="661"/>
    <n v="284"/>
    <n v="1328"/>
    <n v="1328"/>
    <m/>
    <x v="3"/>
    <n v="92"/>
    <s v="table4"/>
    <n v="19"/>
    <s v="250923_EPA_IntroDays_Overasselt"/>
    <n v="22"/>
    <n v="15"/>
    <s v="(Natu-city)"/>
    <n v="3"/>
    <x v="3"/>
    <n v="0"/>
    <n v="4000"/>
  </r>
  <r>
    <n v="1148"/>
    <d v="2025-09-23T10:47:34"/>
    <n v="90000"/>
    <n v="50000"/>
    <n v="0"/>
    <n v="10000"/>
    <n v="0"/>
    <n v="0"/>
    <n v="30000"/>
    <n v="8000"/>
    <n v="0"/>
    <n v="0"/>
    <n v="0"/>
    <n v="20000"/>
    <n v="0"/>
    <n v="0"/>
    <n v="1"/>
    <n v="0"/>
    <n v="0"/>
    <n v="0"/>
    <n v="0"/>
    <n v="9"/>
    <n v="5"/>
    <n v="130000"/>
    <n v="100000"/>
    <n v="70000"/>
    <n v="0"/>
    <n v="0"/>
    <n v="100000"/>
    <n v="60000"/>
    <m/>
    <m/>
    <n v="6"/>
    <n v="9"/>
    <n v="-2"/>
    <n v="-1"/>
    <n v="1"/>
    <n v="0"/>
    <s v="VIEW_SUMMARY"/>
    <n v="661"/>
    <n v="285"/>
    <n v="1328"/>
    <n v="1328"/>
    <m/>
    <x v="4"/>
    <n v="92"/>
    <s v="table4"/>
    <n v="19"/>
    <s v="250923_EPA_IntroDays_Overasselt"/>
    <n v="22"/>
    <n v="15"/>
    <s v="(Natu-city)"/>
    <n v="4"/>
    <x v="3"/>
    <n v="1"/>
    <n v="0"/>
  </r>
  <r>
    <n v="1068"/>
    <d v="2025-09-23T10:48:05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62"/>
    <n v="266"/>
    <m/>
    <m/>
    <m/>
    <x v="0"/>
    <n v="92"/>
    <s v="table4"/>
    <n v="19"/>
    <s v="250923_EPA_IntroDays_Overasselt"/>
    <n v="22"/>
    <n v="0"/>
    <s v=""/>
    <n v="0"/>
    <x v="4"/>
    <m/>
    <n v="0"/>
  </r>
  <r>
    <n v="1075"/>
    <d v="2025-09-23T10:48:05"/>
    <n v="130000"/>
    <n v="75000"/>
    <n v="0"/>
    <n v="20000"/>
    <n v="0"/>
    <n v="0"/>
    <n v="15000"/>
    <n v="24000"/>
    <n v="0"/>
    <n v="0"/>
    <n v="0"/>
    <n v="46000"/>
    <n v="0"/>
    <n v="-1"/>
    <n v="2"/>
    <n v="0"/>
    <n v="0"/>
    <n v="0"/>
    <n v="0"/>
    <n v="6"/>
    <n v="7"/>
    <n v="200000"/>
    <n v="0"/>
    <n v="0"/>
    <n v="0"/>
    <n v="200000"/>
    <n v="200000"/>
    <n v="180000"/>
    <m/>
    <m/>
    <n v="6"/>
    <n v="9"/>
    <n v="0"/>
    <n v="0"/>
    <n v="3"/>
    <n v="2"/>
    <s v="VIEW_SUMMARY"/>
    <n v="662"/>
    <n v="273"/>
    <m/>
    <n v="1326"/>
    <m/>
    <x v="1"/>
    <n v="92"/>
    <s v="table4"/>
    <n v="19"/>
    <s v="250923_EPA_IntroDays_Overasselt"/>
    <n v="22"/>
    <n v="15"/>
    <s v="(Natu-city)"/>
    <n v="1"/>
    <x v="4"/>
    <n v="5"/>
    <n v="0"/>
  </r>
  <r>
    <n v="1116"/>
    <d v="2025-09-23T10:48:05"/>
    <n v="130000"/>
    <n v="75000"/>
    <n v="0"/>
    <n v="20000"/>
    <n v="0"/>
    <n v="0"/>
    <n v="15000"/>
    <n v="8000"/>
    <n v="10000"/>
    <n v="0"/>
    <n v="0"/>
    <n v="48000"/>
    <n v="0"/>
    <n v="0"/>
    <n v="1"/>
    <n v="2"/>
    <n v="0"/>
    <n v="0"/>
    <n v="0"/>
    <n v="9"/>
    <n v="7"/>
    <n v="200000"/>
    <n v="200000"/>
    <n v="180000"/>
    <n v="0"/>
    <n v="0"/>
    <n v="200000"/>
    <n v="160000"/>
    <m/>
    <m/>
    <n v="6"/>
    <n v="9"/>
    <n v="0"/>
    <n v="0"/>
    <n v="1"/>
    <n v="0"/>
    <s v="VIEW_SUMMARY"/>
    <n v="662"/>
    <n v="280"/>
    <n v="1326"/>
    <n v="1326"/>
    <m/>
    <x v="2"/>
    <n v="92"/>
    <s v="table4"/>
    <n v="19"/>
    <s v="250923_EPA_IntroDays_Overasselt"/>
    <n v="22"/>
    <n v="15"/>
    <s v="(Natu-city)"/>
    <n v="2"/>
    <x v="4"/>
    <n v="1"/>
    <n v="0"/>
  </r>
  <r>
    <n v="1145"/>
    <d v="2025-09-23T10:48:05"/>
    <n v="130000"/>
    <n v="75000"/>
    <n v="0"/>
    <n v="20000"/>
    <n v="0"/>
    <n v="0"/>
    <n v="15000"/>
    <n v="1000"/>
    <n v="0"/>
    <n v="0"/>
    <n v="4000"/>
    <n v="63000"/>
    <n v="0"/>
    <n v="0"/>
    <n v="0"/>
    <n v="0"/>
    <n v="0"/>
    <n v="1"/>
    <n v="0"/>
    <n v="8"/>
    <n v="7"/>
    <n v="200000"/>
    <n v="200000"/>
    <n v="160000"/>
    <n v="0"/>
    <n v="0"/>
    <n v="200000"/>
    <n v="140000"/>
    <m/>
    <m/>
    <n v="6"/>
    <n v="9"/>
    <n v="-2"/>
    <n v="-1"/>
    <n v="0"/>
    <n v="1"/>
    <s v="VIEW_SUMMARY"/>
    <n v="662"/>
    <n v="284"/>
    <n v="1326"/>
    <n v="1326"/>
    <m/>
    <x v="3"/>
    <n v="92"/>
    <s v="table4"/>
    <n v="19"/>
    <s v="250923_EPA_IntroDays_Overasselt"/>
    <n v="22"/>
    <n v="15"/>
    <s v="(Natu-city)"/>
    <n v="3"/>
    <x v="4"/>
    <n v="1"/>
    <n v="4000"/>
  </r>
  <r>
    <n v="1149"/>
    <d v="2025-09-23T10:48:05"/>
    <n v="130000"/>
    <n v="75000"/>
    <n v="0"/>
    <n v="20000"/>
    <n v="0"/>
    <n v="0"/>
    <n v="30000"/>
    <n v="0"/>
    <n v="15500"/>
    <n v="0"/>
    <n v="0"/>
    <n v="52500"/>
    <n v="0"/>
    <n v="0"/>
    <n v="0"/>
    <n v="2"/>
    <n v="0"/>
    <n v="0"/>
    <n v="0"/>
    <n v="10"/>
    <n v="7"/>
    <n v="200000"/>
    <n v="200000"/>
    <n v="140000"/>
    <n v="0"/>
    <n v="0"/>
    <n v="200000"/>
    <n v="120000"/>
    <m/>
    <m/>
    <n v="6"/>
    <n v="9"/>
    <n v="-2"/>
    <n v="-1"/>
    <n v="0"/>
    <n v="0"/>
    <s v="VIEW_SUMMARY"/>
    <n v="662"/>
    <n v="285"/>
    <n v="1326"/>
    <n v="1326"/>
    <m/>
    <x v="4"/>
    <n v="92"/>
    <s v="table4"/>
    <n v="19"/>
    <s v="250923_EPA_IntroDays_Overasselt"/>
    <n v="22"/>
    <n v="15"/>
    <s v="(Natu-city)"/>
    <n v="4"/>
    <x v="4"/>
    <n v="0"/>
    <n v="0"/>
  </r>
  <r>
    <n v="1060"/>
    <d v="2025-09-23T10:47:34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63"/>
    <n v="266"/>
    <m/>
    <m/>
    <m/>
    <x v="0"/>
    <n v="92"/>
    <s v="table4"/>
    <n v="19"/>
    <s v="250923_EPA_IntroDays_Overasselt"/>
    <n v="22"/>
    <n v="0"/>
    <s v=""/>
    <n v="0"/>
    <x v="5"/>
    <m/>
    <n v="0"/>
  </r>
  <r>
    <n v="1071"/>
    <d v="2025-09-23T10:47:34"/>
    <n v="190000"/>
    <n v="115000"/>
    <n v="0"/>
    <n v="30000"/>
    <n v="0"/>
    <n v="0"/>
    <n v="15000"/>
    <n v="24000"/>
    <n v="21000"/>
    <n v="0"/>
    <n v="0"/>
    <n v="65000"/>
    <n v="0"/>
    <n v="0"/>
    <n v="2"/>
    <n v="2"/>
    <n v="0"/>
    <n v="0"/>
    <n v="0"/>
    <n v="9"/>
    <n v="8"/>
    <n v="300000"/>
    <n v="0"/>
    <n v="0"/>
    <n v="0"/>
    <n v="300000"/>
    <n v="300000"/>
    <n v="270000"/>
    <m/>
    <m/>
    <n v="4"/>
    <n v="9"/>
    <n v="0"/>
    <n v="0"/>
    <n v="4"/>
    <n v="2"/>
    <s v="VIEW_SUMMARY"/>
    <n v="663"/>
    <n v="273"/>
    <m/>
    <n v="1329"/>
    <m/>
    <x v="1"/>
    <n v="92"/>
    <s v="table4"/>
    <n v="19"/>
    <s v="250923_EPA_IntroDays_Overasselt"/>
    <n v="22"/>
    <n v="13"/>
    <s v="(Dike-town)"/>
    <n v="1"/>
    <x v="5"/>
    <n v="6"/>
    <n v="0"/>
  </r>
  <r>
    <n v="1119"/>
    <d v="2025-09-23T10:47:34"/>
    <n v="190000"/>
    <n v="115000"/>
    <n v="0"/>
    <n v="30000"/>
    <n v="0"/>
    <n v="0"/>
    <n v="15000"/>
    <n v="1000"/>
    <n v="17000"/>
    <n v="0"/>
    <n v="4000"/>
    <n v="73000"/>
    <n v="0"/>
    <n v="0"/>
    <n v="0"/>
    <n v="2"/>
    <n v="0"/>
    <n v="1"/>
    <n v="0"/>
    <n v="10"/>
    <n v="8"/>
    <n v="300000"/>
    <n v="300000"/>
    <n v="270000"/>
    <n v="0"/>
    <n v="0"/>
    <n v="300000"/>
    <n v="240000"/>
    <m/>
    <m/>
    <n v="4"/>
    <n v="9"/>
    <n v="0"/>
    <n v="0"/>
    <n v="0"/>
    <n v="1"/>
    <s v="VIEW_SUMMARY"/>
    <n v="663"/>
    <n v="280"/>
    <n v="1329"/>
    <n v="1329"/>
    <m/>
    <x v="2"/>
    <n v="92"/>
    <s v="table4"/>
    <n v="19"/>
    <s v="250923_EPA_IntroDays_Overasselt"/>
    <n v="22"/>
    <n v="13"/>
    <s v="(Dike-town)"/>
    <n v="2"/>
    <x v="5"/>
    <n v="1"/>
    <n v="4000"/>
  </r>
  <r>
    <n v="1143"/>
    <d v="2025-09-23T10:47:34"/>
    <n v="190000"/>
    <n v="115000"/>
    <n v="0"/>
    <n v="30000"/>
    <n v="0"/>
    <n v="0"/>
    <n v="15000"/>
    <n v="0"/>
    <n v="0"/>
    <n v="0"/>
    <n v="4000"/>
    <n v="99000"/>
    <n v="0"/>
    <n v="0"/>
    <n v="0"/>
    <n v="0"/>
    <n v="0"/>
    <n v="1"/>
    <n v="0"/>
    <n v="9"/>
    <n v="8"/>
    <n v="300000"/>
    <n v="300000"/>
    <n v="240000"/>
    <n v="0"/>
    <n v="0"/>
    <n v="300000"/>
    <n v="210000"/>
    <m/>
    <m/>
    <n v="4"/>
    <n v="9"/>
    <n v="-2"/>
    <n v="-1"/>
    <n v="0"/>
    <n v="0"/>
    <s v="VIEW_SUMMARY"/>
    <n v="663"/>
    <n v="284"/>
    <n v="1329"/>
    <n v="1329"/>
    <m/>
    <x v="3"/>
    <n v="92"/>
    <s v="table4"/>
    <n v="19"/>
    <s v="250923_EPA_IntroDays_Overasselt"/>
    <n v="22"/>
    <n v="13"/>
    <s v="(Dike-town)"/>
    <n v="3"/>
    <x v="5"/>
    <n v="0"/>
    <n v="4000"/>
  </r>
  <r>
    <n v="1147"/>
    <d v="2025-09-23T10:47:34"/>
    <n v="190000"/>
    <n v="115000"/>
    <n v="0"/>
    <n v="30000"/>
    <n v="90000"/>
    <n v="125000"/>
    <n v="30000"/>
    <n v="0"/>
    <n v="0"/>
    <n v="0"/>
    <n v="0"/>
    <n v="79000"/>
    <n v="1"/>
    <n v="1"/>
    <n v="0"/>
    <n v="0"/>
    <n v="0"/>
    <n v="0"/>
    <n v="0"/>
    <n v="9"/>
    <n v="8"/>
    <n v="300000"/>
    <n v="300000"/>
    <n v="210000"/>
    <n v="300000"/>
    <n v="425000"/>
    <n v="300000"/>
    <n v="270000"/>
    <n v="33"/>
    <m/>
    <n v="6"/>
    <n v="9"/>
    <n v="-2"/>
    <n v="-1"/>
    <n v="4"/>
    <n v="2"/>
    <s v="ANSWER_SURVEY"/>
    <n v="663"/>
    <n v="285"/>
    <n v="1329"/>
    <n v="1379"/>
    <m/>
    <x v="4"/>
    <n v="92"/>
    <s v="table4"/>
    <n v="19"/>
    <s v="250923_EPA_IntroDays_Overasselt"/>
    <n v="22"/>
    <n v="15"/>
    <s v="(Natu-city)"/>
    <n v="4"/>
    <x v="5"/>
    <n v="6"/>
    <n v="0"/>
  </r>
  <r>
    <n v="1056"/>
    <d v="2025-09-23T10:47:24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64"/>
    <n v="266"/>
    <m/>
    <m/>
    <m/>
    <x v="0"/>
    <n v="92"/>
    <s v="table4"/>
    <n v="19"/>
    <s v="250923_EPA_IntroDays_Overasselt"/>
    <n v="22"/>
    <n v="0"/>
    <s v=""/>
    <n v="0"/>
    <x v="1"/>
    <m/>
    <n v="0"/>
  </r>
  <r>
    <n v="1070"/>
    <d v="2025-09-23T10:47:24"/>
    <n v="110000"/>
    <n v="60000"/>
    <n v="0"/>
    <n v="17000"/>
    <n v="0"/>
    <n v="30000"/>
    <n v="15000"/>
    <n v="0"/>
    <n v="0"/>
    <n v="0"/>
    <n v="0"/>
    <n v="18000"/>
    <n v="0"/>
    <n v="0"/>
    <n v="0"/>
    <n v="0"/>
    <n v="0"/>
    <n v="0"/>
    <n v="0"/>
    <n v="5"/>
    <n v="6"/>
    <n v="170000"/>
    <n v="0"/>
    <n v="0"/>
    <n v="0"/>
    <n v="200000"/>
    <n v="170000"/>
    <n v="153000"/>
    <m/>
    <m/>
    <n v="6"/>
    <n v="9"/>
    <n v="0"/>
    <n v="0"/>
    <n v="1"/>
    <n v="1"/>
    <s v="VIEW_SUMMARY"/>
    <n v="664"/>
    <n v="273"/>
    <m/>
    <n v="1327"/>
    <m/>
    <x v="1"/>
    <n v="92"/>
    <s v="table4"/>
    <n v="19"/>
    <s v="250923_EPA_IntroDays_Overasselt"/>
    <n v="22"/>
    <n v="15"/>
    <s v="(Natu-city)"/>
    <n v="1"/>
    <x v="1"/>
    <n v="2"/>
    <n v="0"/>
  </r>
  <r>
    <n v="1115"/>
    <d v="2025-09-23T10:47:24"/>
    <n v="110000"/>
    <n v="60000"/>
    <n v="0"/>
    <n v="17000"/>
    <n v="0"/>
    <n v="0"/>
    <n v="15000"/>
    <n v="24000"/>
    <n v="0"/>
    <n v="0"/>
    <n v="0"/>
    <n v="12000"/>
    <n v="0"/>
    <n v="0"/>
    <n v="2"/>
    <n v="0"/>
    <n v="0"/>
    <n v="0"/>
    <n v="0"/>
    <n v="7"/>
    <n v="6"/>
    <n v="170000"/>
    <n v="170000"/>
    <n v="153000"/>
    <n v="0"/>
    <n v="0"/>
    <n v="170000"/>
    <n v="136000"/>
    <m/>
    <m/>
    <n v="6"/>
    <n v="9"/>
    <n v="0"/>
    <n v="0"/>
    <n v="3"/>
    <n v="1"/>
    <s v="VIEW_SUMMARY"/>
    <n v="664"/>
    <n v="280"/>
    <n v="1327"/>
    <n v="1327"/>
    <m/>
    <x v="2"/>
    <n v="92"/>
    <s v="table4"/>
    <n v="19"/>
    <s v="250923_EPA_IntroDays_Overasselt"/>
    <n v="22"/>
    <n v="15"/>
    <s v="(Natu-city)"/>
    <n v="2"/>
    <x v="1"/>
    <n v="4"/>
    <n v="0"/>
  </r>
  <r>
    <n v="1140"/>
    <d v="2025-09-23T10:47:24"/>
    <n v="110000"/>
    <n v="60000"/>
    <n v="0"/>
    <n v="17000"/>
    <n v="0"/>
    <n v="0"/>
    <n v="15000"/>
    <n v="1000"/>
    <n v="5000"/>
    <n v="0"/>
    <n v="4000"/>
    <n v="20000"/>
    <n v="0"/>
    <n v="0"/>
    <n v="0"/>
    <n v="1"/>
    <n v="0"/>
    <n v="1"/>
    <n v="0"/>
    <n v="7"/>
    <n v="6"/>
    <n v="170000"/>
    <n v="170000"/>
    <n v="136000"/>
    <n v="0"/>
    <n v="0"/>
    <n v="170000"/>
    <n v="119000"/>
    <m/>
    <m/>
    <n v="6"/>
    <n v="9"/>
    <n v="-2"/>
    <n v="-1"/>
    <n v="0"/>
    <n v="1"/>
    <s v="VIEW_SUMMARY"/>
    <n v="664"/>
    <n v="284"/>
    <n v="1327"/>
    <n v="1327"/>
    <m/>
    <x v="3"/>
    <n v="92"/>
    <s v="table4"/>
    <n v="19"/>
    <s v="250923_EPA_IntroDays_Overasselt"/>
    <n v="22"/>
    <n v="15"/>
    <s v="(Natu-city)"/>
    <n v="3"/>
    <x v="1"/>
    <n v="1"/>
    <n v="4000"/>
  </r>
  <r>
    <n v="1146"/>
    <d v="2025-09-23T10:47:24"/>
    <n v="110000"/>
    <n v="60000"/>
    <n v="0"/>
    <n v="17000"/>
    <n v="121000"/>
    <n v="130000"/>
    <n v="20000"/>
    <n v="0"/>
    <n v="5500"/>
    <n v="0"/>
    <n v="4000"/>
    <n v="14500"/>
    <n v="3"/>
    <n v="2"/>
    <n v="0"/>
    <n v="1"/>
    <n v="0"/>
    <n v="1"/>
    <n v="0"/>
    <n v="6"/>
    <n v="6"/>
    <n v="170000"/>
    <n v="170000"/>
    <n v="119000"/>
    <n v="240000"/>
    <n v="300000"/>
    <n v="170000"/>
    <n v="153000"/>
    <n v="36"/>
    <m/>
    <n v="4"/>
    <n v="9"/>
    <n v="-2"/>
    <n v="-1"/>
    <n v="0"/>
    <n v="0"/>
    <s v="VIEW_SUMMARY"/>
    <n v="664"/>
    <n v="285"/>
    <n v="1327"/>
    <n v="1329"/>
    <m/>
    <x v="4"/>
    <n v="92"/>
    <s v="table4"/>
    <n v="19"/>
    <s v="250923_EPA_IntroDays_Overasselt"/>
    <n v="22"/>
    <n v="13"/>
    <s v="(Dike-town)"/>
    <n v="4"/>
    <x v="1"/>
    <n v="0"/>
    <n v="4000"/>
  </r>
  <r>
    <n v="1153"/>
    <d v="2025-09-23T14:07:49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66"/>
    <n v="289"/>
    <m/>
    <m/>
    <m/>
    <x v="0"/>
    <n v="93"/>
    <s v="table5"/>
    <n v="19"/>
    <s v="250923_EPA_IntroDays_Overasselt"/>
    <n v="22"/>
    <n v="0"/>
    <s v=""/>
    <n v="0"/>
    <x v="0"/>
    <m/>
    <n v="0"/>
  </r>
  <r>
    <n v="1182"/>
    <d v="2025-09-23T14:07:49"/>
    <n v="75000"/>
    <n v="40000"/>
    <n v="0"/>
    <n v="7000"/>
    <n v="0"/>
    <n v="0"/>
    <n v="20000"/>
    <n v="1000"/>
    <n v="3500"/>
    <n v="12000"/>
    <n v="4000"/>
    <n v="-7500"/>
    <n v="0"/>
    <n v="-2"/>
    <n v="0"/>
    <n v="2"/>
    <n v="4"/>
    <n v="1"/>
    <n v="0"/>
    <n v="0"/>
    <n v="4"/>
    <n v="110000"/>
    <n v="0"/>
    <n v="0"/>
    <n v="0"/>
    <n v="70000"/>
    <n v="70000"/>
    <n v="63000"/>
    <m/>
    <m/>
    <n v="6"/>
    <n v="6"/>
    <n v="0"/>
    <n v="0"/>
    <n v="0"/>
    <n v="1"/>
    <s v="VIEW_SUMMARY"/>
    <n v="666"/>
    <n v="291"/>
    <m/>
    <n v="1417"/>
    <m/>
    <x v="1"/>
    <n v="93"/>
    <s v="table5"/>
    <n v="19"/>
    <s v="250923_EPA_IntroDays_Overasselt"/>
    <n v="22"/>
    <n v="12"/>
    <s v="(U-village)"/>
    <n v="1"/>
    <x v="0"/>
    <n v="1"/>
    <n v="16000"/>
  </r>
  <r>
    <n v="1225"/>
    <d v="2025-09-23T14:07:49"/>
    <n v="75000"/>
    <n v="40000"/>
    <n v="7500"/>
    <n v="7000"/>
    <n v="0"/>
    <n v="0"/>
    <n v="20000"/>
    <n v="0"/>
    <n v="0"/>
    <n v="24000"/>
    <n v="4000"/>
    <n v="-27500"/>
    <n v="0"/>
    <n v="0"/>
    <n v="0"/>
    <n v="0"/>
    <n v="7"/>
    <n v="1"/>
    <n v="1"/>
    <n v="-9"/>
    <n v="4"/>
    <n v="110000"/>
    <n v="70000"/>
    <n v="63000"/>
    <n v="0"/>
    <n v="0"/>
    <n v="70000"/>
    <n v="56000"/>
    <m/>
    <m/>
    <n v="6"/>
    <n v="6"/>
    <n v="0"/>
    <n v="0"/>
    <n v="0"/>
    <n v="0"/>
    <s v="VIEW_SUMMARY"/>
    <n v="666"/>
    <n v="297"/>
    <n v="1417"/>
    <n v="1417"/>
    <m/>
    <x v="2"/>
    <n v="93"/>
    <s v="table5"/>
    <n v="19"/>
    <s v="250923_EPA_IntroDays_Overasselt"/>
    <n v="22"/>
    <n v="12"/>
    <s v="(U-village)"/>
    <n v="2"/>
    <x v="0"/>
    <n v="0"/>
    <n v="28000"/>
  </r>
  <r>
    <n v="1246"/>
    <d v="2025-09-23T14:07:49"/>
    <n v="75000"/>
    <n v="40000"/>
    <n v="27500"/>
    <n v="7000"/>
    <n v="0"/>
    <n v="0"/>
    <n v="20000"/>
    <n v="0"/>
    <n v="0"/>
    <n v="12000"/>
    <n v="4000"/>
    <n v="-35500"/>
    <n v="0"/>
    <n v="0"/>
    <n v="0"/>
    <n v="0"/>
    <n v="4"/>
    <n v="1"/>
    <n v="1"/>
    <n v="-15"/>
    <n v="4"/>
    <n v="110000"/>
    <n v="70000"/>
    <n v="56000"/>
    <n v="0"/>
    <n v="0"/>
    <n v="70000"/>
    <n v="49000"/>
    <m/>
    <m/>
    <n v="6"/>
    <n v="6"/>
    <n v="-2"/>
    <n v="-1"/>
    <n v="0"/>
    <n v="0"/>
    <s v="VIEW_SUMMARY"/>
    <n v="666"/>
    <n v="301"/>
    <n v="1417"/>
    <n v="1417"/>
    <m/>
    <x v="3"/>
    <n v="93"/>
    <s v="table5"/>
    <n v="19"/>
    <s v="250923_EPA_IntroDays_Overasselt"/>
    <n v="22"/>
    <n v="12"/>
    <s v="(U-village)"/>
    <n v="3"/>
    <x v="0"/>
    <n v="0"/>
    <n v="16000"/>
  </r>
  <r>
    <n v="1268"/>
    <d v="2025-09-23T14:07:49"/>
    <n v="75000"/>
    <n v="40000"/>
    <n v="35000"/>
    <n v="7000"/>
    <n v="0"/>
    <n v="0"/>
    <n v="20000"/>
    <n v="0"/>
    <n v="0"/>
    <n v="8000"/>
    <n v="4000"/>
    <n v="-39500"/>
    <n v="0"/>
    <n v="0"/>
    <n v="0"/>
    <n v="0"/>
    <n v="3"/>
    <n v="1"/>
    <n v="1"/>
    <n v="-20"/>
    <n v="4"/>
    <n v="110000"/>
    <n v="70000"/>
    <n v="49000"/>
    <n v="0"/>
    <n v="0"/>
    <n v="70000"/>
    <n v="42000"/>
    <m/>
    <m/>
    <n v="6"/>
    <n v="6"/>
    <n v="-2"/>
    <n v="-1"/>
    <n v="0"/>
    <n v="0"/>
    <s v="VIEW_DAMAGE"/>
    <n v="666"/>
    <n v="304"/>
    <n v="1417"/>
    <n v="1417"/>
    <m/>
    <x v="4"/>
    <n v="93"/>
    <s v="table5"/>
    <n v="19"/>
    <s v="250923_EPA_IntroDays_Overasselt"/>
    <n v="22"/>
    <n v="12"/>
    <s v="(U-village)"/>
    <n v="4"/>
    <x v="0"/>
    <n v="0"/>
    <n v="12000"/>
  </r>
  <r>
    <n v="1152"/>
    <d v="2025-09-23T14:07:12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67"/>
    <n v="289"/>
    <m/>
    <m/>
    <m/>
    <x v="0"/>
    <n v="93"/>
    <s v="table5"/>
    <n v="19"/>
    <s v="250923_EPA_IntroDays_Overasselt"/>
    <n v="22"/>
    <n v="0"/>
    <s v=""/>
    <n v="0"/>
    <x v="1"/>
    <m/>
    <n v="0"/>
  </r>
  <r>
    <n v="1201"/>
    <d v="2025-09-23T14:07:12"/>
    <n v="110000"/>
    <n v="60000"/>
    <n v="0"/>
    <n v="17000"/>
    <n v="0"/>
    <n v="30000"/>
    <n v="15000"/>
    <n v="0"/>
    <n v="10000"/>
    <n v="4000"/>
    <n v="4000"/>
    <n v="0"/>
    <n v="0"/>
    <n v="0"/>
    <n v="0"/>
    <n v="2"/>
    <n v="2"/>
    <n v="1"/>
    <n v="0"/>
    <n v="4"/>
    <n v="6"/>
    <n v="170000"/>
    <n v="0"/>
    <n v="0"/>
    <n v="0"/>
    <n v="200000"/>
    <n v="170000"/>
    <n v="153000"/>
    <m/>
    <m/>
    <n v="6"/>
    <n v="9"/>
    <n v="0"/>
    <n v="0"/>
    <n v="0"/>
    <n v="0"/>
    <s v="VIEW_SUMMARY"/>
    <n v="667"/>
    <n v="291"/>
    <m/>
    <n v="1404"/>
    <m/>
    <x v="1"/>
    <n v="93"/>
    <s v="table5"/>
    <n v="19"/>
    <s v="250923_EPA_IntroDays_Overasselt"/>
    <n v="22"/>
    <n v="15"/>
    <s v="(Natu-city)"/>
    <n v="1"/>
    <x v="1"/>
    <n v="0"/>
    <n v="8000"/>
  </r>
  <r>
    <n v="1226"/>
    <d v="2025-09-23T14:07:12"/>
    <n v="110000"/>
    <n v="60000"/>
    <n v="0"/>
    <n v="17000"/>
    <n v="0"/>
    <n v="0"/>
    <n v="15000"/>
    <n v="8000"/>
    <n v="0"/>
    <n v="8000"/>
    <n v="4000"/>
    <n v="-2000"/>
    <n v="0"/>
    <n v="0"/>
    <n v="1"/>
    <n v="0"/>
    <n v="3"/>
    <n v="1"/>
    <n v="0"/>
    <n v="1"/>
    <n v="6"/>
    <n v="170000"/>
    <n v="170000"/>
    <n v="153000"/>
    <n v="0"/>
    <n v="0"/>
    <n v="170000"/>
    <n v="136000"/>
    <m/>
    <m/>
    <n v="6"/>
    <n v="9"/>
    <n v="0"/>
    <n v="0"/>
    <n v="1"/>
    <n v="1"/>
    <s v="VIEW_SUMMARY"/>
    <n v="667"/>
    <n v="297"/>
    <n v="1404"/>
    <n v="1404"/>
    <m/>
    <x v="2"/>
    <n v="93"/>
    <s v="table5"/>
    <n v="19"/>
    <s v="250923_EPA_IntroDays_Overasselt"/>
    <n v="22"/>
    <n v="15"/>
    <s v="(Natu-city)"/>
    <n v="2"/>
    <x v="1"/>
    <n v="2"/>
    <n v="12000"/>
  </r>
  <r>
    <n v="1251"/>
    <d v="2025-09-23T14:07:12"/>
    <n v="110000"/>
    <n v="60000"/>
    <n v="2000"/>
    <n v="17000"/>
    <n v="0"/>
    <n v="0"/>
    <n v="15000"/>
    <n v="7000"/>
    <n v="0"/>
    <n v="0"/>
    <n v="4000"/>
    <n v="5000"/>
    <n v="0"/>
    <n v="0"/>
    <n v="1"/>
    <n v="0"/>
    <n v="0"/>
    <n v="1"/>
    <n v="1"/>
    <n v="0"/>
    <n v="6"/>
    <n v="170000"/>
    <n v="170000"/>
    <n v="136000"/>
    <n v="0"/>
    <n v="0"/>
    <n v="170000"/>
    <n v="119000"/>
    <m/>
    <m/>
    <n v="6"/>
    <n v="9"/>
    <n v="-2"/>
    <n v="-1"/>
    <n v="1"/>
    <n v="1"/>
    <s v="VIEW_SUMMARY"/>
    <n v="667"/>
    <n v="301"/>
    <n v="1404"/>
    <n v="1404"/>
    <m/>
    <x v="3"/>
    <n v="93"/>
    <s v="table5"/>
    <n v="19"/>
    <s v="250923_EPA_IntroDays_Overasselt"/>
    <n v="22"/>
    <n v="15"/>
    <s v="(Natu-city)"/>
    <n v="3"/>
    <x v="1"/>
    <n v="2"/>
    <n v="4000"/>
  </r>
  <r>
    <n v="1272"/>
    <d v="2025-09-23T14:07:12"/>
    <n v="110000"/>
    <n v="60000"/>
    <n v="0"/>
    <n v="17000"/>
    <n v="0"/>
    <n v="0"/>
    <n v="30000"/>
    <n v="0"/>
    <n v="0"/>
    <n v="0"/>
    <n v="4000"/>
    <n v="4000"/>
    <n v="0"/>
    <n v="0"/>
    <n v="0"/>
    <n v="0"/>
    <n v="0"/>
    <n v="1"/>
    <n v="0"/>
    <n v="-1"/>
    <n v="6"/>
    <n v="170000"/>
    <n v="170000"/>
    <n v="119000"/>
    <n v="0"/>
    <n v="0"/>
    <n v="170000"/>
    <n v="102000"/>
    <m/>
    <m/>
    <n v="6"/>
    <n v="9"/>
    <n v="-2"/>
    <n v="-1"/>
    <n v="0"/>
    <n v="0"/>
    <s v="VIEW_DAMAGE"/>
    <n v="667"/>
    <n v="304"/>
    <n v="1404"/>
    <n v="1404"/>
    <m/>
    <x v="4"/>
    <n v="93"/>
    <s v="table5"/>
    <n v="19"/>
    <s v="250923_EPA_IntroDays_Overasselt"/>
    <n v="22"/>
    <n v="15"/>
    <s v="(Natu-city)"/>
    <n v="4"/>
    <x v="1"/>
    <n v="0"/>
    <n v="4000"/>
  </r>
  <r>
    <n v="1186"/>
    <d v="2025-09-23T14:27:07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68"/>
    <n v="289"/>
    <m/>
    <m/>
    <m/>
    <x v="0"/>
    <n v="93"/>
    <s v="table5"/>
    <n v="19"/>
    <s v="250923_EPA_IntroDays_Overasselt"/>
    <n v="22"/>
    <n v="0"/>
    <s v=""/>
    <n v="0"/>
    <x v="2"/>
    <m/>
    <n v="0"/>
  </r>
  <r>
    <n v="1187"/>
    <d v="2025-09-23T14:27:07"/>
    <n v="60000"/>
    <n v="30000"/>
    <n v="0"/>
    <n v="7000"/>
    <n v="0"/>
    <n v="0"/>
    <n v="20000"/>
    <n v="0"/>
    <n v="0"/>
    <n v="16000"/>
    <n v="4000"/>
    <n v="-17000"/>
    <n v="0"/>
    <n v="-1"/>
    <n v="0"/>
    <n v="0"/>
    <n v="5"/>
    <n v="1"/>
    <n v="0"/>
    <n v="-2"/>
    <n v="3"/>
    <n v="80000"/>
    <n v="0"/>
    <n v="0"/>
    <n v="0"/>
    <n v="70000"/>
    <n v="70000"/>
    <n v="63000"/>
    <m/>
    <m/>
    <n v="6"/>
    <n v="6"/>
    <n v="0"/>
    <n v="0"/>
    <n v="0"/>
    <n v="0"/>
    <s v="VIEW_SUMMARY"/>
    <n v="668"/>
    <n v="291"/>
    <m/>
    <n v="1416"/>
    <m/>
    <x v="1"/>
    <n v="93"/>
    <s v="table5"/>
    <n v="19"/>
    <s v="250923_EPA_IntroDays_Overasselt"/>
    <n v="22"/>
    <n v="12"/>
    <s v="(U-village)"/>
    <n v="1"/>
    <x v="2"/>
    <n v="0"/>
    <n v="20000"/>
  </r>
  <r>
    <n v="1220"/>
    <d v="2025-09-23T14:27:07"/>
    <n v="60000"/>
    <n v="30000"/>
    <n v="17000"/>
    <n v="7000"/>
    <n v="0"/>
    <n v="0"/>
    <n v="20000"/>
    <n v="0"/>
    <n v="0"/>
    <n v="24000"/>
    <n v="4000"/>
    <n v="-42000"/>
    <n v="0"/>
    <n v="0"/>
    <n v="0"/>
    <n v="0"/>
    <n v="7"/>
    <n v="1"/>
    <n v="1"/>
    <n v="-11"/>
    <n v="3"/>
    <n v="80000"/>
    <n v="70000"/>
    <n v="63000"/>
    <n v="0"/>
    <n v="0"/>
    <n v="70000"/>
    <n v="56000"/>
    <m/>
    <m/>
    <n v="6"/>
    <n v="6"/>
    <n v="0"/>
    <n v="0"/>
    <n v="0"/>
    <n v="0"/>
    <s v="VIEW_SUMMARY"/>
    <n v="668"/>
    <n v="297"/>
    <n v="1416"/>
    <n v="1416"/>
    <m/>
    <x v="2"/>
    <n v="93"/>
    <s v="table5"/>
    <n v="19"/>
    <s v="250923_EPA_IntroDays_Overasselt"/>
    <n v="22"/>
    <n v="12"/>
    <s v="(U-village)"/>
    <n v="2"/>
    <x v="2"/>
    <n v="0"/>
    <n v="28000"/>
  </r>
  <r>
    <n v="1250"/>
    <d v="2025-09-23T14:27:07"/>
    <n v="60000"/>
    <n v="30000"/>
    <n v="30000"/>
    <n v="7000"/>
    <n v="0"/>
    <n v="0"/>
    <n v="20000"/>
    <n v="0"/>
    <n v="0"/>
    <n v="12000"/>
    <n v="4000"/>
    <n v="-55000"/>
    <n v="0"/>
    <n v="0"/>
    <n v="0"/>
    <n v="0"/>
    <n v="4"/>
    <n v="1"/>
    <n v="1"/>
    <n v="-17"/>
    <n v="3"/>
    <n v="80000"/>
    <n v="70000"/>
    <n v="56000"/>
    <n v="0"/>
    <n v="0"/>
    <n v="70000"/>
    <n v="49000"/>
    <m/>
    <m/>
    <n v="6"/>
    <n v="6"/>
    <n v="-2"/>
    <n v="-1"/>
    <n v="0"/>
    <n v="0"/>
    <s v="VIEW_SUMMARY"/>
    <n v="668"/>
    <n v="301"/>
    <n v="1416"/>
    <n v="1416"/>
    <m/>
    <x v="3"/>
    <n v="93"/>
    <s v="table5"/>
    <n v="19"/>
    <s v="250923_EPA_IntroDays_Overasselt"/>
    <n v="22"/>
    <n v="12"/>
    <s v="(U-village)"/>
    <n v="3"/>
    <x v="2"/>
    <n v="0"/>
    <n v="16000"/>
  </r>
  <r>
    <n v="1276"/>
    <d v="2025-09-23T14:27:07"/>
    <n v="60000"/>
    <n v="30000"/>
    <n v="30000"/>
    <n v="7000"/>
    <n v="0"/>
    <n v="0"/>
    <n v="20000"/>
    <n v="0"/>
    <n v="0"/>
    <n v="8000"/>
    <n v="4000"/>
    <n v="-64000"/>
    <n v="0"/>
    <n v="0"/>
    <n v="0"/>
    <n v="0"/>
    <n v="3"/>
    <n v="1"/>
    <n v="1"/>
    <n v="-22"/>
    <n v="3"/>
    <n v="80000"/>
    <n v="70000"/>
    <n v="49000"/>
    <n v="0"/>
    <n v="0"/>
    <n v="70000"/>
    <n v="42000"/>
    <m/>
    <m/>
    <n v="6"/>
    <n v="6"/>
    <n v="-2"/>
    <n v="-1"/>
    <n v="0"/>
    <n v="0"/>
    <s v="VIEW_DAMAGE"/>
    <n v="668"/>
    <n v="304"/>
    <n v="1416"/>
    <n v="1416"/>
    <m/>
    <x v="4"/>
    <n v="93"/>
    <s v="table5"/>
    <n v="19"/>
    <s v="250923_EPA_IntroDays_Overasselt"/>
    <n v="22"/>
    <n v="12"/>
    <s v="(U-village)"/>
    <n v="4"/>
    <x v="2"/>
    <n v="0"/>
    <n v="12000"/>
  </r>
  <r>
    <n v="1159"/>
    <d v="2025-09-23T14:15:12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69"/>
    <n v="289"/>
    <m/>
    <m/>
    <m/>
    <x v="0"/>
    <n v="93"/>
    <s v="table5"/>
    <n v="19"/>
    <s v="250923_EPA_IntroDays_Overasselt"/>
    <n v="22"/>
    <n v="0"/>
    <s v=""/>
    <n v="0"/>
    <x v="3"/>
    <m/>
    <n v="0"/>
  </r>
  <r>
    <n v="1188"/>
    <d v="2025-09-23T14:15:12"/>
    <n v="90000"/>
    <n v="50000"/>
    <n v="0"/>
    <n v="10000"/>
    <n v="0"/>
    <n v="0"/>
    <n v="15000"/>
    <n v="6000"/>
    <n v="4500"/>
    <n v="4000"/>
    <n v="4000"/>
    <n v="11500"/>
    <n v="0"/>
    <n v="-2"/>
    <n v="1"/>
    <n v="1"/>
    <n v="2"/>
    <n v="1"/>
    <n v="0"/>
    <n v="2"/>
    <n v="5"/>
    <n v="130000"/>
    <n v="0"/>
    <n v="0"/>
    <n v="0"/>
    <n v="100000"/>
    <n v="100000"/>
    <n v="90000"/>
    <m/>
    <m/>
    <n v="6"/>
    <n v="9"/>
    <n v="0"/>
    <n v="0"/>
    <n v="1"/>
    <n v="0"/>
    <s v="VIEW_SUMMARY"/>
    <n v="669"/>
    <n v="291"/>
    <m/>
    <n v="1406"/>
    <m/>
    <x v="1"/>
    <n v="93"/>
    <s v="table5"/>
    <n v="19"/>
    <s v="250923_EPA_IntroDays_Overasselt"/>
    <n v="22"/>
    <n v="15"/>
    <s v="(Natu-city)"/>
    <n v="1"/>
    <x v="3"/>
    <n v="1"/>
    <n v="8000"/>
  </r>
  <r>
    <n v="1224"/>
    <d v="2025-09-23T14:15:12"/>
    <n v="90000"/>
    <n v="50000"/>
    <n v="0"/>
    <n v="10000"/>
    <n v="0"/>
    <n v="0"/>
    <n v="15000"/>
    <n v="8000"/>
    <n v="0"/>
    <n v="12000"/>
    <n v="4000"/>
    <n v="2500"/>
    <n v="0"/>
    <n v="0"/>
    <n v="1"/>
    <n v="0"/>
    <n v="4"/>
    <n v="1"/>
    <n v="0"/>
    <n v="-2"/>
    <n v="5"/>
    <n v="130000"/>
    <n v="100000"/>
    <n v="90000"/>
    <n v="0"/>
    <n v="0"/>
    <n v="100000"/>
    <n v="80000"/>
    <m/>
    <m/>
    <n v="6"/>
    <n v="9"/>
    <n v="0"/>
    <n v="0"/>
    <n v="1"/>
    <n v="0"/>
    <s v="VIEW_SUMMARY"/>
    <n v="669"/>
    <n v="297"/>
    <n v="1406"/>
    <n v="1406"/>
    <m/>
    <x v="2"/>
    <n v="93"/>
    <s v="table5"/>
    <n v="19"/>
    <s v="250923_EPA_IntroDays_Overasselt"/>
    <n v="22"/>
    <n v="15"/>
    <s v="(Natu-city)"/>
    <n v="2"/>
    <x v="3"/>
    <n v="1"/>
    <n v="16000"/>
  </r>
  <r>
    <n v="1247"/>
    <d v="2025-09-23T14:15:12"/>
    <n v="90000"/>
    <n v="50000"/>
    <n v="0"/>
    <n v="10000"/>
    <n v="0"/>
    <n v="0"/>
    <n v="15000"/>
    <n v="8000"/>
    <n v="0"/>
    <n v="0"/>
    <n v="4000"/>
    <n v="5500"/>
    <n v="0"/>
    <n v="0"/>
    <n v="1"/>
    <n v="0"/>
    <n v="0"/>
    <n v="1"/>
    <n v="0"/>
    <n v="-2"/>
    <n v="5"/>
    <n v="130000"/>
    <n v="100000"/>
    <n v="80000"/>
    <n v="0"/>
    <n v="0"/>
    <n v="100000"/>
    <n v="70000"/>
    <m/>
    <m/>
    <n v="6"/>
    <n v="9"/>
    <n v="-2"/>
    <n v="-1"/>
    <n v="1"/>
    <n v="1"/>
    <s v="VIEW_SUMMARY"/>
    <n v="669"/>
    <n v="301"/>
    <n v="1406"/>
    <n v="1406"/>
    <m/>
    <x v="3"/>
    <n v="93"/>
    <s v="table5"/>
    <n v="19"/>
    <s v="250923_EPA_IntroDays_Overasselt"/>
    <n v="22"/>
    <n v="15"/>
    <s v="(Natu-city)"/>
    <n v="3"/>
    <x v="3"/>
    <n v="2"/>
    <n v="4000"/>
  </r>
  <r>
    <n v="1265"/>
    <d v="2025-09-23T14:15:12"/>
    <n v="90000"/>
    <n v="50000"/>
    <n v="0"/>
    <n v="10000"/>
    <n v="0"/>
    <n v="0"/>
    <n v="30000"/>
    <n v="0"/>
    <n v="0"/>
    <n v="0"/>
    <n v="4000"/>
    <n v="1500"/>
    <n v="0"/>
    <n v="0"/>
    <n v="0"/>
    <n v="0"/>
    <n v="0"/>
    <n v="1"/>
    <n v="0"/>
    <n v="-3"/>
    <n v="5"/>
    <n v="130000"/>
    <n v="100000"/>
    <n v="70000"/>
    <n v="0"/>
    <n v="0"/>
    <n v="100000"/>
    <n v="60000"/>
    <m/>
    <m/>
    <n v="6"/>
    <n v="9"/>
    <n v="-2"/>
    <n v="-1"/>
    <n v="0"/>
    <n v="0"/>
    <s v="ANSWER_SURVEY"/>
    <n v="669"/>
    <n v="304"/>
    <n v="1406"/>
    <n v="1406"/>
    <m/>
    <x v="4"/>
    <n v="93"/>
    <s v="table5"/>
    <n v="19"/>
    <s v="250923_EPA_IntroDays_Overasselt"/>
    <n v="22"/>
    <n v="15"/>
    <s v="(Natu-city)"/>
    <n v="4"/>
    <x v="3"/>
    <n v="0"/>
    <n v="4000"/>
  </r>
  <r>
    <n v="1155"/>
    <d v="2025-09-23T14:14:25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70"/>
    <n v="289"/>
    <m/>
    <m/>
    <m/>
    <x v="0"/>
    <n v="93"/>
    <s v="table5"/>
    <n v="19"/>
    <s v="250923_EPA_IntroDays_Overasselt"/>
    <n v="22"/>
    <n v="0"/>
    <s v=""/>
    <n v="0"/>
    <x v="4"/>
    <m/>
    <n v="0"/>
  </r>
  <r>
    <n v="1185"/>
    <d v="2025-09-23T14:14:25"/>
    <n v="130000"/>
    <n v="75000"/>
    <n v="0"/>
    <n v="16000"/>
    <n v="0"/>
    <n v="0"/>
    <n v="20000"/>
    <n v="8000"/>
    <n v="8000"/>
    <n v="0"/>
    <n v="4000"/>
    <n v="49000"/>
    <n v="0"/>
    <n v="-2"/>
    <n v="1"/>
    <n v="2"/>
    <n v="1"/>
    <n v="1"/>
    <n v="0"/>
    <n v="4"/>
    <n v="7"/>
    <n v="200000"/>
    <n v="0"/>
    <n v="0"/>
    <n v="0"/>
    <n v="160000"/>
    <n v="160000"/>
    <n v="144000"/>
    <m/>
    <m/>
    <n v="4"/>
    <n v="9"/>
    <n v="0"/>
    <n v="0"/>
    <n v="1"/>
    <n v="1"/>
    <s v="VIEW_SUMMARY"/>
    <n v="670"/>
    <n v="291"/>
    <m/>
    <n v="1410"/>
    <m/>
    <x v="1"/>
    <n v="93"/>
    <s v="table5"/>
    <n v="19"/>
    <s v="250923_EPA_IntroDays_Overasselt"/>
    <n v="22"/>
    <n v="13"/>
    <s v="(Dike-town)"/>
    <n v="1"/>
    <x v="4"/>
    <n v="2"/>
    <n v="4000"/>
  </r>
  <r>
    <n v="1221"/>
    <d v="2025-09-23T14:14:25"/>
    <n v="130000"/>
    <n v="75000"/>
    <n v="0"/>
    <n v="16000"/>
    <n v="0"/>
    <n v="0"/>
    <n v="20000"/>
    <n v="14000"/>
    <n v="7200"/>
    <n v="12000"/>
    <n v="4000"/>
    <n v="30800"/>
    <n v="0"/>
    <n v="0"/>
    <n v="2"/>
    <n v="1"/>
    <n v="4"/>
    <n v="1"/>
    <n v="0"/>
    <n v="2"/>
    <n v="7"/>
    <n v="200000"/>
    <n v="160000"/>
    <n v="144000"/>
    <n v="0"/>
    <n v="0"/>
    <n v="160000"/>
    <n v="128000"/>
    <m/>
    <m/>
    <n v="4"/>
    <n v="9"/>
    <n v="0"/>
    <n v="0"/>
    <n v="2"/>
    <n v="0"/>
    <s v="VIEW_SUMMARY"/>
    <n v="670"/>
    <n v="297"/>
    <n v="1410"/>
    <n v="1410"/>
    <m/>
    <x v="2"/>
    <n v="93"/>
    <s v="table5"/>
    <n v="19"/>
    <s v="250923_EPA_IntroDays_Overasselt"/>
    <n v="22"/>
    <n v="13"/>
    <s v="(Dike-town)"/>
    <n v="2"/>
    <x v="4"/>
    <n v="2"/>
    <n v="16000"/>
  </r>
  <r>
    <n v="1248"/>
    <d v="2025-09-23T14:14:25"/>
    <n v="130000"/>
    <n v="75000"/>
    <n v="0"/>
    <n v="16000"/>
    <n v="0"/>
    <n v="0"/>
    <n v="20000"/>
    <n v="11000"/>
    <n v="6500"/>
    <n v="0"/>
    <n v="4000"/>
    <n v="28300"/>
    <n v="0"/>
    <n v="0"/>
    <n v="0"/>
    <n v="1"/>
    <n v="0"/>
    <n v="1"/>
    <n v="0"/>
    <n v="2"/>
    <n v="7"/>
    <n v="200000"/>
    <n v="160000"/>
    <n v="128000"/>
    <n v="0"/>
    <n v="0"/>
    <n v="160000"/>
    <n v="112000"/>
    <m/>
    <m/>
    <n v="4"/>
    <n v="9"/>
    <n v="-2"/>
    <n v="-1"/>
    <n v="1"/>
    <n v="2"/>
    <s v="VIEW_SUMMARY"/>
    <n v="670"/>
    <n v="301"/>
    <n v="1410"/>
    <n v="1410"/>
    <m/>
    <x v="3"/>
    <n v="93"/>
    <s v="table5"/>
    <n v="19"/>
    <s v="250923_EPA_IntroDays_Overasselt"/>
    <n v="22"/>
    <n v="13"/>
    <s v="(Dike-town)"/>
    <n v="3"/>
    <x v="4"/>
    <n v="3"/>
    <n v="4000"/>
  </r>
  <r>
    <n v="1267"/>
    <d v="2025-09-23T14:14:25"/>
    <n v="130000"/>
    <n v="75000"/>
    <n v="0"/>
    <n v="16000"/>
    <n v="0"/>
    <n v="0"/>
    <n v="20000"/>
    <n v="0"/>
    <n v="0"/>
    <n v="0"/>
    <n v="4000"/>
    <n v="43300"/>
    <n v="0"/>
    <n v="0"/>
    <n v="0"/>
    <n v="0"/>
    <n v="0"/>
    <n v="1"/>
    <n v="0"/>
    <n v="1"/>
    <n v="7"/>
    <n v="200000"/>
    <n v="160000"/>
    <n v="112000"/>
    <n v="0"/>
    <n v="0"/>
    <n v="160000"/>
    <n v="96000"/>
    <m/>
    <m/>
    <n v="4"/>
    <n v="9"/>
    <n v="-2"/>
    <n v="-1"/>
    <n v="0"/>
    <n v="0"/>
    <s v="VIEW_DAMAGE"/>
    <n v="670"/>
    <n v="304"/>
    <n v="1410"/>
    <n v="1410"/>
    <m/>
    <x v="4"/>
    <n v="93"/>
    <s v="table5"/>
    <n v="19"/>
    <s v="250923_EPA_IntroDays_Overasselt"/>
    <n v="22"/>
    <n v="13"/>
    <s v="(Dike-town)"/>
    <n v="4"/>
    <x v="4"/>
    <n v="0"/>
    <n v="4000"/>
  </r>
  <r>
    <n v="1171"/>
    <d v="2025-09-23T14:25:13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71"/>
    <n v="289"/>
    <m/>
    <m/>
    <m/>
    <x v="0"/>
    <n v="93"/>
    <s v="table5"/>
    <n v="19"/>
    <s v="250923_EPA_IntroDays_Overasselt"/>
    <n v="22"/>
    <n v="0"/>
    <s v=""/>
    <n v="0"/>
    <x v="5"/>
    <m/>
    <n v="0"/>
  </r>
  <r>
    <n v="1181"/>
    <d v="2025-09-23T14:25:13"/>
    <n v="190000"/>
    <n v="115000"/>
    <n v="0"/>
    <n v="30000"/>
    <n v="0"/>
    <n v="0"/>
    <n v="20000"/>
    <n v="32000"/>
    <n v="15500"/>
    <n v="0"/>
    <n v="4000"/>
    <n v="53500"/>
    <n v="0"/>
    <n v="0"/>
    <n v="3"/>
    <n v="1"/>
    <n v="1"/>
    <n v="1"/>
    <n v="0"/>
    <n v="7"/>
    <n v="8"/>
    <n v="300000"/>
    <n v="0"/>
    <n v="0"/>
    <n v="0"/>
    <n v="300000"/>
    <n v="300000"/>
    <n v="270000"/>
    <m/>
    <m/>
    <n v="4"/>
    <n v="9"/>
    <n v="0"/>
    <n v="0"/>
    <n v="4"/>
    <n v="2"/>
    <s v="VIEW_SUMMARY"/>
    <n v="671"/>
    <n v="291"/>
    <m/>
    <n v="1407"/>
    <m/>
    <x v="1"/>
    <n v="93"/>
    <s v="table5"/>
    <n v="19"/>
    <s v="250923_EPA_IntroDays_Overasselt"/>
    <n v="22"/>
    <n v="13"/>
    <s v="(Dike-town)"/>
    <n v="1"/>
    <x v="5"/>
    <n v="6"/>
    <n v="4000"/>
  </r>
  <r>
    <n v="1223"/>
    <d v="2025-09-23T14:25:13"/>
    <n v="190000"/>
    <n v="115000"/>
    <n v="0"/>
    <n v="30000"/>
    <n v="0"/>
    <n v="0"/>
    <n v="20000"/>
    <n v="0"/>
    <n v="15000"/>
    <n v="12000"/>
    <n v="4000"/>
    <n v="47500"/>
    <n v="0"/>
    <n v="0"/>
    <n v="0"/>
    <n v="2"/>
    <n v="4"/>
    <n v="1"/>
    <n v="0"/>
    <n v="4"/>
    <n v="8"/>
    <n v="300000"/>
    <n v="300000"/>
    <n v="270000"/>
    <n v="0"/>
    <n v="0"/>
    <n v="300000"/>
    <n v="240000"/>
    <m/>
    <m/>
    <n v="4"/>
    <n v="9"/>
    <n v="0"/>
    <n v="0"/>
    <n v="0"/>
    <n v="0"/>
    <s v="VIEW_SUMMARY"/>
    <n v="671"/>
    <n v="297"/>
    <n v="1407"/>
    <n v="1407"/>
    <m/>
    <x v="2"/>
    <n v="93"/>
    <s v="table5"/>
    <n v="19"/>
    <s v="250923_EPA_IntroDays_Overasselt"/>
    <n v="22"/>
    <n v="13"/>
    <s v="(Dike-town)"/>
    <n v="2"/>
    <x v="5"/>
    <n v="0"/>
    <n v="16000"/>
  </r>
  <r>
    <n v="1245"/>
    <d v="2025-09-23T14:25:13"/>
    <n v="190000"/>
    <n v="115000"/>
    <n v="0"/>
    <n v="30000"/>
    <n v="0"/>
    <n v="0"/>
    <n v="20000"/>
    <n v="1000"/>
    <n v="7500"/>
    <n v="0"/>
    <n v="4000"/>
    <n v="60000"/>
    <n v="0"/>
    <n v="0"/>
    <n v="0"/>
    <n v="1"/>
    <n v="0"/>
    <n v="1"/>
    <n v="0"/>
    <n v="4"/>
    <n v="8"/>
    <n v="300000"/>
    <n v="300000"/>
    <n v="240000"/>
    <n v="0"/>
    <n v="0"/>
    <n v="300000"/>
    <n v="210000"/>
    <m/>
    <m/>
    <n v="4"/>
    <n v="9"/>
    <n v="-2"/>
    <n v="-1"/>
    <n v="0"/>
    <n v="1"/>
    <s v="VIEW_SUMMARY"/>
    <n v="671"/>
    <n v="301"/>
    <n v="1407"/>
    <n v="1407"/>
    <m/>
    <x v="3"/>
    <n v="93"/>
    <s v="table5"/>
    <n v="19"/>
    <s v="250923_EPA_IntroDays_Overasselt"/>
    <n v="22"/>
    <n v="13"/>
    <s v="(Dike-town)"/>
    <n v="3"/>
    <x v="5"/>
    <n v="1"/>
    <n v="4000"/>
  </r>
  <r>
    <n v="1266"/>
    <d v="2025-09-23T14:25:13"/>
    <n v="190000"/>
    <n v="115000"/>
    <n v="0"/>
    <n v="30000"/>
    <n v="90000"/>
    <n v="125000"/>
    <n v="30000"/>
    <n v="14000"/>
    <n v="0"/>
    <n v="0"/>
    <n v="0"/>
    <n v="26000"/>
    <n v="1"/>
    <n v="1"/>
    <n v="2"/>
    <n v="0"/>
    <n v="0"/>
    <n v="0"/>
    <n v="0"/>
    <n v="6"/>
    <n v="8"/>
    <n v="300000"/>
    <n v="300000"/>
    <n v="210000"/>
    <n v="300000"/>
    <n v="425000"/>
    <n v="300000"/>
    <n v="270000"/>
    <n v="33"/>
    <m/>
    <n v="6"/>
    <n v="9"/>
    <n v="-2"/>
    <n v="-1"/>
    <n v="4"/>
    <n v="2"/>
    <s v="VIEW_DAMAGE"/>
    <n v="671"/>
    <n v="304"/>
    <n v="1407"/>
    <n v="1477"/>
    <m/>
    <x v="4"/>
    <n v="93"/>
    <s v="table5"/>
    <n v="19"/>
    <s v="250923_EPA_IntroDays_Overasselt"/>
    <n v="22"/>
    <n v="15"/>
    <s v="(Natu-city)"/>
    <n v="4"/>
    <x v="5"/>
    <n v="6"/>
    <n v="0"/>
  </r>
  <r>
    <n v="1156"/>
    <d v="2025-09-23T14:14:26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72"/>
    <n v="289"/>
    <m/>
    <m/>
    <m/>
    <x v="0"/>
    <n v="93"/>
    <s v="table5"/>
    <n v="19"/>
    <s v="250923_EPA_IntroDays_Overasselt"/>
    <n v="22"/>
    <n v="0"/>
    <s v=""/>
    <n v="0"/>
    <x v="1"/>
    <m/>
    <n v="0"/>
  </r>
  <r>
    <n v="1183"/>
    <d v="2025-09-23T14:14:26"/>
    <n v="110000"/>
    <n v="60000"/>
    <n v="0"/>
    <n v="17000"/>
    <n v="0"/>
    <n v="100000"/>
    <n v="15000"/>
    <n v="0"/>
    <n v="0"/>
    <n v="4000"/>
    <n v="4000"/>
    <n v="-60000"/>
    <n v="0"/>
    <n v="0"/>
    <n v="0"/>
    <n v="0"/>
    <n v="2"/>
    <n v="1"/>
    <n v="0"/>
    <n v="2"/>
    <n v="6"/>
    <n v="170000"/>
    <n v="0"/>
    <n v="0"/>
    <n v="0"/>
    <n v="270000"/>
    <n v="170000"/>
    <n v="153000"/>
    <m/>
    <m/>
    <n v="6"/>
    <n v="9"/>
    <n v="0"/>
    <n v="0"/>
    <n v="0"/>
    <n v="0"/>
    <s v="VIEW_SUMMARY"/>
    <n v="672"/>
    <n v="291"/>
    <m/>
    <n v="1405"/>
    <m/>
    <x v="1"/>
    <n v="93"/>
    <s v="table5"/>
    <n v="19"/>
    <s v="250923_EPA_IntroDays_Overasselt"/>
    <n v="22"/>
    <n v="15"/>
    <s v="(Natu-city)"/>
    <n v="1"/>
    <x v="1"/>
    <n v="0"/>
    <n v="8000"/>
  </r>
  <r>
    <n v="1222"/>
    <d v="2025-09-23T14:14:26"/>
    <n v="110000"/>
    <n v="60000"/>
    <n v="50000"/>
    <n v="17000"/>
    <n v="0"/>
    <n v="0"/>
    <n v="15000"/>
    <n v="0"/>
    <n v="0"/>
    <n v="12000"/>
    <n v="4000"/>
    <n v="-58000"/>
    <n v="0"/>
    <n v="0"/>
    <n v="0"/>
    <n v="0"/>
    <n v="4"/>
    <n v="1"/>
    <n v="1"/>
    <n v="-4"/>
    <n v="6"/>
    <n v="170000"/>
    <n v="170000"/>
    <n v="153000"/>
    <n v="0"/>
    <n v="0"/>
    <n v="170000"/>
    <n v="136000"/>
    <m/>
    <m/>
    <n v="6"/>
    <n v="9"/>
    <n v="0"/>
    <n v="0"/>
    <n v="0"/>
    <n v="0"/>
    <s v="VIEW_SUMMARY"/>
    <n v="672"/>
    <n v="297"/>
    <n v="1405"/>
    <n v="1405"/>
    <m/>
    <x v="2"/>
    <n v="93"/>
    <s v="table5"/>
    <n v="19"/>
    <s v="250923_EPA_IntroDays_Overasselt"/>
    <n v="22"/>
    <n v="15"/>
    <s v="(Natu-city)"/>
    <n v="2"/>
    <x v="1"/>
    <n v="0"/>
    <n v="16000"/>
  </r>
  <r>
    <n v="1249"/>
    <d v="2025-09-23T14:14:26"/>
    <n v="110000"/>
    <n v="60000"/>
    <n v="50000"/>
    <n v="17000"/>
    <n v="0"/>
    <n v="0"/>
    <n v="15000"/>
    <n v="0"/>
    <n v="0"/>
    <n v="0"/>
    <n v="4000"/>
    <n v="-44000"/>
    <n v="0"/>
    <n v="0"/>
    <n v="0"/>
    <n v="0"/>
    <n v="0"/>
    <n v="1"/>
    <n v="1"/>
    <n v="-6"/>
    <n v="6"/>
    <n v="170000"/>
    <n v="170000"/>
    <n v="136000"/>
    <n v="0"/>
    <n v="0"/>
    <n v="170000"/>
    <n v="119000"/>
    <m/>
    <m/>
    <n v="6"/>
    <n v="9"/>
    <n v="-2"/>
    <n v="-1"/>
    <n v="0"/>
    <n v="0"/>
    <s v="VIEW_SUMMARY"/>
    <n v="672"/>
    <n v="301"/>
    <n v="1405"/>
    <n v="1405"/>
    <m/>
    <x v="3"/>
    <n v="93"/>
    <s v="table5"/>
    <n v="19"/>
    <s v="250923_EPA_IntroDays_Overasselt"/>
    <n v="22"/>
    <n v="15"/>
    <s v="(Natu-city)"/>
    <n v="3"/>
    <x v="1"/>
    <n v="0"/>
    <n v="4000"/>
  </r>
  <r>
    <n v="1264"/>
    <d v="2025-09-23T14:14:26"/>
    <n v="110000"/>
    <n v="60000"/>
    <n v="44000"/>
    <n v="17000"/>
    <n v="0"/>
    <n v="0"/>
    <n v="30000"/>
    <n v="0"/>
    <n v="0"/>
    <n v="0"/>
    <n v="4000"/>
    <n v="-45000"/>
    <n v="0"/>
    <n v="0"/>
    <n v="0"/>
    <n v="0"/>
    <n v="0"/>
    <n v="1"/>
    <n v="1"/>
    <n v="-8"/>
    <n v="6"/>
    <n v="170000"/>
    <n v="170000"/>
    <n v="119000"/>
    <n v="0"/>
    <n v="0"/>
    <n v="170000"/>
    <n v="85000"/>
    <m/>
    <m/>
    <n v="6"/>
    <n v="9"/>
    <n v="-2"/>
    <n v="-1"/>
    <n v="0"/>
    <n v="0"/>
    <s v="VIEW_DAMAGE"/>
    <n v="672"/>
    <n v="304"/>
    <n v="1405"/>
    <n v="1405"/>
    <m/>
    <x v="4"/>
    <n v="93"/>
    <s v="table5"/>
    <n v="19"/>
    <s v="250923_EPA_IntroDays_Overasselt"/>
    <n v="22"/>
    <n v="15"/>
    <s v="(Natu-city)"/>
    <n v="4"/>
    <x v="1"/>
    <n v="0"/>
    <n v="4000"/>
  </r>
  <r>
    <n v="1162"/>
    <d v="2025-09-23T14:16:18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74"/>
    <n v="288"/>
    <m/>
    <m/>
    <m/>
    <x v="0"/>
    <n v="94"/>
    <s v="table6"/>
    <n v="19"/>
    <s v="250923_EPA_IntroDays_Overasselt"/>
    <n v="22"/>
    <n v="0"/>
    <s v=""/>
    <n v="0"/>
    <x v="0"/>
    <m/>
    <n v="0"/>
  </r>
  <r>
    <n v="1190"/>
    <d v="2025-09-23T14:16:18"/>
    <n v="75000"/>
    <n v="40000"/>
    <n v="0"/>
    <n v="10000"/>
    <n v="0"/>
    <n v="0"/>
    <n v="15000"/>
    <n v="0"/>
    <n v="7000"/>
    <n v="0"/>
    <n v="4000"/>
    <n v="4000"/>
    <n v="0"/>
    <n v="-1"/>
    <n v="0"/>
    <n v="2"/>
    <n v="0"/>
    <n v="1"/>
    <n v="0"/>
    <n v="5"/>
    <n v="4"/>
    <n v="110000"/>
    <n v="0"/>
    <n v="0"/>
    <n v="0"/>
    <n v="100000"/>
    <n v="100000"/>
    <n v="90000"/>
    <m/>
    <m/>
    <n v="6"/>
    <n v="9"/>
    <n v="0"/>
    <n v="0"/>
    <n v="0"/>
    <n v="0"/>
    <s v="VIEW_SUMMARY"/>
    <n v="674"/>
    <n v="292"/>
    <m/>
    <n v="1421"/>
    <m/>
    <x v="1"/>
    <n v="94"/>
    <s v="table6"/>
    <n v="19"/>
    <s v="250923_EPA_IntroDays_Overasselt"/>
    <n v="22"/>
    <n v="15"/>
    <s v="(Natu-city)"/>
    <n v="1"/>
    <x v="0"/>
    <n v="0"/>
    <n v="4000"/>
  </r>
  <r>
    <n v="1206"/>
    <d v="2025-09-23T14:16:18"/>
    <n v="75000"/>
    <n v="40000"/>
    <n v="0"/>
    <n v="10000"/>
    <n v="0"/>
    <n v="0"/>
    <n v="15000"/>
    <n v="1000"/>
    <n v="0"/>
    <n v="0"/>
    <n v="0"/>
    <n v="13000"/>
    <n v="0"/>
    <n v="0"/>
    <n v="0"/>
    <n v="0"/>
    <n v="0"/>
    <n v="0"/>
    <n v="0"/>
    <n v="5"/>
    <n v="4"/>
    <n v="110000"/>
    <n v="100000"/>
    <n v="90000"/>
    <n v="0"/>
    <n v="0"/>
    <n v="100000"/>
    <n v="80000"/>
    <m/>
    <m/>
    <n v="6"/>
    <n v="9"/>
    <n v="0"/>
    <n v="0"/>
    <n v="0"/>
    <n v="1"/>
    <s v="VIEW_SUMMARY"/>
    <n v="674"/>
    <n v="294"/>
    <n v="1421"/>
    <n v="1421"/>
    <m/>
    <x v="2"/>
    <n v="94"/>
    <s v="table6"/>
    <n v="19"/>
    <s v="250923_EPA_IntroDays_Overasselt"/>
    <n v="22"/>
    <n v="15"/>
    <s v="(Natu-city)"/>
    <n v="2"/>
    <x v="0"/>
    <n v="1"/>
    <n v="0"/>
  </r>
  <r>
    <n v="1229"/>
    <d v="2025-09-23T14:16:18"/>
    <n v="75000"/>
    <n v="40000"/>
    <n v="0"/>
    <n v="10000"/>
    <n v="0"/>
    <n v="0"/>
    <n v="15000"/>
    <n v="14000"/>
    <n v="0"/>
    <n v="8000"/>
    <n v="0"/>
    <n v="1000"/>
    <n v="0"/>
    <n v="0"/>
    <n v="2"/>
    <n v="0"/>
    <n v="3"/>
    <n v="0"/>
    <n v="0"/>
    <n v="4"/>
    <n v="4"/>
    <n v="110000"/>
    <n v="100000"/>
    <n v="80000"/>
    <n v="0"/>
    <n v="0"/>
    <n v="100000"/>
    <n v="70000"/>
    <m/>
    <m/>
    <n v="6"/>
    <n v="9"/>
    <n v="-2"/>
    <n v="-1"/>
    <n v="2"/>
    <n v="0"/>
    <s v="VIEW_SUMMARY"/>
    <n v="674"/>
    <n v="298"/>
    <n v="1421"/>
    <n v="1421"/>
    <m/>
    <x v="3"/>
    <n v="94"/>
    <s v="table6"/>
    <n v="19"/>
    <s v="250923_EPA_IntroDays_Overasselt"/>
    <n v="22"/>
    <n v="15"/>
    <s v="(Natu-city)"/>
    <n v="3"/>
    <x v="0"/>
    <n v="2"/>
    <n v="8000"/>
  </r>
  <r>
    <n v="1270"/>
    <d v="2025-09-23T14:16:18"/>
    <n v="75000"/>
    <n v="40000"/>
    <n v="0"/>
    <n v="10000"/>
    <n v="0"/>
    <n v="0"/>
    <n v="30000"/>
    <n v="0"/>
    <n v="0"/>
    <n v="0"/>
    <n v="0"/>
    <n v="-4000"/>
    <n v="0"/>
    <n v="0"/>
    <n v="0"/>
    <n v="0"/>
    <n v="0"/>
    <n v="0"/>
    <n v="0"/>
    <n v="4"/>
    <n v="4"/>
    <n v="110000"/>
    <n v="100000"/>
    <n v="70000"/>
    <n v="0"/>
    <n v="0"/>
    <n v="100000"/>
    <n v="60000"/>
    <m/>
    <m/>
    <n v="6"/>
    <n v="9"/>
    <n v="-2"/>
    <n v="-1"/>
    <n v="0"/>
    <n v="0"/>
    <s v="VIEW_SUMMARY"/>
    <n v="674"/>
    <n v="305"/>
    <n v="1421"/>
    <n v="1421"/>
    <m/>
    <x v="4"/>
    <n v="94"/>
    <s v="table6"/>
    <n v="19"/>
    <s v="250923_EPA_IntroDays_Overasselt"/>
    <n v="22"/>
    <n v="15"/>
    <s v="(Natu-city)"/>
    <n v="4"/>
    <x v="0"/>
    <n v="0"/>
    <n v="0"/>
  </r>
  <r>
    <n v="1163"/>
    <d v="2025-09-23T14:24:27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75"/>
    <n v="288"/>
    <m/>
    <m/>
    <m/>
    <x v="0"/>
    <n v="94"/>
    <s v="table6"/>
    <n v="19"/>
    <s v="250923_EPA_IntroDays_Overasselt"/>
    <n v="22"/>
    <n v="0"/>
    <s v=""/>
    <n v="0"/>
    <x v="1"/>
    <m/>
    <n v="0"/>
  </r>
  <r>
    <n v="1193"/>
    <d v="2025-09-23T14:24:27"/>
    <n v="110000"/>
    <n v="60000"/>
    <n v="0"/>
    <n v="17000"/>
    <n v="0"/>
    <n v="30000"/>
    <n v="15000"/>
    <n v="8000"/>
    <n v="4000"/>
    <n v="0"/>
    <n v="0"/>
    <n v="6000"/>
    <n v="0"/>
    <n v="0"/>
    <n v="1"/>
    <n v="0"/>
    <n v="0"/>
    <n v="0"/>
    <n v="0"/>
    <n v="6"/>
    <n v="6"/>
    <n v="170000"/>
    <n v="0"/>
    <n v="0"/>
    <n v="0"/>
    <n v="200000"/>
    <n v="170000"/>
    <n v="153000"/>
    <m/>
    <m/>
    <n v="6"/>
    <n v="9"/>
    <n v="0"/>
    <n v="0"/>
    <n v="1"/>
    <n v="1"/>
    <s v="VIEW_SUMMARY"/>
    <n v="675"/>
    <n v="292"/>
    <m/>
    <n v="1419"/>
    <m/>
    <x v="1"/>
    <n v="94"/>
    <s v="table6"/>
    <n v="19"/>
    <s v="250923_EPA_IntroDays_Overasselt"/>
    <n v="22"/>
    <n v="15"/>
    <s v="(Natu-city)"/>
    <n v="1"/>
    <x v="1"/>
    <n v="2"/>
    <n v="0"/>
  </r>
  <r>
    <n v="1205"/>
    <d v="2025-09-23T14:24:27"/>
    <n v="110000"/>
    <n v="60000"/>
    <n v="0"/>
    <n v="17000"/>
    <n v="0"/>
    <n v="0"/>
    <n v="15000"/>
    <n v="7000"/>
    <n v="0"/>
    <n v="0"/>
    <n v="0"/>
    <n v="17000"/>
    <n v="0"/>
    <n v="0"/>
    <n v="1"/>
    <n v="0"/>
    <n v="0"/>
    <n v="0"/>
    <n v="0"/>
    <n v="7"/>
    <n v="6"/>
    <n v="170000"/>
    <n v="170000"/>
    <n v="153000"/>
    <n v="0"/>
    <n v="0"/>
    <n v="170000"/>
    <n v="136000"/>
    <m/>
    <m/>
    <n v="6"/>
    <n v="9"/>
    <n v="0"/>
    <n v="0"/>
    <n v="1"/>
    <n v="1"/>
    <s v="VIEW_SUMMARY"/>
    <n v="675"/>
    <n v="294"/>
    <n v="1419"/>
    <n v="1419"/>
    <m/>
    <x v="2"/>
    <n v="94"/>
    <s v="table6"/>
    <n v="19"/>
    <s v="250923_EPA_IntroDays_Overasselt"/>
    <n v="22"/>
    <n v="15"/>
    <s v="(Natu-city)"/>
    <n v="2"/>
    <x v="1"/>
    <n v="2"/>
    <n v="0"/>
  </r>
  <r>
    <n v="1230"/>
    <d v="2025-09-23T14:24:27"/>
    <n v="110000"/>
    <n v="60000"/>
    <n v="0"/>
    <n v="17000"/>
    <n v="0"/>
    <n v="0"/>
    <n v="15000"/>
    <n v="18000"/>
    <n v="0"/>
    <n v="4000"/>
    <n v="0"/>
    <n v="13000"/>
    <n v="0"/>
    <n v="0"/>
    <n v="1"/>
    <n v="0"/>
    <n v="2"/>
    <n v="0"/>
    <n v="0"/>
    <n v="6"/>
    <n v="6"/>
    <n v="170000"/>
    <n v="170000"/>
    <n v="136000"/>
    <n v="0"/>
    <n v="0"/>
    <n v="170000"/>
    <n v="119000"/>
    <m/>
    <m/>
    <n v="6"/>
    <n v="9"/>
    <n v="-2"/>
    <n v="-1"/>
    <n v="2"/>
    <n v="1"/>
    <s v="VIEW_SUMMARY"/>
    <n v="675"/>
    <n v="298"/>
    <n v="1419"/>
    <n v="1419"/>
    <m/>
    <x v="3"/>
    <n v="94"/>
    <s v="table6"/>
    <n v="19"/>
    <s v="250923_EPA_IntroDays_Overasselt"/>
    <n v="22"/>
    <n v="15"/>
    <s v="(Natu-city)"/>
    <n v="3"/>
    <x v="1"/>
    <n v="3"/>
    <n v="4000"/>
  </r>
  <r>
    <n v="1271"/>
    <d v="2025-09-23T14:24:27"/>
    <n v="110000"/>
    <n v="60000"/>
    <n v="0"/>
    <n v="17000"/>
    <n v="0"/>
    <n v="0"/>
    <n v="30000"/>
    <n v="0"/>
    <n v="10000"/>
    <n v="0"/>
    <n v="0"/>
    <n v="6000"/>
    <n v="0"/>
    <n v="0"/>
    <n v="0"/>
    <n v="2"/>
    <n v="0"/>
    <n v="0"/>
    <n v="0"/>
    <n v="8"/>
    <n v="6"/>
    <n v="170000"/>
    <n v="170000"/>
    <n v="119000"/>
    <n v="0"/>
    <n v="0"/>
    <n v="170000"/>
    <n v="102000"/>
    <m/>
    <m/>
    <n v="6"/>
    <n v="9"/>
    <n v="-2"/>
    <n v="-1"/>
    <n v="0"/>
    <n v="0"/>
    <s v="VIEW_SUMMARY"/>
    <n v="675"/>
    <n v="305"/>
    <n v="1419"/>
    <n v="1419"/>
    <m/>
    <x v="4"/>
    <n v="94"/>
    <s v="table6"/>
    <n v="19"/>
    <s v="250923_EPA_IntroDays_Overasselt"/>
    <n v="22"/>
    <n v="15"/>
    <s v="(Natu-city)"/>
    <n v="4"/>
    <x v="1"/>
    <n v="0"/>
    <n v="0"/>
  </r>
  <r>
    <n v="1160"/>
    <d v="2025-09-23T14:15:48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76"/>
    <n v="288"/>
    <m/>
    <m/>
    <m/>
    <x v="0"/>
    <n v="94"/>
    <s v="table6"/>
    <n v="19"/>
    <s v="250923_EPA_IntroDays_Overasselt"/>
    <n v="22"/>
    <n v="0"/>
    <s v=""/>
    <n v="0"/>
    <x v="2"/>
    <m/>
    <n v="0"/>
  </r>
  <r>
    <n v="1184"/>
    <d v="2025-09-23T14:15:48"/>
    <n v="60000"/>
    <n v="30000"/>
    <n v="0"/>
    <n v="8000"/>
    <n v="0"/>
    <n v="0"/>
    <n v="20000"/>
    <n v="0"/>
    <n v="1600"/>
    <n v="0"/>
    <n v="4000"/>
    <n v="-3600"/>
    <n v="0"/>
    <n v="-1"/>
    <n v="0"/>
    <n v="0"/>
    <n v="0"/>
    <n v="1"/>
    <n v="0"/>
    <n v="3"/>
    <n v="3"/>
    <n v="80000"/>
    <n v="0"/>
    <n v="0"/>
    <n v="0"/>
    <n v="80000"/>
    <n v="80000"/>
    <n v="72000"/>
    <m/>
    <m/>
    <n v="4"/>
    <n v="9"/>
    <n v="0"/>
    <n v="0"/>
    <n v="0"/>
    <n v="0"/>
    <s v="VIEW_SUMMARY"/>
    <n v="676"/>
    <n v="292"/>
    <m/>
    <n v="1427"/>
    <m/>
    <x v="1"/>
    <n v="94"/>
    <s v="table6"/>
    <n v="19"/>
    <s v="250923_EPA_IntroDays_Overasselt"/>
    <n v="22"/>
    <n v="13"/>
    <s v="(Dike-town)"/>
    <n v="1"/>
    <x v="2"/>
    <n v="0"/>
    <n v="4000"/>
  </r>
  <r>
    <n v="1207"/>
    <d v="2025-09-23T14:15:48"/>
    <n v="60000"/>
    <n v="30000"/>
    <n v="3600"/>
    <n v="8000"/>
    <n v="0"/>
    <n v="0"/>
    <n v="20000"/>
    <n v="0"/>
    <n v="0"/>
    <n v="0"/>
    <n v="4000"/>
    <n v="-5600"/>
    <n v="0"/>
    <n v="0"/>
    <n v="0"/>
    <n v="0"/>
    <n v="0"/>
    <n v="1"/>
    <n v="1"/>
    <n v="1"/>
    <n v="3"/>
    <n v="80000"/>
    <n v="80000"/>
    <n v="72000"/>
    <n v="0"/>
    <n v="0"/>
    <n v="80000"/>
    <n v="64000"/>
    <m/>
    <m/>
    <n v="4"/>
    <n v="9"/>
    <n v="0"/>
    <n v="0"/>
    <n v="0"/>
    <n v="0"/>
    <s v="VIEW_SUMMARY"/>
    <n v="676"/>
    <n v="294"/>
    <n v="1427"/>
    <n v="1427"/>
    <m/>
    <x v="2"/>
    <n v="94"/>
    <s v="table6"/>
    <n v="19"/>
    <s v="250923_EPA_IntroDays_Overasselt"/>
    <n v="22"/>
    <n v="13"/>
    <s v="(Dike-town)"/>
    <n v="2"/>
    <x v="2"/>
    <n v="0"/>
    <n v="4000"/>
  </r>
  <r>
    <n v="1227"/>
    <d v="2025-09-23T14:15:48"/>
    <n v="60000"/>
    <n v="30000"/>
    <n v="5600"/>
    <n v="8000"/>
    <n v="16000"/>
    <n v="0"/>
    <n v="20000"/>
    <n v="6000"/>
    <n v="2000"/>
    <n v="8000"/>
    <n v="4000"/>
    <n v="-7600"/>
    <n v="1"/>
    <n v="-1"/>
    <n v="1"/>
    <n v="1"/>
    <n v="3"/>
    <n v="1"/>
    <n v="1"/>
    <n v="-4"/>
    <n v="3"/>
    <n v="80000"/>
    <n v="80000"/>
    <n v="64000"/>
    <n v="80000"/>
    <n v="80000"/>
    <n v="80000"/>
    <n v="72000"/>
    <n v="34"/>
    <m/>
    <n v="4"/>
    <n v="9"/>
    <n v="-2"/>
    <n v="-1"/>
    <n v="1"/>
    <n v="0"/>
    <s v="VIEW_SUMMARY"/>
    <n v="676"/>
    <n v="298"/>
    <n v="1427"/>
    <n v="1427"/>
    <m/>
    <x v="3"/>
    <n v="94"/>
    <s v="table6"/>
    <n v="19"/>
    <s v="250923_EPA_IntroDays_Overasselt"/>
    <n v="22"/>
    <n v="13"/>
    <s v="(Dike-town)"/>
    <n v="3"/>
    <x v="2"/>
    <n v="1"/>
    <n v="12000"/>
  </r>
  <r>
    <n v="1275"/>
    <d v="2025-09-23T14:15:48"/>
    <n v="60000"/>
    <n v="30000"/>
    <n v="7600"/>
    <n v="8000"/>
    <n v="20000"/>
    <n v="0"/>
    <n v="20000"/>
    <n v="9000"/>
    <n v="0"/>
    <n v="0"/>
    <n v="0"/>
    <n v="5400"/>
    <n v="1"/>
    <n v="-1"/>
    <n v="1"/>
    <n v="0"/>
    <n v="0"/>
    <n v="0"/>
    <n v="1"/>
    <n v="-6"/>
    <n v="3"/>
    <n v="80000"/>
    <n v="80000"/>
    <n v="72000"/>
    <n v="92000"/>
    <n v="80000"/>
    <n v="80000"/>
    <n v="72000"/>
    <n v="34"/>
    <m/>
    <n v="4"/>
    <n v="9"/>
    <n v="-2"/>
    <n v="-1"/>
    <n v="1"/>
    <n v="1"/>
    <s v="VIEW_SUMMARY"/>
    <n v="676"/>
    <n v="305"/>
    <n v="1427"/>
    <n v="1427"/>
    <m/>
    <x v="4"/>
    <n v="94"/>
    <s v="table6"/>
    <n v="19"/>
    <s v="250923_EPA_IntroDays_Overasselt"/>
    <n v="22"/>
    <n v="13"/>
    <s v="(Dike-town)"/>
    <n v="4"/>
    <x v="2"/>
    <n v="2"/>
    <n v="0"/>
  </r>
  <r>
    <n v="1161"/>
    <d v="2025-09-23T14:16:09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77"/>
    <n v="288"/>
    <m/>
    <m/>
    <m/>
    <x v="0"/>
    <n v="94"/>
    <s v="table6"/>
    <n v="19"/>
    <s v="250923_EPA_IntroDays_Overasselt"/>
    <n v="22"/>
    <n v="0"/>
    <s v=""/>
    <n v="0"/>
    <x v="3"/>
    <m/>
    <n v="0"/>
  </r>
  <r>
    <n v="1192"/>
    <d v="2025-09-23T14:16:09"/>
    <n v="90000"/>
    <n v="50000"/>
    <n v="0"/>
    <n v="12500"/>
    <n v="0"/>
    <n v="0"/>
    <n v="20000"/>
    <n v="9000"/>
    <n v="2500"/>
    <n v="0"/>
    <n v="0"/>
    <n v="11000"/>
    <n v="0"/>
    <n v="-1"/>
    <n v="1"/>
    <n v="0"/>
    <n v="1"/>
    <n v="0"/>
    <n v="0"/>
    <n v="4"/>
    <n v="5"/>
    <n v="130000"/>
    <n v="0"/>
    <n v="0"/>
    <n v="0"/>
    <n v="125000"/>
    <n v="125000"/>
    <n v="112500"/>
    <m/>
    <m/>
    <n v="6"/>
    <n v="6"/>
    <n v="0"/>
    <n v="0"/>
    <n v="1"/>
    <n v="2"/>
    <s v="VIEW_SUMMARY"/>
    <n v="677"/>
    <n v="292"/>
    <m/>
    <n v="1429"/>
    <m/>
    <x v="1"/>
    <n v="94"/>
    <s v="table6"/>
    <n v="19"/>
    <s v="250923_EPA_IntroDays_Overasselt"/>
    <n v="22"/>
    <n v="12"/>
    <s v="(U-village)"/>
    <n v="1"/>
    <x v="3"/>
    <n v="3"/>
    <n v="0"/>
  </r>
  <r>
    <n v="1203"/>
    <d v="2025-09-23T14:16:09"/>
    <n v="90000"/>
    <n v="50000"/>
    <n v="0"/>
    <n v="12500"/>
    <n v="0"/>
    <n v="0"/>
    <n v="20000"/>
    <n v="0"/>
    <n v="4500"/>
    <n v="12000"/>
    <n v="0"/>
    <n v="2000"/>
    <n v="0"/>
    <n v="0"/>
    <n v="0"/>
    <n v="1"/>
    <n v="4"/>
    <n v="0"/>
    <n v="0"/>
    <n v="1"/>
    <n v="5"/>
    <n v="130000"/>
    <n v="125000"/>
    <n v="112500"/>
    <n v="0"/>
    <n v="0"/>
    <n v="125000"/>
    <n v="100000"/>
    <m/>
    <m/>
    <n v="6"/>
    <n v="6"/>
    <n v="0"/>
    <n v="0"/>
    <n v="0"/>
    <n v="0"/>
    <s v="VIEW_SUMMARY"/>
    <n v="677"/>
    <n v="294"/>
    <n v="1429"/>
    <n v="1429"/>
    <m/>
    <x v="2"/>
    <n v="94"/>
    <s v="table6"/>
    <n v="19"/>
    <s v="250923_EPA_IntroDays_Overasselt"/>
    <n v="22"/>
    <n v="12"/>
    <s v="(U-village)"/>
    <n v="2"/>
    <x v="3"/>
    <n v="0"/>
    <n v="12000"/>
  </r>
  <r>
    <n v="1232"/>
    <d v="2025-09-23T14:16:09"/>
    <n v="90000"/>
    <n v="50000"/>
    <n v="0"/>
    <n v="12500"/>
    <n v="0"/>
    <n v="0"/>
    <n v="20000"/>
    <n v="0"/>
    <n v="0"/>
    <n v="20000"/>
    <n v="4000"/>
    <n v="-14500"/>
    <n v="0"/>
    <n v="0"/>
    <n v="0"/>
    <n v="0"/>
    <n v="6"/>
    <n v="1"/>
    <n v="0"/>
    <n v="-6"/>
    <n v="5"/>
    <n v="130000"/>
    <n v="125000"/>
    <n v="100000"/>
    <n v="0"/>
    <n v="0"/>
    <n v="125000"/>
    <n v="87500"/>
    <m/>
    <m/>
    <n v="6"/>
    <n v="6"/>
    <n v="-2"/>
    <n v="-1"/>
    <n v="0"/>
    <n v="0"/>
    <s v="VIEW_SUMMARY"/>
    <n v="677"/>
    <n v="298"/>
    <n v="1429"/>
    <n v="1429"/>
    <m/>
    <x v="3"/>
    <n v="94"/>
    <s v="table6"/>
    <n v="19"/>
    <s v="250923_EPA_IntroDays_Overasselt"/>
    <n v="22"/>
    <n v="12"/>
    <s v="(U-village)"/>
    <n v="3"/>
    <x v="3"/>
    <n v="0"/>
    <n v="24000"/>
  </r>
  <r>
    <n v="1274"/>
    <d v="2025-09-23T14:16:09"/>
    <n v="90000"/>
    <n v="50000"/>
    <n v="14500"/>
    <n v="11100"/>
    <n v="37500"/>
    <n v="0"/>
    <n v="30000"/>
    <n v="14000"/>
    <n v="2500"/>
    <n v="0"/>
    <n v="0"/>
    <n v="5400"/>
    <n v="1"/>
    <n v="-2"/>
    <n v="2"/>
    <n v="1"/>
    <n v="0"/>
    <n v="0"/>
    <n v="1"/>
    <n v="-7"/>
    <n v="5"/>
    <n v="130000"/>
    <n v="125000"/>
    <n v="87500"/>
    <n v="125000"/>
    <n v="111000"/>
    <n v="111000"/>
    <n v="99900"/>
    <n v="34"/>
    <m/>
    <n v="6"/>
    <n v="9"/>
    <n v="-2"/>
    <n v="-1"/>
    <n v="2"/>
    <n v="2"/>
    <s v="VIEW_SUMMARY"/>
    <n v="677"/>
    <n v="305"/>
    <n v="1429"/>
    <n v="1488"/>
    <m/>
    <x v="4"/>
    <n v="94"/>
    <s v="table6"/>
    <n v="19"/>
    <s v="250923_EPA_IntroDays_Overasselt"/>
    <n v="22"/>
    <n v="15"/>
    <s v="(Natu-city)"/>
    <n v="4"/>
    <x v="3"/>
    <n v="4"/>
    <n v="0"/>
  </r>
  <r>
    <n v="1157"/>
    <d v="2025-09-23T14:14:38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78"/>
    <n v="288"/>
    <m/>
    <m/>
    <m/>
    <x v="0"/>
    <n v="94"/>
    <s v="table6"/>
    <n v="19"/>
    <s v="250923_EPA_IntroDays_Overasselt"/>
    <n v="22"/>
    <n v="0"/>
    <s v=""/>
    <n v="0"/>
    <x v="4"/>
    <m/>
    <n v="0"/>
  </r>
  <r>
    <n v="1191"/>
    <d v="2025-09-23T14:14:38"/>
    <n v="130000"/>
    <n v="75000"/>
    <n v="0"/>
    <n v="20000"/>
    <n v="0"/>
    <n v="0"/>
    <n v="15000"/>
    <n v="33000"/>
    <n v="25500"/>
    <n v="0"/>
    <n v="0"/>
    <n v="11500"/>
    <n v="0"/>
    <n v="-1"/>
    <n v="3"/>
    <n v="4"/>
    <n v="0"/>
    <n v="0"/>
    <n v="0"/>
    <n v="11"/>
    <n v="7"/>
    <n v="200000"/>
    <n v="0"/>
    <n v="0"/>
    <n v="0"/>
    <n v="200000"/>
    <n v="200000"/>
    <n v="180000"/>
    <m/>
    <m/>
    <n v="6"/>
    <n v="9"/>
    <n v="0"/>
    <n v="0"/>
    <n v="4"/>
    <n v="3"/>
    <s v="VIEW_SUMMARY"/>
    <n v="678"/>
    <n v="292"/>
    <m/>
    <n v="1420"/>
    <m/>
    <x v="1"/>
    <n v="94"/>
    <s v="table6"/>
    <n v="19"/>
    <s v="250923_EPA_IntroDays_Overasselt"/>
    <n v="22"/>
    <n v="15"/>
    <s v="(Natu-city)"/>
    <n v="1"/>
    <x v="4"/>
    <n v="7"/>
    <n v="0"/>
  </r>
  <r>
    <n v="1204"/>
    <d v="2025-09-23T14:14:38"/>
    <n v="130000"/>
    <n v="75000"/>
    <n v="0"/>
    <n v="20000"/>
    <n v="0"/>
    <n v="0"/>
    <n v="15000"/>
    <n v="0"/>
    <n v="0"/>
    <n v="0"/>
    <n v="0"/>
    <n v="31500"/>
    <n v="0"/>
    <n v="0"/>
    <n v="0"/>
    <n v="0"/>
    <n v="0"/>
    <n v="0"/>
    <n v="0"/>
    <n v="11"/>
    <n v="7"/>
    <n v="200000"/>
    <n v="200000"/>
    <n v="180000"/>
    <n v="0"/>
    <n v="0"/>
    <n v="200000"/>
    <n v="160000"/>
    <m/>
    <m/>
    <n v="6"/>
    <n v="9"/>
    <n v="0"/>
    <n v="0"/>
    <n v="0"/>
    <n v="0"/>
    <s v="VIEW_SUMMARY"/>
    <n v="678"/>
    <n v="294"/>
    <n v="1420"/>
    <n v="1420"/>
    <m/>
    <x v="2"/>
    <n v="94"/>
    <s v="table6"/>
    <n v="19"/>
    <s v="250923_EPA_IntroDays_Overasselt"/>
    <n v="22"/>
    <n v="15"/>
    <s v="(Natu-city)"/>
    <n v="2"/>
    <x v="4"/>
    <n v="0"/>
    <n v="0"/>
  </r>
  <r>
    <n v="1231"/>
    <d v="2025-09-23T14:14:38"/>
    <n v="130000"/>
    <n v="75000"/>
    <n v="0"/>
    <n v="20000"/>
    <n v="0"/>
    <n v="0"/>
    <n v="15000"/>
    <n v="0"/>
    <n v="0"/>
    <n v="8000"/>
    <n v="4000"/>
    <n v="39500"/>
    <n v="0"/>
    <n v="0"/>
    <n v="0"/>
    <n v="0"/>
    <n v="3"/>
    <n v="1"/>
    <n v="0"/>
    <n v="7"/>
    <n v="7"/>
    <n v="200000"/>
    <n v="200000"/>
    <n v="160000"/>
    <n v="0"/>
    <n v="0"/>
    <n v="200000"/>
    <n v="140000"/>
    <m/>
    <m/>
    <n v="6"/>
    <n v="9"/>
    <n v="-2"/>
    <n v="-1"/>
    <n v="0"/>
    <n v="0"/>
    <s v="VIEW_SUMMARY"/>
    <n v="678"/>
    <n v="298"/>
    <n v="1420"/>
    <n v="1420"/>
    <m/>
    <x v="3"/>
    <n v="94"/>
    <s v="table6"/>
    <n v="19"/>
    <s v="250923_EPA_IntroDays_Overasselt"/>
    <n v="22"/>
    <n v="15"/>
    <s v="(Natu-city)"/>
    <n v="3"/>
    <x v="4"/>
    <n v="0"/>
    <n v="12000"/>
  </r>
  <r>
    <n v="1273"/>
    <d v="2025-09-23T14:14:38"/>
    <n v="130000"/>
    <n v="75000"/>
    <n v="0"/>
    <n v="20000"/>
    <n v="0"/>
    <n v="0"/>
    <n v="30000"/>
    <n v="0"/>
    <n v="0"/>
    <n v="0"/>
    <n v="0"/>
    <n v="44500"/>
    <n v="0"/>
    <n v="0"/>
    <n v="0"/>
    <n v="0"/>
    <n v="0"/>
    <n v="0"/>
    <n v="0"/>
    <n v="7"/>
    <n v="7"/>
    <n v="200000"/>
    <n v="200000"/>
    <n v="140000"/>
    <n v="0"/>
    <n v="0"/>
    <n v="200000"/>
    <n v="120000"/>
    <m/>
    <m/>
    <n v="6"/>
    <n v="9"/>
    <n v="-2"/>
    <n v="-1"/>
    <n v="0"/>
    <n v="0"/>
    <s v="VIEW_SUMMARY"/>
    <n v="678"/>
    <n v="305"/>
    <n v="1420"/>
    <n v="1420"/>
    <m/>
    <x v="4"/>
    <n v="94"/>
    <s v="table6"/>
    <n v="19"/>
    <s v="250923_EPA_IntroDays_Overasselt"/>
    <n v="22"/>
    <n v="15"/>
    <s v="(Natu-city)"/>
    <n v="4"/>
    <x v="4"/>
    <n v="0"/>
    <n v="0"/>
  </r>
  <r>
    <n v="1178"/>
    <d v="2025-09-23T14:25:49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79"/>
    <n v="288"/>
    <m/>
    <m/>
    <m/>
    <x v="0"/>
    <n v="94"/>
    <s v="table6"/>
    <n v="19"/>
    <s v="250923_EPA_IntroDays_Overasselt"/>
    <n v="22"/>
    <n v="0"/>
    <s v=""/>
    <n v="0"/>
    <x v="5"/>
    <m/>
    <n v="0"/>
  </r>
  <r>
    <n v="1189"/>
    <d v="2025-09-23T14:25:49"/>
    <n v="190000"/>
    <n v="115000"/>
    <n v="0"/>
    <n v="30000"/>
    <n v="0"/>
    <n v="0"/>
    <n v="20000"/>
    <n v="33000"/>
    <n v="38000"/>
    <n v="0"/>
    <n v="0"/>
    <n v="34000"/>
    <n v="0"/>
    <n v="0"/>
    <n v="3"/>
    <n v="4"/>
    <n v="0"/>
    <n v="0"/>
    <n v="0"/>
    <n v="12"/>
    <n v="8"/>
    <n v="300000"/>
    <n v="0"/>
    <n v="0"/>
    <n v="0"/>
    <n v="300000"/>
    <n v="300000"/>
    <n v="270000"/>
    <m/>
    <m/>
    <n v="4"/>
    <n v="9"/>
    <n v="0"/>
    <n v="0"/>
    <n v="4"/>
    <n v="3"/>
    <s v="VIEW_SUMMARY"/>
    <n v="679"/>
    <n v="292"/>
    <m/>
    <n v="1423"/>
    <m/>
    <x v="1"/>
    <n v="94"/>
    <s v="table6"/>
    <n v="19"/>
    <s v="250923_EPA_IntroDays_Overasselt"/>
    <n v="22"/>
    <n v="13"/>
    <s v="(Dike-town)"/>
    <n v="1"/>
    <x v="5"/>
    <n v="7"/>
    <n v="0"/>
  </r>
  <r>
    <n v="1202"/>
    <d v="2025-09-23T14:25:49"/>
    <n v="190000"/>
    <n v="115000"/>
    <n v="0"/>
    <n v="30000"/>
    <n v="0"/>
    <n v="0"/>
    <n v="20000"/>
    <n v="0"/>
    <n v="0"/>
    <n v="0"/>
    <n v="4000"/>
    <n v="55000"/>
    <n v="0"/>
    <n v="0"/>
    <n v="0"/>
    <n v="0"/>
    <n v="0"/>
    <n v="1"/>
    <n v="0"/>
    <n v="11"/>
    <n v="8"/>
    <n v="300000"/>
    <n v="300000"/>
    <n v="270000"/>
    <n v="0"/>
    <n v="0"/>
    <n v="300000"/>
    <n v="240000"/>
    <m/>
    <m/>
    <n v="4"/>
    <n v="9"/>
    <n v="0"/>
    <n v="0"/>
    <n v="0"/>
    <n v="0"/>
    <s v="VIEW_SUMMARY"/>
    <n v="679"/>
    <n v="294"/>
    <n v="1423"/>
    <n v="1423"/>
    <m/>
    <x v="2"/>
    <n v="94"/>
    <s v="table6"/>
    <n v="19"/>
    <s v="250923_EPA_IntroDays_Overasselt"/>
    <n v="22"/>
    <n v="13"/>
    <s v="(Dike-town)"/>
    <n v="2"/>
    <x v="5"/>
    <n v="0"/>
    <n v="4000"/>
  </r>
  <r>
    <n v="1228"/>
    <d v="2025-09-23T14:25:49"/>
    <n v="190000"/>
    <n v="115000"/>
    <n v="0"/>
    <n v="30000"/>
    <n v="0"/>
    <n v="0"/>
    <n v="20000"/>
    <n v="0"/>
    <n v="0"/>
    <n v="8000"/>
    <n v="4000"/>
    <n v="68000"/>
    <n v="0"/>
    <n v="0"/>
    <n v="0"/>
    <n v="0"/>
    <n v="3"/>
    <n v="1"/>
    <n v="0"/>
    <n v="7"/>
    <n v="8"/>
    <n v="300000"/>
    <n v="300000"/>
    <n v="240000"/>
    <n v="0"/>
    <n v="0"/>
    <n v="300000"/>
    <n v="210000"/>
    <m/>
    <m/>
    <n v="4"/>
    <n v="9"/>
    <n v="-2"/>
    <n v="-1"/>
    <n v="0"/>
    <n v="0"/>
    <s v="VIEW_SUMMARY"/>
    <n v="679"/>
    <n v="298"/>
    <n v="1423"/>
    <n v="1423"/>
    <m/>
    <x v="3"/>
    <n v="94"/>
    <s v="table6"/>
    <n v="19"/>
    <s v="250923_EPA_IntroDays_Overasselt"/>
    <n v="22"/>
    <n v="13"/>
    <s v="(Dike-town)"/>
    <n v="3"/>
    <x v="5"/>
    <n v="0"/>
    <n v="12000"/>
  </r>
  <r>
    <n v="1269"/>
    <d v="2025-09-23T14:25:49"/>
    <n v="190000"/>
    <n v="115000"/>
    <n v="0"/>
    <n v="30000"/>
    <n v="140000"/>
    <n v="125000"/>
    <n v="30000"/>
    <n v="15000"/>
    <n v="0"/>
    <n v="0"/>
    <n v="0"/>
    <n v="83000"/>
    <n v="1"/>
    <n v="1"/>
    <n v="2"/>
    <n v="0"/>
    <n v="0"/>
    <n v="0"/>
    <n v="0"/>
    <n v="9"/>
    <n v="8"/>
    <n v="300000"/>
    <n v="300000"/>
    <n v="210000"/>
    <n v="350000"/>
    <n v="425000"/>
    <n v="300000"/>
    <n v="270000"/>
    <n v="34"/>
    <m/>
    <n v="6"/>
    <n v="9"/>
    <n v="-2"/>
    <n v="-1"/>
    <n v="4"/>
    <n v="3"/>
    <s v="VIEW_SUMMARY"/>
    <n v="679"/>
    <n v="305"/>
    <n v="1423"/>
    <n v="1487"/>
    <m/>
    <x v="4"/>
    <n v="94"/>
    <s v="table6"/>
    <n v="19"/>
    <s v="250923_EPA_IntroDays_Overasselt"/>
    <n v="22"/>
    <n v="15"/>
    <s v="(Natu-city)"/>
    <n v="4"/>
    <x v="5"/>
    <n v="7"/>
    <n v="0"/>
  </r>
  <r>
    <n v="1164"/>
    <d v="2025-09-23T14:24:57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82"/>
    <n v="286"/>
    <m/>
    <m/>
    <m/>
    <x v="0"/>
    <n v="95"/>
    <s v="table7"/>
    <n v="19"/>
    <s v="250923_EPA_IntroDays_Overasselt"/>
    <n v="22"/>
    <n v="0"/>
    <s v=""/>
    <n v="0"/>
    <x v="0"/>
    <m/>
    <n v="0"/>
  </r>
  <r>
    <n v="1176"/>
    <d v="2025-09-23T14:24:57"/>
    <n v="75000"/>
    <n v="40000"/>
    <n v="0"/>
    <n v="11000"/>
    <n v="0"/>
    <n v="15000"/>
    <n v="15000"/>
    <n v="0"/>
    <n v="0"/>
    <n v="8000"/>
    <n v="0"/>
    <n v="-9000"/>
    <n v="0"/>
    <n v="0"/>
    <n v="0"/>
    <n v="0"/>
    <n v="3"/>
    <n v="0"/>
    <n v="0"/>
    <n v="2"/>
    <n v="4"/>
    <n v="110000"/>
    <n v="0"/>
    <n v="0"/>
    <n v="0"/>
    <n v="125000"/>
    <n v="110000"/>
    <n v="99000"/>
    <m/>
    <m/>
    <n v="6"/>
    <n v="6"/>
    <n v="0"/>
    <n v="0"/>
    <n v="0"/>
    <n v="0"/>
    <s v="VIEW_SUMMARY"/>
    <n v="682"/>
    <n v="290"/>
    <m/>
    <n v="1399"/>
    <m/>
    <x v="1"/>
    <n v="95"/>
    <s v="table7"/>
    <n v="19"/>
    <s v="250923_EPA_IntroDays_Overasselt"/>
    <n v="22"/>
    <n v="12"/>
    <s v="(U-village)"/>
    <n v="1"/>
    <x v="0"/>
    <n v="0"/>
    <n v="8000"/>
  </r>
  <r>
    <n v="1215"/>
    <d v="2025-09-23T14:24:57"/>
    <n v="75000"/>
    <n v="40000"/>
    <n v="9000"/>
    <n v="11000"/>
    <n v="0"/>
    <n v="0"/>
    <n v="15000"/>
    <n v="0"/>
    <n v="0"/>
    <n v="0"/>
    <n v="4000"/>
    <n v="-4000"/>
    <n v="0"/>
    <n v="0"/>
    <n v="0"/>
    <n v="0"/>
    <n v="0"/>
    <n v="1"/>
    <n v="1"/>
    <n v="0"/>
    <n v="4"/>
    <n v="110000"/>
    <n v="110000"/>
    <n v="99000"/>
    <n v="0"/>
    <n v="0"/>
    <n v="110000"/>
    <n v="88000"/>
    <m/>
    <m/>
    <n v="6"/>
    <n v="6"/>
    <n v="0"/>
    <n v="0"/>
    <n v="0"/>
    <n v="0"/>
    <s v="VIEW_SUMMARY"/>
    <n v="682"/>
    <n v="296"/>
    <n v="1399"/>
    <n v="1399"/>
    <m/>
    <x v="2"/>
    <n v="95"/>
    <s v="table7"/>
    <n v="19"/>
    <s v="250923_EPA_IntroDays_Overasselt"/>
    <n v="22"/>
    <n v="12"/>
    <s v="(U-village)"/>
    <n v="2"/>
    <x v="0"/>
    <n v="0"/>
    <n v="4000"/>
  </r>
  <r>
    <n v="1233"/>
    <d v="2025-09-23T14:24:57"/>
    <n v="75000"/>
    <n v="40000"/>
    <n v="4000"/>
    <n v="11000"/>
    <n v="0"/>
    <n v="0"/>
    <n v="15000"/>
    <n v="1000"/>
    <n v="3750"/>
    <n v="20000"/>
    <n v="0"/>
    <n v="-19750"/>
    <n v="0"/>
    <n v="0"/>
    <n v="0"/>
    <n v="1"/>
    <n v="6"/>
    <n v="0"/>
    <n v="1"/>
    <n v="-6"/>
    <n v="4"/>
    <n v="110000"/>
    <n v="110000"/>
    <n v="88000"/>
    <n v="0"/>
    <n v="0"/>
    <n v="110000"/>
    <n v="77000"/>
    <m/>
    <m/>
    <n v="6"/>
    <n v="6"/>
    <n v="-2"/>
    <n v="-1"/>
    <n v="0"/>
    <n v="1"/>
    <s v="VIEW_SUMMARY"/>
    <n v="682"/>
    <n v="299"/>
    <n v="1399"/>
    <n v="1399"/>
    <m/>
    <x v="3"/>
    <n v="95"/>
    <s v="table7"/>
    <n v="19"/>
    <s v="250923_EPA_IntroDays_Overasselt"/>
    <n v="22"/>
    <n v="12"/>
    <s v="(U-village)"/>
    <n v="3"/>
    <x v="0"/>
    <n v="1"/>
    <n v="20000"/>
  </r>
  <r>
    <n v="1252"/>
    <d v="2025-09-23T14:24:57"/>
    <n v="75000"/>
    <n v="40000"/>
    <n v="19750"/>
    <n v="11000"/>
    <n v="0"/>
    <n v="0"/>
    <n v="15000"/>
    <n v="0"/>
    <n v="0"/>
    <n v="16000"/>
    <n v="4000"/>
    <n v="-30750"/>
    <n v="0"/>
    <n v="0"/>
    <n v="0"/>
    <n v="0"/>
    <n v="5"/>
    <n v="1"/>
    <n v="1"/>
    <n v="-13"/>
    <n v="4"/>
    <n v="110000"/>
    <n v="110000"/>
    <n v="77000"/>
    <n v="0"/>
    <n v="0"/>
    <n v="110000"/>
    <n v="66000"/>
    <m/>
    <m/>
    <n v="6"/>
    <n v="6"/>
    <n v="-2"/>
    <n v="-1"/>
    <n v="0"/>
    <n v="0"/>
    <s v="VIEW_DAMAGE"/>
    <n v="682"/>
    <n v="302"/>
    <n v="1399"/>
    <n v="1399"/>
    <m/>
    <x v="4"/>
    <n v="95"/>
    <s v="table7"/>
    <n v="19"/>
    <s v="250923_EPA_IntroDays_Overasselt"/>
    <n v="22"/>
    <n v="12"/>
    <s v="(U-village)"/>
    <n v="4"/>
    <x v="0"/>
    <n v="0"/>
    <n v="20000"/>
  </r>
  <r>
    <n v="1167"/>
    <d v="2025-09-23T14:24:59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83"/>
    <n v="286"/>
    <m/>
    <m/>
    <m/>
    <x v="0"/>
    <n v="95"/>
    <s v="table7"/>
    <n v="19"/>
    <s v="250923_EPA_IntroDays_Overasselt"/>
    <n v="22"/>
    <n v="0"/>
    <s v=""/>
    <n v="0"/>
    <x v="1"/>
    <m/>
    <n v="0"/>
  </r>
  <r>
    <n v="1179"/>
    <d v="2025-09-23T14:24:59"/>
    <n v="110000"/>
    <n v="60000"/>
    <n v="0"/>
    <n v="12500"/>
    <n v="0"/>
    <n v="0"/>
    <n v="15000"/>
    <n v="8000"/>
    <n v="8000"/>
    <n v="4000"/>
    <n v="0"/>
    <n v="32500"/>
    <n v="0"/>
    <n v="-2"/>
    <n v="1"/>
    <n v="1"/>
    <n v="2"/>
    <n v="0"/>
    <n v="0"/>
    <n v="3"/>
    <n v="6"/>
    <n v="170000"/>
    <n v="0"/>
    <n v="0"/>
    <n v="0"/>
    <n v="125000"/>
    <n v="125000"/>
    <n v="112500"/>
    <m/>
    <m/>
    <n v="6"/>
    <n v="6"/>
    <n v="0"/>
    <n v="0"/>
    <n v="1"/>
    <n v="1"/>
    <s v="VIEW_SUMMARY"/>
    <n v="683"/>
    <n v="290"/>
    <m/>
    <n v="1400"/>
    <m/>
    <x v="1"/>
    <n v="95"/>
    <s v="table7"/>
    <n v="19"/>
    <s v="250923_EPA_IntroDays_Overasselt"/>
    <n v="22"/>
    <n v="12"/>
    <s v="(U-village)"/>
    <n v="1"/>
    <x v="1"/>
    <n v="2"/>
    <n v="4000"/>
  </r>
  <r>
    <n v="1219"/>
    <d v="2025-09-23T14:24:59"/>
    <n v="110000"/>
    <n v="60000"/>
    <n v="0"/>
    <n v="12500"/>
    <n v="0"/>
    <n v="0"/>
    <n v="15000"/>
    <n v="10000"/>
    <n v="0"/>
    <n v="0"/>
    <n v="4000"/>
    <n v="41000"/>
    <n v="0"/>
    <n v="0"/>
    <n v="0"/>
    <n v="0"/>
    <n v="0"/>
    <n v="1"/>
    <n v="0"/>
    <n v="2"/>
    <n v="6"/>
    <n v="170000"/>
    <n v="125000"/>
    <n v="112500"/>
    <n v="0"/>
    <n v="0"/>
    <n v="125000"/>
    <n v="100000"/>
    <m/>
    <m/>
    <n v="6"/>
    <n v="6"/>
    <n v="0"/>
    <n v="0"/>
    <n v="1"/>
    <n v="1"/>
    <s v="VIEW_SUMMARY"/>
    <n v="683"/>
    <n v="296"/>
    <n v="1400"/>
    <n v="1400"/>
    <m/>
    <x v="2"/>
    <n v="95"/>
    <s v="table7"/>
    <n v="19"/>
    <s v="250923_EPA_IntroDays_Overasselt"/>
    <n v="22"/>
    <n v="12"/>
    <s v="(U-village)"/>
    <n v="2"/>
    <x v="1"/>
    <n v="2"/>
    <n v="4000"/>
  </r>
  <r>
    <n v="1238"/>
    <d v="2025-09-23T14:24:59"/>
    <n v="110000"/>
    <n v="60000"/>
    <n v="0"/>
    <n v="12500"/>
    <n v="0"/>
    <n v="0"/>
    <n v="15000"/>
    <n v="8000"/>
    <n v="6250"/>
    <n v="24000"/>
    <n v="0"/>
    <n v="25250"/>
    <n v="0"/>
    <n v="0"/>
    <n v="1"/>
    <n v="2"/>
    <n v="7"/>
    <n v="0"/>
    <n v="0"/>
    <n v="-2"/>
    <n v="6"/>
    <n v="170000"/>
    <n v="125000"/>
    <n v="100000"/>
    <n v="0"/>
    <n v="0"/>
    <n v="125000"/>
    <n v="87500"/>
    <m/>
    <m/>
    <n v="6"/>
    <n v="6"/>
    <n v="-2"/>
    <n v="-1"/>
    <n v="1"/>
    <n v="0"/>
    <s v="VIEW_SUMMARY"/>
    <n v="683"/>
    <n v="299"/>
    <n v="1400"/>
    <n v="1400"/>
    <m/>
    <x v="3"/>
    <n v="95"/>
    <s v="table7"/>
    <n v="19"/>
    <s v="250923_EPA_IntroDays_Overasselt"/>
    <n v="22"/>
    <n v="12"/>
    <s v="(U-village)"/>
    <n v="3"/>
    <x v="1"/>
    <n v="1"/>
    <n v="24000"/>
  </r>
  <r>
    <n v="1257"/>
    <d v="2025-09-23T14:24:59"/>
    <n v="110000"/>
    <n v="60000"/>
    <n v="0"/>
    <n v="12500"/>
    <n v="0"/>
    <n v="0"/>
    <n v="15000"/>
    <n v="6000"/>
    <n v="0"/>
    <n v="16000"/>
    <n v="4000"/>
    <n v="21750"/>
    <n v="0"/>
    <n v="0"/>
    <n v="1"/>
    <n v="0"/>
    <n v="5"/>
    <n v="1"/>
    <n v="0"/>
    <n v="-7"/>
    <n v="6"/>
    <n v="170000"/>
    <n v="125000"/>
    <n v="87500"/>
    <n v="0"/>
    <n v="0"/>
    <n v="125000"/>
    <n v="75000"/>
    <m/>
    <m/>
    <n v="6"/>
    <n v="6"/>
    <n v="-2"/>
    <n v="-1"/>
    <n v="1"/>
    <n v="0"/>
    <s v="VIEW_SUMMARY"/>
    <n v="683"/>
    <n v="302"/>
    <n v="1400"/>
    <n v="1400"/>
    <m/>
    <x v="4"/>
    <n v="95"/>
    <s v="table7"/>
    <n v="19"/>
    <s v="250923_EPA_IntroDays_Overasselt"/>
    <n v="22"/>
    <n v="12"/>
    <s v="(U-village)"/>
    <n v="4"/>
    <x v="1"/>
    <n v="1"/>
    <n v="20000"/>
  </r>
  <r>
    <n v="1165"/>
    <d v="2025-09-23T14:24:57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684"/>
    <n v="286"/>
    <m/>
    <m/>
    <m/>
    <x v="0"/>
    <n v="95"/>
    <s v="table7"/>
    <n v="19"/>
    <s v="250923_EPA_IntroDays_Overasselt"/>
    <n v="22"/>
    <n v="0"/>
    <s v=""/>
    <n v="0"/>
    <x v="2"/>
    <m/>
    <n v="0"/>
  </r>
  <r>
    <n v="1173"/>
    <d v="2025-09-23T14:24:57"/>
    <n v="60000"/>
    <n v="30000"/>
    <n v="0"/>
    <n v="7000"/>
    <n v="0"/>
    <n v="0"/>
    <n v="15000"/>
    <n v="1000"/>
    <n v="1400"/>
    <n v="4000"/>
    <n v="0"/>
    <n v="1600"/>
    <n v="0"/>
    <n v="-1"/>
    <n v="0"/>
    <n v="0"/>
    <n v="2"/>
    <n v="0"/>
    <n v="0"/>
    <n v="2"/>
    <n v="3"/>
    <n v="80000"/>
    <n v="0"/>
    <n v="0"/>
    <n v="0"/>
    <n v="70000"/>
    <n v="70000"/>
    <n v="63000"/>
    <m/>
    <m/>
    <n v="6"/>
    <n v="6"/>
    <n v="0"/>
    <n v="0"/>
    <n v="0"/>
    <n v="1"/>
    <s v="VIEW_SUMMARY"/>
    <n v="684"/>
    <n v="290"/>
    <m/>
    <n v="1402"/>
    <m/>
    <x v="1"/>
    <n v="95"/>
    <s v="table7"/>
    <n v="19"/>
    <s v="250923_EPA_IntroDays_Overasselt"/>
    <n v="22"/>
    <n v="12"/>
    <s v="(U-village)"/>
    <n v="1"/>
    <x v="2"/>
    <n v="1"/>
    <n v="4000"/>
  </r>
  <r>
    <n v="1213"/>
    <d v="2025-09-23T14:24:57"/>
    <n v="60000"/>
    <n v="30000"/>
    <n v="0"/>
    <n v="7000"/>
    <n v="0"/>
    <n v="0"/>
    <n v="15000"/>
    <n v="0"/>
    <n v="3500"/>
    <n v="0"/>
    <n v="4000"/>
    <n v="2100"/>
    <n v="0"/>
    <n v="0"/>
    <n v="0"/>
    <n v="2"/>
    <n v="0"/>
    <n v="1"/>
    <n v="0"/>
    <n v="3"/>
    <n v="3"/>
    <n v="80000"/>
    <n v="70000"/>
    <n v="63000"/>
    <n v="0"/>
    <n v="0"/>
    <n v="70000"/>
    <n v="56000"/>
    <m/>
    <m/>
    <n v="6"/>
    <n v="6"/>
    <n v="0"/>
    <n v="0"/>
    <n v="0"/>
    <n v="0"/>
    <s v="VIEW_SUMMARY"/>
    <n v="684"/>
    <n v="296"/>
    <n v="1402"/>
    <n v="1402"/>
    <m/>
    <x v="2"/>
    <n v="95"/>
    <s v="table7"/>
    <n v="19"/>
    <s v="250923_EPA_IntroDays_Overasselt"/>
    <n v="22"/>
    <n v="12"/>
    <s v="(U-village)"/>
    <n v="2"/>
    <x v="2"/>
    <n v="0"/>
    <n v="4000"/>
  </r>
  <r>
    <n v="1235"/>
    <d v="2025-09-23T14:24:57"/>
    <n v="60000"/>
    <n v="30000"/>
    <n v="0"/>
    <n v="7000"/>
    <n v="0"/>
    <n v="0"/>
    <n v="15000"/>
    <n v="0"/>
    <n v="1750"/>
    <n v="24000"/>
    <n v="0"/>
    <n v="-15650"/>
    <n v="0"/>
    <n v="0"/>
    <n v="0"/>
    <n v="1"/>
    <n v="7"/>
    <n v="0"/>
    <n v="0"/>
    <n v="-3"/>
    <n v="3"/>
    <n v="80000"/>
    <n v="70000"/>
    <n v="56000"/>
    <n v="0"/>
    <n v="0"/>
    <n v="70000"/>
    <n v="49000"/>
    <m/>
    <m/>
    <n v="6"/>
    <n v="6"/>
    <n v="-2"/>
    <n v="-1"/>
    <n v="0"/>
    <n v="0"/>
    <s v="VIEW_SUMMARY"/>
    <n v="684"/>
    <n v="299"/>
    <n v="1402"/>
    <n v="1402"/>
    <m/>
    <x v="3"/>
    <n v="95"/>
    <s v="table7"/>
    <n v="19"/>
    <s v="250923_EPA_IntroDays_Overasselt"/>
    <n v="22"/>
    <n v="12"/>
    <s v="(U-village)"/>
    <n v="3"/>
    <x v="2"/>
    <n v="0"/>
    <n v="24000"/>
  </r>
  <r>
    <n v="1255"/>
    <d v="2025-09-23T14:24:57"/>
    <n v="60000"/>
    <n v="30000"/>
    <n v="15650"/>
    <n v="0"/>
    <n v="0"/>
    <n v="0"/>
    <n v="15000"/>
    <n v="0"/>
    <n v="0"/>
    <n v="16000"/>
    <n v="4000"/>
    <n v="-20650"/>
    <n v="0"/>
    <n v="0"/>
    <n v="0"/>
    <n v="0"/>
    <n v="5"/>
    <n v="1"/>
    <n v="1"/>
    <n v="-10"/>
    <n v="3"/>
    <n v="80000"/>
    <n v="70000"/>
    <n v="49000"/>
    <n v="0"/>
    <n v="0"/>
    <n v="70000"/>
    <n v="49000"/>
    <m/>
    <m/>
    <n v="6"/>
    <n v="6"/>
    <n v="-2"/>
    <n v="-1"/>
    <n v="0"/>
    <n v="0"/>
    <s v="VIEW_SUMMARY"/>
    <n v="684"/>
    <n v="302"/>
    <n v="1402"/>
    <n v="1402"/>
    <m/>
    <x v="4"/>
    <n v="95"/>
    <s v="table7"/>
    <n v="19"/>
    <s v="250923_EPA_IntroDays_Overasselt"/>
    <n v="22"/>
    <n v="12"/>
    <s v="(U-village)"/>
    <n v="4"/>
    <x v="2"/>
    <n v="0"/>
    <n v="20000"/>
  </r>
  <r>
    <n v="1154"/>
    <d v="2025-09-23T14:10:15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85"/>
    <n v="286"/>
    <m/>
    <m/>
    <m/>
    <x v="0"/>
    <n v="95"/>
    <s v="table7"/>
    <n v="19"/>
    <s v="250923_EPA_IntroDays_Overasselt"/>
    <n v="22"/>
    <n v="0"/>
    <s v=""/>
    <n v="0"/>
    <x v="3"/>
    <m/>
    <n v="0"/>
  </r>
  <r>
    <n v="1175"/>
    <d v="2025-09-23T14:10:15"/>
    <n v="90000"/>
    <n v="50000"/>
    <n v="0"/>
    <n v="7000"/>
    <n v="0"/>
    <n v="0"/>
    <n v="15000"/>
    <n v="6000"/>
    <n v="3500"/>
    <n v="8000"/>
    <n v="0"/>
    <n v="15500"/>
    <n v="0"/>
    <n v="-3"/>
    <n v="1"/>
    <n v="2"/>
    <n v="3"/>
    <n v="0"/>
    <n v="0"/>
    <n v="2"/>
    <n v="5"/>
    <n v="130000"/>
    <n v="0"/>
    <n v="0"/>
    <n v="0"/>
    <n v="70000"/>
    <n v="70000"/>
    <n v="63000"/>
    <m/>
    <m/>
    <n v="6"/>
    <n v="6"/>
    <n v="0"/>
    <n v="0"/>
    <n v="1"/>
    <n v="0"/>
    <s v="VIEW_SUMMARY"/>
    <n v="685"/>
    <n v="290"/>
    <m/>
    <n v="1401"/>
    <m/>
    <x v="1"/>
    <n v="95"/>
    <s v="table7"/>
    <n v="19"/>
    <s v="250923_EPA_IntroDays_Overasselt"/>
    <n v="22"/>
    <n v="12"/>
    <s v="(U-village)"/>
    <n v="1"/>
    <x v="3"/>
    <n v="1"/>
    <n v="8000"/>
  </r>
  <r>
    <n v="1214"/>
    <d v="2025-09-23T14:10:15"/>
    <n v="90000"/>
    <n v="50000"/>
    <n v="0"/>
    <n v="7000"/>
    <n v="0"/>
    <n v="0"/>
    <n v="15000"/>
    <n v="11000"/>
    <n v="1400"/>
    <n v="0"/>
    <n v="4000"/>
    <n v="17100"/>
    <n v="0"/>
    <n v="0"/>
    <n v="0"/>
    <n v="0"/>
    <n v="0"/>
    <n v="1"/>
    <n v="0"/>
    <n v="1"/>
    <n v="5"/>
    <n v="130000"/>
    <n v="70000"/>
    <n v="63000"/>
    <n v="0"/>
    <n v="0"/>
    <n v="70000"/>
    <n v="56000"/>
    <m/>
    <m/>
    <n v="6"/>
    <n v="6"/>
    <n v="0"/>
    <n v="0"/>
    <n v="1"/>
    <n v="2"/>
    <s v="VIEW_SUMMARY"/>
    <n v="685"/>
    <n v="296"/>
    <n v="1401"/>
    <n v="1401"/>
    <m/>
    <x v="2"/>
    <n v="95"/>
    <s v="table7"/>
    <n v="19"/>
    <s v="250923_EPA_IntroDays_Overasselt"/>
    <n v="22"/>
    <n v="12"/>
    <s v="(U-village)"/>
    <n v="2"/>
    <x v="3"/>
    <n v="3"/>
    <n v="4000"/>
  </r>
  <r>
    <n v="1236"/>
    <d v="2025-09-23T14:10:15"/>
    <n v="90000"/>
    <n v="50000"/>
    <n v="0"/>
    <n v="7000"/>
    <n v="0"/>
    <n v="0"/>
    <n v="15000"/>
    <n v="16000"/>
    <n v="1750"/>
    <n v="20000"/>
    <n v="0"/>
    <n v="-2650"/>
    <n v="0"/>
    <n v="0"/>
    <n v="2"/>
    <n v="1"/>
    <n v="6"/>
    <n v="0"/>
    <n v="0"/>
    <n v="-2"/>
    <n v="5"/>
    <n v="130000"/>
    <n v="70000"/>
    <n v="56000"/>
    <n v="0"/>
    <n v="0"/>
    <n v="70000"/>
    <n v="49000"/>
    <m/>
    <m/>
    <n v="6"/>
    <n v="6"/>
    <n v="-2"/>
    <n v="-1"/>
    <n v="2"/>
    <n v="1"/>
    <s v="VIEW_SUMMARY"/>
    <n v="685"/>
    <n v="299"/>
    <n v="1401"/>
    <n v="1401"/>
    <m/>
    <x v="3"/>
    <n v="95"/>
    <s v="table7"/>
    <n v="19"/>
    <s v="250923_EPA_IntroDays_Overasselt"/>
    <n v="22"/>
    <n v="12"/>
    <s v="(U-village)"/>
    <n v="3"/>
    <x v="3"/>
    <n v="3"/>
    <n v="20000"/>
  </r>
  <r>
    <n v="1253"/>
    <d v="2025-09-23T14:10:15"/>
    <n v="90000"/>
    <n v="50000"/>
    <n v="2650"/>
    <n v="10000"/>
    <n v="21000"/>
    <n v="0"/>
    <n v="25000"/>
    <n v="6000"/>
    <n v="0"/>
    <n v="0"/>
    <n v="4000"/>
    <n v="13350"/>
    <n v="1"/>
    <n v="-2"/>
    <n v="1"/>
    <n v="0"/>
    <n v="1"/>
    <n v="1"/>
    <n v="1"/>
    <n v="-7"/>
    <n v="5"/>
    <n v="130000"/>
    <n v="70000"/>
    <n v="49000"/>
    <n v="70000"/>
    <n v="100000"/>
    <n v="100000"/>
    <n v="90000"/>
    <n v="34"/>
    <m/>
    <n v="6"/>
    <n v="9"/>
    <n v="-2"/>
    <n v="-1"/>
    <n v="1"/>
    <n v="1"/>
    <s v="VIEW_SUMMARY"/>
    <n v="685"/>
    <n v="302"/>
    <n v="1401"/>
    <n v="1458"/>
    <m/>
    <x v="4"/>
    <n v="95"/>
    <s v="table7"/>
    <n v="19"/>
    <s v="250923_EPA_IntroDays_Overasselt"/>
    <n v="22"/>
    <n v="15"/>
    <s v="(Natu-city)"/>
    <n v="4"/>
    <x v="3"/>
    <n v="2"/>
    <n v="4000"/>
  </r>
  <r>
    <n v="1158"/>
    <d v="2025-09-23T14:14:52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86"/>
    <n v="286"/>
    <m/>
    <m/>
    <m/>
    <x v="0"/>
    <n v="95"/>
    <s v="table7"/>
    <n v="19"/>
    <s v="250923_EPA_IntroDays_Overasselt"/>
    <n v="22"/>
    <n v="0"/>
    <s v=""/>
    <n v="0"/>
    <x v="4"/>
    <m/>
    <n v="0"/>
  </r>
  <r>
    <n v="1174"/>
    <d v="2025-09-23T14:14:52"/>
    <n v="130000"/>
    <n v="75000"/>
    <n v="0"/>
    <n v="8000"/>
    <n v="0"/>
    <n v="0"/>
    <n v="20000"/>
    <n v="14000"/>
    <n v="7600"/>
    <n v="0"/>
    <n v="0"/>
    <n v="55400"/>
    <n v="0"/>
    <n v="-5"/>
    <n v="2"/>
    <n v="3"/>
    <n v="0"/>
    <n v="0"/>
    <n v="0"/>
    <n v="5"/>
    <n v="7"/>
    <n v="200000"/>
    <n v="0"/>
    <n v="0"/>
    <n v="0"/>
    <n v="80000"/>
    <n v="80000"/>
    <n v="72000"/>
    <m/>
    <m/>
    <n v="4"/>
    <n v="9"/>
    <n v="0"/>
    <n v="0"/>
    <n v="2"/>
    <n v="0"/>
    <s v="VIEW_SUMMARY"/>
    <n v="686"/>
    <n v="290"/>
    <m/>
    <n v="1397"/>
    <m/>
    <x v="1"/>
    <n v="95"/>
    <s v="table7"/>
    <n v="19"/>
    <s v="250923_EPA_IntroDays_Overasselt"/>
    <n v="22"/>
    <n v="13"/>
    <s v="(Dike-town)"/>
    <n v="1"/>
    <x v="4"/>
    <n v="2"/>
    <n v="0"/>
  </r>
  <r>
    <n v="1217"/>
    <d v="2025-09-23T14:14:52"/>
    <n v="130000"/>
    <n v="75000"/>
    <n v="0"/>
    <n v="8000"/>
    <n v="0"/>
    <n v="0"/>
    <n v="20000"/>
    <n v="18000"/>
    <n v="0"/>
    <n v="0"/>
    <n v="4000"/>
    <n v="60400"/>
    <n v="0"/>
    <n v="0"/>
    <n v="1"/>
    <n v="0"/>
    <n v="0"/>
    <n v="1"/>
    <n v="0"/>
    <n v="5"/>
    <n v="7"/>
    <n v="200000"/>
    <n v="80000"/>
    <n v="72000"/>
    <n v="0"/>
    <n v="0"/>
    <n v="80000"/>
    <n v="64000"/>
    <m/>
    <m/>
    <n v="4"/>
    <n v="9"/>
    <n v="0"/>
    <n v="0"/>
    <n v="2"/>
    <n v="2"/>
    <s v="VIEW_SUMMARY"/>
    <n v="686"/>
    <n v="296"/>
    <n v="1397"/>
    <n v="1397"/>
    <m/>
    <x v="2"/>
    <n v="95"/>
    <s v="table7"/>
    <n v="19"/>
    <s v="250923_EPA_IntroDays_Overasselt"/>
    <n v="22"/>
    <n v="13"/>
    <s v="(Dike-town)"/>
    <n v="2"/>
    <x v="4"/>
    <n v="4"/>
    <n v="4000"/>
  </r>
  <r>
    <n v="1237"/>
    <d v="2025-09-23T14:14:52"/>
    <n v="130000"/>
    <n v="75000"/>
    <n v="0"/>
    <n v="8000"/>
    <n v="0"/>
    <n v="0"/>
    <n v="20000"/>
    <n v="1000"/>
    <n v="6500"/>
    <n v="8000"/>
    <n v="4000"/>
    <n v="67900"/>
    <n v="0"/>
    <n v="0"/>
    <n v="0"/>
    <n v="1"/>
    <n v="3"/>
    <n v="1"/>
    <n v="0"/>
    <n v="2"/>
    <n v="7"/>
    <n v="200000"/>
    <n v="80000"/>
    <n v="64000"/>
    <n v="0"/>
    <n v="0"/>
    <n v="80000"/>
    <n v="56000"/>
    <m/>
    <m/>
    <n v="4"/>
    <n v="9"/>
    <n v="-2"/>
    <n v="-1"/>
    <n v="0"/>
    <n v="1"/>
    <s v="VIEW_SUMMARY"/>
    <n v="686"/>
    <n v="299"/>
    <n v="1397"/>
    <n v="1397"/>
    <m/>
    <x v="3"/>
    <n v="95"/>
    <s v="table7"/>
    <n v="19"/>
    <s v="250923_EPA_IntroDays_Overasselt"/>
    <n v="22"/>
    <n v="13"/>
    <s v="(Dike-town)"/>
    <n v="3"/>
    <x v="4"/>
    <n v="1"/>
    <n v="12000"/>
  </r>
  <r>
    <n v="1256"/>
    <d v="2025-09-23T14:14:52"/>
    <n v="130000"/>
    <n v="75000"/>
    <n v="0"/>
    <n v="0"/>
    <n v="0"/>
    <n v="0"/>
    <n v="20000"/>
    <n v="0"/>
    <n v="0"/>
    <n v="4000"/>
    <n v="4000"/>
    <n v="94900"/>
    <n v="0"/>
    <n v="0"/>
    <n v="0"/>
    <n v="0"/>
    <n v="2"/>
    <n v="1"/>
    <n v="0"/>
    <n v="-1"/>
    <n v="7"/>
    <n v="200000"/>
    <n v="80000"/>
    <n v="56000"/>
    <n v="0"/>
    <n v="0"/>
    <n v="80000"/>
    <n v="56000"/>
    <m/>
    <m/>
    <n v="4"/>
    <n v="9"/>
    <n v="-2"/>
    <n v="-1"/>
    <n v="0"/>
    <n v="0"/>
    <s v="VIEW_SUMMARY"/>
    <n v="686"/>
    <n v="302"/>
    <n v="1397"/>
    <n v="1397"/>
    <m/>
    <x v="4"/>
    <n v="95"/>
    <s v="table7"/>
    <n v="19"/>
    <s v="250923_EPA_IntroDays_Overasselt"/>
    <n v="22"/>
    <n v="13"/>
    <s v="(Dike-town)"/>
    <n v="4"/>
    <x v="4"/>
    <n v="0"/>
    <n v="8000"/>
  </r>
  <r>
    <n v="1177"/>
    <d v="2025-09-23T14:25:48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87"/>
    <n v="286"/>
    <m/>
    <m/>
    <m/>
    <x v="0"/>
    <n v="95"/>
    <s v="table7"/>
    <n v="19"/>
    <s v="250923_EPA_IntroDays_Overasselt"/>
    <n v="22"/>
    <n v="0"/>
    <s v=""/>
    <n v="0"/>
    <x v="5"/>
    <m/>
    <n v="0"/>
  </r>
  <r>
    <n v="1180"/>
    <d v="2025-09-23T14:25:48"/>
    <n v="190000"/>
    <n v="115000"/>
    <n v="0"/>
    <n v="20000"/>
    <n v="0"/>
    <n v="0"/>
    <n v="20000"/>
    <n v="33000"/>
    <n v="14000"/>
    <n v="0"/>
    <n v="0"/>
    <n v="68000"/>
    <n v="0"/>
    <n v="-2"/>
    <n v="3"/>
    <n v="2"/>
    <n v="0"/>
    <n v="0"/>
    <n v="0"/>
    <n v="8"/>
    <n v="8"/>
    <n v="300000"/>
    <n v="0"/>
    <n v="0"/>
    <n v="0"/>
    <n v="200000"/>
    <n v="200000"/>
    <n v="180000"/>
    <m/>
    <m/>
    <n v="6"/>
    <n v="9"/>
    <n v="0"/>
    <n v="0"/>
    <n v="4"/>
    <n v="3"/>
    <s v="VIEW_SUMMARY"/>
    <n v="687"/>
    <n v="290"/>
    <m/>
    <n v="1389"/>
    <m/>
    <x v="1"/>
    <n v="95"/>
    <s v="table7"/>
    <n v="19"/>
    <s v="250923_EPA_IntroDays_Overasselt"/>
    <n v="22"/>
    <n v="15"/>
    <s v="(Natu-city)"/>
    <n v="1"/>
    <x v="5"/>
    <n v="7"/>
    <n v="0"/>
  </r>
  <r>
    <n v="1218"/>
    <d v="2025-09-23T14:25:48"/>
    <n v="190000"/>
    <n v="115000"/>
    <n v="0"/>
    <n v="20000"/>
    <n v="0"/>
    <n v="0"/>
    <n v="20000"/>
    <n v="0"/>
    <n v="14500"/>
    <n v="0"/>
    <n v="4000"/>
    <n v="84500"/>
    <n v="0"/>
    <n v="0"/>
    <n v="0"/>
    <n v="2"/>
    <n v="0"/>
    <n v="1"/>
    <n v="0"/>
    <n v="9"/>
    <n v="8"/>
    <n v="300000"/>
    <n v="200000"/>
    <n v="180000"/>
    <n v="0"/>
    <n v="0"/>
    <n v="200000"/>
    <n v="160000"/>
    <m/>
    <m/>
    <n v="6"/>
    <n v="9"/>
    <n v="0"/>
    <n v="0"/>
    <n v="0"/>
    <n v="0"/>
    <s v="VIEW_SUMMARY"/>
    <n v="687"/>
    <n v="296"/>
    <n v="1389"/>
    <n v="1389"/>
    <m/>
    <x v="2"/>
    <n v="95"/>
    <s v="table7"/>
    <n v="19"/>
    <s v="250923_EPA_IntroDays_Overasselt"/>
    <n v="22"/>
    <n v="15"/>
    <s v="(Natu-city)"/>
    <n v="2"/>
    <x v="5"/>
    <n v="0"/>
    <n v="4000"/>
  </r>
  <r>
    <n v="1234"/>
    <d v="2025-09-23T14:25:48"/>
    <n v="190000"/>
    <n v="115000"/>
    <n v="0"/>
    <n v="20000"/>
    <n v="0"/>
    <n v="0"/>
    <n v="20000"/>
    <n v="0"/>
    <n v="0"/>
    <n v="12000"/>
    <n v="0"/>
    <n v="107500"/>
    <n v="0"/>
    <n v="0"/>
    <n v="0"/>
    <n v="0"/>
    <n v="4"/>
    <n v="0"/>
    <n v="0"/>
    <n v="5"/>
    <n v="8"/>
    <n v="300000"/>
    <n v="200000"/>
    <n v="160000"/>
    <n v="0"/>
    <n v="0"/>
    <n v="200000"/>
    <n v="140000"/>
    <m/>
    <m/>
    <n v="6"/>
    <n v="9"/>
    <n v="-2"/>
    <n v="-1"/>
    <n v="0"/>
    <n v="0"/>
    <s v="VIEW_SUMMARY"/>
    <n v="687"/>
    <n v="299"/>
    <n v="1389"/>
    <n v="1389"/>
    <m/>
    <x v="3"/>
    <n v="95"/>
    <s v="table7"/>
    <n v="19"/>
    <s v="250923_EPA_IntroDays_Overasselt"/>
    <n v="22"/>
    <n v="15"/>
    <s v="(Natu-city)"/>
    <n v="3"/>
    <x v="5"/>
    <n v="0"/>
    <n v="12000"/>
  </r>
  <r>
    <n v="1254"/>
    <d v="2025-09-23T14:25:48"/>
    <n v="190000"/>
    <n v="115000"/>
    <n v="0"/>
    <n v="20000"/>
    <n v="0"/>
    <n v="0"/>
    <n v="25000"/>
    <n v="0"/>
    <n v="0"/>
    <n v="4000"/>
    <n v="4000"/>
    <n v="129500"/>
    <n v="0"/>
    <n v="0"/>
    <n v="0"/>
    <n v="0"/>
    <n v="2"/>
    <n v="1"/>
    <n v="0"/>
    <n v="2"/>
    <n v="8"/>
    <n v="300000"/>
    <n v="200000"/>
    <n v="140000"/>
    <n v="0"/>
    <n v="0"/>
    <n v="200000"/>
    <n v="120000"/>
    <m/>
    <m/>
    <n v="6"/>
    <n v="9"/>
    <n v="-2"/>
    <n v="-1"/>
    <n v="0"/>
    <n v="0"/>
    <s v="SURVEY_COMPLETED"/>
    <n v="687"/>
    <n v="302"/>
    <n v="1389"/>
    <n v="1389"/>
    <m/>
    <x v="4"/>
    <n v="95"/>
    <s v="table7"/>
    <n v="19"/>
    <s v="250923_EPA_IntroDays_Overasselt"/>
    <n v="22"/>
    <n v="15"/>
    <s v="(Natu-city)"/>
    <n v="4"/>
    <x v="5"/>
    <n v="0"/>
    <n v="8000"/>
  </r>
  <r>
    <n v="1168"/>
    <d v="2025-09-23T14:25:00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90"/>
    <n v="287"/>
    <m/>
    <m/>
    <m/>
    <x v="0"/>
    <n v="96"/>
    <s v="table8"/>
    <n v="19"/>
    <s v="250923_EPA_IntroDays_Overasselt"/>
    <n v="22"/>
    <n v="0"/>
    <s v=""/>
    <n v="0"/>
    <x v="0"/>
    <m/>
    <n v="0"/>
  </r>
  <r>
    <n v="1200"/>
    <d v="2025-09-23T14:25:00"/>
    <n v="75000"/>
    <n v="40000"/>
    <n v="0"/>
    <n v="10000"/>
    <n v="0"/>
    <n v="0"/>
    <n v="15000"/>
    <n v="6000"/>
    <n v="0"/>
    <n v="0"/>
    <n v="4000"/>
    <n v="5000"/>
    <n v="0"/>
    <n v="-1"/>
    <n v="1"/>
    <n v="0"/>
    <n v="0"/>
    <n v="1"/>
    <n v="0"/>
    <n v="4"/>
    <n v="4"/>
    <n v="110000"/>
    <n v="0"/>
    <n v="0"/>
    <n v="0"/>
    <n v="100000"/>
    <n v="100000"/>
    <n v="90000"/>
    <m/>
    <m/>
    <n v="6"/>
    <n v="9"/>
    <n v="0"/>
    <n v="0"/>
    <n v="1"/>
    <n v="0"/>
    <s v="VIEW_SUMMARY"/>
    <n v="690"/>
    <n v="293"/>
    <m/>
    <n v="1436"/>
    <m/>
    <x v="1"/>
    <n v="96"/>
    <s v="table8"/>
    <n v="19"/>
    <s v="250923_EPA_IntroDays_Overasselt"/>
    <n v="22"/>
    <n v="15"/>
    <s v="(Natu-city)"/>
    <n v="1"/>
    <x v="0"/>
    <n v="1"/>
    <n v="4000"/>
  </r>
  <r>
    <n v="1216"/>
    <d v="2025-09-23T14:25:00"/>
    <n v="75000"/>
    <n v="40000"/>
    <n v="0"/>
    <n v="10000"/>
    <n v="0"/>
    <n v="0"/>
    <n v="15000"/>
    <n v="0"/>
    <n v="7000"/>
    <n v="0"/>
    <n v="0"/>
    <n v="8000"/>
    <n v="0"/>
    <n v="0"/>
    <n v="0"/>
    <n v="2"/>
    <n v="0"/>
    <n v="0"/>
    <n v="0"/>
    <n v="6"/>
    <n v="4"/>
    <n v="110000"/>
    <n v="100000"/>
    <n v="90000"/>
    <n v="0"/>
    <n v="0"/>
    <n v="100000"/>
    <n v="80000"/>
    <m/>
    <m/>
    <n v="6"/>
    <n v="9"/>
    <n v="0"/>
    <n v="0"/>
    <n v="0"/>
    <n v="0"/>
    <s v="VIEW_SUMMARY"/>
    <n v="690"/>
    <n v="295"/>
    <n v="1436"/>
    <n v="1436"/>
    <m/>
    <x v="2"/>
    <n v="96"/>
    <s v="table8"/>
    <n v="19"/>
    <s v="250923_EPA_IntroDays_Overasselt"/>
    <n v="22"/>
    <n v="15"/>
    <s v="(Natu-city)"/>
    <n v="2"/>
    <x v="0"/>
    <n v="0"/>
    <n v="0"/>
  </r>
  <r>
    <n v="1244"/>
    <d v="2025-09-23T14:25:00"/>
    <n v="75000"/>
    <n v="40000"/>
    <n v="0"/>
    <n v="10000"/>
    <n v="0"/>
    <n v="0"/>
    <n v="15000"/>
    <n v="10000"/>
    <n v="0"/>
    <n v="0"/>
    <n v="0"/>
    <n v="8000"/>
    <n v="0"/>
    <n v="0"/>
    <n v="0"/>
    <n v="0"/>
    <n v="0"/>
    <n v="0"/>
    <n v="0"/>
    <n v="6"/>
    <n v="4"/>
    <n v="110000"/>
    <n v="100000"/>
    <n v="80000"/>
    <n v="0"/>
    <n v="0"/>
    <n v="100000"/>
    <n v="70000"/>
    <m/>
    <m/>
    <n v="6"/>
    <n v="9"/>
    <n v="-2"/>
    <n v="-1"/>
    <n v="1"/>
    <n v="1"/>
    <s v="VIEW_SUMMARY"/>
    <n v="690"/>
    <n v="300"/>
    <n v="1436"/>
    <n v="1436"/>
    <m/>
    <x v="3"/>
    <n v="96"/>
    <s v="table8"/>
    <n v="19"/>
    <s v="250923_EPA_IntroDays_Overasselt"/>
    <n v="22"/>
    <n v="15"/>
    <s v="(Natu-city)"/>
    <n v="3"/>
    <x v="0"/>
    <n v="2"/>
    <n v="0"/>
  </r>
  <r>
    <n v="1263"/>
    <d v="2025-09-23T14:25:00"/>
    <n v="75000"/>
    <n v="40000"/>
    <n v="0"/>
    <n v="10000"/>
    <n v="0"/>
    <n v="0"/>
    <n v="30000"/>
    <n v="0"/>
    <n v="0"/>
    <n v="0"/>
    <n v="0"/>
    <n v="3000"/>
    <n v="0"/>
    <n v="0"/>
    <n v="0"/>
    <n v="0"/>
    <n v="0"/>
    <n v="0"/>
    <n v="0"/>
    <n v="6"/>
    <n v="4"/>
    <n v="110000"/>
    <n v="100000"/>
    <n v="70000"/>
    <n v="0"/>
    <n v="0"/>
    <n v="100000"/>
    <n v="60000"/>
    <m/>
    <m/>
    <n v="6"/>
    <n v="9"/>
    <n v="-2"/>
    <n v="-1"/>
    <n v="0"/>
    <n v="0"/>
    <s v="VIEW_SUMMARY"/>
    <n v="690"/>
    <n v="303"/>
    <n v="1436"/>
    <n v="1436"/>
    <m/>
    <x v="4"/>
    <n v="96"/>
    <s v="table8"/>
    <n v="19"/>
    <s v="250923_EPA_IntroDays_Overasselt"/>
    <n v="22"/>
    <n v="15"/>
    <s v="(Natu-city)"/>
    <n v="4"/>
    <x v="0"/>
    <n v="0"/>
    <n v="0"/>
  </r>
  <r>
    <n v="1194"/>
    <d v="2025-09-23T14:28:39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91"/>
    <n v="287"/>
    <m/>
    <m/>
    <m/>
    <x v="0"/>
    <n v="96"/>
    <s v="table8"/>
    <n v="19"/>
    <s v="250923_EPA_IntroDays_Overasselt"/>
    <n v="22"/>
    <n v="0"/>
    <s v=""/>
    <n v="0"/>
    <x v="1"/>
    <m/>
    <n v="0"/>
  </r>
  <r>
    <n v="1199"/>
    <d v="2025-09-23T14:28:39"/>
    <n v="110000"/>
    <n v="60000"/>
    <n v="0"/>
    <n v="17000"/>
    <n v="0"/>
    <n v="30000"/>
    <n v="15000"/>
    <n v="8000"/>
    <n v="0"/>
    <n v="0"/>
    <n v="4000"/>
    <n v="6000"/>
    <n v="0"/>
    <n v="0"/>
    <n v="1"/>
    <n v="0"/>
    <n v="0"/>
    <n v="1"/>
    <n v="0"/>
    <n v="5"/>
    <n v="6"/>
    <n v="170000"/>
    <n v="0"/>
    <n v="0"/>
    <n v="0"/>
    <n v="200000"/>
    <n v="170000"/>
    <n v="153000"/>
    <m/>
    <m/>
    <n v="6"/>
    <n v="9"/>
    <n v="0"/>
    <n v="0"/>
    <n v="1"/>
    <n v="1"/>
    <s v="VIEW_SUMMARY"/>
    <n v="691"/>
    <n v="293"/>
    <m/>
    <n v="1435"/>
    <m/>
    <x v="1"/>
    <n v="96"/>
    <s v="table8"/>
    <n v="19"/>
    <s v="250923_EPA_IntroDays_Overasselt"/>
    <n v="22"/>
    <n v="15"/>
    <s v="(Natu-city)"/>
    <n v="1"/>
    <x v="1"/>
    <n v="2"/>
    <n v="4000"/>
  </r>
  <r>
    <n v="1212"/>
    <d v="2025-09-23T14:28:39"/>
    <n v="110000"/>
    <n v="60000"/>
    <n v="0"/>
    <n v="17000"/>
    <n v="0"/>
    <n v="0"/>
    <n v="15000"/>
    <n v="14000"/>
    <n v="0"/>
    <n v="0"/>
    <n v="0"/>
    <n v="10000"/>
    <n v="0"/>
    <n v="0"/>
    <n v="2"/>
    <n v="0"/>
    <n v="0"/>
    <n v="0"/>
    <n v="0"/>
    <n v="7"/>
    <n v="6"/>
    <n v="170000"/>
    <n v="170000"/>
    <n v="153000"/>
    <n v="0"/>
    <n v="0"/>
    <n v="170000"/>
    <n v="136000"/>
    <m/>
    <m/>
    <n v="6"/>
    <n v="9"/>
    <n v="0"/>
    <n v="0"/>
    <n v="2"/>
    <n v="0"/>
    <s v="VIEW_SUMMARY"/>
    <n v="691"/>
    <n v="295"/>
    <n v="1435"/>
    <n v="1435"/>
    <m/>
    <x v="2"/>
    <n v="96"/>
    <s v="table8"/>
    <n v="19"/>
    <s v="250923_EPA_IntroDays_Overasselt"/>
    <n v="22"/>
    <n v="15"/>
    <s v="(Natu-city)"/>
    <n v="2"/>
    <x v="1"/>
    <n v="2"/>
    <n v="0"/>
  </r>
  <r>
    <n v="1241"/>
    <d v="2025-09-23T14:28:39"/>
    <n v="110000"/>
    <n v="60000"/>
    <n v="0"/>
    <n v="17000"/>
    <n v="0"/>
    <n v="0"/>
    <n v="15000"/>
    <n v="11000"/>
    <n v="4000"/>
    <n v="0"/>
    <n v="0"/>
    <n v="13000"/>
    <n v="0"/>
    <n v="0"/>
    <n v="0"/>
    <n v="0"/>
    <n v="0"/>
    <n v="0"/>
    <n v="0"/>
    <n v="7"/>
    <n v="6"/>
    <n v="170000"/>
    <n v="170000"/>
    <n v="136000"/>
    <n v="0"/>
    <n v="0"/>
    <n v="170000"/>
    <n v="119000"/>
    <m/>
    <m/>
    <n v="6"/>
    <n v="9"/>
    <n v="-2"/>
    <n v="-1"/>
    <n v="1"/>
    <n v="2"/>
    <s v="VIEW_SUMMARY"/>
    <n v="691"/>
    <n v="300"/>
    <n v="1435"/>
    <n v="1435"/>
    <m/>
    <x v="3"/>
    <n v="96"/>
    <s v="table8"/>
    <n v="19"/>
    <s v="250923_EPA_IntroDays_Overasselt"/>
    <n v="22"/>
    <n v="15"/>
    <s v="(Natu-city)"/>
    <n v="3"/>
    <x v="1"/>
    <n v="3"/>
    <n v="0"/>
  </r>
  <r>
    <n v="1259"/>
    <d v="2025-09-23T14:28:39"/>
    <n v="110000"/>
    <n v="60000"/>
    <n v="0"/>
    <n v="17000"/>
    <n v="0"/>
    <n v="0"/>
    <n v="30000"/>
    <n v="0"/>
    <n v="5000"/>
    <n v="0"/>
    <n v="0"/>
    <n v="11000"/>
    <n v="0"/>
    <n v="0"/>
    <n v="0"/>
    <n v="1"/>
    <n v="0"/>
    <n v="0"/>
    <n v="0"/>
    <n v="8"/>
    <n v="6"/>
    <n v="170000"/>
    <n v="170000"/>
    <n v="119000"/>
    <n v="0"/>
    <n v="0"/>
    <n v="170000"/>
    <n v="102000"/>
    <m/>
    <m/>
    <n v="6"/>
    <n v="9"/>
    <n v="-2"/>
    <n v="-1"/>
    <n v="0"/>
    <n v="0"/>
    <s v="VIEW_SUMMARY"/>
    <n v="691"/>
    <n v="303"/>
    <n v="1435"/>
    <n v="1435"/>
    <m/>
    <x v="4"/>
    <n v="96"/>
    <s v="table8"/>
    <n v="19"/>
    <s v="250923_EPA_IntroDays_Overasselt"/>
    <n v="22"/>
    <n v="15"/>
    <s v="(Natu-city)"/>
    <n v="4"/>
    <x v="1"/>
    <n v="0"/>
    <n v="0"/>
  </r>
  <r>
    <n v="1170"/>
    <d v="2025-09-23T14:25:10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693"/>
    <n v="287"/>
    <m/>
    <m/>
    <m/>
    <x v="0"/>
    <n v="96"/>
    <s v="table8"/>
    <n v="19"/>
    <s v="250923_EPA_IntroDays_Overasselt"/>
    <n v="22"/>
    <n v="0"/>
    <s v=""/>
    <n v="0"/>
    <x v="3"/>
    <m/>
    <n v="0"/>
  </r>
  <r>
    <n v="1198"/>
    <d v="2025-09-23T14:25:10"/>
    <n v="90000"/>
    <n v="50000"/>
    <n v="0"/>
    <n v="7000"/>
    <n v="0"/>
    <n v="0"/>
    <n v="20000"/>
    <n v="9000"/>
    <n v="1400"/>
    <n v="0"/>
    <n v="4000"/>
    <n v="13600"/>
    <n v="0"/>
    <n v="-3"/>
    <n v="1"/>
    <n v="0"/>
    <n v="1"/>
    <n v="1"/>
    <n v="0"/>
    <n v="1"/>
    <n v="5"/>
    <n v="130000"/>
    <n v="0"/>
    <n v="0"/>
    <n v="0"/>
    <n v="70000"/>
    <n v="70000"/>
    <n v="63000"/>
    <m/>
    <m/>
    <n v="6"/>
    <n v="6"/>
    <n v="0"/>
    <n v="0"/>
    <n v="1"/>
    <n v="1"/>
    <s v="VIEW_SUMMARY"/>
    <n v="693"/>
    <n v="293"/>
    <m/>
    <n v="1447"/>
    <m/>
    <x v="1"/>
    <n v="96"/>
    <s v="table8"/>
    <n v="19"/>
    <s v="250923_EPA_IntroDays_Overasselt"/>
    <n v="22"/>
    <n v="12"/>
    <s v="(U-village)"/>
    <n v="1"/>
    <x v="3"/>
    <n v="2"/>
    <n v="4000"/>
  </r>
  <r>
    <n v="1210"/>
    <d v="2025-09-23T14:25:10"/>
    <n v="90000"/>
    <n v="50000"/>
    <n v="0"/>
    <n v="7000"/>
    <n v="0"/>
    <n v="0"/>
    <n v="20000"/>
    <n v="0"/>
    <n v="5250"/>
    <n v="8000"/>
    <n v="0"/>
    <n v="13350"/>
    <n v="0"/>
    <n v="0"/>
    <n v="0"/>
    <n v="3"/>
    <n v="3"/>
    <n v="0"/>
    <n v="0"/>
    <n v="1"/>
    <n v="5"/>
    <n v="130000"/>
    <n v="70000"/>
    <n v="63000"/>
    <n v="0"/>
    <n v="0"/>
    <n v="70000"/>
    <n v="56000"/>
    <m/>
    <m/>
    <n v="6"/>
    <n v="6"/>
    <n v="0"/>
    <n v="0"/>
    <n v="0"/>
    <n v="0"/>
    <s v="VIEW_SUMMARY"/>
    <n v="693"/>
    <n v="295"/>
    <n v="1447"/>
    <n v="1447"/>
    <m/>
    <x v="2"/>
    <n v="96"/>
    <s v="table8"/>
    <n v="19"/>
    <s v="250923_EPA_IntroDays_Overasselt"/>
    <n v="22"/>
    <n v="12"/>
    <s v="(U-village)"/>
    <n v="2"/>
    <x v="3"/>
    <n v="0"/>
    <n v="8000"/>
  </r>
  <r>
    <n v="1239"/>
    <d v="2025-09-23T14:25:10"/>
    <n v="90000"/>
    <n v="50000"/>
    <n v="0"/>
    <n v="7000"/>
    <n v="0"/>
    <n v="0"/>
    <n v="20000"/>
    <n v="8000"/>
    <n v="0"/>
    <n v="8000"/>
    <n v="0"/>
    <n v="10350"/>
    <n v="0"/>
    <n v="0"/>
    <n v="1"/>
    <n v="0"/>
    <n v="3"/>
    <n v="0"/>
    <n v="0"/>
    <n v="-1"/>
    <n v="5"/>
    <n v="130000"/>
    <n v="70000"/>
    <n v="56000"/>
    <n v="0"/>
    <n v="0"/>
    <n v="70000"/>
    <n v="49000"/>
    <m/>
    <m/>
    <n v="6"/>
    <n v="6"/>
    <n v="-2"/>
    <n v="-1"/>
    <n v="1"/>
    <n v="1"/>
    <s v="VIEW_SUMMARY"/>
    <n v="693"/>
    <n v="300"/>
    <n v="1447"/>
    <n v="1447"/>
    <m/>
    <x v="3"/>
    <n v="96"/>
    <s v="table8"/>
    <n v="19"/>
    <s v="250923_EPA_IntroDays_Overasselt"/>
    <n v="22"/>
    <n v="12"/>
    <s v="(U-village)"/>
    <n v="3"/>
    <x v="3"/>
    <n v="2"/>
    <n v="8000"/>
  </r>
  <r>
    <n v="1258"/>
    <d v="2025-09-23T14:25:10"/>
    <n v="90000"/>
    <n v="50000"/>
    <n v="0"/>
    <n v="10000"/>
    <n v="21000"/>
    <n v="0"/>
    <n v="30000"/>
    <n v="6000"/>
    <n v="4500"/>
    <n v="0"/>
    <n v="0"/>
    <n v="20850"/>
    <n v="1"/>
    <n v="-2"/>
    <n v="1"/>
    <n v="1"/>
    <n v="0"/>
    <n v="0"/>
    <n v="0"/>
    <n v="-2"/>
    <n v="5"/>
    <n v="130000"/>
    <n v="70000"/>
    <n v="49000"/>
    <n v="70000"/>
    <n v="100000"/>
    <n v="100000"/>
    <n v="90000"/>
    <n v="34"/>
    <m/>
    <n v="6"/>
    <n v="9"/>
    <n v="-2"/>
    <n v="-1"/>
    <n v="1"/>
    <n v="1"/>
    <s v="VIEW_SUMMARY"/>
    <n v="693"/>
    <n v="303"/>
    <n v="1447"/>
    <n v="1468"/>
    <m/>
    <x v="4"/>
    <n v="96"/>
    <s v="table8"/>
    <n v="19"/>
    <s v="250923_EPA_IntroDays_Overasselt"/>
    <n v="22"/>
    <n v="15"/>
    <s v="(Natu-city)"/>
    <n v="4"/>
    <x v="3"/>
    <n v="2"/>
    <n v="0"/>
  </r>
  <r>
    <n v="1172"/>
    <d v="2025-09-23T14:25:25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694"/>
    <n v="287"/>
    <m/>
    <m/>
    <m/>
    <x v="0"/>
    <n v="96"/>
    <s v="table8"/>
    <n v="19"/>
    <s v="250923_EPA_IntroDays_Overasselt"/>
    <n v="22"/>
    <n v="0"/>
    <s v=""/>
    <n v="0"/>
    <x v="4"/>
    <m/>
    <n v="0"/>
  </r>
  <r>
    <n v="1197"/>
    <d v="2025-09-23T14:25:25"/>
    <n v="130000"/>
    <n v="75000"/>
    <n v="0"/>
    <n v="20000"/>
    <n v="0"/>
    <n v="0"/>
    <n v="20000"/>
    <n v="16000"/>
    <n v="4000"/>
    <n v="0"/>
    <n v="0"/>
    <n v="45000"/>
    <n v="0"/>
    <n v="-1"/>
    <n v="2"/>
    <n v="0"/>
    <n v="1"/>
    <n v="0"/>
    <n v="0"/>
    <n v="5"/>
    <n v="7"/>
    <n v="200000"/>
    <n v="0"/>
    <n v="0"/>
    <n v="0"/>
    <n v="200000"/>
    <n v="200000"/>
    <n v="180000"/>
    <m/>
    <m/>
    <n v="6"/>
    <n v="6"/>
    <n v="0"/>
    <n v="0"/>
    <n v="2"/>
    <n v="1"/>
    <s v="VIEW_SUMMARY"/>
    <n v="694"/>
    <n v="293"/>
    <m/>
    <n v="1443"/>
    <m/>
    <x v="1"/>
    <n v="96"/>
    <s v="table8"/>
    <n v="19"/>
    <s v="250923_EPA_IntroDays_Overasselt"/>
    <n v="22"/>
    <n v="12"/>
    <s v="(U-village)"/>
    <n v="1"/>
    <x v="4"/>
    <n v="3"/>
    <n v="0"/>
  </r>
  <r>
    <n v="1211"/>
    <d v="2025-09-23T14:25:25"/>
    <n v="130000"/>
    <n v="75000"/>
    <n v="0"/>
    <n v="20000"/>
    <n v="0"/>
    <n v="0"/>
    <n v="20000"/>
    <n v="1000"/>
    <n v="10000"/>
    <n v="4000"/>
    <n v="0"/>
    <n v="45000"/>
    <n v="0"/>
    <n v="0"/>
    <n v="0"/>
    <n v="2"/>
    <n v="2"/>
    <n v="0"/>
    <n v="0"/>
    <n v="5"/>
    <n v="7"/>
    <n v="200000"/>
    <n v="200000"/>
    <n v="180000"/>
    <n v="0"/>
    <n v="0"/>
    <n v="200000"/>
    <n v="160000"/>
    <m/>
    <m/>
    <n v="6"/>
    <n v="6"/>
    <n v="0"/>
    <n v="0"/>
    <n v="0"/>
    <n v="1"/>
    <s v="VIEW_SUMMARY"/>
    <n v="694"/>
    <n v="295"/>
    <n v="1443"/>
    <n v="1443"/>
    <m/>
    <x v="2"/>
    <n v="96"/>
    <s v="table8"/>
    <n v="19"/>
    <s v="250923_EPA_IntroDays_Overasselt"/>
    <n v="22"/>
    <n v="12"/>
    <s v="(U-village)"/>
    <n v="2"/>
    <x v="4"/>
    <n v="1"/>
    <n v="4000"/>
  </r>
  <r>
    <n v="1243"/>
    <d v="2025-09-23T14:25:25"/>
    <n v="130000"/>
    <n v="75000"/>
    <n v="0"/>
    <n v="20000"/>
    <n v="0"/>
    <n v="0"/>
    <n v="20000"/>
    <n v="10000"/>
    <n v="11500"/>
    <n v="8000"/>
    <n v="0"/>
    <n v="30500"/>
    <n v="0"/>
    <n v="0"/>
    <n v="0"/>
    <n v="2"/>
    <n v="3"/>
    <n v="0"/>
    <n v="0"/>
    <n v="4"/>
    <n v="7"/>
    <n v="200000"/>
    <n v="200000"/>
    <n v="160000"/>
    <n v="0"/>
    <n v="0"/>
    <n v="200000"/>
    <n v="140000"/>
    <m/>
    <m/>
    <n v="6"/>
    <n v="6"/>
    <n v="-2"/>
    <n v="-1"/>
    <n v="1"/>
    <n v="1"/>
    <s v="VIEW_SUMMARY"/>
    <n v="694"/>
    <n v="300"/>
    <n v="1443"/>
    <n v="1443"/>
    <m/>
    <x v="3"/>
    <n v="96"/>
    <s v="table8"/>
    <n v="19"/>
    <s v="250923_EPA_IntroDays_Overasselt"/>
    <n v="22"/>
    <n v="12"/>
    <s v="(U-village)"/>
    <n v="3"/>
    <x v="4"/>
    <n v="2"/>
    <n v="8000"/>
  </r>
  <r>
    <n v="1260"/>
    <d v="2025-09-23T14:25:25"/>
    <n v="130000"/>
    <n v="75000"/>
    <n v="0"/>
    <n v="0"/>
    <n v="60000"/>
    <n v="0"/>
    <n v="30000"/>
    <n v="23000"/>
    <n v="0"/>
    <n v="0"/>
    <n v="0"/>
    <n v="92500"/>
    <n v="1"/>
    <n v="0"/>
    <n v="3"/>
    <n v="0"/>
    <n v="0"/>
    <n v="0"/>
    <n v="0"/>
    <n v="6"/>
    <n v="7"/>
    <n v="200000"/>
    <n v="200000"/>
    <n v="140000"/>
    <n v="200000"/>
    <n v="0"/>
    <n v="0"/>
    <n v="0"/>
    <n v="34"/>
    <m/>
    <n v="6"/>
    <n v="9"/>
    <n v="-2"/>
    <n v="-1"/>
    <n v="4"/>
    <n v="3"/>
    <s v="VIEW_SUMMARY"/>
    <n v="694"/>
    <n v="303"/>
    <n v="1443"/>
    <n v="1466"/>
    <m/>
    <x v="4"/>
    <n v="96"/>
    <s v="table8"/>
    <n v="19"/>
    <s v="250923_EPA_IntroDays_Overasselt"/>
    <n v="22"/>
    <n v="15"/>
    <s v="(Natu-city)"/>
    <n v="4"/>
    <x v="4"/>
    <n v="7"/>
    <n v="0"/>
  </r>
  <r>
    <n v="1166"/>
    <d v="2025-09-23T14:24:58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695"/>
    <n v="287"/>
    <m/>
    <m/>
    <m/>
    <x v="0"/>
    <n v="96"/>
    <s v="table8"/>
    <n v="19"/>
    <s v="250923_EPA_IntroDays_Overasselt"/>
    <n v="22"/>
    <n v="0"/>
    <s v=""/>
    <n v="0"/>
    <x v="5"/>
    <m/>
    <n v="0"/>
  </r>
  <r>
    <n v="1195"/>
    <d v="2025-09-23T14:24:58"/>
    <n v="190000"/>
    <n v="115000"/>
    <n v="0"/>
    <n v="20000"/>
    <n v="0"/>
    <n v="0"/>
    <n v="15000"/>
    <n v="14000"/>
    <n v="19500"/>
    <n v="0"/>
    <n v="0"/>
    <n v="86500"/>
    <n v="0"/>
    <n v="-2"/>
    <n v="2"/>
    <n v="3"/>
    <n v="0"/>
    <n v="0"/>
    <n v="0"/>
    <n v="8"/>
    <n v="8"/>
    <n v="300000"/>
    <n v="0"/>
    <n v="0"/>
    <n v="0"/>
    <n v="200000"/>
    <n v="200000"/>
    <n v="180000"/>
    <m/>
    <m/>
    <n v="6"/>
    <n v="9"/>
    <n v="0"/>
    <n v="0"/>
    <n v="2"/>
    <n v="0"/>
    <s v="VIEW_SUMMARY"/>
    <n v="695"/>
    <n v="293"/>
    <m/>
    <n v="1434"/>
    <m/>
    <x v="1"/>
    <n v="96"/>
    <s v="table8"/>
    <n v="19"/>
    <s v="250923_EPA_IntroDays_Overasselt"/>
    <n v="22"/>
    <n v="15"/>
    <s v="(Natu-city)"/>
    <n v="1"/>
    <x v="5"/>
    <n v="2"/>
    <n v="0"/>
  </r>
  <r>
    <n v="1209"/>
    <d v="2025-09-23T14:24:58"/>
    <n v="190000"/>
    <n v="115000"/>
    <n v="0"/>
    <n v="20000"/>
    <n v="0"/>
    <n v="0"/>
    <n v="15000"/>
    <n v="0"/>
    <n v="5000"/>
    <n v="0"/>
    <n v="0"/>
    <n v="121500"/>
    <n v="0"/>
    <n v="0"/>
    <n v="0"/>
    <n v="1"/>
    <n v="0"/>
    <n v="0"/>
    <n v="0"/>
    <n v="9"/>
    <n v="8"/>
    <n v="300000"/>
    <n v="200000"/>
    <n v="180000"/>
    <n v="0"/>
    <n v="0"/>
    <n v="200000"/>
    <n v="160000"/>
    <m/>
    <m/>
    <n v="6"/>
    <n v="9"/>
    <n v="0"/>
    <n v="0"/>
    <n v="0"/>
    <n v="0"/>
    <s v="VIEW_SUMMARY"/>
    <n v="695"/>
    <n v="295"/>
    <n v="1434"/>
    <n v="1434"/>
    <m/>
    <x v="2"/>
    <n v="96"/>
    <s v="table8"/>
    <n v="19"/>
    <s v="250923_EPA_IntroDays_Overasselt"/>
    <n v="22"/>
    <n v="15"/>
    <s v="(Natu-city)"/>
    <n v="2"/>
    <x v="5"/>
    <n v="0"/>
    <n v="0"/>
  </r>
  <r>
    <n v="1242"/>
    <d v="2025-09-23T14:24:58"/>
    <n v="190000"/>
    <n v="115000"/>
    <n v="0"/>
    <n v="20000"/>
    <n v="0"/>
    <n v="0"/>
    <n v="15000"/>
    <n v="8000"/>
    <n v="4000"/>
    <n v="0"/>
    <n v="0"/>
    <n v="149500"/>
    <n v="0"/>
    <n v="0"/>
    <n v="1"/>
    <n v="0"/>
    <n v="0"/>
    <n v="0"/>
    <n v="0"/>
    <n v="10"/>
    <n v="8"/>
    <n v="300000"/>
    <n v="200000"/>
    <n v="160000"/>
    <n v="0"/>
    <n v="0"/>
    <n v="200000"/>
    <n v="140000"/>
    <m/>
    <m/>
    <n v="6"/>
    <n v="9"/>
    <n v="-2"/>
    <n v="-1"/>
    <n v="1"/>
    <n v="1"/>
    <s v="VIEW_SUMMARY"/>
    <n v="695"/>
    <n v="300"/>
    <n v="1434"/>
    <n v="1434"/>
    <m/>
    <x v="3"/>
    <n v="96"/>
    <s v="table8"/>
    <n v="19"/>
    <s v="250923_EPA_IntroDays_Overasselt"/>
    <n v="22"/>
    <n v="15"/>
    <s v="(Natu-city)"/>
    <n v="3"/>
    <x v="5"/>
    <n v="2"/>
    <n v="0"/>
  </r>
  <r>
    <n v="1261"/>
    <d v="2025-09-23T14:24:58"/>
    <n v="190000"/>
    <n v="115000"/>
    <n v="0"/>
    <n v="30000"/>
    <n v="110000"/>
    <n v="125000"/>
    <n v="30000"/>
    <n v="15000"/>
    <n v="0"/>
    <n v="0"/>
    <n v="0"/>
    <n v="134500"/>
    <n v="3"/>
    <n v="1"/>
    <n v="2"/>
    <n v="0"/>
    <n v="0"/>
    <n v="0"/>
    <n v="0"/>
    <n v="10"/>
    <n v="8"/>
    <n v="300000"/>
    <n v="200000"/>
    <n v="140000"/>
    <n v="250000"/>
    <n v="425000"/>
    <n v="300000"/>
    <n v="270000"/>
    <n v="33"/>
    <m/>
    <n v="6"/>
    <n v="9"/>
    <n v="-2"/>
    <n v="-1"/>
    <n v="4"/>
    <n v="3"/>
    <s v="VIEW_SUMMARY"/>
    <n v="695"/>
    <n v="303"/>
    <n v="1434"/>
    <n v="1467"/>
    <m/>
    <x v="4"/>
    <n v="96"/>
    <s v="table8"/>
    <n v="19"/>
    <s v="250923_EPA_IntroDays_Overasselt"/>
    <n v="22"/>
    <n v="15"/>
    <s v="(Natu-city)"/>
    <n v="4"/>
    <x v="5"/>
    <n v="7"/>
    <n v="0"/>
  </r>
  <r>
    <n v="1169"/>
    <d v="2025-09-23T14:25:04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96"/>
    <n v="287"/>
    <m/>
    <m/>
    <m/>
    <x v="0"/>
    <n v="96"/>
    <s v="table8"/>
    <n v="19"/>
    <s v="250923_EPA_IntroDays_Overasselt"/>
    <n v="22"/>
    <n v="0"/>
    <s v=""/>
    <n v="0"/>
    <x v="1"/>
    <m/>
    <n v="0"/>
  </r>
  <r>
    <n v="1196"/>
    <d v="2025-09-23T14:25:04"/>
    <n v="110000"/>
    <n v="60000"/>
    <n v="0"/>
    <n v="16000"/>
    <n v="0"/>
    <n v="0"/>
    <n v="20000"/>
    <n v="23000"/>
    <n v="0"/>
    <n v="0"/>
    <n v="4000"/>
    <n v="17000"/>
    <n v="0"/>
    <n v="-1"/>
    <n v="3"/>
    <n v="0"/>
    <n v="0"/>
    <n v="1"/>
    <n v="0"/>
    <n v="6"/>
    <n v="6"/>
    <n v="170000"/>
    <n v="0"/>
    <n v="0"/>
    <n v="0"/>
    <n v="160000"/>
    <n v="160000"/>
    <n v="144000"/>
    <m/>
    <m/>
    <n v="4"/>
    <n v="9"/>
    <n v="0"/>
    <n v="0"/>
    <n v="3"/>
    <n v="2"/>
    <s v="VIEW_SUMMARY"/>
    <n v="696"/>
    <n v="293"/>
    <m/>
    <n v="1440"/>
    <m/>
    <x v="1"/>
    <n v="96"/>
    <s v="table8"/>
    <n v="19"/>
    <s v="250923_EPA_IntroDays_Overasselt"/>
    <n v="22"/>
    <n v="13"/>
    <s v="(Dike-town)"/>
    <n v="1"/>
    <x v="1"/>
    <n v="5"/>
    <n v="4000"/>
  </r>
  <r>
    <n v="1208"/>
    <d v="2025-09-23T14:25:04"/>
    <n v="110000"/>
    <n v="60000"/>
    <n v="0"/>
    <n v="0"/>
    <n v="0"/>
    <n v="0"/>
    <n v="20000"/>
    <n v="10000"/>
    <n v="4000"/>
    <n v="0"/>
    <n v="0"/>
    <n v="33000"/>
    <n v="0"/>
    <n v="0"/>
    <n v="0"/>
    <n v="1"/>
    <n v="0"/>
    <n v="0"/>
    <n v="0"/>
    <n v="7"/>
    <n v="6"/>
    <n v="170000"/>
    <n v="160000"/>
    <n v="144000"/>
    <n v="0"/>
    <n v="0"/>
    <n v="160000"/>
    <n v="144000"/>
    <m/>
    <m/>
    <n v="4"/>
    <n v="9"/>
    <n v="0"/>
    <n v="0"/>
    <n v="1"/>
    <n v="1"/>
    <s v="VIEW_SUMMARY"/>
    <n v="696"/>
    <n v="295"/>
    <n v="1440"/>
    <n v="1440"/>
    <m/>
    <x v="2"/>
    <n v="96"/>
    <s v="table8"/>
    <n v="19"/>
    <s v="250923_EPA_IntroDays_Overasselt"/>
    <n v="22"/>
    <n v="13"/>
    <s v="(Dike-town)"/>
    <n v="2"/>
    <x v="1"/>
    <n v="2"/>
    <n v="0"/>
  </r>
  <r>
    <n v="1240"/>
    <d v="2025-09-23T14:25:04"/>
    <n v="110000"/>
    <n v="60000"/>
    <n v="0"/>
    <n v="16000"/>
    <n v="0"/>
    <n v="0"/>
    <n v="20000"/>
    <n v="0"/>
    <n v="16700"/>
    <n v="0"/>
    <n v="0"/>
    <n v="30300"/>
    <n v="0"/>
    <n v="0"/>
    <n v="0"/>
    <n v="3"/>
    <n v="0"/>
    <n v="0"/>
    <n v="0"/>
    <n v="10"/>
    <n v="6"/>
    <n v="170000"/>
    <n v="160000"/>
    <n v="144000"/>
    <n v="0"/>
    <n v="0"/>
    <n v="160000"/>
    <n v="128000"/>
    <m/>
    <m/>
    <n v="4"/>
    <n v="9"/>
    <n v="-2"/>
    <n v="-1"/>
    <n v="0"/>
    <n v="0"/>
    <s v="VIEW_SUMMARY"/>
    <n v="696"/>
    <n v="300"/>
    <n v="1440"/>
    <n v="1440"/>
    <m/>
    <x v="3"/>
    <n v="96"/>
    <s v="table8"/>
    <n v="19"/>
    <s v="250923_EPA_IntroDays_Overasselt"/>
    <n v="22"/>
    <n v="13"/>
    <s v="(Dike-town)"/>
    <n v="3"/>
    <x v="1"/>
    <n v="0"/>
    <n v="0"/>
  </r>
  <r>
    <n v="1262"/>
    <d v="2025-09-23T14:25:04"/>
    <n v="110000"/>
    <n v="60000"/>
    <n v="0"/>
    <n v="16000"/>
    <n v="0"/>
    <n v="0"/>
    <n v="20000"/>
    <n v="0"/>
    <n v="0"/>
    <n v="0"/>
    <n v="0"/>
    <n v="44300"/>
    <n v="0"/>
    <n v="0"/>
    <n v="0"/>
    <n v="0"/>
    <n v="0"/>
    <n v="0"/>
    <n v="0"/>
    <n v="10"/>
    <n v="6"/>
    <n v="170000"/>
    <n v="160000"/>
    <n v="128000"/>
    <n v="0"/>
    <n v="0"/>
    <n v="160000"/>
    <n v="112000"/>
    <m/>
    <m/>
    <n v="4"/>
    <n v="9"/>
    <n v="-2"/>
    <n v="-1"/>
    <n v="0"/>
    <n v="0"/>
    <s v="VIEW_SUMMARY"/>
    <n v="696"/>
    <n v="303"/>
    <n v="1440"/>
    <n v="1440"/>
    <m/>
    <x v="4"/>
    <n v="96"/>
    <s v="table8"/>
    <n v="19"/>
    <s v="250923_EPA_IntroDays_Overasselt"/>
    <n v="22"/>
    <n v="13"/>
    <s v="(Dike-town)"/>
    <n v="4"/>
    <x v="1"/>
    <n v="0"/>
    <n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m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E64D1-0144-46C5-B150-EF5C37344BC3}" name="Draaitabel3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6">
  <location ref="A3:H8" firstHeaderRow="1" firstDataRow="2" firstDataCol="1"/>
  <pivotFields count="3">
    <pivotField axis="axisRow" showAll="0">
      <items count="5">
        <item h="1" x="0"/>
        <item x="3"/>
        <item x="2"/>
        <item x="1"/>
        <item t="default"/>
      </items>
    </pivotField>
    <pivotField axis="axisCol" showAll="0">
      <items count="7">
        <item x="2"/>
        <item x="0"/>
        <item x="3"/>
        <item x="1"/>
        <item x="4"/>
        <item x="5"/>
        <item t="default"/>
      </items>
    </pivotField>
    <pivotField dataField="1" showAll="0"/>
  </pivotFields>
  <rowFields count="1">
    <field x="0"/>
  </rowFields>
  <rowItems count="4"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 van Added_delta_protection" fld="2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A1829-73F4-41FE-9FA4-37D4D31935A2}" name="Draaitabel9" cacheId="1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1">
  <location ref="A3:G9" firstHeaderRow="1" firstDataRow="2" firstDataCol="1"/>
  <pivotFields count="3">
    <pivotField axis="axisRow" showAll="0">
      <items count="5">
        <item x="0"/>
        <item x="3"/>
        <item x="2"/>
        <item x="1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 van Added_welfare_type" fld="2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A8751-84E8-46AD-8094-8367A98EA784}" name="Draaitabel8" cacheId="2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4">
  <location ref="A3:H10" firstHeaderRow="0" firstDataRow="1" firstDataCol="1" rowPageCount="1" colPageCount="1"/>
  <pivotFields count="56"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3"/>
        <item x="1"/>
        <item x="4"/>
        <item x="5"/>
        <item h="1" x="6"/>
        <item h="1" x="7"/>
        <item t="default"/>
      </items>
    </pivotField>
    <pivotField showAll="0"/>
    <pivotField dataField="1" showAll="0"/>
  </pivotFields>
  <rowFields count="1">
    <field x="5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44" item="4" hier="-1"/>
  </pageFields>
  <dataFields count="7">
    <dataField name="Gemiddelde van paid_debt" fld="4" subtotal="average" baseField="53" baseItem="0"/>
    <dataField name="Gemiddelde van mortgage_payment" fld="5" subtotal="average" baseField="53" baseItem="0"/>
    <dataField name="Gemiddelde van spent_savings_for_buying_house" fld="7" subtotal="average" baseField="53" baseItem="0"/>
    <dataField name="Gemiddelde van Added_total_damage" fld="55" subtotal="average" baseField="53" baseItem="0"/>
    <dataField name="Gemiddelde van cost_house_measures_bought" fld="9" subtotal="average" baseField="53" baseItem="0"/>
    <dataField name="Gemiddelde van cost_personal_measures_bought" fld="10" subtotal="average" baseField="53" baseItem="0"/>
    <dataField name="Gemiddelde van satisfaction_total" fld="21" subtotal="average" baseField="53" baseItem="0"/>
  </dataFields>
  <chartFormats count="7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BB532-75C4-4659-A53F-6BFEDB7425C2}" name="Draaitabel10" cacheId="2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11">
  <location ref="A3:D10" firstHeaderRow="0" firstDataRow="1" firstDataCol="1" rowPageCount="1" colPageCount="1"/>
  <pivotFields count="5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3"/>
        <item x="1"/>
        <item x="4"/>
        <item x="5"/>
        <item h="1" x="6"/>
        <item h="1" x="7"/>
        <item t="default"/>
      </items>
    </pivotField>
    <pivotField showAll="0"/>
    <pivotField showAll="0"/>
  </pivotFields>
  <rowFields count="1">
    <field x="5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4" hier="-1"/>
  </pageFields>
  <dataFields count="3">
    <dataField name="Gemiddelde van cost_house_measures_bought" fld="9" subtotal="average" baseField="53" baseItem="0"/>
    <dataField name="Gemiddelde van cost_personal_measures_bought" fld="10" subtotal="average" baseField="53" baseItem="0"/>
    <dataField name="Gemiddelde van satisfaction_total" fld="21" subtotal="average" baseField="53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03EF7-6525-4F2D-868B-AD648493CE3C}" name="Draaitabel14" cacheId="3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3">
  <location ref="A3:D10" firstHeaderRow="0" firstDataRow="1" firstDataCol="1" rowPageCount="1" colPageCount="1"/>
  <pivotFields count="5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3"/>
        <item x="1"/>
        <item x="4"/>
        <item x="5"/>
        <item x="6"/>
        <item t="default"/>
      </items>
    </pivotField>
    <pivotField showAll="0"/>
    <pivotField dataField="1" showAll="0"/>
  </pivotFields>
  <rowFields count="1">
    <field x="5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4" hier="-1"/>
  </pageFields>
  <dataFields count="3">
    <dataField name="Gemiddelde van cost_house_measures_bought" fld="9" subtotal="average" baseField="0" baseItem="1"/>
    <dataField name="Gemiddelde van Added_total_damage" fld="55" subtotal="average" baseField="0" baseItem="1"/>
    <dataField name="Gemiddelde van satisfaction_total" fld="21" subtotal="average" baseField="0" baseItem="1"/>
  </dataFields>
  <chartFormats count="3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4"/>
  <sheetViews>
    <sheetView tabSelected="1" workbookViewId="0">
      <selection activeCell="E1" sqref="E1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13.77734375" bestFit="1" customWidth="1"/>
    <col min="4" max="4" width="25.21875" bestFit="1" customWidth="1"/>
    <col min="5" max="5" width="13.44140625" bestFit="1" customWidth="1"/>
    <col min="6" max="6" width="10.6640625" bestFit="1" customWidth="1"/>
    <col min="7" max="7" width="9.5546875" bestFit="1" customWidth="1"/>
    <col min="8" max="8" width="16.33203125" bestFit="1" customWidth="1"/>
    <col min="9" max="9" width="29.6640625" bestFit="1" customWidth="1"/>
    <col min="10" max="10" width="9.77734375" bestFit="1" customWidth="1"/>
    <col min="11" max="11" width="17.88671875" bestFit="1" customWidth="1"/>
    <col min="12" max="12" width="27.109375" bestFit="1" customWidth="1"/>
    <col min="13" max="13" width="29.21875" bestFit="1" customWidth="1"/>
    <col min="14" max="14" width="18.5546875" bestFit="1" customWidth="1"/>
    <col min="15" max="15" width="19" bestFit="1" customWidth="1"/>
    <col min="16" max="16" width="17" bestFit="1" customWidth="1"/>
    <col min="18" max="18" width="14.88671875" bestFit="1" customWidth="1"/>
    <col min="19" max="19" width="19.44140625" bestFit="1" customWidth="1"/>
    <col min="20" max="20" width="18.77734375" bestFit="1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156</v>
      </c>
    </row>
    <row r="2" spans="1:21" hidden="1" x14ac:dyDescent="0.3">
      <c r="A2">
        <v>1036</v>
      </c>
      <c r="B2">
        <v>634</v>
      </c>
      <c r="C2">
        <v>269</v>
      </c>
      <c r="D2">
        <v>0</v>
      </c>
      <c r="E2">
        <v>75000</v>
      </c>
      <c r="F2">
        <v>40000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s">
        <v>19</v>
      </c>
      <c r="R2">
        <v>40000</v>
      </c>
      <c r="S2">
        <v>5000</v>
      </c>
      <c r="T2" cm="1">
        <f t="array" ref="T2:T314">+VLOOKUP(B2:B314,player!1:1048576,5,0)</f>
        <v>124</v>
      </c>
      <c r="U2" s="4"/>
    </row>
    <row r="3" spans="1:21" hidden="1" x14ac:dyDescent="0.3">
      <c r="A3">
        <v>1054</v>
      </c>
      <c r="B3">
        <v>634</v>
      </c>
      <c r="C3">
        <v>271</v>
      </c>
      <c r="D3">
        <v>1</v>
      </c>
      <c r="E3">
        <v>75000</v>
      </c>
      <c r="F3">
        <v>40000</v>
      </c>
      <c r="G3">
        <v>0</v>
      </c>
      <c r="H3">
        <v>0</v>
      </c>
      <c r="I3">
        <v>15000</v>
      </c>
      <c r="J3">
        <v>20000</v>
      </c>
      <c r="K3">
        <v>11000</v>
      </c>
      <c r="L3">
        <v>0</v>
      </c>
      <c r="M3">
        <v>0</v>
      </c>
      <c r="N3">
        <v>0</v>
      </c>
      <c r="O3">
        <v>0</v>
      </c>
      <c r="P3">
        <v>-6000</v>
      </c>
      <c r="Q3" t="s">
        <v>19</v>
      </c>
      <c r="R3">
        <v>86000</v>
      </c>
      <c r="S3">
        <v>-6000</v>
      </c>
      <c r="T3">
        <v>124</v>
      </c>
    </row>
    <row r="4" spans="1:21" hidden="1" x14ac:dyDescent="0.3">
      <c r="A4">
        <v>1092</v>
      </c>
      <c r="B4">
        <v>634</v>
      </c>
      <c r="C4">
        <v>276</v>
      </c>
      <c r="D4">
        <v>2</v>
      </c>
      <c r="E4">
        <v>75000</v>
      </c>
      <c r="F4">
        <v>40000</v>
      </c>
      <c r="G4">
        <v>6000</v>
      </c>
      <c r="H4">
        <v>0</v>
      </c>
      <c r="I4">
        <v>0</v>
      </c>
      <c r="J4">
        <v>20000</v>
      </c>
      <c r="K4">
        <v>11000</v>
      </c>
      <c r="L4">
        <v>0</v>
      </c>
      <c r="M4">
        <v>0</v>
      </c>
      <c r="N4">
        <v>0</v>
      </c>
      <c r="O4">
        <v>0</v>
      </c>
      <c r="P4">
        <v>-2000</v>
      </c>
      <c r="Q4" t="s">
        <v>19</v>
      </c>
      <c r="R4">
        <v>71000</v>
      </c>
      <c r="S4">
        <v>-2000</v>
      </c>
      <c r="T4">
        <v>124</v>
      </c>
    </row>
    <row r="5" spans="1:21" hidden="1" x14ac:dyDescent="0.3">
      <c r="A5">
        <v>1105</v>
      </c>
      <c r="B5">
        <v>634</v>
      </c>
      <c r="C5">
        <v>278</v>
      </c>
      <c r="D5">
        <v>3</v>
      </c>
      <c r="E5">
        <v>75000</v>
      </c>
      <c r="F5">
        <v>40000</v>
      </c>
      <c r="G5">
        <v>2000</v>
      </c>
      <c r="H5">
        <v>0</v>
      </c>
      <c r="I5">
        <v>0</v>
      </c>
      <c r="J5">
        <v>20000</v>
      </c>
      <c r="K5">
        <v>11000</v>
      </c>
      <c r="L5">
        <v>0</v>
      </c>
      <c r="M5">
        <v>0</v>
      </c>
      <c r="N5">
        <v>12000</v>
      </c>
      <c r="O5">
        <v>0</v>
      </c>
      <c r="P5">
        <v>-10000</v>
      </c>
      <c r="Q5" t="s">
        <v>19</v>
      </c>
      <c r="R5">
        <v>83000</v>
      </c>
      <c r="S5">
        <v>-10000</v>
      </c>
      <c r="T5">
        <v>124</v>
      </c>
    </row>
    <row r="6" spans="1:21" hidden="1" x14ac:dyDescent="0.3">
      <c r="A6">
        <v>1131</v>
      </c>
      <c r="B6">
        <v>634</v>
      </c>
      <c r="C6">
        <v>282</v>
      </c>
      <c r="D6">
        <v>4</v>
      </c>
      <c r="E6">
        <v>75000</v>
      </c>
      <c r="F6">
        <v>40000</v>
      </c>
      <c r="G6">
        <v>10000</v>
      </c>
      <c r="H6">
        <v>0</v>
      </c>
      <c r="I6">
        <v>0</v>
      </c>
      <c r="J6">
        <v>20000</v>
      </c>
      <c r="K6">
        <v>11000</v>
      </c>
      <c r="L6">
        <v>0</v>
      </c>
      <c r="M6">
        <v>0</v>
      </c>
      <c r="N6">
        <v>12000</v>
      </c>
      <c r="O6">
        <v>0</v>
      </c>
      <c r="P6">
        <v>-18000</v>
      </c>
      <c r="Q6" t="s">
        <v>19</v>
      </c>
      <c r="R6">
        <v>83000</v>
      </c>
      <c r="S6">
        <v>-18000</v>
      </c>
      <c r="T6">
        <v>124</v>
      </c>
    </row>
    <row r="7" spans="1:21" hidden="1" x14ac:dyDescent="0.3">
      <c r="A7">
        <v>1030</v>
      </c>
      <c r="B7">
        <v>635</v>
      </c>
      <c r="C7">
        <v>269</v>
      </c>
      <c r="D7">
        <v>0</v>
      </c>
      <c r="E7">
        <v>110000</v>
      </c>
      <c r="F7">
        <v>60000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30000</v>
      </c>
      <c r="Q7" t="s">
        <v>20</v>
      </c>
      <c r="R7">
        <v>60000</v>
      </c>
      <c r="S7">
        <v>30000</v>
      </c>
      <c r="T7">
        <v>126</v>
      </c>
    </row>
    <row r="8" spans="1:21" hidden="1" x14ac:dyDescent="0.3">
      <c r="A8">
        <v>1049</v>
      </c>
      <c r="B8">
        <v>635</v>
      </c>
      <c r="C8">
        <v>271</v>
      </c>
      <c r="D8">
        <v>1</v>
      </c>
      <c r="E8">
        <v>110000</v>
      </c>
      <c r="F8">
        <v>60000</v>
      </c>
      <c r="G8">
        <v>0</v>
      </c>
      <c r="H8">
        <v>0</v>
      </c>
      <c r="I8">
        <v>30000</v>
      </c>
      <c r="J8">
        <v>15000</v>
      </c>
      <c r="K8">
        <v>17000</v>
      </c>
      <c r="L8">
        <v>8000</v>
      </c>
      <c r="M8">
        <v>0</v>
      </c>
      <c r="N8">
        <v>0</v>
      </c>
      <c r="O8">
        <v>0</v>
      </c>
      <c r="P8">
        <v>10000</v>
      </c>
      <c r="Q8" t="s">
        <v>20</v>
      </c>
      <c r="R8">
        <v>130000</v>
      </c>
      <c r="S8">
        <v>10000</v>
      </c>
      <c r="T8">
        <v>126</v>
      </c>
    </row>
    <row r="9" spans="1:21" hidden="1" x14ac:dyDescent="0.3">
      <c r="A9">
        <v>1090</v>
      </c>
      <c r="B9">
        <v>635</v>
      </c>
      <c r="C9">
        <v>276</v>
      </c>
      <c r="D9">
        <v>2</v>
      </c>
      <c r="E9">
        <v>110000</v>
      </c>
      <c r="F9">
        <v>60000</v>
      </c>
      <c r="G9">
        <v>0</v>
      </c>
      <c r="H9">
        <v>0</v>
      </c>
      <c r="I9">
        <v>0</v>
      </c>
      <c r="J9">
        <v>15000</v>
      </c>
      <c r="K9">
        <v>17000</v>
      </c>
      <c r="L9">
        <v>0</v>
      </c>
      <c r="M9">
        <v>9000</v>
      </c>
      <c r="N9">
        <v>0</v>
      </c>
      <c r="O9">
        <v>0</v>
      </c>
      <c r="P9">
        <v>19000</v>
      </c>
      <c r="Q9" t="s">
        <v>20</v>
      </c>
      <c r="R9">
        <v>101000</v>
      </c>
      <c r="S9">
        <v>19000</v>
      </c>
      <c r="T9">
        <v>126</v>
      </c>
    </row>
    <row r="10" spans="1:21" hidden="1" x14ac:dyDescent="0.3">
      <c r="A10">
        <v>1102</v>
      </c>
      <c r="B10">
        <v>635</v>
      </c>
      <c r="C10">
        <v>278</v>
      </c>
      <c r="D10">
        <v>3</v>
      </c>
      <c r="E10">
        <v>110000</v>
      </c>
      <c r="F10">
        <v>60000</v>
      </c>
      <c r="G10">
        <v>0</v>
      </c>
      <c r="H10">
        <v>0</v>
      </c>
      <c r="I10">
        <v>0</v>
      </c>
      <c r="J10">
        <v>15000</v>
      </c>
      <c r="K10">
        <v>17000</v>
      </c>
      <c r="L10">
        <v>6000</v>
      </c>
      <c r="M10">
        <v>15500</v>
      </c>
      <c r="N10">
        <v>0</v>
      </c>
      <c r="O10">
        <v>0</v>
      </c>
      <c r="P10">
        <v>15500</v>
      </c>
      <c r="Q10" t="s">
        <v>20</v>
      </c>
      <c r="R10">
        <v>113500</v>
      </c>
      <c r="S10">
        <v>15500</v>
      </c>
      <c r="T10">
        <v>126</v>
      </c>
    </row>
    <row r="11" spans="1:21" hidden="1" x14ac:dyDescent="0.3">
      <c r="A11">
        <v>1127</v>
      </c>
      <c r="B11">
        <v>635</v>
      </c>
      <c r="C11">
        <v>282</v>
      </c>
      <c r="D11">
        <v>4</v>
      </c>
      <c r="E11">
        <v>110000</v>
      </c>
      <c r="F11">
        <v>60000</v>
      </c>
      <c r="G11">
        <v>0</v>
      </c>
      <c r="H11">
        <v>0</v>
      </c>
      <c r="I11">
        <v>0</v>
      </c>
      <c r="J11">
        <v>30000</v>
      </c>
      <c r="K11">
        <v>17000</v>
      </c>
      <c r="L11">
        <v>1000</v>
      </c>
      <c r="M11">
        <v>0</v>
      </c>
      <c r="N11">
        <v>0</v>
      </c>
      <c r="O11">
        <v>0</v>
      </c>
      <c r="P11">
        <v>17500</v>
      </c>
      <c r="Q11" t="s">
        <v>20</v>
      </c>
      <c r="R11">
        <v>108000</v>
      </c>
      <c r="S11">
        <v>17500</v>
      </c>
      <c r="T11">
        <v>126</v>
      </c>
    </row>
    <row r="12" spans="1:21" hidden="1" x14ac:dyDescent="0.3">
      <c r="A12">
        <v>1025</v>
      </c>
      <c r="B12">
        <v>636</v>
      </c>
      <c r="C12">
        <v>269</v>
      </c>
      <c r="D12">
        <v>0</v>
      </c>
      <c r="E12">
        <v>60000</v>
      </c>
      <c r="F12">
        <v>30000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21</v>
      </c>
      <c r="R12">
        <v>30000</v>
      </c>
      <c r="S12">
        <v>0</v>
      </c>
      <c r="T12">
        <v>123</v>
      </c>
    </row>
    <row r="13" spans="1:21" hidden="1" x14ac:dyDescent="0.3">
      <c r="A13">
        <v>1050</v>
      </c>
      <c r="B13">
        <v>636</v>
      </c>
      <c r="C13">
        <v>271</v>
      </c>
      <c r="D13">
        <v>1</v>
      </c>
      <c r="E13">
        <v>60000</v>
      </c>
      <c r="F13">
        <v>30000</v>
      </c>
      <c r="G13">
        <v>0</v>
      </c>
      <c r="H13">
        <v>0</v>
      </c>
      <c r="I13">
        <v>0</v>
      </c>
      <c r="J13">
        <v>20000</v>
      </c>
      <c r="K13">
        <v>7000</v>
      </c>
      <c r="L13">
        <v>0</v>
      </c>
      <c r="M13">
        <v>1750</v>
      </c>
      <c r="N13">
        <v>0</v>
      </c>
      <c r="O13">
        <v>0</v>
      </c>
      <c r="P13">
        <v>1250</v>
      </c>
      <c r="Q13" t="s">
        <v>21</v>
      </c>
      <c r="R13">
        <v>58750</v>
      </c>
      <c r="S13">
        <v>1250</v>
      </c>
      <c r="T13">
        <v>123</v>
      </c>
    </row>
    <row r="14" spans="1:21" hidden="1" x14ac:dyDescent="0.3">
      <c r="A14">
        <v>1091</v>
      </c>
      <c r="B14">
        <v>636</v>
      </c>
      <c r="C14">
        <v>276</v>
      </c>
      <c r="D14">
        <v>2</v>
      </c>
      <c r="E14">
        <v>60000</v>
      </c>
      <c r="F14">
        <v>30000</v>
      </c>
      <c r="G14">
        <v>0</v>
      </c>
      <c r="H14">
        <v>0</v>
      </c>
      <c r="I14">
        <v>0</v>
      </c>
      <c r="J14">
        <v>20000</v>
      </c>
      <c r="K14">
        <v>7000</v>
      </c>
      <c r="L14">
        <v>1000</v>
      </c>
      <c r="M14">
        <v>1400</v>
      </c>
      <c r="N14">
        <v>0</v>
      </c>
      <c r="O14">
        <v>0</v>
      </c>
      <c r="P14">
        <v>1850</v>
      </c>
      <c r="Q14" t="s">
        <v>21</v>
      </c>
      <c r="R14">
        <v>59400</v>
      </c>
      <c r="S14">
        <v>1850</v>
      </c>
      <c r="T14">
        <v>123</v>
      </c>
    </row>
    <row r="15" spans="1:21" hidden="1" x14ac:dyDescent="0.3">
      <c r="A15">
        <v>1111</v>
      </c>
      <c r="B15">
        <v>636</v>
      </c>
      <c r="C15">
        <v>278</v>
      </c>
      <c r="D15">
        <v>3</v>
      </c>
      <c r="E15">
        <v>60000</v>
      </c>
      <c r="F15">
        <v>30000</v>
      </c>
      <c r="G15">
        <v>0</v>
      </c>
      <c r="H15">
        <v>0</v>
      </c>
      <c r="I15">
        <v>0</v>
      </c>
      <c r="J15">
        <v>20000</v>
      </c>
      <c r="K15">
        <v>7000</v>
      </c>
      <c r="L15">
        <v>0</v>
      </c>
      <c r="M15">
        <v>0</v>
      </c>
      <c r="N15">
        <v>12000</v>
      </c>
      <c r="O15">
        <v>0</v>
      </c>
      <c r="P15">
        <v>-7150</v>
      </c>
      <c r="Q15" t="s">
        <v>21</v>
      </c>
      <c r="R15">
        <v>69000</v>
      </c>
      <c r="S15">
        <v>-7150</v>
      </c>
      <c r="T15">
        <v>123</v>
      </c>
    </row>
    <row r="16" spans="1:21" hidden="1" x14ac:dyDescent="0.3">
      <c r="A16">
        <v>1128</v>
      </c>
      <c r="B16">
        <v>636</v>
      </c>
      <c r="C16">
        <v>282</v>
      </c>
      <c r="D16">
        <v>4</v>
      </c>
      <c r="E16">
        <v>60000</v>
      </c>
      <c r="F16">
        <v>30000</v>
      </c>
      <c r="G16">
        <v>7150</v>
      </c>
      <c r="H16">
        <v>0</v>
      </c>
      <c r="I16">
        <v>0</v>
      </c>
      <c r="J16">
        <v>20000</v>
      </c>
      <c r="K16">
        <v>7000</v>
      </c>
      <c r="L16">
        <v>0</v>
      </c>
      <c r="M16">
        <v>0</v>
      </c>
      <c r="N16">
        <v>12000</v>
      </c>
      <c r="O16">
        <v>0</v>
      </c>
      <c r="P16">
        <v>-16150</v>
      </c>
      <c r="Q16" t="s">
        <v>21</v>
      </c>
      <c r="R16">
        <v>69000</v>
      </c>
      <c r="S16">
        <v>-16150</v>
      </c>
      <c r="T16">
        <v>123</v>
      </c>
    </row>
    <row r="17" spans="1:20" hidden="1" x14ac:dyDescent="0.3">
      <c r="A17">
        <v>1034</v>
      </c>
      <c r="B17">
        <v>637</v>
      </c>
      <c r="C17">
        <v>269</v>
      </c>
      <c r="D17">
        <v>0</v>
      </c>
      <c r="E17">
        <v>90000</v>
      </c>
      <c r="F17">
        <v>50000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15000</v>
      </c>
      <c r="Q17" t="s">
        <v>22</v>
      </c>
      <c r="R17">
        <v>50000</v>
      </c>
      <c r="S17">
        <v>15000</v>
      </c>
      <c r="T17">
        <v>125</v>
      </c>
    </row>
    <row r="18" spans="1:20" hidden="1" x14ac:dyDescent="0.3">
      <c r="A18">
        <v>1052</v>
      </c>
      <c r="B18">
        <v>637</v>
      </c>
      <c r="C18">
        <v>271</v>
      </c>
      <c r="D18">
        <v>1</v>
      </c>
      <c r="E18">
        <v>90000</v>
      </c>
      <c r="F18">
        <v>50000</v>
      </c>
      <c r="G18">
        <v>0</v>
      </c>
      <c r="H18">
        <v>0</v>
      </c>
      <c r="I18">
        <v>0</v>
      </c>
      <c r="J18">
        <v>15000</v>
      </c>
      <c r="K18">
        <v>10000</v>
      </c>
      <c r="L18">
        <v>6000</v>
      </c>
      <c r="M18">
        <v>5000</v>
      </c>
      <c r="N18">
        <v>0</v>
      </c>
      <c r="O18">
        <v>0</v>
      </c>
      <c r="P18">
        <v>19000</v>
      </c>
      <c r="Q18" t="s">
        <v>22</v>
      </c>
      <c r="R18">
        <v>86000</v>
      </c>
      <c r="S18">
        <v>19000</v>
      </c>
      <c r="T18">
        <v>125</v>
      </c>
    </row>
    <row r="19" spans="1:20" hidden="1" x14ac:dyDescent="0.3">
      <c r="A19">
        <v>1094</v>
      </c>
      <c r="B19">
        <v>637</v>
      </c>
      <c r="C19">
        <v>276</v>
      </c>
      <c r="D19">
        <v>2</v>
      </c>
      <c r="E19">
        <v>90000</v>
      </c>
      <c r="F19">
        <v>50000</v>
      </c>
      <c r="G19">
        <v>0</v>
      </c>
      <c r="H19">
        <v>0</v>
      </c>
      <c r="I19">
        <v>0</v>
      </c>
      <c r="J19">
        <v>15000</v>
      </c>
      <c r="K19">
        <v>10000</v>
      </c>
      <c r="L19">
        <v>10000</v>
      </c>
      <c r="M19">
        <v>2500</v>
      </c>
      <c r="N19">
        <v>0</v>
      </c>
      <c r="O19">
        <v>0</v>
      </c>
      <c r="P19">
        <v>21500</v>
      </c>
      <c r="Q19" t="s">
        <v>22</v>
      </c>
      <c r="R19">
        <v>87500</v>
      </c>
      <c r="S19">
        <v>21500</v>
      </c>
      <c r="T19">
        <v>125</v>
      </c>
    </row>
    <row r="20" spans="1:20" hidden="1" x14ac:dyDescent="0.3">
      <c r="A20">
        <v>1108</v>
      </c>
      <c r="B20">
        <v>637</v>
      </c>
      <c r="C20">
        <v>278</v>
      </c>
      <c r="D20">
        <v>3</v>
      </c>
      <c r="E20">
        <v>90000</v>
      </c>
      <c r="F20">
        <v>50000</v>
      </c>
      <c r="G20">
        <v>0</v>
      </c>
      <c r="H20">
        <v>0</v>
      </c>
      <c r="I20">
        <v>0</v>
      </c>
      <c r="J20">
        <v>15000</v>
      </c>
      <c r="K20">
        <v>10000</v>
      </c>
      <c r="L20">
        <v>8000</v>
      </c>
      <c r="M20">
        <v>0</v>
      </c>
      <c r="N20">
        <v>0</v>
      </c>
      <c r="O20">
        <v>0</v>
      </c>
      <c r="P20">
        <v>28500</v>
      </c>
      <c r="Q20" t="s">
        <v>22</v>
      </c>
      <c r="R20">
        <v>83000</v>
      </c>
      <c r="S20">
        <v>28500</v>
      </c>
      <c r="T20">
        <v>125</v>
      </c>
    </row>
    <row r="21" spans="1:20" hidden="1" x14ac:dyDescent="0.3">
      <c r="A21">
        <v>1133</v>
      </c>
      <c r="B21">
        <v>637</v>
      </c>
      <c r="C21">
        <v>282</v>
      </c>
      <c r="D21">
        <v>4</v>
      </c>
      <c r="E21">
        <v>90000</v>
      </c>
      <c r="F21">
        <v>50000</v>
      </c>
      <c r="G21">
        <v>0</v>
      </c>
      <c r="H21">
        <v>0</v>
      </c>
      <c r="I21">
        <v>0</v>
      </c>
      <c r="J21">
        <v>30000</v>
      </c>
      <c r="K21">
        <v>10000</v>
      </c>
      <c r="L21">
        <v>9000</v>
      </c>
      <c r="M21">
        <v>0</v>
      </c>
      <c r="N21">
        <v>0</v>
      </c>
      <c r="O21">
        <v>0</v>
      </c>
      <c r="P21">
        <v>19500</v>
      </c>
      <c r="Q21" t="s">
        <v>22</v>
      </c>
      <c r="R21">
        <v>99000</v>
      </c>
      <c r="S21">
        <v>19500</v>
      </c>
      <c r="T21">
        <v>125</v>
      </c>
    </row>
    <row r="22" spans="1:20" hidden="1" x14ac:dyDescent="0.3">
      <c r="A22">
        <v>1033</v>
      </c>
      <c r="B22">
        <v>638</v>
      </c>
      <c r="C22">
        <v>269</v>
      </c>
      <c r="D22">
        <v>0</v>
      </c>
      <c r="E22">
        <v>130000</v>
      </c>
      <c r="F22">
        <v>75000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50000</v>
      </c>
      <c r="Q22" t="s">
        <v>23</v>
      </c>
      <c r="R22">
        <v>75000</v>
      </c>
      <c r="S22">
        <v>50000</v>
      </c>
      <c r="T22">
        <v>127</v>
      </c>
    </row>
    <row r="23" spans="1:20" hidden="1" x14ac:dyDescent="0.3">
      <c r="A23">
        <v>1051</v>
      </c>
      <c r="B23">
        <v>638</v>
      </c>
      <c r="C23">
        <v>271</v>
      </c>
      <c r="D23">
        <v>1</v>
      </c>
      <c r="E23">
        <v>130000</v>
      </c>
      <c r="F23">
        <v>75000</v>
      </c>
      <c r="G23">
        <v>0</v>
      </c>
      <c r="H23">
        <v>0</v>
      </c>
      <c r="I23">
        <v>100000</v>
      </c>
      <c r="J23">
        <v>20000</v>
      </c>
      <c r="K23">
        <v>20000</v>
      </c>
      <c r="L23">
        <v>0</v>
      </c>
      <c r="M23">
        <v>0</v>
      </c>
      <c r="N23">
        <v>0</v>
      </c>
      <c r="O23">
        <v>4000</v>
      </c>
      <c r="P23">
        <v>-39000</v>
      </c>
      <c r="Q23" t="s">
        <v>23</v>
      </c>
      <c r="R23">
        <v>219000</v>
      </c>
      <c r="S23">
        <v>-39000</v>
      </c>
      <c r="T23">
        <v>127</v>
      </c>
    </row>
    <row r="24" spans="1:20" hidden="1" x14ac:dyDescent="0.3">
      <c r="A24">
        <v>1093</v>
      </c>
      <c r="B24">
        <v>638</v>
      </c>
      <c r="C24">
        <v>276</v>
      </c>
      <c r="D24">
        <v>2</v>
      </c>
      <c r="E24">
        <v>130000</v>
      </c>
      <c r="F24">
        <v>75000</v>
      </c>
      <c r="G24">
        <v>39000</v>
      </c>
      <c r="H24">
        <v>0</v>
      </c>
      <c r="I24">
        <v>0</v>
      </c>
      <c r="J24">
        <v>20000</v>
      </c>
      <c r="K24">
        <v>20000</v>
      </c>
      <c r="L24">
        <v>0</v>
      </c>
      <c r="M24">
        <v>0</v>
      </c>
      <c r="N24">
        <v>0</v>
      </c>
      <c r="O24">
        <v>0</v>
      </c>
      <c r="P24">
        <v>-24000</v>
      </c>
      <c r="Q24" t="s">
        <v>23</v>
      </c>
      <c r="R24">
        <v>115000</v>
      </c>
      <c r="S24">
        <v>-24000</v>
      </c>
      <c r="T24">
        <v>127</v>
      </c>
    </row>
    <row r="25" spans="1:20" hidden="1" x14ac:dyDescent="0.3">
      <c r="A25">
        <v>1107</v>
      </c>
      <c r="B25">
        <v>638</v>
      </c>
      <c r="C25">
        <v>278</v>
      </c>
      <c r="D25">
        <v>3</v>
      </c>
      <c r="E25">
        <v>130000</v>
      </c>
      <c r="F25">
        <v>75000</v>
      </c>
      <c r="G25">
        <v>24000</v>
      </c>
      <c r="H25">
        <v>0</v>
      </c>
      <c r="I25">
        <v>0</v>
      </c>
      <c r="J25">
        <v>20000</v>
      </c>
      <c r="K25">
        <v>20000</v>
      </c>
      <c r="L25">
        <v>0</v>
      </c>
      <c r="M25">
        <v>0</v>
      </c>
      <c r="N25">
        <v>0</v>
      </c>
      <c r="O25">
        <v>0</v>
      </c>
      <c r="P25">
        <v>-9000</v>
      </c>
      <c r="Q25" t="s">
        <v>23</v>
      </c>
      <c r="R25">
        <v>115000</v>
      </c>
      <c r="S25">
        <v>-9000</v>
      </c>
      <c r="T25">
        <v>127</v>
      </c>
    </row>
    <row r="26" spans="1:20" hidden="1" x14ac:dyDescent="0.3">
      <c r="A26">
        <v>1129</v>
      </c>
      <c r="B26">
        <v>638</v>
      </c>
      <c r="C26">
        <v>282</v>
      </c>
      <c r="D26">
        <v>4</v>
      </c>
      <c r="E26">
        <v>130000</v>
      </c>
      <c r="F26">
        <v>75000</v>
      </c>
      <c r="G26">
        <v>9000</v>
      </c>
      <c r="H26">
        <v>0</v>
      </c>
      <c r="I26">
        <v>0</v>
      </c>
      <c r="J26">
        <v>20000</v>
      </c>
      <c r="K26">
        <v>20000</v>
      </c>
      <c r="L26">
        <v>6000</v>
      </c>
      <c r="M26">
        <v>0</v>
      </c>
      <c r="N26">
        <v>0</v>
      </c>
      <c r="O26">
        <v>0</v>
      </c>
      <c r="P26">
        <v>0</v>
      </c>
      <c r="Q26" t="s">
        <v>23</v>
      </c>
      <c r="R26">
        <v>121000</v>
      </c>
      <c r="S26">
        <v>0</v>
      </c>
      <c r="T26">
        <v>127</v>
      </c>
    </row>
    <row r="27" spans="1:20" hidden="1" x14ac:dyDescent="0.3">
      <c r="A27">
        <v>1043</v>
      </c>
      <c r="B27">
        <v>639</v>
      </c>
      <c r="C27">
        <v>269</v>
      </c>
      <c r="D27">
        <v>0</v>
      </c>
      <c r="E27">
        <v>190000</v>
      </c>
      <c r="F27">
        <v>115000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80000</v>
      </c>
      <c r="Q27" t="s">
        <v>24</v>
      </c>
      <c r="R27">
        <v>115000</v>
      </c>
      <c r="S27">
        <v>80000</v>
      </c>
      <c r="T27">
        <v>128</v>
      </c>
    </row>
    <row r="28" spans="1:20" hidden="1" x14ac:dyDescent="0.3">
      <c r="A28">
        <v>1053</v>
      </c>
      <c r="B28">
        <v>639</v>
      </c>
      <c r="C28">
        <v>271</v>
      </c>
      <c r="D28">
        <v>1</v>
      </c>
      <c r="E28">
        <v>190000</v>
      </c>
      <c r="F28">
        <v>115000</v>
      </c>
      <c r="G28">
        <v>0</v>
      </c>
      <c r="H28">
        <v>0</v>
      </c>
      <c r="I28">
        <v>0</v>
      </c>
      <c r="J28">
        <v>20000</v>
      </c>
      <c r="K28">
        <v>0</v>
      </c>
      <c r="L28">
        <v>8000</v>
      </c>
      <c r="M28">
        <v>21000</v>
      </c>
      <c r="N28">
        <v>0</v>
      </c>
      <c r="O28">
        <v>0</v>
      </c>
      <c r="P28">
        <v>106000</v>
      </c>
      <c r="Q28" t="s">
        <v>24</v>
      </c>
      <c r="R28">
        <v>164000</v>
      </c>
      <c r="S28">
        <v>106000</v>
      </c>
      <c r="T28">
        <v>128</v>
      </c>
    </row>
    <row r="29" spans="1:20" hidden="1" x14ac:dyDescent="0.3">
      <c r="A29">
        <v>1095</v>
      </c>
      <c r="B29">
        <v>639</v>
      </c>
      <c r="C29">
        <v>276</v>
      </c>
      <c r="D29">
        <v>2</v>
      </c>
      <c r="E29">
        <v>190000</v>
      </c>
      <c r="F29">
        <v>115000</v>
      </c>
      <c r="G29">
        <v>0</v>
      </c>
      <c r="H29">
        <v>0</v>
      </c>
      <c r="I29">
        <v>0</v>
      </c>
      <c r="J29">
        <v>20000</v>
      </c>
      <c r="K29">
        <v>0</v>
      </c>
      <c r="L29">
        <v>16000</v>
      </c>
      <c r="M29">
        <v>0</v>
      </c>
      <c r="N29">
        <v>0</v>
      </c>
      <c r="O29">
        <v>0</v>
      </c>
      <c r="P29">
        <v>145000</v>
      </c>
      <c r="Q29" t="s">
        <v>24</v>
      </c>
      <c r="R29">
        <v>151000</v>
      </c>
      <c r="S29">
        <v>145000</v>
      </c>
      <c r="T29">
        <v>128</v>
      </c>
    </row>
    <row r="30" spans="1:20" hidden="1" x14ac:dyDescent="0.3">
      <c r="A30">
        <v>1114</v>
      </c>
      <c r="B30">
        <v>639</v>
      </c>
      <c r="C30">
        <v>278</v>
      </c>
      <c r="D30">
        <v>3</v>
      </c>
      <c r="E30">
        <v>190000</v>
      </c>
      <c r="F30">
        <v>115000</v>
      </c>
      <c r="G30">
        <v>0</v>
      </c>
      <c r="H30">
        <v>0</v>
      </c>
      <c r="I30">
        <v>0</v>
      </c>
      <c r="J30">
        <v>20000</v>
      </c>
      <c r="K30">
        <v>0</v>
      </c>
      <c r="L30">
        <v>8000</v>
      </c>
      <c r="M30">
        <v>17000</v>
      </c>
      <c r="N30">
        <v>0</v>
      </c>
      <c r="O30">
        <v>0</v>
      </c>
      <c r="P30">
        <v>175000</v>
      </c>
      <c r="Q30" t="s">
        <v>24</v>
      </c>
      <c r="R30">
        <v>160000</v>
      </c>
      <c r="S30">
        <v>175000</v>
      </c>
      <c r="T30">
        <v>128</v>
      </c>
    </row>
    <row r="31" spans="1:20" hidden="1" x14ac:dyDescent="0.3">
      <c r="A31">
        <v>1132</v>
      </c>
      <c r="B31">
        <v>639</v>
      </c>
      <c r="C31">
        <v>282</v>
      </c>
      <c r="D31">
        <v>4</v>
      </c>
      <c r="E31">
        <v>190000</v>
      </c>
      <c r="F31">
        <v>115000</v>
      </c>
      <c r="G31">
        <v>0</v>
      </c>
      <c r="H31">
        <v>300000</v>
      </c>
      <c r="I31">
        <v>125000</v>
      </c>
      <c r="J31">
        <v>30000</v>
      </c>
      <c r="K31">
        <v>30000</v>
      </c>
      <c r="L31">
        <v>14000</v>
      </c>
      <c r="M31">
        <v>0</v>
      </c>
      <c r="N31">
        <v>0</v>
      </c>
      <c r="O31">
        <v>0</v>
      </c>
      <c r="P31">
        <v>351000</v>
      </c>
      <c r="Q31" t="s">
        <v>24</v>
      </c>
      <c r="R31">
        <v>314000</v>
      </c>
      <c r="S31">
        <v>351000</v>
      </c>
      <c r="T31">
        <v>128</v>
      </c>
    </row>
    <row r="32" spans="1:20" hidden="1" x14ac:dyDescent="0.3">
      <c r="A32">
        <v>1032</v>
      </c>
      <c r="B32">
        <v>640</v>
      </c>
      <c r="C32">
        <v>269</v>
      </c>
      <c r="D32">
        <v>0</v>
      </c>
      <c r="E32">
        <v>110000</v>
      </c>
      <c r="F32">
        <v>60000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30000</v>
      </c>
      <c r="Q32" t="s">
        <v>25</v>
      </c>
      <c r="R32">
        <v>60000</v>
      </c>
      <c r="S32">
        <v>30000</v>
      </c>
      <c r="T32">
        <v>126</v>
      </c>
    </row>
    <row r="33" spans="1:20" hidden="1" x14ac:dyDescent="0.3">
      <c r="A33">
        <v>1061</v>
      </c>
      <c r="B33">
        <v>640</v>
      </c>
      <c r="C33">
        <v>271</v>
      </c>
      <c r="D33">
        <v>1</v>
      </c>
      <c r="E33">
        <v>110000</v>
      </c>
      <c r="F33">
        <v>60000</v>
      </c>
      <c r="G33">
        <v>0</v>
      </c>
      <c r="H33">
        <v>0</v>
      </c>
      <c r="I33">
        <v>75000</v>
      </c>
      <c r="J33">
        <v>15000</v>
      </c>
      <c r="K33">
        <v>17000</v>
      </c>
      <c r="L33">
        <v>0</v>
      </c>
      <c r="M33">
        <v>0</v>
      </c>
      <c r="N33">
        <v>0</v>
      </c>
      <c r="O33">
        <v>0</v>
      </c>
      <c r="P33">
        <v>-27000</v>
      </c>
      <c r="Q33" t="s">
        <v>25</v>
      </c>
      <c r="R33">
        <v>167000</v>
      </c>
      <c r="S33">
        <v>-27000</v>
      </c>
      <c r="T33">
        <v>126</v>
      </c>
    </row>
    <row r="34" spans="1:20" hidden="1" x14ac:dyDescent="0.3">
      <c r="A34">
        <v>1089</v>
      </c>
      <c r="B34">
        <v>640</v>
      </c>
      <c r="C34">
        <v>276</v>
      </c>
      <c r="D34">
        <v>2</v>
      </c>
      <c r="E34">
        <v>110000</v>
      </c>
      <c r="F34">
        <v>60000</v>
      </c>
      <c r="G34">
        <v>27000</v>
      </c>
      <c r="H34">
        <v>0</v>
      </c>
      <c r="I34">
        <v>0</v>
      </c>
      <c r="J34">
        <v>15000</v>
      </c>
      <c r="K34">
        <v>17000</v>
      </c>
      <c r="L34">
        <v>0</v>
      </c>
      <c r="M34">
        <v>0</v>
      </c>
      <c r="N34">
        <v>0</v>
      </c>
      <c r="O34">
        <v>0</v>
      </c>
      <c r="P34">
        <v>-9000</v>
      </c>
      <c r="Q34" t="s">
        <v>25</v>
      </c>
      <c r="R34">
        <v>92000</v>
      </c>
      <c r="S34">
        <v>-9000</v>
      </c>
      <c r="T34">
        <v>126</v>
      </c>
    </row>
    <row r="35" spans="1:20" hidden="1" x14ac:dyDescent="0.3">
      <c r="A35">
        <v>1112</v>
      </c>
      <c r="B35">
        <v>640</v>
      </c>
      <c r="C35">
        <v>278</v>
      </c>
      <c r="D35">
        <v>3</v>
      </c>
      <c r="E35">
        <v>110000</v>
      </c>
      <c r="F35">
        <v>60000</v>
      </c>
      <c r="G35">
        <v>9000</v>
      </c>
      <c r="H35">
        <v>0</v>
      </c>
      <c r="I35">
        <v>0</v>
      </c>
      <c r="J35">
        <v>15000</v>
      </c>
      <c r="K35">
        <v>17000</v>
      </c>
      <c r="L35">
        <v>7000</v>
      </c>
      <c r="M35">
        <v>0</v>
      </c>
      <c r="N35">
        <v>0</v>
      </c>
      <c r="O35">
        <v>0</v>
      </c>
      <c r="P35">
        <v>2000</v>
      </c>
      <c r="Q35" t="s">
        <v>25</v>
      </c>
      <c r="R35">
        <v>99000</v>
      </c>
      <c r="S35">
        <v>2000</v>
      </c>
      <c r="T35">
        <v>126</v>
      </c>
    </row>
    <row r="36" spans="1:20" hidden="1" x14ac:dyDescent="0.3">
      <c r="A36">
        <v>1130</v>
      </c>
      <c r="B36">
        <v>640</v>
      </c>
      <c r="C36">
        <v>282</v>
      </c>
      <c r="D36">
        <v>4</v>
      </c>
      <c r="E36">
        <v>110000</v>
      </c>
      <c r="F36">
        <v>60000</v>
      </c>
      <c r="G36">
        <v>0</v>
      </c>
      <c r="H36">
        <v>0</v>
      </c>
      <c r="I36">
        <v>0</v>
      </c>
      <c r="J36">
        <v>30000</v>
      </c>
      <c r="K36">
        <v>17000</v>
      </c>
      <c r="L36">
        <v>0</v>
      </c>
      <c r="M36">
        <v>0</v>
      </c>
      <c r="N36">
        <v>0</v>
      </c>
      <c r="O36">
        <v>0</v>
      </c>
      <c r="P36">
        <v>5000</v>
      </c>
      <c r="Q36" t="s">
        <v>25</v>
      </c>
      <c r="R36">
        <v>107000</v>
      </c>
      <c r="S36">
        <v>5000</v>
      </c>
      <c r="T36">
        <v>126</v>
      </c>
    </row>
    <row r="37" spans="1:20" hidden="1" x14ac:dyDescent="0.3">
      <c r="A37">
        <v>1026</v>
      </c>
      <c r="B37">
        <v>642</v>
      </c>
      <c r="C37">
        <v>267</v>
      </c>
      <c r="D37">
        <v>0</v>
      </c>
      <c r="E37">
        <v>60000</v>
      </c>
      <c r="F37">
        <v>30000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26</v>
      </c>
      <c r="R37">
        <v>30000</v>
      </c>
      <c r="S37">
        <v>0</v>
      </c>
      <c r="T37">
        <v>123</v>
      </c>
    </row>
    <row r="38" spans="1:20" hidden="1" x14ac:dyDescent="0.3">
      <c r="A38">
        <v>1038</v>
      </c>
      <c r="B38">
        <v>642</v>
      </c>
      <c r="C38">
        <v>270</v>
      </c>
      <c r="D38">
        <v>1</v>
      </c>
      <c r="E38">
        <v>60000</v>
      </c>
      <c r="F38">
        <v>30000</v>
      </c>
      <c r="G38">
        <v>0</v>
      </c>
      <c r="H38">
        <v>0</v>
      </c>
      <c r="I38">
        <v>20000</v>
      </c>
      <c r="J38">
        <v>15000</v>
      </c>
      <c r="K38">
        <v>8000</v>
      </c>
      <c r="L38">
        <v>0</v>
      </c>
      <c r="M38">
        <v>0</v>
      </c>
      <c r="N38">
        <v>0</v>
      </c>
      <c r="O38">
        <v>0</v>
      </c>
      <c r="P38">
        <v>-13000</v>
      </c>
      <c r="Q38" t="s">
        <v>26</v>
      </c>
      <c r="R38">
        <v>73000</v>
      </c>
      <c r="S38">
        <v>-13000</v>
      </c>
      <c r="T38">
        <v>123</v>
      </c>
    </row>
    <row r="39" spans="1:20" hidden="1" x14ac:dyDescent="0.3">
      <c r="A39">
        <v>1078</v>
      </c>
      <c r="B39">
        <v>642</v>
      </c>
      <c r="C39">
        <v>274</v>
      </c>
      <c r="D39">
        <v>2</v>
      </c>
      <c r="E39">
        <v>60000</v>
      </c>
      <c r="F39">
        <v>30000</v>
      </c>
      <c r="G39">
        <v>13000</v>
      </c>
      <c r="H39">
        <v>0</v>
      </c>
      <c r="I39">
        <v>0</v>
      </c>
      <c r="J39">
        <v>15000</v>
      </c>
      <c r="K39">
        <v>8000</v>
      </c>
      <c r="L39">
        <v>0</v>
      </c>
      <c r="M39">
        <v>0</v>
      </c>
      <c r="N39">
        <v>0</v>
      </c>
      <c r="O39">
        <v>4000</v>
      </c>
      <c r="P39">
        <v>-10000</v>
      </c>
      <c r="Q39" t="s">
        <v>26</v>
      </c>
      <c r="R39">
        <v>57000</v>
      </c>
      <c r="S39">
        <v>-10000</v>
      </c>
      <c r="T39">
        <v>123</v>
      </c>
    </row>
    <row r="40" spans="1:20" hidden="1" x14ac:dyDescent="0.3">
      <c r="A40">
        <v>1096</v>
      </c>
      <c r="B40">
        <v>642</v>
      </c>
      <c r="C40">
        <v>277</v>
      </c>
      <c r="D40">
        <v>3</v>
      </c>
      <c r="E40">
        <v>60000</v>
      </c>
      <c r="F40">
        <v>30000</v>
      </c>
      <c r="G40">
        <v>10000</v>
      </c>
      <c r="H40">
        <v>0</v>
      </c>
      <c r="I40">
        <v>0</v>
      </c>
      <c r="J40">
        <v>15000</v>
      </c>
      <c r="K40">
        <v>8000</v>
      </c>
      <c r="L40">
        <v>0</v>
      </c>
      <c r="M40">
        <v>0</v>
      </c>
      <c r="N40">
        <v>16000</v>
      </c>
      <c r="O40">
        <v>0</v>
      </c>
      <c r="P40">
        <v>-19000</v>
      </c>
      <c r="Q40" t="s">
        <v>26</v>
      </c>
      <c r="R40">
        <v>69000</v>
      </c>
      <c r="S40">
        <v>-19000</v>
      </c>
      <c r="T40">
        <v>123</v>
      </c>
    </row>
    <row r="41" spans="1:20" hidden="1" x14ac:dyDescent="0.3">
      <c r="A41">
        <v>1123</v>
      </c>
      <c r="B41">
        <v>642</v>
      </c>
      <c r="C41">
        <v>281</v>
      </c>
      <c r="D41">
        <v>4</v>
      </c>
      <c r="E41">
        <v>60000</v>
      </c>
      <c r="F41">
        <v>30000</v>
      </c>
      <c r="G41">
        <v>19000</v>
      </c>
      <c r="H41">
        <v>0</v>
      </c>
      <c r="I41">
        <v>0</v>
      </c>
      <c r="J41">
        <v>20000</v>
      </c>
      <c r="K41">
        <v>8000</v>
      </c>
      <c r="L41">
        <v>0</v>
      </c>
      <c r="M41">
        <v>0</v>
      </c>
      <c r="N41">
        <v>0</v>
      </c>
      <c r="O41">
        <v>4000</v>
      </c>
      <c r="P41">
        <v>-21000</v>
      </c>
      <c r="Q41" t="s">
        <v>26</v>
      </c>
      <c r="R41">
        <v>62000</v>
      </c>
      <c r="S41">
        <v>-21000</v>
      </c>
      <c r="T41">
        <v>123</v>
      </c>
    </row>
    <row r="42" spans="1:20" hidden="1" x14ac:dyDescent="0.3">
      <c r="A42">
        <v>1027</v>
      </c>
      <c r="B42">
        <v>643</v>
      </c>
      <c r="C42">
        <v>267</v>
      </c>
      <c r="D42">
        <v>0</v>
      </c>
      <c r="E42">
        <v>110000</v>
      </c>
      <c r="F42">
        <v>60000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30000</v>
      </c>
      <c r="Q42" t="s">
        <v>27</v>
      </c>
      <c r="R42">
        <v>60000</v>
      </c>
      <c r="S42">
        <v>30000</v>
      </c>
      <c r="T42">
        <v>126</v>
      </c>
    </row>
    <row r="43" spans="1:20" hidden="1" x14ac:dyDescent="0.3">
      <c r="A43">
        <v>1039</v>
      </c>
      <c r="B43">
        <v>643</v>
      </c>
      <c r="C43">
        <v>270</v>
      </c>
      <c r="D43">
        <v>1</v>
      </c>
      <c r="E43">
        <v>110000</v>
      </c>
      <c r="F43">
        <v>60000</v>
      </c>
      <c r="G43">
        <v>0</v>
      </c>
      <c r="H43">
        <v>0</v>
      </c>
      <c r="I43">
        <v>30000</v>
      </c>
      <c r="J43">
        <v>15000</v>
      </c>
      <c r="K43">
        <v>17000</v>
      </c>
      <c r="L43">
        <v>0</v>
      </c>
      <c r="M43">
        <v>15000</v>
      </c>
      <c r="N43">
        <v>0</v>
      </c>
      <c r="O43">
        <v>0</v>
      </c>
      <c r="P43">
        <v>3000</v>
      </c>
      <c r="Q43" t="s">
        <v>27</v>
      </c>
      <c r="R43">
        <v>137000</v>
      </c>
      <c r="S43">
        <v>3000</v>
      </c>
      <c r="T43">
        <v>126</v>
      </c>
    </row>
    <row r="44" spans="1:20" hidden="1" x14ac:dyDescent="0.3">
      <c r="A44">
        <v>1077</v>
      </c>
      <c r="B44">
        <v>643</v>
      </c>
      <c r="C44">
        <v>274</v>
      </c>
      <c r="D44">
        <v>2</v>
      </c>
      <c r="E44">
        <v>110000</v>
      </c>
      <c r="F44">
        <v>60000</v>
      </c>
      <c r="G44">
        <v>0</v>
      </c>
      <c r="H44">
        <v>0</v>
      </c>
      <c r="I44">
        <v>0</v>
      </c>
      <c r="J44">
        <v>15000</v>
      </c>
      <c r="K44">
        <v>17000</v>
      </c>
      <c r="L44">
        <v>8000</v>
      </c>
      <c r="M44">
        <v>0</v>
      </c>
      <c r="N44">
        <v>0</v>
      </c>
      <c r="O44">
        <v>4000</v>
      </c>
      <c r="P44">
        <v>9000</v>
      </c>
      <c r="Q44" t="s">
        <v>27</v>
      </c>
      <c r="R44">
        <v>104000</v>
      </c>
      <c r="S44">
        <v>9000</v>
      </c>
      <c r="T44">
        <v>126</v>
      </c>
    </row>
    <row r="45" spans="1:20" hidden="1" x14ac:dyDescent="0.3">
      <c r="A45">
        <v>1097</v>
      </c>
      <c r="B45">
        <v>643</v>
      </c>
      <c r="C45">
        <v>277</v>
      </c>
      <c r="D45">
        <v>3</v>
      </c>
      <c r="E45">
        <v>110000</v>
      </c>
      <c r="F45">
        <v>60000</v>
      </c>
      <c r="G45">
        <v>0</v>
      </c>
      <c r="H45">
        <v>0</v>
      </c>
      <c r="I45">
        <v>0</v>
      </c>
      <c r="J45">
        <v>15000</v>
      </c>
      <c r="K45">
        <v>17000</v>
      </c>
      <c r="L45">
        <v>0</v>
      </c>
      <c r="M45">
        <v>0</v>
      </c>
      <c r="N45">
        <v>16000</v>
      </c>
      <c r="O45">
        <v>0</v>
      </c>
      <c r="P45">
        <v>11000</v>
      </c>
      <c r="Q45" t="s">
        <v>27</v>
      </c>
      <c r="R45">
        <v>108000</v>
      </c>
      <c r="S45">
        <v>11000</v>
      </c>
      <c r="T45">
        <v>126</v>
      </c>
    </row>
    <row r="46" spans="1:20" hidden="1" x14ac:dyDescent="0.3">
      <c r="A46">
        <v>1125</v>
      </c>
      <c r="B46">
        <v>643</v>
      </c>
      <c r="C46">
        <v>281</v>
      </c>
      <c r="D46">
        <v>4</v>
      </c>
      <c r="E46">
        <v>110000</v>
      </c>
      <c r="F46">
        <v>60000</v>
      </c>
      <c r="G46">
        <v>0</v>
      </c>
      <c r="H46">
        <v>101000</v>
      </c>
      <c r="I46">
        <v>130000</v>
      </c>
      <c r="J46">
        <v>15000</v>
      </c>
      <c r="K46">
        <v>17000</v>
      </c>
      <c r="L46">
        <v>0</v>
      </c>
      <c r="M46">
        <v>0</v>
      </c>
      <c r="N46">
        <v>0</v>
      </c>
      <c r="O46">
        <v>4000</v>
      </c>
      <c r="P46">
        <v>-4000</v>
      </c>
      <c r="Q46" t="s">
        <v>27</v>
      </c>
      <c r="R46">
        <v>226000</v>
      </c>
      <c r="S46">
        <v>-4000</v>
      </c>
      <c r="T46">
        <v>126</v>
      </c>
    </row>
    <row r="47" spans="1:20" hidden="1" x14ac:dyDescent="0.3">
      <c r="A47">
        <v>1028</v>
      </c>
      <c r="B47">
        <v>644</v>
      </c>
      <c r="C47">
        <v>267</v>
      </c>
      <c r="D47">
        <v>0</v>
      </c>
      <c r="E47">
        <v>60000</v>
      </c>
      <c r="F47">
        <v>30000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28</v>
      </c>
      <c r="R47">
        <v>30000</v>
      </c>
      <c r="S47">
        <v>0</v>
      </c>
      <c r="T47">
        <v>123</v>
      </c>
    </row>
    <row r="48" spans="1:20" hidden="1" x14ac:dyDescent="0.3">
      <c r="A48">
        <v>1042</v>
      </c>
      <c r="B48">
        <v>644</v>
      </c>
      <c r="C48">
        <v>270</v>
      </c>
      <c r="D48">
        <v>1</v>
      </c>
      <c r="E48">
        <v>60000</v>
      </c>
      <c r="F48">
        <v>30000</v>
      </c>
      <c r="G48">
        <v>0</v>
      </c>
      <c r="H48">
        <v>0</v>
      </c>
      <c r="I48">
        <v>0</v>
      </c>
      <c r="J48">
        <v>15000</v>
      </c>
      <c r="K48">
        <v>8000</v>
      </c>
      <c r="L48">
        <v>0</v>
      </c>
      <c r="M48">
        <v>3600</v>
      </c>
      <c r="N48">
        <v>0</v>
      </c>
      <c r="O48">
        <v>0</v>
      </c>
      <c r="P48">
        <v>3400</v>
      </c>
      <c r="Q48" t="s">
        <v>28</v>
      </c>
      <c r="R48">
        <v>56600</v>
      </c>
      <c r="S48">
        <v>3400</v>
      </c>
      <c r="T48">
        <v>123</v>
      </c>
    </row>
    <row r="49" spans="1:20" hidden="1" x14ac:dyDescent="0.3">
      <c r="A49">
        <v>1079</v>
      </c>
      <c r="B49">
        <v>644</v>
      </c>
      <c r="C49">
        <v>274</v>
      </c>
      <c r="D49">
        <v>2</v>
      </c>
      <c r="E49">
        <v>60000</v>
      </c>
      <c r="F49">
        <v>30000</v>
      </c>
      <c r="G49">
        <v>0</v>
      </c>
      <c r="H49">
        <v>0</v>
      </c>
      <c r="I49">
        <v>0</v>
      </c>
      <c r="J49">
        <v>15000</v>
      </c>
      <c r="K49">
        <v>8000</v>
      </c>
      <c r="L49">
        <v>8000</v>
      </c>
      <c r="M49">
        <v>0</v>
      </c>
      <c r="N49">
        <v>0</v>
      </c>
      <c r="O49">
        <v>4000</v>
      </c>
      <c r="P49">
        <v>-1600</v>
      </c>
      <c r="Q49" t="s">
        <v>28</v>
      </c>
      <c r="R49">
        <v>65000</v>
      </c>
      <c r="S49">
        <v>-1600</v>
      </c>
      <c r="T49">
        <v>123</v>
      </c>
    </row>
    <row r="50" spans="1:20" hidden="1" x14ac:dyDescent="0.3">
      <c r="A50">
        <v>1099</v>
      </c>
      <c r="B50">
        <v>644</v>
      </c>
      <c r="C50">
        <v>277</v>
      </c>
      <c r="D50">
        <v>3</v>
      </c>
      <c r="E50">
        <v>60000</v>
      </c>
      <c r="F50">
        <v>30000</v>
      </c>
      <c r="G50">
        <v>1600</v>
      </c>
      <c r="H50">
        <v>0</v>
      </c>
      <c r="I50">
        <v>0</v>
      </c>
      <c r="J50">
        <v>15000</v>
      </c>
      <c r="K50">
        <v>8000</v>
      </c>
      <c r="L50">
        <v>0</v>
      </c>
      <c r="M50">
        <v>0</v>
      </c>
      <c r="N50">
        <v>16000</v>
      </c>
      <c r="O50">
        <v>4000</v>
      </c>
      <c r="P50">
        <v>-14600</v>
      </c>
      <c r="Q50" t="s">
        <v>28</v>
      </c>
      <c r="R50">
        <v>73000</v>
      </c>
      <c r="S50">
        <v>-14600</v>
      </c>
      <c r="T50">
        <v>123</v>
      </c>
    </row>
    <row r="51" spans="1:20" hidden="1" x14ac:dyDescent="0.3">
      <c r="A51">
        <v>1122</v>
      </c>
      <c r="B51">
        <v>644</v>
      </c>
      <c r="C51">
        <v>281</v>
      </c>
      <c r="D51">
        <v>4</v>
      </c>
      <c r="E51">
        <v>60000</v>
      </c>
      <c r="F51">
        <v>30000</v>
      </c>
      <c r="G51">
        <v>14600</v>
      </c>
      <c r="H51">
        <v>0</v>
      </c>
      <c r="I51">
        <v>0</v>
      </c>
      <c r="J51">
        <v>15000</v>
      </c>
      <c r="K51">
        <v>8000</v>
      </c>
      <c r="L51">
        <v>0</v>
      </c>
      <c r="M51">
        <v>0</v>
      </c>
      <c r="N51">
        <v>0</v>
      </c>
      <c r="O51">
        <v>4000</v>
      </c>
      <c r="P51">
        <v>-11600</v>
      </c>
      <c r="Q51" t="s">
        <v>28</v>
      </c>
      <c r="R51">
        <v>57000</v>
      </c>
      <c r="S51">
        <v>-11600</v>
      </c>
      <c r="T51">
        <v>123</v>
      </c>
    </row>
    <row r="52" spans="1:20" hidden="1" x14ac:dyDescent="0.3">
      <c r="A52">
        <v>1029</v>
      </c>
      <c r="B52">
        <v>645</v>
      </c>
      <c r="C52">
        <v>267</v>
      </c>
      <c r="D52">
        <v>0</v>
      </c>
      <c r="E52">
        <v>90000</v>
      </c>
      <c r="F52">
        <v>50000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15000</v>
      </c>
      <c r="Q52" t="s">
        <v>29</v>
      </c>
      <c r="R52">
        <v>50000</v>
      </c>
      <c r="S52">
        <v>15000</v>
      </c>
      <c r="T52">
        <v>124</v>
      </c>
    </row>
    <row r="53" spans="1:20" hidden="1" x14ac:dyDescent="0.3">
      <c r="A53">
        <v>1045</v>
      </c>
      <c r="B53">
        <v>645</v>
      </c>
      <c r="C53">
        <v>270</v>
      </c>
      <c r="D53">
        <v>1</v>
      </c>
      <c r="E53">
        <v>90000</v>
      </c>
      <c r="F53">
        <v>50000</v>
      </c>
      <c r="G53">
        <v>0</v>
      </c>
      <c r="H53">
        <v>0</v>
      </c>
      <c r="I53">
        <v>30000</v>
      </c>
      <c r="J53">
        <v>15000</v>
      </c>
      <c r="K53">
        <v>13000</v>
      </c>
      <c r="L53">
        <v>0</v>
      </c>
      <c r="M53">
        <v>0</v>
      </c>
      <c r="N53">
        <v>0</v>
      </c>
      <c r="O53">
        <v>0</v>
      </c>
      <c r="P53">
        <v>-3000</v>
      </c>
      <c r="Q53" t="s">
        <v>29</v>
      </c>
      <c r="R53">
        <v>108000</v>
      </c>
      <c r="S53">
        <v>-3000</v>
      </c>
      <c r="T53">
        <v>124</v>
      </c>
    </row>
    <row r="54" spans="1:20" hidden="1" x14ac:dyDescent="0.3">
      <c r="A54">
        <v>1081</v>
      </c>
      <c r="B54">
        <v>645</v>
      </c>
      <c r="C54">
        <v>274</v>
      </c>
      <c r="D54">
        <v>2</v>
      </c>
      <c r="E54">
        <v>90000</v>
      </c>
      <c r="F54">
        <v>50000</v>
      </c>
      <c r="G54">
        <v>3000</v>
      </c>
      <c r="H54">
        <v>0</v>
      </c>
      <c r="I54">
        <v>0</v>
      </c>
      <c r="J54">
        <v>15000</v>
      </c>
      <c r="K54">
        <v>13000</v>
      </c>
      <c r="L54">
        <v>6000</v>
      </c>
      <c r="M54">
        <v>0</v>
      </c>
      <c r="N54">
        <v>0</v>
      </c>
      <c r="O54">
        <v>4000</v>
      </c>
      <c r="P54">
        <v>-1000</v>
      </c>
      <c r="Q54" t="s">
        <v>29</v>
      </c>
      <c r="R54">
        <v>88000</v>
      </c>
      <c r="S54">
        <v>-1000</v>
      </c>
      <c r="T54">
        <v>124</v>
      </c>
    </row>
    <row r="55" spans="1:20" hidden="1" x14ac:dyDescent="0.3">
      <c r="A55">
        <v>1098</v>
      </c>
      <c r="B55">
        <v>645</v>
      </c>
      <c r="C55">
        <v>277</v>
      </c>
      <c r="D55">
        <v>3</v>
      </c>
      <c r="E55">
        <v>90000</v>
      </c>
      <c r="F55">
        <v>50000</v>
      </c>
      <c r="G55">
        <v>1000</v>
      </c>
      <c r="H55">
        <v>0</v>
      </c>
      <c r="I55">
        <v>0</v>
      </c>
      <c r="J55">
        <v>15000</v>
      </c>
      <c r="K55">
        <v>13000</v>
      </c>
      <c r="L55">
        <v>8000</v>
      </c>
      <c r="M55">
        <v>0</v>
      </c>
      <c r="N55">
        <v>16000</v>
      </c>
      <c r="O55">
        <v>0</v>
      </c>
      <c r="P55">
        <v>-13000</v>
      </c>
      <c r="Q55" t="s">
        <v>29</v>
      </c>
      <c r="R55">
        <v>102000</v>
      </c>
      <c r="S55">
        <v>-13000</v>
      </c>
      <c r="T55">
        <v>124</v>
      </c>
    </row>
    <row r="56" spans="1:20" hidden="1" x14ac:dyDescent="0.3">
      <c r="A56">
        <v>1126</v>
      </c>
      <c r="B56">
        <v>645</v>
      </c>
      <c r="C56">
        <v>281</v>
      </c>
      <c r="D56">
        <v>4</v>
      </c>
      <c r="E56">
        <v>90000</v>
      </c>
      <c r="F56">
        <v>50000</v>
      </c>
      <c r="G56">
        <v>13000</v>
      </c>
      <c r="H56">
        <v>0</v>
      </c>
      <c r="I56">
        <v>0</v>
      </c>
      <c r="J56">
        <v>15000</v>
      </c>
      <c r="K56">
        <v>13000</v>
      </c>
      <c r="L56">
        <v>0</v>
      </c>
      <c r="M56">
        <v>0</v>
      </c>
      <c r="N56">
        <v>0</v>
      </c>
      <c r="O56">
        <v>4000</v>
      </c>
      <c r="P56">
        <v>-5000</v>
      </c>
      <c r="Q56" t="s">
        <v>29</v>
      </c>
      <c r="R56">
        <v>82000</v>
      </c>
      <c r="S56">
        <v>-5000</v>
      </c>
      <c r="T56">
        <v>124</v>
      </c>
    </row>
    <row r="57" spans="1:20" hidden="1" x14ac:dyDescent="0.3">
      <c r="A57">
        <v>1037</v>
      </c>
      <c r="B57">
        <v>646</v>
      </c>
      <c r="C57">
        <v>267</v>
      </c>
      <c r="D57">
        <v>0</v>
      </c>
      <c r="E57">
        <v>130000</v>
      </c>
      <c r="F57">
        <v>75000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50000</v>
      </c>
      <c r="Q57" t="s">
        <v>30</v>
      </c>
      <c r="R57">
        <v>75000</v>
      </c>
      <c r="S57">
        <v>50000</v>
      </c>
      <c r="T57">
        <v>127</v>
      </c>
    </row>
    <row r="58" spans="1:20" hidden="1" x14ac:dyDescent="0.3">
      <c r="A58">
        <v>1046</v>
      </c>
      <c r="B58">
        <v>646</v>
      </c>
      <c r="C58">
        <v>270</v>
      </c>
      <c r="D58">
        <v>1</v>
      </c>
      <c r="E58">
        <v>130000</v>
      </c>
      <c r="F58">
        <v>75000</v>
      </c>
      <c r="G58">
        <v>0</v>
      </c>
      <c r="H58">
        <v>0</v>
      </c>
      <c r="I58">
        <v>0</v>
      </c>
      <c r="J58">
        <v>15000</v>
      </c>
      <c r="K58">
        <v>20000</v>
      </c>
      <c r="L58">
        <v>33000</v>
      </c>
      <c r="M58">
        <v>25500</v>
      </c>
      <c r="N58">
        <v>0</v>
      </c>
      <c r="O58">
        <v>0</v>
      </c>
      <c r="P58">
        <v>11500</v>
      </c>
      <c r="Q58" t="s">
        <v>30</v>
      </c>
      <c r="R58">
        <v>168500</v>
      </c>
      <c r="S58">
        <v>11500</v>
      </c>
      <c r="T58">
        <v>127</v>
      </c>
    </row>
    <row r="59" spans="1:20" hidden="1" x14ac:dyDescent="0.3">
      <c r="A59">
        <v>1080</v>
      </c>
      <c r="B59">
        <v>646</v>
      </c>
      <c r="C59">
        <v>274</v>
      </c>
      <c r="D59">
        <v>2</v>
      </c>
      <c r="E59">
        <v>130000</v>
      </c>
      <c r="F59">
        <v>75000</v>
      </c>
      <c r="G59">
        <v>0</v>
      </c>
      <c r="H59">
        <v>0</v>
      </c>
      <c r="I59">
        <v>0</v>
      </c>
      <c r="J59">
        <v>15000</v>
      </c>
      <c r="K59">
        <v>20000</v>
      </c>
      <c r="L59">
        <v>0</v>
      </c>
      <c r="M59">
        <v>0</v>
      </c>
      <c r="N59">
        <v>0</v>
      </c>
      <c r="O59">
        <v>4000</v>
      </c>
      <c r="P59">
        <v>27500</v>
      </c>
      <c r="Q59" t="s">
        <v>30</v>
      </c>
      <c r="R59">
        <v>114000</v>
      </c>
      <c r="S59">
        <v>27500</v>
      </c>
      <c r="T59">
        <v>127</v>
      </c>
    </row>
    <row r="60" spans="1:20" hidden="1" x14ac:dyDescent="0.3">
      <c r="A60">
        <v>1101</v>
      </c>
      <c r="B60">
        <v>646</v>
      </c>
      <c r="C60">
        <v>277</v>
      </c>
      <c r="D60">
        <v>3</v>
      </c>
      <c r="E60">
        <v>130000</v>
      </c>
      <c r="F60">
        <v>75000</v>
      </c>
      <c r="G60">
        <v>0</v>
      </c>
      <c r="H60">
        <v>0</v>
      </c>
      <c r="I60">
        <v>0</v>
      </c>
      <c r="J60">
        <v>15000</v>
      </c>
      <c r="K60">
        <v>20000</v>
      </c>
      <c r="L60">
        <v>0</v>
      </c>
      <c r="M60">
        <v>0</v>
      </c>
      <c r="N60">
        <v>16000</v>
      </c>
      <c r="O60">
        <v>0</v>
      </c>
      <c r="P60">
        <v>31500</v>
      </c>
      <c r="Q60" t="s">
        <v>30</v>
      </c>
      <c r="R60">
        <v>126000</v>
      </c>
      <c r="S60">
        <v>31500</v>
      </c>
      <c r="T60">
        <v>127</v>
      </c>
    </row>
    <row r="61" spans="1:20" hidden="1" x14ac:dyDescent="0.3">
      <c r="A61">
        <v>1121</v>
      </c>
      <c r="B61">
        <v>646</v>
      </c>
      <c r="C61">
        <v>281</v>
      </c>
      <c r="D61">
        <v>4</v>
      </c>
      <c r="E61">
        <v>130000</v>
      </c>
      <c r="F61">
        <v>75000</v>
      </c>
      <c r="G61">
        <v>0</v>
      </c>
      <c r="H61">
        <v>0</v>
      </c>
      <c r="I61">
        <v>0</v>
      </c>
      <c r="J61">
        <v>20000</v>
      </c>
      <c r="K61">
        <v>20000</v>
      </c>
      <c r="L61">
        <v>0</v>
      </c>
      <c r="M61">
        <v>0</v>
      </c>
      <c r="N61">
        <v>0</v>
      </c>
      <c r="O61">
        <v>4000</v>
      </c>
      <c r="P61">
        <v>42500</v>
      </c>
      <c r="Q61" t="s">
        <v>30</v>
      </c>
      <c r="R61">
        <v>119000</v>
      </c>
      <c r="S61">
        <v>42500</v>
      </c>
      <c r="T61">
        <v>127</v>
      </c>
    </row>
    <row r="62" spans="1:20" hidden="1" x14ac:dyDescent="0.3">
      <c r="A62">
        <v>1031</v>
      </c>
      <c r="B62">
        <v>647</v>
      </c>
      <c r="C62">
        <v>267</v>
      </c>
      <c r="D62">
        <v>0</v>
      </c>
      <c r="E62">
        <v>190000</v>
      </c>
      <c r="F62">
        <v>115000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80000</v>
      </c>
      <c r="Q62" t="s">
        <v>31</v>
      </c>
      <c r="R62">
        <v>115000</v>
      </c>
      <c r="S62">
        <v>80000</v>
      </c>
      <c r="T62">
        <v>128</v>
      </c>
    </row>
    <row r="63" spans="1:20" hidden="1" x14ac:dyDescent="0.3">
      <c r="A63">
        <v>1047</v>
      </c>
      <c r="B63">
        <v>647</v>
      </c>
      <c r="C63">
        <v>270</v>
      </c>
      <c r="D63">
        <v>1</v>
      </c>
      <c r="E63">
        <v>190000</v>
      </c>
      <c r="F63">
        <v>115000</v>
      </c>
      <c r="G63">
        <v>0</v>
      </c>
      <c r="H63">
        <v>0</v>
      </c>
      <c r="I63">
        <v>0</v>
      </c>
      <c r="J63">
        <v>15000</v>
      </c>
      <c r="K63">
        <v>30000</v>
      </c>
      <c r="L63">
        <v>14000</v>
      </c>
      <c r="M63">
        <v>21000</v>
      </c>
      <c r="N63">
        <v>0</v>
      </c>
      <c r="O63">
        <v>0</v>
      </c>
      <c r="P63">
        <v>75000</v>
      </c>
      <c r="Q63" t="s">
        <v>31</v>
      </c>
      <c r="R63">
        <v>195000</v>
      </c>
      <c r="S63">
        <v>75000</v>
      </c>
      <c r="T63">
        <v>128</v>
      </c>
    </row>
    <row r="64" spans="1:20" hidden="1" x14ac:dyDescent="0.3">
      <c r="A64">
        <v>1082</v>
      </c>
      <c r="B64">
        <v>647</v>
      </c>
      <c r="C64">
        <v>274</v>
      </c>
      <c r="D64">
        <v>2</v>
      </c>
      <c r="E64">
        <v>190000</v>
      </c>
      <c r="F64">
        <v>115000</v>
      </c>
      <c r="G64">
        <v>0</v>
      </c>
      <c r="H64">
        <v>0</v>
      </c>
      <c r="I64">
        <v>0</v>
      </c>
      <c r="J64">
        <v>15000</v>
      </c>
      <c r="K64">
        <v>30000</v>
      </c>
      <c r="L64">
        <v>19000</v>
      </c>
      <c r="M64">
        <v>17000</v>
      </c>
      <c r="N64">
        <v>0</v>
      </c>
      <c r="O64">
        <v>4000</v>
      </c>
      <c r="P64">
        <v>65000</v>
      </c>
      <c r="Q64" t="s">
        <v>31</v>
      </c>
      <c r="R64">
        <v>200000</v>
      </c>
      <c r="S64">
        <v>65000</v>
      </c>
      <c r="T64">
        <v>128</v>
      </c>
    </row>
    <row r="65" spans="1:20" hidden="1" x14ac:dyDescent="0.3">
      <c r="A65">
        <v>1100</v>
      </c>
      <c r="B65">
        <v>647</v>
      </c>
      <c r="C65">
        <v>277</v>
      </c>
      <c r="D65">
        <v>3</v>
      </c>
      <c r="E65">
        <v>190000</v>
      </c>
      <c r="F65">
        <v>115000</v>
      </c>
      <c r="G65">
        <v>0</v>
      </c>
      <c r="H65">
        <v>0</v>
      </c>
      <c r="I65">
        <v>0</v>
      </c>
      <c r="J65">
        <v>15000</v>
      </c>
      <c r="K65">
        <v>30000</v>
      </c>
      <c r="L65">
        <v>0</v>
      </c>
      <c r="M65">
        <v>0</v>
      </c>
      <c r="N65">
        <v>16000</v>
      </c>
      <c r="O65">
        <v>4000</v>
      </c>
      <c r="P65">
        <v>75000</v>
      </c>
      <c r="Q65" t="s">
        <v>31</v>
      </c>
      <c r="R65">
        <v>180000</v>
      </c>
      <c r="S65">
        <v>75000</v>
      </c>
      <c r="T65">
        <v>128</v>
      </c>
    </row>
    <row r="66" spans="1:20" hidden="1" x14ac:dyDescent="0.3">
      <c r="A66">
        <v>1124</v>
      </c>
      <c r="B66">
        <v>647</v>
      </c>
      <c r="C66">
        <v>281</v>
      </c>
      <c r="D66">
        <v>4</v>
      </c>
      <c r="E66">
        <v>190000</v>
      </c>
      <c r="F66">
        <v>115000</v>
      </c>
      <c r="G66">
        <v>0</v>
      </c>
      <c r="H66">
        <v>190000</v>
      </c>
      <c r="I66">
        <v>125000</v>
      </c>
      <c r="J66">
        <v>20000</v>
      </c>
      <c r="K66">
        <v>30000</v>
      </c>
      <c r="L66">
        <v>15000</v>
      </c>
      <c r="M66">
        <v>0</v>
      </c>
      <c r="N66">
        <v>0</v>
      </c>
      <c r="O66">
        <v>0</v>
      </c>
      <c r="P66">
        <v>150000</v>
      </c>
      <c r="Q66" t="s">
        <v>31</v>
      </c>
      <c r="R66">
        <v>305000</v>
      </c>
      <c r="S66">
        <v>150000</v>
      </c>
      <c r="T66">
        <v>128</v>
      </c>
    </row>
    <row r="67" spans="1:20" hidden="1" x14ac:dyDescent="0.3">
      <c r="A67">
        <v>1055</v>
      </c>
      <c r="B67">
        <v>650</v>
      </c>
      <c r="C67">
        <v>268</v>
      </c>
      <c r="D67">
        <v>0</v>
      </c>
      <c r="E67">
        <v>75000</v>
      </c>
      <c r="F67">
        <v>40000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5000</v>
      </c>
      <c r="Q67" t="s">
        <v>32</v>
      </c>
      <c r="R67">
        <v>40000</v>
      </c>
      <c r="S67">
        <v>5000</v>
      </c>
      <c r="T67">
        <v>124</v>
      </c>
    </row>
    <row r="68" spans="1:20" hidden="1" x14ac:dyDescent="0.3">
      <c r="A68">
        <v>1064</v>
      </c>
      <c r="B68">
        <v>650</v>
      </c>
      <c r="C68">
        <v>272</v>
      </c>
      <c r="D68">
        <v>1</v>
      </c>
      <c r="E68">
        <v>75000</v>
      </c>
      <c r="F68">
        <v>40000</v>
      </c>
      <c r="G68">
        <v>0</v>
      </c>
      <c r="H68">
        <v>0</v>
      </c>
      <c r="I68">
        <v>0</v>
      </c>
      <c r="J68">
        <v>20000</v>
      </c>
      <c r="K68">
        <v>7000</v>
      </c>
      <c r="L68">
        <v>1000</v>
      </c>
      <c r="M68">
        <v>3150</v>
      </c>
      <c r="N68">
        <v>0</v>
      </c>
      <c r="O68">
        <v>4000</v>
      </c>
      <c r="P68">
        <v>4850</v>
      </c>
      <c r="Q68" t="s">
        <v>32</v>
      </c>
      <c r="R68">
        <v>75150</v>
      </c>
      <c r="S68">
        <v>4850</v>
      </c>
      <c r="T68">
        <v>124</v>
      </c>
    </row>
    <row r="69" spans="1:20" hidden="1" x14ac:dyDescent="0.3">
      <c r="A69">
        <v>1087</v>
      </c>
      <c r="B69">
        <v>650</v>
      </c>
      <c r="C69">
        <v>275</v>
      </c>
      <c r="D69">
        <v>2</v>
      </c>
      <c r="E69">
        <v>75000</v>
      </c>
      <c r="F69">
        <v>40000</v>
      </c>
      <c r="G69">
        <v>0</v>
      </c>
      <c r="H69">
        <v>0</v>
      </c>
      <c r="I69">
        <v>0</v>
      </c>
      <c r="J69">
        <v>20000</v>
      </c>
      <c r="K69">
        <v>7000</v>
      </c>
      <c r="L69">
        <v>0</v>
      </c>
      <c r="M69">
        <v>3500</v>
      </c>
      <c r="N69">
        <v>0</v>
      </c>
      <c r="O69">
        <v>4000</v>
      </c>
      <c r="P69">
        <v>5350</v>
      </c>
      <c r="Q69" t="s">
        <v>32</v>
      </c>
      <c r="R69">
        <v>74500</v>
      </c>
      <c r="S69">
        <v>5350</v>
      </c>
      <c r="T69">
        <v>124</v>
      </c>
    </row>
    <row r="70" spans="1:20" hidden="1" x14ac:dyDescent="0.3">
      <c r="A70">
        <v>1113</v>
      </c>
      <c r="B70">
        <v>650</v>
      </c>
      <c r="C70">
        <v>279</v>
      </c>
      <c r="D70">
        <v>3</v>
      </c>
      <c r="E70">
        <v>75000</v>
      </c>
      <c r="F70">
        <v>40000</v>
      </c>
      <c r="G70">
        <v>0</v>
      </c>
      <c r="H70">
        <v>0</v>
      </c>
      <c r="I70">
        <v>0</v>
      </c>
      <c r="J70">
        <v>20000</v>
      </c>
      <c r="K70">
        <v>7000</v>
      </c>
      <c r="L70">
        <v>8000</v>
      </c>
      <c r="M70">
        <v>0</v>
      </c>
      <c r="N70">
        <v>24000</v>
      </c>
      <c r="O70">
        <v>0</v>
      </c>
      <c r="P70">
        <v>-18650</v>
      </c>
      <c r="Q70" t="s">
        <v>32</v>
      </c>
      <c r="R70">
        <v>99000</v>
      </c>
      <c r="S70">
        <v>-18650</v>
      </c>
      <c r="T70">
        <v>124</v>
      </c>
    </row>
    <row r="71" spans="1:20" hidden="1" x14ac:dyDescent="0.3">
      <c r="A71">
        <v>1137</v>
      </c>
      <c r="B71">
        <v>650</v>
      </c>
      <c r="C71">
        <v>283</v>
      </c>
      <c r="D71">
        <v>4</v>
      </c>
      <c r="E71">
        <v>75000</v>
      </c>
      <c r="F71">
        <v>40000</v>
      </c>
      <c r="G71">
        <v>18650</v>
      </c>
      <c r="H71">
        <v>0</v>
      </c>
      <c r="I71">
        <v>0</v>
      </c>
      <c r="J71">
        <v>20000</v>
      </c>
      <c r="K71">
        <v>7000</v>
      </c>
      <c r="L71">
        <v>0</v>
      </c>
      <c r="M71">
        <v>0</v>
      </c>
      <c r="N71">
        <v>16000</v>
      </c>
      <c r="O71">
        <v>0</v>
      </c>
      <c r="P71">
        <v>-26650</v>
      </c>
      <c r="Q71" t="s">
        <v>32</v>
      </c>
      <c r="R71">
        <v>83000</v>
      </c>
      <c r="S71">
        <v>-26650</v>
      </c>
      <c r="T71">
        <v>124</v>
      </c>
    </row>
    <row r="72" spans="1:20" hidden="1" x14ac:dyDescent="0.3">
      <c r="A72">
        <v>1048</v>
      </c>
      <c r="B72">
        <v>651</v>
      </c>
      <c r="C72">
        <v>268</v>
      </c>
      <c r="D72">
        <v>0</v>
      </c>
      <c r="E72">
        <v>110000</v>
      </c>
      <c r="F72">
        <v>60000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30000</v>
      </c>
      <c r="Q72" t="s">
        <v>33</v>
      </c>
      <c r="R72">
        <v>60000</v>
      </c>
      <c r="S72">
        <v>30000</v>
      </c>
      <c r="T72">
        <v>126</v>
      </c>
    </row>
    <row r="73" spans="1:20" hidden="1" x14ac:dyDescent="0.3">
      <c r="A73">
        <v>1066</v>
      </c>
      <c r="B73">
        <v>651</v>
      </c>
      <c r="C73">
        <v>272</v>
      </c>
      <c r="D73">
        <v>1</v>
      </c>
      <c r="E73">
        <v>110000</v>
      </c>
      <c r="F73">
        <v>60000</v>
      </c>
      <c r="G73">
        <v>0</v>
      </c>
      <c r="H73">
        <v>0</v>
      </c>
      <c r="I73">
        <v>30000</v>
      </c>
      <c r="J73">
        <v>20000</v>
      </c>
      <c r="K73">
        <v>17000</v>
      </c>
      <c r="L73">
        <v>9000</v>
      </c>
      <c r="M73">
        <v>4000</v>
      </c>
      <c r="N73">
        <v>0</v>
      </c>
      <c r="O73">
        <v>4000</v>
      </c>
      <c r="P73">
        <v>-4000</v>
      </c>
      <c r="Q73" t="s">
        <v>33</v>
      </c>
      <c r="R73">
        <v>144000</v>
      </c>
      <c r="S73">
        <v>-4000</v>
      </c>
      <c r="T73">
        <v>126</v>
      </c>
    </row>
    <row r="74" spans="1:20" hidden="1" x14ac:dyDescent="0.3">
      <c r="A74">
        <v>1088</v>
      </c>
      <c r="B74">
        <v>651</v>
      </c>
      <c r="C74">
        <v>275</v>
      </c>
      <c r="D74">
        <v>2</v>
      </c>
      <c r="E74">
        <v>110000</v>
      </c>
      <c r="F74">
        <v>60000</v>
      </c>
      <c r="G74">
        <v>4000</v>
      </c>
      <c r="H74">
        <v>0</v>
      </c>
      <c r="I74">
        <v>0</v>
      </c>
      <c r="J74">
        <v>20000</v>
      </c>
      <c r="K74">
        <v>17000</v>
      </c>
      <c r="L74">
        <v>0</v>
      </c>
      <c r="M74">
        <v>0</v>
      </c>
      <c r="N74">
        <v>0</v>
      </c>
      <c r="O74">
        <v>4000</v>
      </c>
      <c r="P74">
        <v>5000</v>
      </c>
      <c r="Q74" t="s">
        <v>33</v>
      </c>
      <c r="R74">
        <v>101000</v>
      </c>
      <c r="S74">
        <v>5000</v>
      </c>
      <c r="T74">
        <v>126</v>
      </c>
    </row>
    <row r="75" spans="1:20" hidden="1" x14ac:dyDescent="0.3">
      <c r="A75">
        <v>1104</v>
      </c>
      <c r="B75">
        <v>651</v>
      </c>
      <c r="C75">
        <v>279</v>
      </c>
      <c r="D75">
        <v>3</v>
      </c>
      <c r="E75">
        <v>110000</v>
      </c>
      <c r="F75">
        <v>60000</v>
      </c>
      <c r="G75">
        <v>0</v>
      </c>
      <c r="H75">
        <v>0</v>
      </c>
      <c r="I75">
        <v>0</v>
      </c>
      <c r="J75">
        <v>20000</v>
      </c>
      <c r="K75">
        <v>17000</v>
      </c>
      <c r="L75">
        <v>6000</v>
      </c>
      <c r="M75">
        <v>0</v>
      </c>
      <c r="N75">
        <v>16000</v>
      </c>
      <c r="O75">
        <v>0</v>
      </c>
      <c r="P75">
        <v>-4000</v>
      </c>
      <c r="Q75" t="s">
        <v>33</v>
      </c>
      <c r="R75">
        <v>119000</v>
      </c>
      <c r="S75">
        <v>-4000</v>
      </c>
      <c r="T75">
        <v>126</v>
      </c>
    </row>
    <row r="76" spans="1:20" hidden="1" x14ac:dyDescent="0.3">
      <c r="A76">
        <v>1138</v>
      </c>
      <c r="B76">
        <v>651</v>
      </c>
      <c r="C76">
        <v>283</v>
      </c>
      <c r="D76">
        <v>4</v>
      </c>
      <c r="E76">
        <v>110000</v>
      </c>
      <c r="F76">
        <v>60000</v>
      </c>
      <c r="G76">
        <v>4000</v>
      </c>
      <c r="H76">
        <v>0</v>
      </c>
      <c r="I76">
        <v>0</v>
      </c>
      <c r="J76">
        <v>30000</v>
      </c>
      <c r="K76">
        <v>17000</v>
      </c>
      <c r="L76">
        <v>0</v>
      </c>
      <c r="M76">
        <v>0</v>
      </c>
      <c r="N76">
        <v>4000</v>
      </c>
      <c r="O76">
        <v>0</v>
      </c>
      <c r="P76">
        <v>-5000</v>
      </c>
      <c r="Q76" t="s">
        <v>33</v>
      </c>
      <c r="R76">
        <v>111000</v>
      </c>
      <c r="S76">
        <v>-5000</v>
      </c>
      <c r="T76">
        <v>126</v>
      </c>
    </row>
    <row r="77" spans="1:20" hidden="1" x14ac:dyDescent="0.3">
      <c r="A77">
        <v>1041</v>
      </c>
      <c r="B77">
        <v>652</v>
      </c>
      <c r="C77">
        <v>268</v>
      </c>
      <c r="D77">
        <v>0</v>
      </c>
      <c r="E77">
        <v>60000</v>
      </c>
      <c r="F77">
        <v>30000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34</v>
      </c>
      <c r="R77">
        <v>30000</v>
      </c>
      <c r="S77">
        <v>0</v>
      </c>
      <c r="T77">
        <v>123</v>
      </c>
    </row>
    <row r="78" spans="1:20" hidden="1" x14ac:dyDescent="0.3">
      <c r="A78">
        <v>1065</v>
      </c>
      <c r="B78">
        <v>652</v>
      </c>
      <c r="C78">
        <v>272</v>
      </c>
      <c r="D78">
        <v>1</v>
      </c>
      <c r="E78">
        <v>60000</v>
      </c>
      <c r="F78">
        <v>30000</v>
      </c>
      <c r="G78">
        <v>0</v>
      </c>
      <c r="H78">
        <v>0</v>
      </c>
      <c r="I78">
        <v>20000</v>
      </c>
      <c r="J78">
        <v>20000</v>
      </c>
      <c r="K78">
        <v>8000</v>
      </c>
      <c r="L78">
        <v>0</v>
      </c>
      <c r="M78">
        <v>0</v>
      </c>
      <c r="N78">
        <v>0</v>
      </c>
      <c r="O78">
        <v>4000</v>
      </c>
      <c r="P78">
        <v>-22000</v>
      </c>
      <c r="Q78" t="s">
        <v>34</v>
      </c>
      <c r="R78">
        <v>82000</v>
      </c>
      <c r="S78">
        <v>-22000</v>
      </c>
      <c r="T78">
        <v>123</v>
      </c>
    </row>
    <row r="79" spans="1:20" hidden="1" x14ac:dyDescent="0.3">
      <c r="A79">
        <v>1083</v>
      </c>
      <c r="B79">
        <v>652</v>
      </c>
      <c r="C79">
        <v>275</v>
      </c>
      <c r="D79">
        <v>2</v>
      </c>
      <c r="E79">
        <v>60000</v>
      </c>
      <c r="F79">
        <v>30000</v>
      </c>
      <c r="G79">
        <v>22000</v>
      </c>
      <c r="H79">
        <v>0</v>
      </c>
      <c r="I79">
        <v>0</v>
      </c>
      <c r="J79">
        <v>20000</v>
      </c>
      <c r="K79">
        <v>8000</v>
      </c>
      <c r="L79">
        <v>0</v>
      </c>
      <c r="M79">
        <v>0</v>
      </c>
      <c r="N79">
        <v>0</v>
      </c>
      <c r="O79">
        <v>4000</v>
      </c>
      <c r="P79">
        <v>-24000</v>
      </c>
      <c r="Q79" t="s">
        <v>34</v>
      </c>
      <c r="R79">
        <v>62000</v>
      </c>
      <c r="S79">
        <v>-24000</v>
      </c>
      <c r="T79">
        <v>123</v>
      </c>
    </row>
    <row r="80" spans="1:20" hidden="1" x14ac:dyDescent="0.3">
      <c r="A80">
        <v>1109</v>
      </c>
      <c r="B80">
        <v>652</v>
      </c>
      <c r="C80">
        <v>279</v>
      </c>
      <c r="D80">
        <v>3</v>
      </c>
      <c r="E80">
        <v>60000</v>
      </c>
      <c r="F80">
        <v>30000</v>
      </c>
      <c r="G80">
        <v>24000</v>
      </c>
      <c r="H80">
        <v>0</v>
      </c>
      <c r="I80">
        <v>0</v>
      </c>
      <c r="J80">
        <v>20000</v>
      </c>
      <c r="K80">
        <v>8000</v>
      </c>
      <c r="L80">
        <v>0</v>
      </c>
      <c r="M80">
        <v>0</v>
      </c>
      <c r="N80">
        <v>16000</v>
      </c>
      <c r="O80">
        <v>0</v>
      </c>
      <c r="P80">
        <v>-38000</v>
      </c>
      <c r="Q80" t="s">
        <v>34</v>
      </c>
      <c r="R80">
        <v>74000</v>
      </c>
      <c r="S80">
        <v>-38000</v>
      </c>
      <c r="T80">
        <v>123</v>
      </c>
    </row>
    <row r="81" spans="1:20" hidden="1" x14ac:dyDescent="0.3">
      <c r="A81">
        <v>1135</v>
      </c>
      <c r="B81">
        <v>652</v>
      </c>
      <c r="C81">
        <v>283</v>
      </c>
      <c r="D81">
        <v>4</v>
      </c>
      <c r="E81">
        <v>60000</v>
      </c>
      <c r="F81">
        <v>30000</v>
      </c>
      <c r="G81">
        <v>30000</v>
      </c>
      <c r="H81">
        <v>0</v>
      </c>
      <c r="I81">
        <v>0</v>
      </c>
      <c r="J81">
        <v>30000</v>
      </c>
      <c r="K81">
        <v>8000</v>
      </c>
      <c r="L81">
        <v>0</v>
      </c>
      <c r="M81">
        <v>0</v>
      </c>
      <c r="N81">
        <v>4000</v>
      </c>
      <c r="O81">
        <v>0</v>
      </c>
      <c r="P81">
        <v>-50000</v>
      </c>
      <c r="Q81" t="s">
        <v>34</v>
      </c>
      <c r="R81">
        <v>72000</v>
      </c>
      <c r="S81">
        <v>-50000</v>
      </c>
      <c r="T81">
        <v>123</v>
      </c>
    </row>
    <row r="82" spans="1:20" hidden="1" x14ac:dyDescent="0.3">
      <c r="A82">
        <v>1044</v>
      </c>
      <c r="B82">
        <v>653</v>
      </c>
      <c r="C82">
        <v>268</v>
      </c>
      <c r="D82">
        <v>0</v>
      </c>
      <c r="E82">
        <v>90000</v>
      </c>
      <c r="F82">
        <v>50000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15000</v>
      </c>
      <c r="Q82" t="s">
        <v>35</v>
      </c>
      <c r="R82">
        <v>50000</v>
      </c>
      <c r="S82">
        <v>15000</v>
      </c>
      <c r="T82">
        <v>125</v>
      </c>
    </row>
    <row r="83" spans="1:20" hidden="1" x14ac:dyDescent="0.3">
      <c r="A83">
        <v>1062</v>
      </c>
      <c r="B83">
        <v>653</v>
      </c>
      <c r="C83">
        <v>272</v>
      </c>
      <c r="D83">
        <v>1</v>
      </c>
      <c r="E83">
        <v>90000</v>
      </c>
      <c r="F83">
        <v>50000</v>
      </c>
      <c r="G83">
        <v>0</v>
      </c>
      <c r="H83">
        <v>0</v>
      </c>
      <c r="I83">
        <v>0</v>
      </c>
      <c r="J83">
        <v>20000</v>
      </c>
      <c r="K83">
        <v>12500</v>
      </c>
      <c r="L83">
        <v>8000</v>
      </c>
      <c r="M83">
        <v>3125</v>
      </c>
      <c r="N83">
        <v>4000</v>
      </c>
      <c r="O83">
        <v>4000</v>
      </c>
      <c r="P83">
        <v>3375</v>
      </c>
      <c r="Q83" t="s">
        <v>35</v>
      </c>
      <c r="R83">
        <v>101625</v>
      </c>
      <c r="S83">
        <v>3375</v>
      </c>
      <c r="T83">
        <v>125</v>
      </c>
    </row>
    <row r="84" spans="1:20" hidden="1" x14ac:dyDescent="0.3">
      <c r="A84">
        <v>1086</v>
      </c>
      <c r="B84">
        <v>653</v>
      </c>
      <c r="C84">
        <v>275</v>
      </c>
      <c r="D84">
        <v>2</v>
      </c>
      <c r="E84">
        <v>90000</v>
      </c>
      <c r="F84">
        <v>50000</v>
      </c>
      <c r="G84">
        <v>0</v>
      </c>
      <c r="H84">
        <v>0</v>
      </c>
      <c r="I84">
        <v>0</v>
      </c>
      <c r="J84">
        <v>20000</v>
      </c>
      <c r="K84">
        <v>12500</v>
      </c>
      <c r="L84">
        <v>8000</v>
      </c>
      <c r="M84">
        <v>0</v>
      </c>
      <c r="N84">
        <v>0</v>
      </c>
      <c r="O84">
        <v>4000</v>
      </c>
      <c r="P84">
        <v>-1125</v>
      </c>
      <c r="Q84" t="s">
        <v>35</v>
      </c>
      <c r="R84">
        <v>94500</v>
      </c>
      <c r="S84">
        <v>-1125</v>
      </c>
      <c r="T84">
        <v>125</v>
      </c>
    </row>
    <row r="85" spans="1:20" hidden="1" x14ac:dyDescent="0.3">
      <c r="A85">
        <v>1103</v>
      </c>
      <c r="B85">
        <v>653</v>
      </c>
      <c r="C85">
        <v>279</v>
      </c>
      <c r="D85">
        <v>3</v>
      </c>
      <c r="E85">
        <v>90000</v>
      </c>
      <c r="F85">
        <v>50000</v>
      </c>
      <c r="G85">
        <v>1125</v>
      </c>
      <c r="H85">
        <v>0</v>
      </c>
      <c r="I85">
        <v>0</v>
      </c>
      <c r="J85">
        <v>20000</v>
      </c>
      <c r="K85">
        <v>12500</v>
      </c>
      <c r="L85">
        <v>0</v>
      </c>
      <c r="M85">
        <v>0</v>
      </c>
      <c r="N85">
        <v>28000</v>
      </c>
      <c r="O85">
        <v>0</v>
      </c>
      <c r="P85">
        <v>-21625</v>
      </c>
      <c r="Q85" t="s">
        <v>35</v>
      </c>
      <c r="R85">
        <v>110500</v>
      </c>
      <c r="S85">
        <v>-21625</v>
      </c>
      <c r="T85">
        <v>125</v>
      </c>
    </row>
    <row r="86" spans="1:20" hidden="1" x14ac:dyDescent="0.3">
      <c r="A86">
        <v>1134</v>
      </c>
      <c r="B86">
        <v>653</v>
      </c>
      <c r="C86">
        <v>283</v>
      </c>
      <c r="D86">
        <v>4</v>
      </c>
      <c r="E86">
        <v>90000</v>
      </c>
      <c r="F86">
        <v>50000</v>
      </c>
      <c r="G86">
        <v>21625</v>
      </c>
      <c r="H86">
        <v>0</v>
      </c>
      <c r="I86">
        <v>0</v>
      </c>
      <c r="J86">
        <v>20000</v>
      </c>
      <c r="K86">
        <v>12500</v>
      </c>
      <c r="L86">
        <v>0</v>
      </c>
      <c r="M86">
        <v>0</v>
      </c>
      <c r="N86">
        <v>16000</v>
      </c>
      <c r="O86">
        <v>0</v>
      </c>
      <c r="P86">
        <v>-30125</v>
      </c>
      <c r="Q86" t="s">
        <v>35</v>
      </c>
      <c r="R86">
        <v>98500</v>
      </c>
      <c r="S86">
        <v>-30125</v>
      </c>
      <c r="T86">
        <v>125</v>
      </c>
    </row>
    <row r="87" spans="1:20" hidden="1" x14ac:dyDescent="0.3">
      <c r="A87">
        <v>1040</v>
      </c>
      <c r="B87">
        <v>654</v>
      </c>
      <c r="C87">
        <v>268</v>
      </c>
      <c r="D87">
        <v>0</v>
      </c>
      <c r="E87">
        <v>130000</v>
      </c>
      <c r="F87">
        <v>75000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50000</v>
      </c>
      <c r="Q87" t="s">
        <v>36</v>
      </c>
      <c r="R87">
        <v>75000</v>
      </c>
      <c r="S87">
        <v>50000</v>
      </c>
      <c r="T87">
        <v>127</v>
      </c>
    </row>
    <row r="88" spans="1:20" hidden="1" x14ac:dyDescent="0.3">
      <c r="A88">
        <v>1067</v>
      </c>
      <c r="B88">
        <v>654</v>
      </c>
      <c r="C88">
        <v>272</v>
      </c>
      <c r="D88">
        <v>1</v>
      </c>
      <c r="E88">
        <v>130000</v>
      </c>
      <c r="F88">
        <v>75000</v>
      </c>
      <c r="G88">
        <v>0</v>
      </c>
      <c r="H88">
        <v>0</v>
      </c>
      <c r="I88">
        <v>100000</v>
      </c>
      <c r="J88">
        <v>20000</v>
      </c>
      <c r="K88">
        <v>20000</v>
      </c>
      <c r="L88">
        <v>0</v>
      </c>
      <c r="M88">
        <v>0</v>
      </c>
      <c r="N88">
        <v>0</v>
      </c>
      <c r="O88">
        <v>4000</v>
      </c>
      <c r="P88">
        <v>-39000</v>
      </c>
      <c r="Q88" t="s">
        <v>36</v>
      </c>
      <c r="R88">
        <v>219000</v>
      </c>
      <c r="S88">
        <v>-39000</v>
      </c>
      <c r="T88">
        <v>127</v>
      </c>
    </row>
    <row r="89" spans="1:20" hidden="1" x14ac:dyDescent="0.3">
      <c r="A89">
        <v>1084</v>
      </c>
      <c r="B89">
        <v>654</v>
      </c>
      <c r="C89">
        <v>275</v>
      </c>
      <c r="D89">
        <v>2</v>
      </c>
      <c r="E89">
        <v>130000</v>
      </c>
      <c r="F89">
        <v>75000</v>
      </c>
      <c r="G89">
        <v>39000</v>
      </c>
      <c r="H89">
        <v>0</v>
      </c>
      <c r="I89">
        <v>0</v>
      </c>
      <c r="J89">
        <v>20000</v>
      </c>
      <c r="K89">
        <v>20000</v>
      </c>
      <c r="L89">
        <v>0</v>
      </c>
      <c r="M89">
        <v>0</v>
      </c>
      <c r="N89">
        <v>0</v>
      </c>
      <c r="O89">
        <v>4000</v>
      </c>
      <c r="P89">
        <v>-28000</v>
      </c>
      <c r="Q89" t="s">
        <v>36</v>
      </c>
      <c r="R89">
        <v>119000</v>
      </c>
      <c r="S89">
        <v>-28000</v>
      </c>
      <c r="T89">
        <v>127</v>
      </c>
    </row>
    <row r="90" spans="1:20" hidden="1" x14ac:dyDescent="0.3">
      <c r="A90">
        <v>1110</v>
      </c>
      <c r="B90">
        <v>654</v>
      </c>
      <c r="C90">
        <v>279</v>
      </c>
      <c r="D90">
        <v>3</v>
      </c>
      <c r="E90">
        <v>130000</v>
      </c>
      <c r="F90">
        <v>75000</v>
      </c>
      <c r="G90">
        <v>28000</v>
      </c>
      <c r="H90">
        <v>0</v>
      </c>
      <c r="I90">
        <v>0</v>
      </c>
      <c r="J90">
        <v>20000</v>
      </c>
      <c r="K90">
        <v>20000</v>
      </c>
      <c r="L90">
        <v>0</v>
      </c>
      <c r="M90">
        <v>0</v>
      </c>
      <c r="N90">
        <v>16000</v>
      </c>
      <c r="O90">
        <v>0</v>
      </c>
      <c r="P90">
        <v>-29000</v>
      </c>
      <c r="Q90" t="s">
        <v>36</v>
      </c>
      <c r="R90">
        <v>131000</v>
      </c>
      <c r="S90">
        <v>-29000</v>
      </c>
      <c r="T90">
        <v>127</v>
      </c>
    </row>
    <row r="91" spans="1:20" hidden="1" x14ac:dyDescent="0.3">
      <c r="A91">
        <v>1139</v>
      </c>
      <c r="B91">
        <v>654</v>
      </c>
      <c r="C91">
        <v>283</v>
      </c>
      <c r="D91">
        <v>4</v>
      </c>
      <c r="E91">
        <v>130000</v>
      </c>
      <c r="F91">
        <v>75000</v>
      </c>
      <c r="G91">
        <v>29000</v>
      </c>
      <c r="H91">
        <v>160000</v>
      </c>
      <c r="I91">
        <v>0</v>
      </c>
      <c r="J91">
        <v>30000</v>
      </c>
      <c r="K91">
        <v>20000</v>
      </c>
      <c r="L91">
        <v>23000</v>
      </c>
      <c r="M91">
        <v>25500</v>
      </c>
      <c r="N91">
        <v>0</v>
      </c>
      <c r="O91">
        <v>0</v>
      </c>
      <c r="P91">
        <v>87500</v>
      </c>
      <c r="Q91" t="s">
        <v>36</v>
      </c>
      <c r="R91">
        <v>173500</v>
      </c>
      <c r="S91">
        <v>87500</v>
      </c>
      <c r="T91">
        <v>127</v>
      </c>
    </row>
    <row r="92" spans="1:20" hidden="1" x14ac:dyDescent="0.3">
      <c r="A92">
        <v>1035</v>
      </c>
      <c r="B92">
        <v>655</v>
      </c>
      <c r="C92">
        <v>268</v>
      </c>
      <c r="D92">
        <v>0</v>
      </c>
      <c r="E92">
        <v>190000</v>
      </c>
      <c r="F92">
        <v>115000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80000</v>
      </c>
      <c r="Q92" t="s">
        <v>37</v>
      </c>
      <c r="R92">
        <v>115000</v>
      </c>
      <c r="S92">
        <v>80000</v>
      </c>
      <c r="T92">
        <v>128</v>
      </c>
    </row>
    <row r="93" spans="1:20" hidden="1" x14ac:dyDescent="0.3">
      <c r="A93">
        <v>1063</v>
      </c>
      <c r="B93">
        <v>655</v>
      </c>
      <c r="C93">
        <v>272</v>
      </c>
      <c r="D93">
        <v>1</v>
      </c>
      <c r="E93">
        <v>190000</v>
      </c>
      <c r="F93">
        <v>115000</v>
      </c>
      <c r="G93">
        <v>0</v>
      </c>
      <c r="H93">
        <v>0</v>
      </c>
      <c r="I93">
        <v>0</v>
      </c>
      <c r="J93">
        <v>20000</v>
      </c>
      <c r="K93">
        <v>30000</v>
      </c>
      <c r="L93">
        <v>10000</v>
      </c>
      <c r="M93">
        <v>21000</v>
      </c>
      <c r="N93">
        <v>0</v>
      </c>
      <c r="O93">
        <v>4000</v>
      </c>
      <c r="P93">
        <v>70000</v>
      </c>
      <c r="Q93" t="s">
        <v>37</v>
      </c>
      <c r="R93">
        <v>200000</v>
      </c>
      <c r="S93">
        <v>70000</v>
      </c>
      <c r="T93">
        <v>128</v>
      </c>
    </row>
    <row r="94" spans="1:20" hidden="1" x14ac:dyDescent="0.3">
      <c r="A94">
        <v>1085</v>
      </c>
      <c r="B94">
        <v>655</v>
      </c>
      <c r="C94">
        <v>275</v>
      </c>
      <c r="D94">
        <v>2</v>
      </c>
      <c r="E94">
        <v>190000</v>
      </c>
      <c r="F94">
        <v>115000</v>
      </c>
      <c r="G94">
        <v>0</v>
      </c>
      <c r="H94">
        <v>0</v>
      </c>
      <c r="I94">
        <v>0</v>
      </c>
      <c r="J94">
        <v>20000</v>
      </c>
      <c r="K94">
        <v>30000</v>
      </c>
      <c r="L94">
        <v>9000</v>
      </c>
      <c r="M94">
        <v>0</v>
      </c>
      <c r="N94">
        <v>0</v>
      </c>
      <c r="O94">
        <v>4000</v>
      </c>
      <c r="P94">
        <v>82000</v>
      </c>
      <c r="Q94" t="s">
        <v>37</v>
      </c>
      <c r="R94">
        <v>178000</v>
      </c>
      <c r="S94">
        <v>82000</v>
      </c>
      <c r="T94">
        <v>128</v>
      </c>
    </row>
    <row r="95" spans="1:20" hidden="1" x14ac:dyDescent="0.3">
      <c r="A95">
        <v>1106</v>
      </c>
      <c r="B95">
        <v>655</v>
      </c>
      <c r="C95">
        <v>279</v>
      </c>
      <c r="D95">
        <v>3</v>
      </c>
      <c r="E95">
        <v>190000</v>
      </c>
      <c r="F95">
        <v>115000</v>
      </c>
      <c r="G95">
        <v>0</v>
      </c>
      <c r="H95">
        <v>0</v>
      </c>
      <c r="I95">
        <v>0</v>
      </c>
      <c r="J95">
        <v>20000</v>
      </c>
      <c r="K95">
        <v>30000</v>
      </c>
      <c r="L95">
        <v>14000</v>
      </c>
      <c r="M95">
        <v>0</v>
      </c>
      <c r="N95">
        <v>12000</v>
      </c>
      <c r="O95">
        <v>0</v>
      </c>
      <c r="P95">
        <v>81000</v>
      </c>
      <c r="Q95" t="s">
        <v>37</v>
      </c>
      <c r="R95">
        <v>191000</v>
      </c>
      <c r="S95">
        <v>81000</v>
      </c>
      <c r="T95">
        <v>128</v>
      </c>
    </row>
    <row r="96" spans="1:20" hidden="1" x14ac:dyDescent="0.3">
      <c r="A96">
        <v>1136</v>
      </c>
      <c r="B96">
        <v>655</v>
      </c>
      <c r="C96">
        <v>283</v>
      </c>
      <c r="D96">
        <v>4</v>
      </c>
      <c r="E96">
        <v>190000</v>
      </c>
      <c r="F96">
        <v>115000</v>
      </c>
      <c r="G96">
        <v>0</v>
      </c>
      <c r="H96">
        <v>90000</v>
      </c>
      <c r="I96">
        <v>125000</v>
      </c>
      <c r="J96">
        <v>30000</v>
      </c>
      <c r="K96">
        <v>30000</v>
      </c>
      <c r="L96">
        <v>15000</v>
      </c>
      <c r="M96">
        <v>20125</v>
      </c>
      <c r="N96">
        <v>0</v>
      </c>
      <c r="O96">
        <v>0</v>
      </c>
      <c r="P96">
        <v>25875</v>
      </c>
      <c r="Q96" t="s">
        <v>37</v>
      </c>
      <c r="R96">
        <v>335125</v>
      </c>
      <c r="S96">
        <v>25875</v>
      </c>
      <c r="T96">
        <v>128</v>
      </c>
    </row>
    <row r="97" spans="1:20" hidden="1" x14ac:dyDescent="0.3">
      <c r="A97">
        <v>1069</v>
      </c>
      <c r="B97">
        <v>658</v>
      </c>
      <c r="C97">
        <v>266</v>
      </c>
      <c r="D97">
        <v>0</v>
      </c>
      <c r="E97">
        <v>75000</v>
      </c>
      <c r="F97">
        <v>40000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5000</v>
      </c>
      <c r="Q97" t="s">
        <v>38</v>
      </c>
      <c r="R97">
        <v>40000</v>
      </c>
      <c r="S97">
        <v>5000</v>
      </c>
      <c r="T97">
        <v>124</v>
      </c>
    </row>
    <row r="98" spans="1:20" hidden="1" x14ac:dyDescent="0.3">
      <c r="A98">
        <v>1073</v>
      </c>
      <c r="B98">
        <v>658</v>
      </c>
      <c r="C98">
        <v>273</v>
      </c>
      <c r="D98">
        <v>1</v>
      </c>
      <c r="E98">
        <v>75000</v>
      </c>
      <c r="F98">
        <v>40000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40000</v>
      </c>
      <c r="Q98" t="s">
        <v>38</v>
      </c>
      <c r="R98">
        <v>40000</v>
      </c>
      <c r="S98">
        <v>40000</v>
      </c>
      <c r="T98">
        <v>124</v>
      </c>
    </row>
    <row r="99" spans="1:20" hidden="1" x14ac:dyDescent="0.3">
      <c r="A99">
        <v>1057</v>
      </c>
      <c r="B99">
        <v>659</v>
      </c>
      <c r="C99">
        <v>266</v>
      </c>
      <c r="D99">
        <v>0</v>
      </c>
      <c r="E99">
        <v>110000</v>
      </c>
      <c r="F99">
        <v>60000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30000</v>
      </c>
      <c r="Q99" t="s">
        <v>39</v>
      </c>
      <c r="R99">
        <v>60000</v>
      </c>
      <c r="S99">
        <v>30000</v>
      </c>
      <c r="T99">
        <v>126</v>
      </c>
    </row>
    <row r="100" spans="1:20" hidden="1" x14ac:dyDescent="0.3">
      <c r="A100">
        <v>1074</v>
      </c>
      <c r="B100">
        <v>659</v>
      </c>
      <c r="C100">
        <v>273</v>
      </c>
      <c r="D100">
        <v>1</v>
      </c>
      <c r="E100">
        <v>110000</v>
      </c>
      <c r="F100">
        <v>60000</v>
      </c>
      <c r="G100">
        <v>0</v>
      </c>
      <c r="H100">
        <v>0</v>
      </c>
      <c r="I100">
        <v>0</v>
      </c>
      <c r="J100">
        <v>15000</v>
      </c>
      <c r="K100">
        <v>16000</v>
      </c>
      <c r="L100">
        <v>18000</v>
      </c>
      <c r="M100">
        <v>8000</v>
      </c>
      <c r="N100">
        <v>0</v>
      </c>
      <c r="O100">
        <v>0</v>
      </c>
      <c r="P100">
        <v>23000</v>
      </c>
      <c r="Q100" t="s">
        <v>39</v>
      </c>
      <c r="R100">
        <v>117000</v>
      </c>
      <c r="S100">
        <v>23000</v>
      </c>
      <c r="T100">
        <v>126</v>
      </c>
    </row>
    <row r="101" spans="1:20" hidden="1" x14ac:dyDescent="0.3">
      <c r="A101">
        <v>1117</v>
      </c>
      <c r="B101">
        <v>659</v>
      </c>
      <c r="C101">
        <v>280</v>
      </c>
      <c r="D101">
        <v>2</v>
      </c>
      <c r="E101">
        <v>110000</v>
      </c>
      <c r="F101">
        <v>60000</v>
      </c>
      <c r="G101">
        <v>0</v>
      </c>
      <c r="H101">
        <v>0</v>
      </c>
      <c r="I101">
        <v>0</v>
      </c>
      <c r="J101">
        <v>15000</v>
      </c>
      <c r="K101">
        <v>16000</v>
      </c>
      <c r="L101">
        <v>15000</v>
      </c>
      <c r="M101">
        <v>9500</v>
      </c>
      <c r="N101">
        <v>0</v>
      </c>
      <c r="O101">
        <v>0</v>
      </c>
      <c r="P101">
        <v>17500</v>
      </c>
      <c r="Q101" t="s">
        <v>39</v>
      </c>
      <c r="R101">
        <v>115500</v>
      </c>
      <c r="S101">
        <v>17500</v>
      </c>
      <c r="T101">
        <v>126</v>
      </c>
    </row>
    <row r="102" spans="1:20" hidden="1" x14ac:dyDescent="0.3">
      <c r="A102">
        <v>1142</v>
      </c>
      <c r="B102">
        <v>659</v>
      </c>
      <c r="C102">
        <v>284</v>
      </c>
      <c r="D102">
        <v>3</v>
      </c>
      <c r="E102">
        <v>110000</v>
      </c>
      <c r="F102">
        <v>60000</v>
      </c>
      <c r="G102">
        <v>0</v>
      </c>
      <c r="H102">
        <v>0</v>
      </c>
      <c r="I102">
        <v>0</v>
      </c>
      <c r="J102">
        <v>15000</v>
      </c>
      <c r="K102">
        <v>16000</v>
      </c>
      <c r="L102">
        <v>0</v>
      </c>
      <c r="M102">
        <v>3200</v>
      </c>
      <c r="N102">
        <v>0</v>
      </c>
      <c r="O102">
        <v>4000</v>
      </c>
      <c r="P102">
        <v>29300</v>
      </c>
      <c r="Q102" t="s">
        <v>39</v>
      </c>
      <c r="R102">
        <v>98200</v>
      </c>
      <c r="S102">
        <v>29300</v>
      </c>
      <c r="T102">
        <v>126</v>
      </c>
    </row>
    <row r="103" spans="1:20" hidden="1" x14ac:dyDescent="0.3">
      <c r="A103">
        <v>1150</v>
      </c>
      <c r="B103">
        <v>659</v>
      </c>
      <c r="C103">
        <v>285</v>
      </c>
      <c r="D103">
        <v>4</v>
      </c>
      <c r="E103">
        <v>110000</v>
      </c>
      <c r="F103">
        <v>60000</v>
      </c>
      <c r="G103">
        <v>0</v>
      </c>
      <c r="H103">
        <v>88000</v>
      </c>
      <c r="I103">
        <v>30000</v>
      </c>
      <c r="J103">
        <v>30000</v>
      </c>
      <c r="K103">
        <v>17000</v>
      </c>
      <c r="L103">
        <v>0</v>
      </c>
      <c r="M103">
        <v>0</v>
      </c>
      <c r="N103">
        <v>0</v>
      </c>
      <c r="O103">
        <v>0</v>
      </c>
      <c r="P103">
        <v>90300</v>
      </c>
      <c r="Q103" t="s">
        <v>39</v>
      </c>
      <c r="R103">
        <v>137000</v>
      </c>
      <c r="S103">
        <v>90300</v>
      </c>
      <c r="T103">
        <v>126</v>
      </c>
    </row>
    <row r="104" spans="1:20" hidden="1" x14ac:dyDescent="0.3">
      <c r="A104">
        <v>1058</v>
      </c>
      <c r="B104">
        <v>660</v>
      </c>
      <c r="C104">
        <v>266</v>
      </c>
      <c r="D104">
        <v>0</v>
      </c>
      <c r="E104">
        <v>60000</v>
      </c>
      <c r="F104">
        <v>30000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40</v>
      </c>
      <c r="R104">
        <v>30000</v>
      </c>
      <c r="S104">
        <v>0</v>
      </c>
      <c r="T104">
        <v>123</v>
      </c>
    </row>
    <row r="105" spans="1:20" hidden="1" x14ac:dyDescent="0.3">
      <c r="A105">
        <v>1072</v>
      </c>
      <c r="B105">
        <v>660</v>
      </c>
      <c r="C105">
        <v>273</v>
      </c>
      <c r="D105">
        <v>1</v>
      </c>
      <c r="E105">
        <v>60000</v>
      </c>
      <c r="F105">
        <v>30000</v>
      </c>
      <c r="G105">
        <v>0</v>
      </c>
      <c r="H105">
        <v>0</v>
      </c>
      <c r="I105">
        <v>0</v>
      </c>
      <c r="J105">
        <v>15000</v>
      </c>
      <c r="K105">
        <v>8000</v>
      </c>
      <c r="L105">
        <v>0</v>
      </c>
      <c r="M105">
        <v>1600</v>
      </c>
      <c r="N105">
        <v>0</v>
      </c>
      <c r="O105">
        <v>0</v>
      </c>
      <c r="P105">
        <v>5400</v>
      </c>
      <c r="Q105" t="s">
        <v>40</v>
      </c>
      <c r="R105">
        <v>54600</v>
      </c>
      <c r="S105">
        <v>5400</v>
      </c>
      <c r="T105">
        <v>123</v>
      </c>
    </row>
    <row r="106" spans="1:20" hidden="1" x14ac:dyDescent="0.3">
      <c r="A106">
        <v>1120</v>
      </c>
      <c r="B106">
        <v>660</v>
      </c>
      <c r="C106">
        <v>280</v>
      </c>
      <c r="D106">
        <v>2</v>
      </c>
      <c r="E106">
        <v>60000</v>
      </c>
      <c r="F106">
        <v>30000</v>
      </c>
      <c r="G106">
        <v>0</v>
      </c>
      <c r="H106">
        <v>0</v>
      </c>
      <c r="I106">
        <v>0</v>
      </c>
      <c r="J106">
        <v>15000</v>
      </c>
      <c r="K106">
        <v>8000</v>
      </c>
      <c r="L106">
        <v>8000</v>
      </c>
      <c r="M106">
        <v>0</v>
      </c>
      <c r="N106">
        <v>0</v>
      </c>
      <c r="O106">
        <v>0</v>
      </c>
      <c r="P106">
        <v>4400</v>
      </c>
      <c r="Q106" t="s">
        <v>40</v>
      </c>
      <c r="R106">
        <v>61000</v>
      </c>
      <c r="S106">
        <v>4400</v>
      </c>
      <c r="T106">
        <v>123</v>
      </c>
    </row>
    <row r="107" spans="1:20" hidden="1" x14ac:dyDescent="0.3">
      <c r="A107">
        <v>1144</v>
      </c>
      <c r="B107">
        <v>660</v>
      </c>
      <c r="C107">
        <v>284</v>
      </c>
      <c r="D107">
        <v>3</v>
      </c>
      <c r="E107">
        <v>60000</v>
      </c>
      <c r="F107">
        <v>30000</v>
      </c>
      <c r="G107">
        <v>0</v>
      </c>
      <c r="H107">
        <v>0</v>
      </c>
      <c r="I107">
        <v>0</v>
      </c>
      <c r="J107">
        <v>15000</v>
      </c>
      <c r="K107">
        <v>8000</v>
      </c>
      <c r="L107">
        <v>6000</v>
      </c>
      <c r="M107">
        <v>0</v>
      </c>
      <c r="N107">
        <v>0</v>
      </c>
      <c r="O107">
        <v>4000</v>
      </c>
      <c r="P107">
        <v>1400</v>
      </c>
      <c r="Q107" t="s">
        <v>40</v>
      </c>
      <c r="R107">
        <v>63000</v>
      </c>
      <c r="S107">
        <v>1400</v>
      </c>
      <c r="T107">
        <v>123</v>
      </c>
    </row>
    <row r="108" spans="1:20" hidden="1" x14ac:dyDescent="0.3">
      <c r="A108">
        <v>1151</v>
      </c>
      <c r="B108">
        <v>660</v>
      </c>
      <c r="C108">
        <v>285</v>
      </c>
      <c r="D108">
        <v>4</v>
      </c>
      <c r="E108">
        <v>60000</v>
      </c>
      <c r="F108">
        <v>30000</v>
      </c>
      <c r="G108">
        <v>0</v>
      </c>
      <c r="H108">
        <v>0</v>
      </c>
      <c r="I108">
        <v>0</v>
      </c>
      <c r="J108">
        <v>20000</v>
      </c>
      <c r="K108">
        <v>8000</v>
      </c>
      <c r="L108">
        <v>0</v>
      </c>
      <c r="M108">
        <v>2000</v>
      </c>
      <c r="N108">
        <v>0</v>
      </c>
      <c r="O108">
        <v>4000</v>
      </c>
      <c r="P108">
        <v>-2600</v>
      </c>
      <c r="Q108" t="s">
        <v>40</v>
      </c>
      <c r="R108">
        <v>64000</v>
      </c>
      <c r="S108">
        <v>-2600</v>
      </c>
      <c r="T108">
        <v>123</v>
      </c>
    </row>
    <row r="109" spans="1:20" hidden="1" x14ac:dyDescent="0.3">
      <c r="A109">
        <v>1059</v>
      </c>
      <c r="B109">
        <v>661</v>
      </c>
      <c r="C109">
        <v>266</v>
      </c>
      <c r="D109">
        <v>0</v>
      </c>
      <c r="E109">
        <v>90000</v>
      </c>
      <c r="F109">
        <v>50000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15000</v>
      </c>
      <c r="Q109" t="s">
        <v>41</v>
      </c>
      <c r="R109">
        <v>50000</v>
      </c>
      <c r="S109">
        <v>15000</v>
      </c>
      <c r="T109">
        <v>125</v>
      </c>
    </row>
    <row r="110" spans="1:20" hidden="1" x14ac:dyDescent="0.3">
      <c r="A110">
        <v>1076</v>
      </c>
      <c r="B110">
        <v>661</v>
      </c>
      <c r="C110">
        <v>273</v>
      </c>
      <c r="D110">
        <v>1</v>
      </c>
      <c r="E110">
        <v>90000</v>
      </c>
      <c r="F110">
        <v>50000</v>
      </c>
      <c r="G110">
        <v>0</v>
      </c>
      <c r="H110">
        <v>0</v>
      </c>
      <c r="I110">
        <v>0</v>
      </c>
      <c r="J110">
        <v>15000</v>
      </c>
      <c r="K110">
        <v>10000</v>
      </c>
      <c r="L110">
        <v>6000</v>
      </c>
      <c r="M110">
        <v>7000</v>
      </c>
      <c r="N110">
        <v>0</v>
      </c>
      <c r="O110">
        <v>0</v>
      </c>
      <c r="P110">
        <v>17000</v>
      </c>
      <c r="Q110" t="s">
        <v>41</v>
      </c>
      <c r="R110">
        <v>88000</v>
      </c>
      <c r="S110">
        <v>17000</v>
      </c>
      <c r="T110">
        <v>125</v>
      </c>
    </row>
    <row r="111" spans="1:20" hidden="1" x14ac:dyDescent="0.3">
      <c r="A111">
        <v>1118</v>
      </c>
      <c r="B111">
        <v>661</v>
      </c>
      <c r="C111">
        <v>280</v>
      </c>
      <c r="D111">
        <v>2</v>
      </c>
      <c r="E111">
        <v>90000</v>
      </c>
      <c r="F111">
        <v>50000</v>
      </c>
      <c r="G111">
        <v>0</v>
      </c>
      <c r="H111">
        <v>0</v>
      </c>
      <c r="I111">
        <v>0</v>
      </c>
      <c r="J111">
        <v>15000</v>
      </c>
      <c r="K111">
        <v>10000</v>
      </c>
      <c r="L111">
        <v>8000</v>
      </c>
      <c r="M111">
        <v>7000</v>
      </c>
      <c r="N111">
        <v>0</v>
      </c>
      <c r="O111">
        <v>0</v>
      </c>
      <c r="P111">
        <v>17000</v>
      </c>
      <c r="Q111" t="s">
        <v>41</v>
      </c>
      <c r="R111">
        <v>90000</v>
      </c>
      <c r="S111">
        <v>17000</v>
      </c>
      <c r="T111">
        <v>125</v>
      </c>
    </row>
    <row r="112" spans="1:20" hidden="1" x14ac:dyDescent="0.3">
      <c r="A112">
        <v>1141</v>
      </c>
      <c r="B112">
        <v>661</v>
      </c>
      <c r="C112">
        <v>284</v>
      </c>
      <c r="D112">
        <v>3</v>
      </c>
      <c r="E112">
        <v>90000</v>
      </c>
      <c r="F112">
        <v>50000</v>
      </c>
      <c r="G112">
        <v>0</v>
      </c>
      <c r="H112">
        <v>0</v>
      </c>
      <c r="I112">
        <v>0</v>
      </c>
      <c r="J112">
        <v>15000</v>
      </c>
      <c r="K112">
        <v>10000</v>
      </c>
      <c r="L112">
        <v>0</v>
      </c>
      <c r="M112">
        <v>0</v>
      </c>
      <c r="N112">
        <v>0</v>
      </c>
      <c r="O112">
        <v>4000</v>
      </c>
      <c r="P112">
        <v>28000</v>
      </c>
      <c r="Q112" t="s">
        <v>41</v>
      </c>
      <c r="R112">
        <v>79000</v>
      </c>
      <c r="S112">
        <v>28000</v>
      </c>
      <c r="T112">
        <v>125</v>
      </c>
    </row>
    <row r="113" spans="1:20" hidden="1" x14ac:dyDescent="0.3">
      <c r="A113">
        <v>1148</v>
      </c>
      <c r="B113">
        <v>661</v>
      </c>
      <c r="C113">
        <v>285</v>
      </c>
      <c r="D113">
        <v>4</v>
      </c>
      <c r="E113">
        <v>90000</v>
      </c>
      <c r="F113">
        <v>50000</v>
      </c>
      <c r="G113">
        <v>0</v>
      </c>
      <c r="H113">
        <v>0</v>
      </c>
      <c r="I113">
        <v>0</v>
      </c>
      <c r="J113">
        <v>30000</v>
      </c>
      <c r="K113">
        <v>10000</v>
      </c>
      <c r="L113">
        <v>8000</v>
      </c>
      <c r="M113">
        <v>0</v>
      </c>
      <c r="N113">
        <v>0</v>
      </c>
      <c r="O113">
        <v>0</v>
      </c>
      <c r="P113">
        <v>20000</v>
      </c>
      <c r="Q113" t="s">
        <v>41</v>
      </c>
      <c r="R113">
        <v>98000</v>
      </c>
      <c r="S113">
        <v>20000</v>
      </c>
      <c r="T113">
        <v>125</v>
      </c>
    </row>
    <row r="114" spans="1:20" hidden="1" x14ac:dyDescent="0.3">
      <c r="A114">
        <v>1068</v>
      </c>
      <c r="B114">
        <v>662</v>
      </c>
      <c r="C114">
        <v>266</v>
      </c>
      <c r="D114">
        <v>0</v>
      </c>
      <c r="E114">
        <v>130000</v>
      </c>
      <c r="F114">
        <v>75000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50000</v>
      </c>
      <c r="Q114" t="s">
        <v>42</v>
      </c>
      <c r="R114">
        <v>75000</v>
      </c>
      <c r="S114">
        <v>50000</v>
      </c>
      <c r="T114">
        <v>127</v>
      </c>
    </row>
    <row r="115" spans="1:20" hidden="1" x14ac:dyDescent="0.3">
      <c r="A115">
        <v>1075</v>
      </c>
      <c r="B115">
        <v>662</v>
      </c>
      <c r="C115">
        <v>273</v>
      </c>
      <c r="D115">
        <v>1</v>
      </c>
      <c r="E115">
        <v>130000</v>
      </c>
      <c r="F115">
        <v>75000</v>
      </c>
      <c r="G115">
        <v>0</v>
      </c>
      <c r="H115">
        <v>0</v>
      </c>
      <c r="I115">
        <v>0</v>
      </c>
      <c r="J115">
        <v>15000</v>
      </c>
      <c r="K115">
        <v>20000</v>
      </c>
      <c r="L115">
        <v>24000</v>
      </c>
      <c r="M115">
        <v>0</v>
      </c>
      <c r="N115">
        <v>0</v>
      </c>
      <c r="O115">
        <v>0</v>
      </c>
      <c r="P115">
        <v>46000</v>
      </c>
      <c r="Q115" t="s">
        <v>42</v>
      </c>
      <c r="R115">
        <v>134000</v>
      </c>
      <c r="S115">
        <v>46000</v>
      </c>
      <c r="T115">
        <v>127</v>
      </c>
    </row>
    <row r="116" spans="1:20" hidden="1" x14ac:dyDescent="0.3">
      <c r="A116">
        <v>1116</v>
      </c>
      <c r="B116">
        <v>662</v>
      </c>
      <c r="C116">
        <v>280</v>
      </c>
      <c r="D116">
        <v>2</v>
      </c>
      <c r="E116">
        <v>130000</v>
      </c>
      <c r="F116">
        <v>75000</v>
      </c>
      <c r="G116">
        <v>0</v>
      </c>
      <c r="H116">
        <v>0</v>
      </c>
      <c r="I116">
        <v>0</v>
      </c>
      <c r="J116">
        <v>15000</v>
      </c>
      <c r="K116">
        <v>20000</v>
      </c>
      <c r="L116">
        <v>8000</v>
      </c>
      <c r="M116">
        <v>10000</v>
      </c>
      <c r="N116">
        <v>0</v>
      </c>
      <c r="O116">
        <v>0</v>
      </c>
      <c r="P116">
        <v>48000</v>
      </c>
      <c r="Q116" t="s">
        <v>42</v>
      </c>
      <c r="R116">
        <v>128000</v>
      </c>
      <c r="S116">
        <v>48000</v>
      </c>
      <c r="T116">
        <v>127</v>
      </c>
    </row>
    <row r="117" spans="1:20" hidden="1" x14ac:dyDescent="0.3">
      <c r="A117">
        <v>1145</v>
      </c>
      <c r="B117">
        <v>662</v>
      </c>
      <c r="C117">
        <v>284</v>
      </c>
      <c r="D117">
        <v>3</v>
      </c>
      <c r="E117">
        <v>130000</v>
      </c>
      <c r="F117">
        <v>75000</v>
      </c>
      <c r="G117">
        <v>0</v>
      </c>
      <c r="H117">
        <v>0</v>
      </c>
      <c r="I117">
        <v>0</v>
      </c>
      <c r="J117">
        <v>15000</v>
      </c>
      <c r="K117">
        <v>20000</v>
      </c>
      <c r="L117">
        <v>1000</v>
      </c>
      <c r="M117">
        <v>0</v>
      </c>
      <c r="N117">
        <v>0</v>
      </c>
      <c r="O117">
        <v>4000</v>
      </c>
      <c r="P117">
        <v>63000</v>
      </c>
      <c r="Q117" t="s">
        <v>42</v>
      </c>
      <c r="R117">
        <v>115000</v>
      </c>
      <c r="S117">
        <v>63000</v>
      </c>
      <c r="T117">
        <v>127</v>
      </c>
    </row>
    <row r="118" spans="1:20" hidden="1" x14ac:dyDescent="0.3">
      <c r="A118">
        <v>1149</v>
      </c>
      <c r="B118">
        <v>662</v>
      </c>
      <c r="C118">
        <v>285</v>
      </c>
      <c r="D118">
        <v>4</v>
      </c>
      <c r="E118">
        <v>130000</v>
      </c>
      <c r="F118">
        <v>75000</v>
      </c>
      <c r="G118">
        <v>0</v>
      </c>
      <c r="H118">
        <v>0</v>
      </c>
      <c r="I118">
        <v>0</v>
      </c>
      <c r="J118">
        <v>30000</v>
      </c>
      <c r="K118">
        <v>20000</v>
      </c>
      <c r="L118">
        <v>0</v>
      </c>
      <c r="M118">
        <v>15500</v>
      </c>
      <c r="N118">
        <v>0</v>
      </c>
      <c r="O118">
        <v>0</v>
      </c>
      <c r="P118">
        <v>52500</v>
      </c>
      <c r="Q118" t="s">
        <v>42</v>
      </c>
      <c r="R118">
        <v>140500</v>
      </c>
      <c r="S118">
        <v>52500</v>
      </c>
      <c r="T118">
        <v>127</v>
      </c>
    </row>
    <row r="119" spans="1:20" hidden="1" x14ac:dyDescent="0.3">
      <c r="A119">
        <v>1060</v>
      </c>
      <c r="B119">
        <v>663</v>
      </c>
      <c r="C119">
        <v>266</v>
      </c>
      <c r="D119">
        <v>0</v>
      </c>
      <c r="E119">
        <v>190000</v>
      </c>
      <c r="F119">
        <v>115000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80000</v>
      </c>
      <c r="Q119" t="s">
        <v>43</v>
      </c>
      <c r="R119">
        <v>115000</v>
      </c>
      <c r="S119">
        <v>80000</v>
      </c>
      <c r="T119">
        <v>128</v>
      </c>
    </row>
    <row r="120" spans="1:20" hidden="1" x14ac:dyDescent="0.3">
      <c r="A120">
        <v>1071</v>
      </c>
      <c r="B120">
        <v>663</v>
      </c>
      <c r="C120">
        <v>273</v>
      </c>
      <c r="D120">
        <v>1</v>
      </c>
      <c r="E120">
        <v>190000</v>
      </c>
      <c r="F120">
        <v>115000</v>
      </c>
      <c r="G120">
        <v>0</v>
      </c>
      <c r="H120">
        <v>0</v>
      </c>
      <c r="I120">
        <v>0</v>
      </c>
      <c r="J120">
        <v>15000</v>
      </c>
      <c r="K120">
        <v>30000</v>
      </c>
      <c r="L120">
        <v>24000</v>
      </c>
      <c r="M120">
        <v>21000</v>
      </c>
      <c r="N120">
        <v>0</v>
      </c>
      <c r="O120">
        <v>0</v>
      </c>
      <c r="P120">
        <v>65000</v>
      </c>
      <c r="Q120" t="s">
        <v>43</v>
      </c>
      <c r="R120">
        <v>205000</v>
      </c>
      <c r="S120">
        <v>65000</v>
      </c>
      <c r="T120">
        <v>128</v>
      </c>
    </row>
    <row r="121" spans="1:20" hidden="1" x14ac:dyDescent="0.3">
      <c r="A121">
        <v>1119</v>
      </c>
      <c r="B121">
        <v>663</v>
      </c>
      <c r="C121">
        <v>280</v>
      </c>
      <c r="D121">
        <v>2</v>
      </c>
      <c r="E121">
        <v>190000</v>
      </c>
      <c r="F121">
        <v>115000</v>
      </c>
      <c r="G121">
        <v>0</v>
      </c>
      <c r="H121">
        <v>0</v>
      </c>
      <c r="I121">
        <v>0</v>
      </c>
      <c r="J121">
        <v>15000</v>
      </c>
      <c r="K121">
        <v>30000</v>
      </c>
      <c r="L121">
        <v>1000</v>
      </c>
      <c r="M121">
        <v>17000</v>
      </c>
      <c r="N121">
        <v>0</v>
      </c>
      <c r="O121">
        <v>4000</v>
      </c>
      <c r="P121">
        <v>73000</v>
      </c>
      <c r="Q121" t="s">
        <v>43</v>
      </c>
      <c r="R121">
        <v>182000</v>
      </c>
      <c r="S121">
        <v>73000</v>
      </c>
      <c r="T121">
        <v>128</v>
      </c>
    </row>
    <row r="122" spans="1:20" hidden="1" x14ac:dyDescent="0.3">
      <c r="A122">
        <v>1143</v>
      </c>
      <c r="B122">
        <v>663</v>
      </c>
      <c r="C122">
        <v>284</v>
      </c>
      <c r="D122">
        <v>3</v>
      </c>
      <c r="E122">
        <v>190000</v>
      </c>
      <c r="F122">
        <v>115000</v>
      </c>
      <c r="G122">
        <v>0</v>
      </c>
      <c r="H122">
        <v>0</v>
      </c>
      <c r="I122">
        <v>0</v>
      </c>
      <c r="J122">
        <v>15000</v>
      </c>
      <c r="K122">
        <v>30000</v>
      </c>
      <c r="L122">
        <v>0</v>
      </c>
      <c r="M122">
        <v>0</v>
      </c>
      <c r="N122">
        <v>0</v>
      </c>
      <c r="O122">
        <v>4000</v>
      </c>
      <c r="P122">
        <v>99000</v>
      </c>
      <c r="Q122" t="s">
        <v>43</v>
      </c>
      <c r="R122">
        <v>164000</v>
      </c>
      <c r="S122">
        <v>99000</v>
      </c>
      <c r="T122">
        <v>128</v>
      </c>
    </row>
    <row r="123" spans="1:20" hidden="1" x14ac:dyDescent="0.3">
      <c r="A123">
        <v>1147</v>
      </c>
      <c r="B123">
        <v>663</v>
      </c>
      <c r="C123">
        <v>285</v>
      </c>
      <c r="D123">
        <v>4</v>
      </c>
      <c r="E123">
        <v>190000</v>
      </c>
      <c r="F123">
        <v>115000</v>
      </c>
      <c r="G123">
        <v>0</v>
      </c>
      <c r="H123">
        <v>90000</v>
      </c>
      <c r="I123">
        <v>125000</v>
      </c>
      <c r="J123">
        <v>30000</v>
      </c>
      <c r="K123">
        <v>30000</v>
      </c>
      <c r="L123">
        <v>0</v>
      </c>
      <c r="M123">
        <v>0</v>
      </c>
      <c r="N123">
        <v>0</v>
      </c>
      <c r="O123">
        <v>0</v>
      </c>
      <c r="P123">
        <v>79000</v>
      </c>
      <c r="Q123" t="s">
        <v>43</v>
      </c>
      <c r="R123">
        <v>300000</v>
      </c>
      <c r="S123">
        <v>79000</v>
      </c>
      <c r="T123">
        <v>128</v>
      </c>
    </row>
    <row r="124" spans="1:20" hidden="1" x14ac:dyDescent="0.3">
      <c r="A124">
        <v>1056</v>
      </c>
      <c r="B124">
        <v>664</v>
      </c>
      <c r="C124">
        <v>266</v>
      </c>
      <c r="D124">
        <v>0</v>
      </c>
      <c r="E124">
        <v>110000</v>
      </c>
      <c r="F124">
        <v>60000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30000</v>
      </c>
      <c r="Q124" t="s">
        <v>44</v>
      </c>
      <c r="R124">
        <v>60000</v>
      </c>
      <c r="S124">
        <v>30000</v>
      </c>
      <c r="T124">
        <v>126</v>
      </c>
    </row>
    <row r="125" spans="1:20" hidden="1" x14ac:dyDescent="0.3">
      <c r="A125">
        <v>1070</v>
      </c>
      <c r="B125">
        <v>664</v>
      </c>
      <c r="C125">
        <v>273</v>
      </c>
      <c r="D125">
        <v>1</v>
      </c>
      <c r="E125">
        <v>110000</v>
      </c>
      <c r="F125">
        <v>60000</v>
      </c>
      <c r="G125">
        <v>0</v>
      </c>
      <c r="H125">
        <v>0</v>
      </c>
      <c r="I125">
        <v>30000</v>
      </c>
      <c r="J125">
        <v>15000</v>
      </c>
      <c r="K125">
        <v>17000</v>
      </c>
      <c r="L125">
        <v>0</v>
      </c>
      <c r="M125">
        <v>0</v>
      </c>
      <c r="N125">
        <v>0</v>
      </c>
      <c r="O125">
        <v>0</v>
      </c>
      <c r="P125">
        <v>18000</v>
      </c>
      <c r="Q125" t="s">
        <v>44</v>
      </c>
      <c r="R125">
        <v>122000</v>
      </c>
      <c r="S125">
        <v>18000</v>
      </c>
      <c r="T125">
        <v>126</v>
      </c>
    </row>
    <row r="126" spans="1:20" hidden="1" x14ac:dyDescent="0.3">
      <c r="A126">
        <v>1115</v>
      </c>
      <c r="B126">
        <v>664</v>
      </c>
      <c r="C126">
        <v>280</v>
      </c>
      <c r="D126">
        <v>2</v>
      </c>
      <c r="E126">
        <v>110000</v>
      </c>
      <c r="F126">
        <v>60000</v>
      </c>
      <c r="G126">
        <v>0</v>
      </c>
      <c r="H126">
        <v>0</v>
      </c>
      <c r="I126">
        <v>0</v>
      </c>
      <c r="J126">
        <v>15000</v>
      </c>
      <c r="K126">
        <v>17000</v>
      </c>
      <c r="L126">
        <v>24000</v>
      </c>
      <c r="M126">
        <v>0</v>
      </c>
      <c r="N126">
        <v>0</v>
      </c>
      <c r="O126">
        <v>0</v>
      </c>
      <c r="P126">
        <v>12000</v>
      </c>
      <c r="Q126" t="s">
        <v>44</v>
      </c>
      <c r="R126">
        <v>116000</v>
      </c>
      <c r="S126">
        <v>12000</v>
      </c>
      <c r="T126">
        <v>126</v>
      </c>
    </row>
    <row r="127" spans="1:20" hidden="1" x14ac:dyDescent="0.3">
      <c r="A127">
        <v>1140</v>
      </c>
      <c r="B127">
        <v>664</v>
      </c>
      <c r="C127">
        <v>284</v>
      </c>
      <c r="D127">
        <v>3</v>
      </c>
      <c r="E127">
        <v>110000</v>
      </c>
      <c r="F127">
        <v>60000</v>
      </c>
      <c r="G127">
        <v>0</v>
      </c>
      <c r="H127">
        <v>0</v>
      </c>
      <c r="I127">
        <v>0</v>
      </c>
      <c r="J127">
        <v>15000</v>
      </c>
      <c r="K127">
        <v>17000</v>
      </c>
      <c r="L127">
        <v>1000</v>
      </c>
      <c r="M127">
        <v>5000</v>
      </c>
      <c r="N127">
        <v>0</v>
      </c>
      <c r="O127">
        <v>4000</v>
      </c>
      <c r="P127">
        <v>20000</v>
      </c>
      <c r="Q127" t="s">
        <v>44</v>
      </c>
      <c r="R127">
        <v>102000</v>
      </c>
      <c r="S127">
        <v>20000</v>
      </c>
      <c r="T127">
        <v>126</v>
      </c>
    </row>
    <row r="128" spans="1:20" hidden="1" x14ac:dyDescent="0.3">
      <c r="A128">
        <v>1146</v>
      </c>
      <c r="B128">
        <v>664</v>
      </c>
      <c r="C128">
        <v>285</v>
      </c>
      <c r="D128">
        <v>4</v>
      </c>
      <c r="E128">
        <v>110000</v>
      </c>
      <c r="F128">
        <v>60000</v>
      </c>
      <c r="G128">
        <v>0</v>
      </c>
      <c r="H128">
        <v>121000</v>
      </c>
      <c r="I128">
        <v>130000</v>
      </c>
      <c r="J128">
        <v>20000</v>
      </c>
      <c r="K128">
        <v>17000</v>
      </c>
      <c r="L128">
        <v>0</v>
      </c>
      <c r="M128">
        <v>5500</v>
      </c>
      <c r="N128">
        <v>0</v>
      </c>
      <c r="O128">
        <v>4000</v>
      </c>
      <c r="P128">
        <v>14500</v>
      </c>
      <c r="Q128" t="s">
        <v>44</v>
      </c>
      <c r="R128">
        <v>236500</v>
      </c>
      <c r="S128">
        <v>14500</v>
      </c>
      <c r="T128">
        <v>126</v>
      </c>
    </row>
    <row r="129" spans="1:20" hidden="1" x14ac:dyDescent="0.3">
      <c r="A129">
        <v>1153</v>
      </c>
      <c r="B129">
        <v>666</v>
      </c>
      <c r="C129">
        <v>289</v>
      </c>
      <c r="D129">
        <v>0</v>
      </c>
      <c r="E129">
        <v>75000</v>
      </c>
      <c r="F129">
        <v>40000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5000</v>
      </c>
      <c r="Q129" t="s">
        <v>45</v>
      </c>
      <c r="R129">
        <v>40000</v>
      </c>
      <c r="S129">
        <v>5000</v>
      </c>
      <c r="T129">
        <v>124</v>
      </c>
    </row>
    <row r="130" spans="1:20" hidden="1" x14ac:dyDescent="0.3">
      <c r="A130">
        <v>1182</v>
      </c>
      <c r="B130">
        <v>666</v>
      </c>
      <c r="C130">
        <v>291</v>
      </c>
      <c r="D130">
        <v>1</v>
      </c>
      <c r="E130">
        <v>75000</v>
      </c>
      <c r="F130">
        <v>40000</v>
      </c>
      <c r="G130">
        <v>0</v>
      </c>
      <c r="H130">
        <v>0</v>
      </c>
      <c r="I130">
        <v>0</v>
      </c>
      <c r="J130">
        <v>20000</v>
      </c>
      <c r="K130">
        <v>7000</v>
      </c>
      <c r="L130">
        <v>1000</v>
      </c>
      <c r="M130">
        <v>3500</v>
      </c>
      <c r="N130">
        <v>12000</v>
      </c>
      <c r="O130">
        <v>4000</v>
      </c>
      <c r="P130">
        <v>-7500</v>
      </c>
      <c r="Q130" t="s">
        <v>45</v>
      </c>
      <c r="R130">
        <v>87500</v>
      </c>
      <c r="S130">
        <v>-7500</v>
      </c>
      <c r="T130">
        <v>124</v>
      </c>
    </row>
    <row r="131" spans="1:20" hidden="1" x14ac:dyDescent="0.3">
      <c r="A131">
        <v>1225</v>
      </c>
      <c r="B131">
        <v>666</v>
      </c>
      <c r="C131">
        <v>297</v>
      </c>
      <c r="D131">
        <v>2</v>
      </c>
      <c r="E131">
        <v>75000</v>
      </c>
      <c r="F131">
        <v>40000</v>
      </c>
      <c r="G131">
        <v>7500</v>
      </c>
      <c r="H131">
        <v>0</v>
      </c>
      <c r="I131">
        <v>0</v>
      </c>
      <c r="J131">
        <v>20000</v>
      </c>
      <c r="K131">
        <v>7000</v>
      </c>
      <c r="L131">
        <v>0</v>
      </c>
      <c r="M131">
        <v>0</v>
      </c>
      <c r="N131">
        <v>24000</v>
      </c>
      <c r="O131">
        <v>4000</v>
      </c>
      <c r="P131">
        <v>-27500</v>
      </c>
      <c r="Q131" t="s">
        <v>45</v>
      </c>
      <c r="R131">
        <v>95000</v>
      </c>
      <c r="S131">
        <v>-27500</v>
      </c>
      <c r="T131">
        <v>124</v>
      </c>
    </row>
    <row r="132" spans="1:20" hidden="1" x14ac:dyDescent="0.3">
      <c r="A132">
        <v>1246</v>
      </c>
      <c r="B132">
        <v>666</v>
      </c>
      <c r="C132">
        <v>301</v>
      </c>
      <c r="D132">
        <v>3</v>
      </c>
      <c r="E132">
        <v>75000</v>
      </c>
      <c r="F132">
        <v>40000</v>
      </c>
      <c r="G132">
        <v>27500</v>
      </c>
      <c r="H132">
        <v>0</v>
      </c>
      <c r="I132">
        <v>0</v>
      </c>
      <c r="J132">
        <v>20000</v>
      </c>
      <c r="K132">
        <v>7000</v>
      </c>
      <c r="L132">
        <v>0</v>
      </c>
      <c r="M132">
        <v>0</v>
      </c>
      <c r="N132">
        <v>12000</v>
      </c>
      <c r="O132">
        <v>4000</v>
      </c>
      <c r="P132">
        <v>-35500</v>
      </c>
      <c r="Q132" t="s">
        <v>45</v>
      </c>
      <c r="R132">
        <v>83000</v>
      </c>
      <c r="S132">
        <v>-35500</v>
      </c>
      <c r="T132">
        <v>124</v>
      </c>
    </row>
    <row r="133" spans="1:20" hidden="1" x14ac:dyDescent="0.3">
      <c r="A133">
        <v>1268</v>
      </c>
      <c r="B133">
        <v>666</v>
      </c>
      <c r="C133">
        <v>304</v>
      </c>
      <c r="D133">
        <v>4</v>
      </c>
      <c r="E133">
        <v>75000</v>
      </c>
      <c r="F133">
        <v>40000</v>
      </c>
      <c r="G133">
        <v>35000</v>
      </c>
      <c r="H133">
        <v>0</v>
      </c>
      <c r="I133">
        <v>0</v>
      </c>
      <c r="J133">
        <v>20000</v>
      </c>
      <c r="K133">
        <v>7000</v>
      </c>
      <c r="L133">
        <v>0</v>
      </c>
      <c r="M133">
        <v>0</v>
      </c>
      <c r="N133">
        <v>8000</v>
      </c>
      <c r="O133">
        <v>4000</v>
      </c>
      <c r="P133">
        <v>-39500</v>
      </c>
      <c r="Q133" t="s">
        <v>45</v>
      </c>
      <c r="R133">
        <v>79000</v>
      </c>
      <c r="S133">
        <v>-39500</v>
      </c>
      <c r="T133">
        <v>124</v>
      </c>
    </row>
    <row r="134" spans="1:20" hidden="1" x14ac:dyDescent="0.3">
      <c r="A134">
        <v>1152</v>
      </c>
      <c r="B134">
        <v>667</v>
      </c>
      <c r="C134">
        <v>289</v>
      </c>
      <c r="D134">
        <v>0</v>
      </c>
      <c r="E134">
        <v>110000</v>
      </c>
      <c r="F134">
        <v>60000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30000</v>
      </c>
      <c r="Q134" t="s">
        <v>46</v>
      </c>
      <c r="R134">
        <v>60000</v>
      </c>
      <c r="S134">
        <v>30000</v>
      </c>
      <c r="T134">
        <v>126</v>
      </c>
    </row>
    <row r="135" spans="1:20" hidden="1" x14ac:dyDescent="0.3">
      <c r="A135">
        <v>1201</v>
      </c>
      <c r="B135">
        <v>667</v>
      </c>
      <c r="C135">
        <v>291</v>
      </c>
      <c r="D135">
        <v>1</v>
      </c>
      <c r="E135">
        <v>110000</v>
      </c>
      <c r="F135">
        <v>60000</v>
      </c>
      <c r="G135">
        <v>0</v>
      </c>
      <c r="H135">
        <v>0</v>
      </c>
      <c r="I135">
        <v>30000</v>
      </c>
      <c r="J135">
        <v>15000</v>
      </c>
      <c r="K135">
        <v>17000</v>
      </c>
      <c r="L135">
        <v>0</v>
      </c>
      <c r="M135">
        <v>10000</v>
      </c>
      <c r="N135">
        <v>4000</v>
      </c>
      <c r="O135">
        <v>4000</v>
      </c>
      <c r="P135">
        <v>0</v>
      </c>
      <c r="Q135" t="s">
        <v>46</v>
      </c>
      <c r="R135">
        <v>140000</v>
      </c>
      <c r="S135">
        <v>0</v>
      </c>
      <c r="T135">
        <v>126</v>
      </c>
    </row>
    <row r="136" spans="1:20" hidden="1" x14ac:dyDescent="0.3">
      <c r="A136">
        <v>1226</v>
      </c>
      <c r="B136">
        <v>667</v>
      </c>
      <c r="C136">
        <v>297</v>
      </c>
      <c r="D136">
        <v>2</v>
      </c>
      <c r="E136">
        <v>110000</v>
      </c>
      <c r="F136">
        <v>60000</v>
      </c>
      <c r="G136">
        <v>0</v>
      </c>
      <c r="H136">
        <v>0</v>
      </c>
      <c r="I136">
        <v>0</v>
      </c>
      <c r="J136">
        <v>15000</v>
      </c>
      <c r="K136">
        <v>17000</v>
      </c>
      <c r="L136">
        <v>8000</v>
      </c>
      <c r="M136">
        <v>0</v>
      </c>
      <c r="N136">
        <v>8000</v>
      </c>
      <c r="O136">
        <v>4000</v>
      </c>
      <c r="P136">
        <v>-2000</v>
      </c>
      <c r="Q136" t="s">
        <v>46</v>
      </c>
      <c r="R136">
        <v>112000</v>
      </c>
      <c r="S136">
        <v>-2000</v>
      </c>
      <c r="T136">
        <v>126</v>
      </c>
    </row>
    <row r="137" spans="1:20" hidden="1" x14ac:dyDescent="0.3">
      <c r="A137">
        <v>1251</v>
      </c>
      <c r="B137">
        <v>667</v>
      </c>
      <c r="C137">
        <v>301</v>
      </c>
      <c r="D137">
        <v>3</v>
      </c>
      <c r="E137">
        <v>110000</v>
      </c>
      <c r="F137">
        <v>60000</v>
      </c>
      <c r="G137">
        <v>2000</v>
      </c>
      <c r="H137">
        <v>0</v>
      </c>
      <c r="I137">
        <v>0</v>
      </c>
      <c r="J137">
        <v>15000</v>
      </c>
      <c r="K137">
        <v>17000</v>
      </c>
      <c r="L137">
        <v>7000</v>
      </c>
      <c r="M137">
        <v>0</v>
      </c>
      <c r="N137">
        <v>0</v>
      </c>
      <c r="O137">
        <v>4000</v>
      </c>
      <c r="P137">
        <v>5000</v>
      </c>
      <c r="Q137" t="s">
        <v>46</v>
      </c>
      <c r="R137">
        <v>103000</v>
      </c>
      <c r="S137">
        <v>5000</v>
      </c>
      <c r="T137">
        <v>126</v>
      </c>
    </row>
    <row r="138" spans="1:20" hidden="1" x14ac:dyDescent="0.3">
      <c r="A138">
        <v>1272</v>
      </c>
      <c r="B138">
        <v>667</v>
      </c>
      <c r="C138">
        <v>304</v>
      </c>
      <c r="D138">
        <v>4</v>
      </c>
      <c r="E138">
        <v>110000</v>
      </c>
      <c r="F138">
        <v>60000</v>
      </c>
      <c r="G138">
        <v>0</v>
      </c>
      <c r="H138">
        <v>0</v>
      </c>
      <c r="I138">
        <v>0</v>
      </c>
      <c r="J138">
        <v>30000</v>
      </c>
      <c r="K138">
        <v>17000</v>
      </c>
      <c r="L138">
        <v>0</v>
      </c>
      <c r="M138">
        <v>0</v>
      </c>
      <c r="N138">
        <v>0</v>
      </c>
      <c r="O138">
        <v>4000</v>
      </c>
      <c r="P138">
        <v>4000</v>
      </c>
      <c r="Q138" t="s">
        <v>46</v>
      </c>
      <c r="R138">
        <v>111000</v>
      </c>
      <c r="S138">
        <v>4000</v>
      </c>
      <c r="T138">
        <v>126</v>
      </c>
    </row>
    <row r="139" spans="1:20" hidden="1" x14ac:dyDescent="0.3">
      <c r="A139">
        <v>1186</v>
      </c>
      <c r="B139">
        <v>668</v>
      </c>
      <c r="C139">
        <v>289</v>
      </c>
      <c r="D139">
        <v>0</v>
      </c>
      <c r="E139">
        <v>60000</v>
      </c>
      <c r="F139">
        <v>30000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47</v>
      </c>
      <c r="R139">
        <v>30000</v>
      </c>
      <c r="S139">
        <v>0</v>
      </c>
      <c r="T139">
        <v>123</v>
      </c>
    </row>
    <row r="140" spans="1:20" hidden="1" x14ac:dyDescent="0.3">
      <c r="A140">
        <v>1187</v>
      </c>
      <c r="B140">
        <v>668</v>
      </c>
      <c r="C140">
        <v>291</v>
      </c>
      <c r="D140">
        <v>1</v>
      </c>
      <c r="E140">
        <v>60000</v>
      </c>
      <c r="F140">
        <v>30000</v>
      </c>
      <c r="G140">
        <v>0</v>
      </c>
      <c r="H140">
        <v>0</v>
      </c>
      <c r="I140">
        <v>0</v>
      </c>
      <c r="J140">
        <v>20000</v>
      </c>
      <c r="K140">
        <v>7000</v>
      </c>
      <c r="L140">
        <v>0</v>
      </c>
      <c r="M140">
        <v>0</v>
      </c>
      <c r="N140">
        <v>16000</v>
      </c>
      <c r="O140">
        <v>4000</v>
      </c>
      <c r="P140">
        <v>-17000</v>
      </c>
      <c r="Q140" t="s">
        <v>47</v>
      </c>
      <c r="R140">
        <v>77000</v>
      </c>
      <c r="S140">
        <v>-17000</v>
      </c>
      <c r="T140">
        <v>123</v>
      </c>
    </row>
    <row r="141" spans="1:20" hidden="1" x14ac:dyDescent="0.3">
      <c r="A141">
        <v>1220</v>
      </c>
      <c r="B141">
        <v>668</v>
      </c>
      <c r="C141">
        <v>297</v>
      </c>
      <c r="D141">
        <v>2</v>
      </c>
      <c r="E141">
        <v>60000</v>
      </c>
      <c r="F141">
        <v>30000</v>
      </c>
      <c r="G141">
        <v>17000</v>
      </c>
      <c r="H141">
        <v>0</v>
      </c>
      <c r="I141">
        <v>0</v>
      </c>
      <c r="J141">
        <v>20000</v>
      </c>
      <c r="K141">
        <v>7000</v>
      </c>
      <c r="L141">
        <v>0</v>
      </c>
      <c r="M141">
        <v>0</v>
      </c>
      <c r="N141">
        <v>24000</v>
      </c>
      <c r="O141">
        <v>4000</v>
      </c>
      <c r="P141">
        <v>-42000</v>
      </c>
      <c r="Q141" t="s">
        <v>47</v>
      </c>
      <c r="R141">
        <v>85000</v>
      </c>
      <c r="S141">
        <v>-42000</v>
      </c>
      <c r="T141">
        <v>123</v>
      </c>
    </row>
    <row r="142" spans="1:20" hidden="1" x14ac:dyDescent="0.3">
      <c r="A142">
        <v>1250</v>
      </c>
      <c r="B142">
        <v>668</v>
      </c>
      <c r="C142">
        <v>301</v>
      </c>
      <c r="D142">
        <v>3</v>
      </c>
      <c r="E142">
        <v>60000</v>
      </c>
      <c r="F142">
        <v>30000</v>
      </c>
      <c r="G142">
        <v>30000</v>
      </c>
      <c r="H142">
        <v>0</v>
      </c>
      <c r="I142">
        <v>0</v>
      </c>
      <c r="J142">
        <v>20000</v>
      </c>
      <c r="K142">
        <v>7000</v>
      </c>
      <c r="L142">
        <v>0</v>
      </c>
      <c r="M142">
        <v>0</v>
      </c>
      <c r="N142">
        <v>12000</v>
      </c>
      <c r="O142">
        <v>4000</v>
      </c>
      <c r="P142">
        <v>-55000</v>
      </c>
      <c r="Q142" t="s">
        <v>47</v>
      </c>
      <c r="R142">
        <v>73000</v>
      </c>
      <c r="S142">
        <v>-55000</v>
      </c>
      <c r="T142">
        <v>123</v>
      </c>
    </row>
    <row r="143" spans="1:20" hidden="1" x14ac:dyDescent="0.3">
      <c r="A143">
        <v>1276</v>
      </c>
      <c r="B143">
        <v>668</v>
      </c>
      <c r="C143">
        <v>304</v>
      </c>
      <c r="D143">
        <v>4</v>
      </c>
      <c r="E143">
        <v>60000</v>
      </c>
      <c r="F143">
        <v>30000</v>
      </c>
      <c r="G143">
        <v>30000</v>
      </c>
      <c r="H143">
        <v>0</v>
      </c>
      <c r="I143">
        <v>0</v>
      </c>
      <c r="J143">
        <v>20000</v>
      </c>
      <c r="K143">
        <v>7000</v>
      </c>
      <c r="L143">
        <v>0</v>
      </c>
      <c r="M143">
        <v>0</v>
      </c>
      <c r="N143">
        <v>8000</v>
      </c>
      <c r="O143">
        <v>4000</v>
      </c>
      <c r="P143">
        <v>-64000</v>
      </c>
      <c r="Q143" t="s">
        <v>47</v>
      </c>
      <c r="R143">
        <v>69000</v>
      </c>
      <c r="S143">
        <v>-64000</v>
      </c>
      <c r="T143">
        <v>123</v>
      </c>
    </row>
    <row r="144" spans="1:20" hidden="1" x14ac:dyDescent="0.3">
      <c r="A144">
        <v>1159</v>
      </c>
      <c r="B144">
        <v>669</v>
      </c>
      <c r="C144">
        <v>289</v>
      </c>
      <c r="D144">
        <v>0</v>
      </c>
      <c r="E144">
        <v>90000</v>
      </c>
      <c r="F144">
        <v>50000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15000</v>
      </c>
      <c r="Q144" t="s">
        <v>48</v>
      </c>
      <c r="R144">
        <v>50000</v>
      </c>
      <c r="S144">
        <v>15000</v>
      </c>
      <c r="T144">
        <v>125</v>
      </c>
    </row>
    <row r="145" spans="1:20" hidden="1" x14ac:dyDescent="0.3">
      <c r="A145">
        <v>1188</v>
      </c>
      <c r="B145">
        <v>669</v>
      </c>
      <c r="C145">
        <v>291</v>
      </c>
      <c r="D145">
        <v>1</v>
      </c>
      <c r="E145">
        <v>90000</v>
      </c>
      <c r="F145">
        <v>50000</v>
      </c>
      <c r="G145">
        <v>0</v>
      </c>
      <c r="H145">
        <v>0</v>
      </c>
      <c r="I145">
        <v>0</v>
      </c>
      <c r="J145">
        <v>15000</v>
      </c>
      <c r="K145">
        <v>10000</v>
      </c>
      <c r="L145">
        <v>6000</v>
      </c>
      <c r="M145">
        <v>4500</v>
      </c>
      <c r="N145">
        <v>4000</v>
      </c>
      <c r="O145">
        <v>4000</v>
      </c>
      <c r="P145">
        <v>11500</v>
      </c>
      <c r="Q145" t="s">
        <v>48</v>
      </c>
      <c r="R145">
        <v>93500</v>
      </c>
      <c r="S145">
        <v>11500</v>
      </c>
      <c r="T145">
        <v>125</v>
      </c>
    </row>
    <row r="146" spans="1:20" hidden="1" x14ac:dyDescent="0.3">
      <c r="A146">
        <v>1224</v>
      </c>
      <c r="B146">
        <v>669</v>
      </c>
      <c r="C146">
        <v>297</v>
      </c>
      <c r="D146">
        <v>2</v>
      </c>
      <c r="E146">
        <v>90000</v>
      </c>
      <c r="F146">
        <v>50000</v>
      </c>
      <c r="G146">
        <v>0</v>
      </c>
      <c r="H146">
        <v>0</v>
      </c>
      <c r="I146">
        <v>0</v>
      </c>
      <c r="J146">
        <v>15000</v>
      </c>
      <c r="K146">
        <v>10000</v>
      </c>
      <c r="L146">
        <v>8000</v>
      </c>
      <c r="M146">
        <v>0</v>
      </c>
      <c r="N146">
        <v>12000</v>
      </c>
      <c r="O146">
        <v>4000</v>
      </c>
      <c r="P146">
        <v>2500</v>
      </c>
      <c r="Q146" t="s">
        <v>48</v>
      </c>
      <c r="R146">
        <v>99000</v>
      </c>
      <c r="S146">
        <v>2500</v>
      </c>
      <c r="T146">
        <v>125</v>
      </c>
    </row>
    <row r="147" spans="1:20" hidden="1" x14ac:dyDescent="0.3">
      <c r="A147">
        <v>1247</v>
      </c>
      <c r="B147">
        <v>669</v>
      </c>
      <c r="C147">
        <v>301</v>
      </c>
      <c r="D147">
        <v>3</v>
      </c>
      <c r="E147">
        <v>90000</v>
      </c>
      <c r="F147">
        <v>50000</v>
      </c>
      <c r="G147">
        <v>0</v>
      </c>
      <c r="H147">
        <v>0</v>
      </c>
      <c r="I147">
        <v>0</v>
      </c>
      <c r="J147">
        <v>15000</v>
      </c>
      <c r="K147">
        <v>10000</v>
      </c>
      <c r="L147">
        <v>8000</v>
      </c>
      <c r="M147">
        <v>0</v>
      </c>
      <c r="N147">
        <v>0</v>
      </c>
      <c r="O147">
        <v>4000</v>
      </c>
      <c r="P147">
        <v>5500</v>
      </c>
      <c r="Q147" t="s">
        <v>48</v>
      </c>
      <c r="R147">
        <v>87000</v>
      </c>
      <c r="S147">
        <v>5500</v>
      </c>
      <c r="T147">
        <v>125</v>
      </c>
    </row>
    <row r="148" spans="1:20" hidden="1" x14ac:dyDescent="0.3">
      <c r="A148">
        <v>1265</v>
      </c>
      <c r="B148">
        <v>669</v>
      </c>
      <c r="C148">
        <v>304</v>
      </c>
      <c r="D148">
        <v>4</v>
      </c>
      <c r="E148">
        <v>90000</v>
      </c>
      <c r="F148">
        <v>50000</v>
      </c>
      <c r="G148">
        <v>0</v>
      </c>
      <c r="H148">
        <v>0</v>
      </c>
      <c r="I148">
        <v>0</v>
      </c>
      <c r="J148">
        <v>30000</v>
      </c>
      <c r="K148">
        <v>10000</v>
      </c>
      <c r="L148">
        <v>0</v>
      </c>
      <c r="M148">
        <v>0</v>
      </c>
      <c r="N148">
        <v>0</v>
      </c>
      <c r="O148">
        <v>4000</v>
      </c>
      <c r="P148">
        <v>1500</v>
      </c>
      <c r="Q148" t="s">
        <v>48</v>
      </c>
      <c r="R148">
        <v>94000</v>
      </c>
      <c r="S148">
        <v>1500</v>
      </c>
      <c r="T148">
        <v>125</v>
      </c>
    </row>
    <row r="149" spans="1:20" hidden="1" x14ac:dyDescent="0.3">
      <c r="A149">
        <v>1155</v>
      </c>
      <c r="B149">
        <v>670</v>
      </c>
      <c r="C149">
        <v>289</v>
      </c>
      <c r="D149">
        <v>0</v>
      </c>
      <c r="E149">
        <v>130000</v>
      </c>
      <c r="F149">
        <v>75000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50000</v>
      </c>
      <c r="Q149" t="s">
        <v>49</v>
      </c>
      <c r="R149">
        <v>75000</v>
      </c>
      <c r="S149">
        <v>50000</v>
      </c>
      <c r="T149">
        <v>127</v>
      </c>
    </row>
    <row r="150" spans="1:20" hidden="1" x14ac:dyDescent="0.3">
      <c r="A150">
        <v>1185</v>
      </c>
      <c r="B150">
        <v>670</v>
      </c>
      <c r="C150">
        <v>291</v>
      </c>
      <c r="D150">
        <v>1</v>
      </c>
      <c r="E150">
        <v>130000</v>
      </c>
      <c r="F150">
        <v>75000</v>
      </c>
      <c r="G150">
        <v>0</v>
      </c>
      <c r="H150">
        <v>0</v>
      </c>
      <c r="I150">
        <v>0</v>
      </c>
      <c r="J150">
        <v>20000</v>
      </c>
      <c r="K150">
        <v>16000</v>
      </c>
      <c r="L150">
        <v>8000</v>
      </c>
      <c r="M150">
        <v>8000</v>
      </c>
      <c r="N150">
        <v>0</v>
      </c>
      <c r="O150">
        <v>4000</v>
      </c>
      <c r="P150">
        <v>49000</v>
      </c>
      <c r="Q150" t="s">
        <v>49</v>
      </c>
      <c r="R150">
        <v>131000</v>
      </c>
      <c r="S150">
        <v>49000</v>
      </c>
      <c r="T150">
        <v>127</v>
      </c>
    </row>
    <row r="151" spans="1:20" hidden="1" x14ac:dyDescent="0.3">
      <c r="A151">
        <v>1221</v>
      </c>
      <c r="B151">
        <v>670</v>
      </c>
      <c r="C151">
        <v>297</v>
      </c>
      <c r="D151">
        <v>2</v>
      </c>
      <c r="E151">
        <v>130000</v>
      </c>
      <c r="F151">
        <v>75000</v>
      </c>
      <c r="G151">
        <v>0</v>
      </c>
      <c r="H151">
        <v>0</v>
      </c>
      <c r="I151">
        <v>0</v>
      </c>
      <c r="J151">
        <v>20000</v>
      </c>
      <c r="K151">
        <v>16000</v>
      </c>
      <c r="L151">
        <v>14000</v>
      </c>
      <c r="M151">
        <v>7200</v>
      </c>
      <c r="N151">
        <v>12000</v>
      </c>
      <c r="O151">
        <v>4000</v>
      </c>
      <c r="P151">
        <v>30800</v>
      </c>
      <c r="Q151" t="s">
        <v>49</v>
      </c>
      <c r="R151">
        <v>148200</v>
      </c>
      <c r="S151">
        <v>30800</v>
      </c>
      <c r="T151">
        <v>127</v>
      </c>
    </row>
    <row r="152" spans="1:20" hidden="1" x14ac:dyDescent="0.3">
      <c r="A152">
        <v>1248</v>
      </c>
      <c r="B152">
        <v>670</v>
      </c>
      <c r="C152">
        <v>301</v>
      </c>
      <c r="D152">
        <v>3</v>
      </c>
      <c r="E152">
        <v>130000</v>
      </c>
      <c r="F152">
        <v>75000</v>
      </c>
      <c r="G152">
        <v>0</v>
      </c>
      <c r="H152">
        <v>0</v>
      </c>
      <c r="I152">
        <v>0</v>
      </c>
      <c r="J152">
        <v>20000</v>
      </c>
      <c r="K152">
        <v>16000</v>
      </c>
      <c r="L152">
        <v>11000</v>
      </c>
      <c r="M152">
        <v>6500</v>
      </c>
      <c r="N152">
        <v>0</v>
      </c>
      <c r="O152">
        <v>4000</v>
      </c>
      <c r="P152">
        <v>28300</v>
      </c>
      <c r="Q152" t="s">
        <v>49</v>
      </c>
      <c r="R152">
        <v>132500</v>
      </c>
      <c r="S152">
        <v>28300</v>
      </c>
      <c r="T152">
        <v>127</v>
      </c>
    </row>
    <row r="153" spans="1:20" hidden="1" x14ac:dyDescent="0.3">
      <c r="A153">
        <v>1267</v>
      </c>
      <c r="B153">
        <v>670</v>
      </c>
      <c r="C153">
        <v>304</v>
      </c>
      <c r="D153">
        <v>4</v>
      </c>
      <c r="E153">
        <v>130000</v>
      </c>
      <c r="F153">
        <v>75000</v>
      </c>
      <c r="G153">
        <v>0</v>
      </c>
      <c r="H153">
        <v>0</v>
      </c>
      <c r="I153">
        <v>0</v>
      </c>
      <c r="J153">
        <v>20000</v>
      </c>
      <c r="K153">
        <v>16000</v>
      </c>
      <c r="L153">
        <v>0</v>
      </c>
      <c r="M153">
        <v>0</v>
      </c>
      <c r="N153">
        <v>0</v>
      </c>
      <c r="O153">
        <v>4000</v>
      </c>
      <c r="P153">
        <v>43300</v>
      </c>
      <c r="Q153" t="s">
        <v>49</v>
      </c>
      <c r="R153">
        <v>115000</v>
      </c>
      <c r="S153">
        <v>43300</v>
      </c>
      <c r="T153">
        <v>127</v>
      </c>
    </row>
    <row r="154" spans="1:20" hidden="1" x14ac:dyDescent="0.3">
      <c r="A154">
        <v>1171</v>
      </c>
      <c r="B154">
        <v>671</v>
      </c>
      <c r="C154">
        <v>289</v>
      </c>
      <c r="D154">
        <v>0</v>
      </c>
      <c r="E154">
        <v>190000</v>
      </c>
      <c r="F154">
        <v>115000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80000</v>
      </c>
      <c r="Q154" t="s">
        <v>50</v>
      </c>
      <c r="R154">
        <v>115000</v>
      </c>
      <c r="S154">
        <v>80000</v>
      </c>
      <c r="T154">
        <v>128</v>
      </c>
    </row>
    <row r="155" spans="1:20" hidden="1" x14ac:dyDescent="0.3">
      <c r="A155">
        <v>1181</v>
      </c>
      <c r="B155">
        <v>671</v>
      </c>
      <c r="C155">
        <v>291</v>
      </c>
      <c r="D155">
        <v>1</v>
      </c>
      <c r="E155">
        <v>190000</v>
      </c>
      <c r="F155">
        <v>115000</v>
      </c>
      <c r="G155">
        <v>0</v>
      </c>
      <c r="H155">
        <v>0</v>
      </c>
      <c r="I155">
        <v>0</v>
      </c>
      <c r="J155">
        <v>20000</v>
      </c>
      <c r="K155">
        <v>30000</v>
      </c>
      <c r="L155">
        <v>32000</v>
      </c>
      <c r="M155">
        <v>15500</v>
      </c>
      <c r="N155">
        <v>0</v>
      </c>
      <c r="O155">
        <v>4000</v>
      </c>
      <c r="P155">
        <v>53500</v>
      </c>
      <c r="Q155" t="s">
        <v>50</v>
      </c>
      <c r="R155">
        <v>216500</v>
      </c>
      <c r="S155">
        <v>53500</v>
      </c>
      <c r="T155">
        <v>128</v>
      </c>
    </row>
    <row r="156" spans="1:20" hidden="1" x14ac:dyDescent="0.3">
      <c r="A156">
        <v>1223</v>
      </c>
      <c r="B156">
        <v>671</v>
      </c>
      <c r="C156">
        <v>297</v>
      </c>
      <c r="D156">
        <v>2</v>
      </c>
      <c r="E156">
        <v>190000</v>
      </c>
      <c r="F156">
        <v>115000</v>
      </c>
      <c r="G156">
        <v>0</v>
      </c>
      <c r="H156">
        <v>0</v>
      </c>
      <c r="I156">
        <v>0</v>
      </c>
      <c r="J156">
        <v>20000</v>
      </c>
      <c r="K156">
        <v>30000</v>
      </c>
      <c r="L156">
        <v>0</v>
      </c>
      <c r="M156">
        <v>15000</v>
      </c>
      <c r="N156">
        <v>12000</v>
      </c>
      <c r="O156">
        <v>4000</v>
      </c>
      <c r="P156">
        <v>47500</v>
      </c>
      <c r="Q156" t="s">
        <v>50</v>
      </c>
      <c r="R156">
        <v>196000</v>
      </c>
      <c r="S156">
        <v>47500</v>
      </c>
      <c r="T156">
        <v>128</v>
      </c>
    </row>
    <row r="157" spans="1:20" hidden="1" x14ac:dyDescent="0.3">
      <c r="A157">
        <v>1245</v>
      </c>
      <c r="B157">
        <v>671</v>
      </c>
      <c r="C157">
        <v>301</v>
      </c>
      <c r="D157">
        <v>3</v>
      </c>
      <c r="E157">
        <v>190000</v>
      </c>
      <c r="F157">
        <v>115000</v>
      </c>
      <c r="G157">
        <v>0</v>
      </c>
      <c r="H157">
        <v>0</v>
      </c>
      <c r="I157">
        <v>0</v>
      </c>
      <c r="J157">
        <v>20000</v>
      </c>
      <c r="K157">
        <v>30000</v>
      </c>
      <c r="L157">
        <v>1000</v>
      </c>
      <c r="M157">
        <v>7500</v>
      </c>
      <c r="N157">
        <v>0</v>
      </c>
      <c r="O157">
        <v>4000</v>
      </c>
      <c r="P157">
        <v>60000</v>
      </c>
      <c r="Q157" t="s">
        <v>50</v>
      </c>
      <c r="R157">
        <v>177500</v>
      </c>
      <c r="S157">
        <v>60000</v>
      </c>
      <c r="T157">
        <v>128</v>
      </c>
    </row>
    <row r="158" spans="1:20" hidden="1" x14ac:dyDescent="0.3">
      <c r="A158">
        <v>1266</v>
      </c>
      <c r="B158">
        <v>671</v>
      </c>
      <c r="C158">
        <v>304</v>
      </c>
      <c r="D158">
        <v>4</v>
      </c>
      <c r="E158">
        <v>190000</v>
      </c>
      <c r="F158">
        <v>115000</v>
      </c>
      <c r="G158">
        <v>0</v>
      </c>
      <c r="H158">
        <v>90000</v>
      </c>
      <c r="I158">
        <v>125000</v>
      </c>
      <c r="J158">
        <v>30000</v>
      </c>
      <c r="K158">
        <v>30000</v>
      </c>
      <c r="L158">
        <v>14000</v>
      </c>
      <c r="M158">
        <v>0</v>
      </c>
      <c r="N158">
        <v>0</v>
      </c>
      <c r="O158">
        <v>0</v>
      </c>
      <c r="P158">
        <v>26000</v>
      </c>
      <c r="Q158" t="s">
        <v>50</v>
      </c>
      <c r="R158">
        <v>314000</v>
      </c>
      <c r="S158">
        <v>26000</v>
      </c>
      <c r="T158">
        <v>128</v>
      </c>
    </row>
    <row r="159" spans="1:20" hidden="1" x14ac:dyDescent="0.3">
      <c r="A159">
        <v>1156</v>
      </c>
      <c r="B159">
        <v>672</v>
      </c>
      <c r="C159">
        <v>289</v>
      </c>
      <c r="D159">
        <v>0</v>
      </c>
      <c r="E159">
        <v>110000</v>
      </c>
      <c r="F159">
        <v>60000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30000</v>
      </c>
      <c r="Q159" t="s">
        <v>51</v>
      </c>
      <c r="R159">
        <v>60000</v>
      </c>
      <c r="S159">
        <v>30000</v>
      </c>
      <c r="T159">
        <v>126</v>
      </c>
    </row>
    <row r="160" spans="1:20" hidden="1" x14ac:dyDescent="0.3">
      <c r="A160">
        <v>1183</v>
      </c>
      <c r="B160">
        <v>672</v>
      </c>
      <c r="C160">
        <v>291</v>
      </c>
      <c r="D160">
        <v>1</v>
      </c>
      <c r="E160">
        <v>110000</v>
      </c>
      <c r="F160">
        <v>60000</v>
      </c>
      <c r="G160">
        <v>0</v>
      </c>
      <c r="H160">
        <v>0</v>
      </c>
      <c r="I160">
        <v>100000</v>
      </c>
      <c r="J160">
        <v>15000</v>
      </c>
      <c r="K160">
        <v>17000</v>
      </c>
      <c r="L160">
        <v>0</v>
      </c>
      <c r="M160">
        <v>0</v>
      </c>
      <c r="N160">
        <v>4000</v>
      </c>
      <c r="O160">
        <v>4000</v>
      </c>
      <c r="P160">
        <v>-60000</v>
      </c>
      <c r="Q160" t="s">
        <v>51</v>
      </c>
      <c r="R160">
        <v>200000</v>
      </c>
      <c r="S160">
        <v>-60000</v>
      </c>
      <c r="T160">
        <v>126</v>
      </c>
    </row>
    <row r="161" spans="1:20" hidden="1" x14ac:dyDescent="0.3">
      <c r="A161">
        <v>1222</v>
      </c>
      <c r="B161">
        <v>672</v>
      </c>
      <c r="C161">
        <v>297</v>
      </c>
      <c r="D161">
        <v>2</v>
      </c>
      <c r="E161">
        <v>110000</v>
      </c>
      <c r="F161">
        <v>60000</v>
      </c>
      <c r="G161">
        <v>50000</v>
      </c>
      <c r="H161">
        <v>0</v>
      </c>
      <c r="I161">
        <v>0</v>
      </c>
      <c r="J161">
        <v>15000</v>
      </c>
      <c r="K161">
        <v>17000</v>
      </c>
      <c r="L161">
        <v>0</v>
      </c>
      <c r="M161">
        <v>0</v>
      </c>
      <c r="N161">
        <v>12000</v>
      </c>
      <c r="O161">
        <v>4000</v>
      </c>
      <c r="P161">
        <v>-58000</v>
      </c>
      <c r="Q161" t="s">
        <v>51</v>
      </c>
      <c r="R161">
        <v>108000</v>
      </c>
      <c r="S161">
        <v>-58000</v>
      </c>
      <c r="T161">
        <v>126</v>
      </c>
    </row>
    <row r="162" spans="1:20" hidden="1" x14ac:dyDescent="0.3">
      <c r="A162">
        <v>1249</v>
      </c>
      <c r="B162">
        <v>672</v>
      </c>
      <c r="C162">
        <v>301</v>
      </c>
      <c r="D162">
        <v>3</v>
      </c>
      <c r="E162">
        <v>110000</v>
      </c>
      <c r="F162">
        <v>60000</v>
      </c>
      <c r="G162">
        <v>50000</v>
      </c>
      <c r="H162">
        <v>0</v>
      </c>
      <c r="I162">
        <v>0</v>
      </c>
      <c r="J162">
        <v>15000</v>
      </c>
      <c r="K162">
        <v>17000</v>
      </c>
      <c r="L162">
        <v>0</v>
      </c>
      <c r="M162">
        <v>0</v>
      </c>
      <c r="N162">
        <v>0</v>
      </c>
      <c r="O162">
        <v>4000</v>
      </c>
      <c r="P162">
        <v>-44000</v>
      </c>
      <c r="Q162" t="s">
        <v>51</v>
      </c>
      <c r="R162">
        <v>96000</v>
      </c>
      <c r="S162">
        <v>-44000</v>
      </c>
      <c r="T162">
        <v>126</v>
      </c>
    </row>
    <row r="163" spans="1:20" hidden="1" x14ac:dyDescent="0.3">
      <c r="A163">
        <v>1264</v>
      </c>
      <c r="B163">
        <v>672</v>
      </c>
      <c r="C163">
        <v>304</v>
      </c>
      <c r="D163">
        <v>4</v>
      </c>
      <c r="E163">
        <v>110000</v>
      </c>
      <c r="F163">
        <v>60000</v>
      </c>
      <c r="G163">
        <v>44000</v>
      </c>
      <c r="H163">
        <v>0</v>
      </c>
      <c r="I163">
        <v>0</v>
      </c>
      <c r="J163">
        <v>30000</v>
      </c>
      <c r="K163">
        <v>17000</v>
      </c>
      <c r="L163">
        <v>0</v>
      </c>
      <c r="M163">
        <v>0</v>
      </c>
      <c r="N163">
        <v>0</v>
      </c>
      <c r="O163">
        <v>4000</v>
      </c>
      <c r="P163">
        <v>-45000</v>
      </c>
      <c r="Q163" t="s">
        <v>51</v>
      </c>
      <c r="R163">
        <v>111000</v>
      </c>
      <c r="S163">
        <v>-45000</v>
      </c>
      <c r="T163">
        <v>126</v>
      </c>
    </row>
    <row r="164" spans="1:20" hidden="1" x14ac:dyDescent="0.3">
      <c r="A164">
        <v>1162</v>
      </c>
      <c r="B164">
        <v>674</v>
      </c>
      <c r="C164">
        <v>288</v>
      </c>
      <c r="D164">
        <v>0</v>
      </c>
      <c r="E164">
        <v>75000</v>
      </c>
      <c r="F164">
        <v>40000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5000</v>
      </c>
      <c r="Q164" t="s">
        <v>52</v>
      </c>
      <c r="R164">
        <v>40000</v>
      </c>
      <c r="S164">
        <v>5000</v>
      </c>
      <c r="T164">
        <v>124</v>
      </c>
    </row>
    <row r="165" spans="1:20" hidden="1" x14ac:dyDescent="0.3">
      <c r="A165">
        <v>1190</v>
      </c>
      <c r="B165">
        <v>674</v>
      </c>
      <c r="C165">
        <v>292</v>
      </c>
      <c r="D165">
        <v>1</v>
      </c>
      <c r="E165">
        <v>75000</v>
      </c>
      <c r="F165">
        <v>40000</v>
      </c>
      <c r="G165">
        <v>0</v>
      </c>
      <c r="H165">
        <v>0</v>
      </c>
      <c r="I165">
        <v>0</v>
      </c>
      <c r="J165">
        <v>15000</v>
      </c>
      <c r="K165">
        <v>10000</v>
      </c>
      <c r="L165">
        <v>0</v>
      </c>
      <c r="M165">
        <v>7000</v>
      </c>
      <c r="N165">
        <v>0</v>
      </c>
      <c r="O165">
        <v>4000</v>
      </c>
      <c r="P165">
        <v>4000</v>
      </c>
      <c r="Q165" t="s">
        <v>52</v>
      </c>
      <c r="R165">
        <v>76000</v>
      </c>
      <c r="S165">
        <v>4000</v>
      </c>
      <c r="T165">
        <v>124</v>
      </c>
    </row>
    <row r="166" spans="1:20" hidden="1" x14ac:dyDescent="0.3">
      <c r="A166">
        <v>1206</v>
      </c>
      <c r="B166">
        <v>674</v>
      </c>
      <c r="C166">
        <v>294</v>
      </c>
      <c r="D166">
        <v>2</v>
      </c>
      <c r="E166">
        <v>75000</v>
      </c>
      <c r="F166">
        <v>40000</v>
      </c>
      <c r="G166">
        <v>0</v>
      </c>
      <c r="H166">
        <v>0</v>
      </c>
      <c r="I166">
        <v>0</v>
      </c>
      <c r="J166">
        <v>15000</v>
      </c>
      <c r="K166">
        <v>10000</v>
      </c>
      <c r="L166">
        <v>1000</v>
      </c>
      <c r="M166">
        <v>0</v>
      </c>
      <c r="N166">
        <v>0</v>
      </c>
      <c r="O166">
        <v>0</v>
      </c>
      <c r="P166">
        <v>13000</v>
      </c>
      <c r="Q166" t="s">
        <v>52</v>
      </c>
      <c r="R166">
        <v>66000</v>
      </c>
      <c r="S166">
        <v>13000</v>
      </c>
      <c r="T166">
        <v>124</v>
      </c>
    </row>
    <row r="167" spans="1:20" hidden="1" x14ac:dyDescent="0.3">
      <c r="A167">
        <v>1229</v>
      </c>
      <c r="B167">
        <v>674</v>
      </c>
      <c r="C167">
        <v>298</v>
      </c>
      <c r="D167">
        <v>3</v>
      </c>
      <c r="E167">
        <v>75000</v>
      </c>
      <c r="F167">
        <v>40000</v>
      </c>
      <c r="G167">
        <v>0</v>
      </c>
      <c r="H167">
        <v>0</v>
      </c>
      <c r="I167">
        <v>0</v>
      </c>
      <c r="J167">
        <v>15000</v>
      </c>
      <c r="K167">
        <v>10000</v>
      </c>
      <c r="L167">
        <v>14000</v>
      </c>
      <c r="M167">
        <v>0</v>
      </c>
      <c r="N167">
        <v>8000</v>
      </c>
      <c r="O167">
        <v>0</v>
      </c>
      <c r="P167">
        <v>1000</v>
      </c>
      <c r="Q167" t="s">
        <v>52</v>
      </c>
      <c r="R167">
        <v>87000</v>
      </c>
      <c r="S167">
        <v>1000</v>
      </c>
      <c r="T167">
        <v>124</v>
      </c>
    </row>
    <row r="168" spans="1:20" hidden="1" x14ac:dyDescent="0.3">
      <c r="A168">
        <v>1270</v>
      </c>
      <c r="B168">
        <v>674</v>
      </c>
      <c r="C168">
        <v>305</v>
      </c>
      <c r="D168">
        <v>4</v>
      </c>
      <c r="E168">
        <v>75000</v>
      </c>
      <c r="F168">
        <v>40000</v>
      </c>
      <c r="G168">
        <v>0</v>
      </c>
      <c r="H168">
        <v>0</v>
      </c>
      <c r="I168">
        <v>0</v>
      </c>
      <c r="J168">
        <v>30000</v>
      </c>
      <c r="K168">
        <v>10000</v>
      </c>
      <c r="L168">
        <v>0</v>
      </c>
      <c r="M168">
        <v>0</v>
      </c>
      <c r="N168">
        <v>0</v>
      </c>
      <c r="O168">
        <v>0</v>
      </c>
      <c r="P168">
        <v>-4000</v>
      </c>
      <c r="Q168" t="s">
        <v>52</v>
      </c>
      <c r="R168">
        <v>80000</v>
      </c>
      <c r="S168">
        <v>-4000</v>
      </c>
      <c r="T168">
        <v>124</v>
      </c>
    </row>
    <row r="169" spans="1:20" hidden="1" x14ac:dyDescent="0.3">
      <c r="A169">
        <v>1163</v>
      </c>
      <c r="B169">
        <v>675</v>
      </c>
      <c r="C169">
        <v>288</v>
      </c>
      <c r="D169">
        <v>0</v>
      </c>
      <c r="E169">
        <v>110000</v>
      </c>
      <c r="F169">
        <v>60000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30000</v>
      </c>
      <c r="Q169" t="s">
        <v>53</v>
      </c>
      <c r="R169">
        <v>60000</v>
      </c>
      <c r="S169">
        <v>30000</v>
      </c>
      <c r="T169">
        <v>126</v>
      </c>
    </row>
    <row r="170" spans="1:20" hidden="1" x14ac:dyDescent="0.3">
      <c r="A170">
        <v>1193</v>
      </c>
      <c r="B170">
        <v>675</v>
      </c>
      <c r="C170">
        <v>292</v>
      </c>
      <c r="D170">
        <v>1</v>
      </c>
      <c r="E170">
        <v>110000</v>
      </c>
      <c r="F170">
        <v>60000</v>
      </c>
      <c r="G170">
        <v>0</v>
      </c>
      <c r="H170">
        <v>0</v>
      </c>
      <c r="I170">
        <v>30000</v>
      </c>
      <c r="J170">
        <v>15000</v>
      </c>
      <c r="K170">
        <v>17000</v>
      </c>
      <c r="L170">
        <v>8000</v>
      </c>
      <c r="M170">
        <v>4000</v>
      </c>
      <c r="N170">
        <v>0</v>
      </c>
      <c r="O170">
        <v>0</v>
      </c>
      <c r="P170">
        <v>6000</v>
      </c>
      <c r="Q170" t="s">
        <v>53</v>
      </c>
      <c r="R170">
        <v>134000</v>
      </c>
      <c r="S170">
        <v>6000</v>
      </c>
      <c r="T170">
        <v>126</v>
      </c>
    </row>
    <row r="171" spans="1:20" hidden="1" x14ac:dyDescent="0.3">
      <c r="A171">
        <v>1205</v>
      </c>
      <c r="B171">
        <v>675</v>
      </c>
      <c r="C171">
        <v>294</v>
      </c>
      <c r="D171">
        <v>2</v>
      </c>
      <c r="E171">
        <v>110000</v>
      </c>
      <c r="F171">
        <v>60000</v>
      </c>
      <c r="G171">
        <v>0</v>
      </c>
      <c r="H171">
        <v>0</v>
      </c>
      <c r="I171">
        <v>0</v>
      </c>
      <c r="J171">
        <v>15000</v>
      </c>
      <c r="K171">
        <v>17000</v>
      </c>
      <c r="L171">
        <v>7000</v>
      </c>
      <c r="M171">
        <v>0</v>
      </c>
      <c r="N171">
        <v>0</v>
      </c>
      <c r="O171">
        <v>0</v>
      </c>
      <c r="P171">
        <v>17000</v>
      </c>
      <c r="Q171" t="s">
        <v>53</v>
      </c>
      <c r="R171">
        <v>99000</v>
      </c>
      <c r="S171">
        <v>17000</v>
      </c>
      <c r="T171">
        <v>126</v>
      </c>
    </row>
    <row r="172" spans="1:20" hidden="1" x14ac:dyDescent="0.3">
      <c r="A172">
        <v>1230</v>
      </c>
      <c r="B172">
        <v>675</v>
      </c>
      <c r="C172">
        <v>298</v>
      </c>
      <c r="D172">
        <v>3</v>
      </c>
      <c r="E172">
        <v>110000</v>
      </c>
      <c r="F172">
        <v>60000</v>
      </c>
      <c r="G172">
        <v>0</v>
      </c>
      <c r="H172">
        <v>0</v>
      </c>
      <c r="I172">
        <v>0</v>
      </c>
      <c r="J172">
        <v>15000</v>
      </c>
      <c r="K172">
        <v>17000</v>
      </c>
      <c r="L172">
        <v>18000</v>
      </c>
      <c r="M172">
        <v>0</v>
      </c>
      <c r="N172">
        <v>4000</v>
      </c>
      <c r="O172">
        <v>0</v>
      </c>
      <c r="P172">
        <v>13000</v>
      </c>
      <c r="Q172" t="s">
        <v>53</v>
      </c>
      <c r="R172">
        <v>114000</v>
      </c>
      <c r="S172">
        <v>13000</v>
      </c>
      <c r="T172">
        <v>126</v>
      </c>
    </row>
    <row r="173" spans="1:20" hidden="1" x14ac:dyDescent="0.3">
      <c r="A173">
        <v>1271</v>
      </c>
      <c r="B173">
        <v>675</v>
      </c>
      <c r="C173">
        <v>305</v>
      </c>
      <c r="D173">
        <v>4</v>
      </c>
      <c r="E173">
        <v>110000</v>
      </c>
      <c r="F173">
        <v>60000</v>
      </c>
      <c r="G173">
        <v>0</v>
      </c>
      <c r="H173">
        <v>0</v>
      </c>
      <c r="I173">
        <v>0</v>
      </c>
      <c r="J173">
        <v>30000</v>
      </c>
      <c r="K173">
        <v>17000</v>
      </c>
      <c r="L173">
        <v>0</v>
      </c>
      <c r="M173">
        <v>10000</v>
      </c>
      <c r="N173">
        <v>0</v>
      </c>
      <c r="O173">
        <v>0</v>
      </c>
      <c r="P173">
        <v>6000</v>
      </c>
      <c r="Q173" t="s">
        <v>53</v>
      </c>
      <c r="R173">
        <v>117000</v>
      </c>
      <c r="S173">
        <v>6000</v>
      </c>
      <c r="T173">
        <v>126</v>
      </c>
    </row>
    <row r="174" spans="1:20" hidden="1" x14ac:dyDescent="0.3">
      <c r="A174">
        <v>1160</v>
      </c>
      <c r="B174">
        <v>676</v>
      </c>
      <c r="C174">
        <v>288</v>
      </c>
      <c r="D174">
        <v>0</v>
      </c>
      <c r="E174">
        <v>60000</v>
      </c>
      <c r="F174">
        <v>30000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54</v>
      </c>
      <c r="R174">
        <v>30000</v>
      </c>
      <c r="S174">
        <v>0</v>
      </c>
      <c r="T174">
        <v>123</v>
      </c>
    </row>
    <row r="175" spans="1:20" hidden="1" x14ac:dyDescent="0.3">
      <c r="A175">
        <v>1184</v>
      </c>
      <c r="B175">
        <v>676</v>
      </c>
      <c r="C175">
        <v>292</v>
      </c>
      <c r="D175">
        <v>1</v>
      </c>
      <c r="E175">
        <v>60000</v>
      </c>
      <c r="F175">
        <v>30000</v>
      </c>
      <c r="G175">
        <v>0</v>
      </c>
      <c r="H175">
        <v>0</v>
      </c>
      <c r="I175">
        <v>0</v>
      </c>
      <c r="J175">
        <v>20000</v>
      </c>
      <c r="K175">
        <v>8000</v>
      </c>
      <c r="L175">
        <v>0</v>
      </c>
      <c r="M175">
        <v>1600</v>
      </c>
      <c r="N175">
        <v>0</v>
      </c>
      <c r="O175">
        <v>4000</v>
      </c>
      <c r="P175">
        <v>-3600</v>
      </c>
      <c r="Q175" t="s">
        <v>54</v>
      </c>
      <c r="R175">
        <v>63600</v>
      </c>
      <c r="S175">
        <v>-3600</v>
      </c>
      <c r="T175">
        <v>123</v>
      </c>
    </row>
    <row r="176" spans="1:20" hidden="1" x14ac:dyDescent="0.3">
      <c r="A176">
        <v>1207</v>
      </c>
      <c r="B176">
        <v>676</v>
      </c>
      <c r="C176">
        <v>294</v>
      </c>
      <c r="D176">
        <v>2</v>
      </c>
      <c r="E176">
        <v>60000</v>
      </c>
      <c r="F176">
        <v>30000</v>
      </c>
      <c r="G176">
        <v>3600</v>
      </c>
      <c r="H176">
        <v>0</v>
      </c>
      <c r="I176">
        <v>0</v>
      </c>
      <c r="J176">
        <v>20000</v>
      </c>
      <c r="K176">
        <v>8000</v>
      </c>
      <c r="L176">
        <v>0</v>
      </c>
      <c r="M176">
        <v>0</v>
      </c>
      <c r="N176">
        <v>0</v>
      </c>
      <c r="O176">
        <v>4000</v>
      </c>
      <c r="P176">
        <v>-5600</v>
      </c>
      <c r="Q176" t="s">
        <v>54</v>
      </c>
      <c r="R176">
        <v>62000</v>
      </c>
      <c r="S176">
        <v>-5600</v>
      </c>
      <c r="T176">
        <v>123</v>
      </c>
    </row>
    <row r="177" spans="1:20" hidden="1" x14ac:dyDescent="0.3">
      <c r="A177">
        <v>1227</v>
      </c>
      <c r="B177">
        <v>676</v>
      </c>
      <c r="C177">
        <v>298</v>
      </c>
      <c r="D177">
        <v>3</v>
      </c>
      <c r="E177">
        <v>60000</v>
      </c>
      <c r="F177">
        <v>30000</v>
      </c>
      <c r="G177">
        <v>5600</v>
      </c>
      <c r="H177">
        <v>16000</v>
      </c>
      <c r="I177">
        <v>0</v>
      </c>
      <c r="J177">
        <v>20000</v>
      </c>
      <c r="K177">
        <v>8000</v>
      </c>
      <c r="L177">
        <v>6000</v>
      </c>
      <c r="M177">
        <v>2000</v>
      </c>
      <c r="N177">
        <v>8000</v>
      </c>
      <c r="O177">
        <v>4000</v>
      </c>
      <c r="P177">
        <v>-7600</v>
      </c>
      <c r="Q177" t="s">
        <v>54</v>
      </c>
      <c r="R177">
        <v>78000</v>
      </c>
      <c r="S177">
        <v>-7600</v>
      </c>
      <c r="T177">
        <v>123</v>
      </c>
    </row>
    <row r="178" spans="1:20" hidden="1" x14ac:dyDescent="0.3">
      <c r="A178">
        <v>1275</v>
      </c>
      <c r="B178">
        <v>676</v>
      </c>
      <c r="C178">
        <v>305</v>
      </c>
      <c r="D178">
        <v>4</v>
      </c>
      <c r="E178">
        <v>60000</v>
      </c>
      <c r="F178">
        <v>30000</v>
      </c>
      <c r="G178">
        <v>7600</v>
      </c>
      <c r="H178">
        <v>20000</v>
      </c>
      <c r="I178">
        <v>0</v>
      </c>
      <c r="J178">
        <v>20000</v>
      </c>
      <c r="K178">
        <v>8000</v>
      </c>
      <c r="L178">
        <v>9000</v>
      </c>
      <c r="M178">
        <v>0</v>
      </c>
      <c r="N178">
        <v>0</v>
      </c>
      <c r="O178">
        <v>0</v>
      </c>
      <c r="P178">
        <v>5400</v>
      </c>
      <c r="Q178" t="s">
        <v>54</v>
      </c>
      <c r="R178">
        <v>67000</v>
      </c>
      <c r="S178">
        <v>5400</v>
      </c>
      <c r="T178">
        <v>123</v>
      </c>
    </row>
    <row r="179" spans="1:20" hidden="1" x14ac:dyDescent="0.3">
      <c r="A179">
        <v>1161</v>
      </c>
      <c r="B179">
        <v>677</v>
      </c>
      <c r="C179">
        <v>288</v>
      </c>
      <c r="D179">
        <v>0</v>
      </c>
      <c r="E179">
        <v>90000</v>
      </c>
      <c r="F179">
        <v>50000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15000</v>
      </c>
      <c r="Q179" t="s">
        <v>55</v>
      </c>
      <c r="R179">
        <v>50000</v>
      </c>
      <c r="S179">
        <v>15000</v>
      </c>
      <c r="T179">
        <v>125</v>
      </c>
    </row>
    <row r="180" spans="1:20" hidden="1" x14ac:dyDescent="0.3">
      <c r="A180">
        <v>1192</v>
      </c>
      <c r="B180">
        <v>677</v>
      </c>
      <c r="C180">
        <v>292</v>
      </c>
      <c r="D180">
        <v>1</v>
      </c>
      <c r="E180">
        <v>90000</v>
      </c>
      <c r="F180">
        <v>50000</v>
      </c>
      <c r="G180">
        <v>0</v>
      </c>
      <c r="H180">
        <v>0</v>
      </c>
      <c r="I180">
        <v>0</v>
      </c>
      <c r="J180">
        <v>20000</v>
      </c>
      <c r="K180">
        <v>12500</v>
      </c>
      <c r="L180">
        <v>9000</v>
      </c>
      <c r="M180">
        <v>2500</v>
      </c>
      <c r="N180">
        <v>0</v>
      </c>
      <c r="O180">
        <v>0</v>
      </c>
      <c r="P180">
        <v>11000</v>
      </c>
      <c r="Q180" t="s">
        <v>55</v>
      </c>
      <c r="R180">
        <v>94000</v>
      </c>
      <c r="S180">
        <v>11000</v>
      </c>
      <c r="T180">
        <v>125</v>
      </c>
    </row>
    <row r="181" spans="1:20" hidden="1" x14ac:dyDescent="0.3">
      <c r="A181">
        <v>1203</v>
      </c>
      <c r="B181">
        <v>677</v>
      </c>
      <c r="C181">
        <v>294</v>
      </c>
      <c r="D181">
        <v>2</v>
      </c>
      <c r="E181">
        <v>90000</v>
      </c>
      <c r="F181">
        <v>50000</v>
      </c>
      <c r="G181">
        <v>0</v>
      </c>
      <c r="H181">
        <v>0</v>
      </c>
      <c r="I181">
        <v>0</v>
      </c>
      <c r="J181">
        <v>20000</v>
      </c>
      <c r="K181">
        <v>12500</v>
      </c>
      <c r="L181">
        <v>0</v>
      </c>
      <c r="M181">
        <v>4500</v>
      </c>
      <c r="N181">
        <v>12000</v>
      </c>
      <c r="O181">
        <v>0</v>
      </c>
      <c r="P181">
        <v>2000</v>
      </c>
      <c r="Q181" t="s">
        <v>55</v>
      </c>
      <c r="R181">
        <v>99000</v>
      </c>
      <c r="S181">
        <v>2000</v>
      </c>
      <c r="T181">
        <v>125</v>
      </c>
    </row>
    <row r="182" spans="1:20" hidden="1" x14ac:dyDescent="0.3">
      <c r="A182">
        <v>1232</v>
      </c>
      <c r="B182">
        <v>677</v>
      </c>
      <c r="C182">
        <v>298</v>
      </c>
      <c r="D182">
        <v>3</v>
      </c>
      <c r="E182">
        <v>90000</v>
      </c>
      <c r="F182">
        <v>50000</v>
      </c>
      <c r="G182">
        <v>0</v>
      </c>
      <c r="H182">
        <v>0</v>
      </c>
      <c r="I182">
        <v>0</v>
      </c>
      <c r="J182">
        <v>20000</v>
      </c>
      <c r="K182">
        <v>12500</v>
      </c>
      <c r="L182">
        <v>0</v>
      </c>
      <c r="M182">
        <v>0</v>
      </c>
      <c r="N182">
        <v>20000</v>
      </c>
      <c r="O182">
        <v>4000</v>
      </c>
      <c r="P182">
        <v>-14500</v>
      </c>
      <c r="Q182" t="s">
        <v>55</v>
      </c>
      <c r="R182">
        <v>106500</v>
      </c>
      <c r="S182">
        <v>-14500</v>
      </c>
      <c r="T182">
        <v>125</v>
      </c>
    </row>
    <row r="183" spans="1:20" hidden="1" x14ac:dyDescent="0.3">
      <c r="A183">
        <v>1274</v>
      </c>
      <c r="B183">
        <v>677</v>
      </c>
      <c r="C183">
        <v>305</v>
      </c>
      <c r="D183">
        <v>4</v>
      </c>
      <c r="E183">
        <v>90000</v>
      </c>
      <c r="F183">
        <v>50000</v>
      </c>
      <c r="G183">
        <v>14500</v>
      </c>
      <c r="H183">
        <v>37500</v>
      </c>
      <c r="I183">
        <v>0</v>
      </c>
      <c r="J183">
        <v>30000</v>
      </c>
      <c r="K183">
        <v>11100</v>
      </c>
      <c r="L183">
        <v>14000</v>
      </c>
      <c r="M183">
        <v>2500</v>
      </c>
      <c r="N183">
        <v>0</v>
      </c>
      <c r="O183">
        <v>0</v>
      </c>
      <c r="P183">
        <v>5400</v>
      </c>
      <c r="Q183" t="s">
        <v>55</v>
      </c>
      <c r="R183">
        <v>107600</v>
      </c>
      <c r="S183">
        <v>5400</v>
      </c>
      <c r="T183">
        <v>125</v>
      </c>
    </row>
    <row r="184" spans="1:20" hidden="1" x14ac:dyDescent="0.3">
      <c r="A184">
        <v>1157</v>
      </c>
      <c r="B184">
        <v>678</v>
      </c>
      <c r="C184">
        <v>288</v>
      </c>
      <c r="D184">
        <v>0</v>
      </c>
      <c r="E184">
        <v>130000</v>
      </c>
      <c r="F184">
        <v>75000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50000</v>
      </c>
      <c r="Q184" t="s">
        <v>56</v>
      </c>
      <c r="R184">
        <v>75000</v>
      </c>
      <c r="S184">
        <v>50000</v>
      </c>
      <c r="T184">
        <v>127</v>
      </c>
    </row>
    <row r="185" spans="1:20" hidden="1" x14ac:dyDescent="0.3">
      <c r="A185">
        <v>1191</v>
      </c>
      <c r="B185">
        <v>678</v>
      </c>
      <c r="C185">
        <v>292</v>
      </c>
      <c r="D185">
        <v>1</v>
      </c>
      <c r="E185">
        <v>130000</v>
      </c>
      <c r="F185">
        <v>75000</v>
      </c>
      <c r="G185">
        <v>0</v>
      </c>
      <c r="H185">
        <v>0</v>
      </c>
      <c r="I185">
        <v>0</v>
      </c>
      <c r="J185">
        <v>15000</v>
      </c>
      <c r="K185">
        <v>20000</v>
      </c>
      <c r="L185">
        <v>33000</v>
      </c>
      <c r="M185">
        <v>25500</v>
      </c>
      <c r="N185">
        <v>0</v>
      </c>
      <c r="O185">
        <v>0</v>
      </c>
      <c r="P185">
        <v>11500</v>
      </c>
      <c r="Q185" t="s">
        <v>56</v>
      </c>
      <c r="R185">
        <v>168500</v>
      </c>
      <c r="S185">
        <v>11500</v>
      </c>
      <c r="T185">
        <v>127</v>
      </c>
    </row>
    <row r="186" spans="1:20" hidden="1" x14ac:dyDescent="0.3">
      <c r="A186">
        <v>1204</v>
      </c>
      <c r="B186">
        <v>678</v>
      </c>
      <c r="C186">
        <v>294</v>
      </c>
      <c r="D186">
        <v>2</v>
      </c>
      <c r="E186">
        <v>130000</v>
      </c>
      <c r="F186">
        <v>75000</v>
      </c>
      <c r="G186">
        <v>0</v>
      </c>
      <c r="H186">
        <v>0</v>
      </c>
      <c r="I186">
        <v>0</v>
      </c>
      <c r="J186">
        <v>15000</v>
      </c>
      <c r="K186">
        <v>20000</v>
      </c>
      <c r="L186">
        <v>0</v>
      </c>
      <c r="M186">
        <v>0</v>
      </c>
      <c r="N186">
        <v>0</v>
      </c>
      <c r="O186">
        <v>0</v>
      </c>
      <c r="P186">
        <v>31500</v>
      </c>
      <c r="Q186" t="s">
        <v>56</v>
      </c>
      <c r="R186">
        <v>110000</v>
      </c>
      <c r="S186">
        <v>31500</v>
      </c>
      <c r="T186">
        <v>127</v>
      </c>
    </row>
    <row r="187" spans="1:20" hidden="1" x14ac:dyDescent="0.3">
      <c r="A187">
        <v>1231</v>
      </c>
      <c r="B187">
        <v>678</v>
      </c>
      <c r="C187">
        <v>298</v>
      </c>
      <c r="D187">
        <v>3</v>
      </c>
      <c r="E187">
        <v>130000</v>
      </c>
      <c r="F187">
        <v>75000</v>
      </c>
      <c r="G187">
        <v>0</v>
      </c>
      <c r="H187">
        <v>0</v>
      </c>
      <c r="I187">
        <v>0</v>
      </c>
      <c r="J187">
        <v>15000</v>
      </c>
      <c r="K187">
        <v>20000</v>
      </c>
      <c r="L187">
        <v>0</v>
      </c>
      <c r="M187">
        <v>0</v>
      </c>
      <c r="N187">
        <v>8000</v>
      </c>
      <c r="O187">
        <v>4000</v>
      </c>
      <c r="P187">
        <v>39500</v>
      </c>
      <c r="Q187" t="s">
        <v>56</v>
      </c>
      <c r="R187">
        <v>122000</v>
      </c>
      <c r="S187">
        <v>39500</v>
      </c>
      <c r="T187">
        <v>127</v>
      </c>
    </row>
    <row r="188" spans="1:20" hidden="1" x14ac:dyDescent="0.3">
      <c r="A188">
        <v>1273</v>
      </c>
      <c r="B188">
        <v>678</v>
      </c>
      <c r="C188">
        <v>305</v>
      </c>
      <c r="D188">
        <v>4</v>
      </c>
      <c r="E188">
        <v>130000</v>
      </c>
      <c r="F188">
        <v>75000</v>
      </c>
      <c r="G188">
        <v>0</v>
      </c>
      <c r="H188">
        <v>0</v>
      </c>
      <c r="I188">
        <v>0</v>
      </c>
      <c r="J188">
        <v>30000</v>
      </c>
      <c r="K188">
        <v>20000</v>
      </c>
      <c r="L188">
        <v>0</v>
      </c>
      <c r="M188">
        <v>0</v>
      </c>
      <c r="N188">
        <v>0</v>
      </c>
      <c r="O188">
        <v>0</v>
      </c>
      <c r="P188">
        <v>44500</v>
      </c>
      <c r="Q188" t="s">
        <v>56</v>
      </c>
      <c r="R188">
        <v>125000</v>
      </c>
      <c r="S188">
        <v>44500</v>
      </c>
      <c r="T188">
        <v>127</v>
      </c>
    </row>
    <row r="189" spans="1:20" hidden="1" x14ac:dyDescent="0.3">
      <c r="A189">
        <v>1178</v>
      </c>
      <c r="B189">
        <v>679</v>
      </c>
      <c r="C189">
        <v>288</v>
      </c>
      <c r="D189">
        <v>0</v>
      </c>
      <c r="E189">
        <v>190000</v>
      </c>
      <c r="F189">
        <v>115000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80000</v>
      </c>
      <c r="Q189" t="s">
        <v>57</v>
      </c>
      <c r="R189">
        <v>115000</v>
      </c>
      <c r="S189">
        <v>80000</v>
      </c>
      <c r="T189">
        <v>128</v>
      </c>
    </row>
    <row r="190" spans="1:20" hidden="1" x14ac:dyDescent="0.3">
      <c r="A190">
        <v>1189</v>
      </c>
      <c r="B190">
        <v>679</v>
      </c>
      <c r="C190">
        <v>292</v>
      </c>
      <c r="D190">
        <v>1</v>
      </c>
      <c r="E190">
        <v>190000</v>
      </c>
      <c r="F190">
        <v>115000</v>
      </c>
      <c r="G190">
        <v>0</v>
      </c>
      <c r="H190">
        <v>0</v>
      </c>
      <c r="I190">
        <v>0</v>
      </c>
      <c r="J190">
        <v>20000</v>
      </c>
      <c r="K190">
        <v>30000</v>
      </c>
      <c r="L190">
        <v>33000</v>
      </c>
      <c r="M190">
        <v>38000</v>
      </c>
      <c r="N190">
        <v>0</v>
      </c>
      <c r="O190">
        <v>0</v>
      </c>
      <c r="P190">
        <v>34000</v>
      </c>
      <c r="Q190" t="s">
        <v>57</v>
      </c>
      <c r="R190">
        <v>236000</v>
      </c>
      <c r="S190">
        <v>34000</v>
      </c>
      <c r="T190">
        <v>128</v>
      </c>
    </row>
    <row r="191" spans="1:20" hidden="1" x14ac:dyDescent="0.3">
      <c r="A191">
        <v>1202</v>
      </c>
      <c r="B191">
        <v>679</v>
      </c>
      <c r="C191">
        <v>294</v>
      </c>
      <c r="D191">
        <v>2</v>
      </c>
      <c r="E191">
        <v>190000</v>
      </c>
      <c r="F191">
        <v>115000</v>
      </c>
      <c r="G191">
        <v>0</v>
      </c>
      <c r="H191">
        <v>0</v>
      </c>
      <c r="I191">
        <v>0</v>
      </c>
      <c r="J191">
        <v>20000</v>
      </c>
      <c r="K191">
        <v>30000</v>
      </c>
      <c r="L191">
        <v>0</v>
      </c>
      <c r="M191">
        <v>0</v>
      </c>
      <c r="N191">
        <v>0</v>
      </c>
      <c r="O191">
        <v>4000</v>
      </c>
      <c r="P191">
        <v>55000</v>
      </c>
      <c r="Q191" t="s">
        <v>57</v>
      </c>
      <c r="R191">
        <v>169000</v>
      </c>
      <c r="S191">
        <v>55000</v>
      </c>
      <c r="T191">
        <v>128</v>
      </c>
    </row>
    <row r="192" spans="1:20" hidden="1" x14ac:dyDescent="0.3">
      <c r="A192">
        <v>1228</v>
      </c>
      <c r="B192">
        <v>679</v>
      </c>
      <c r="C192">
        <v>298</v>
      </c>
      <c r="D192">
        <v>3</v>
      </c>
      <c r="E192">
        <v>190000</v>
      </c>
      <c r="F192">
        <v>115000</v>
      </c>
      <c r="G192">
        <v>0</v>
      </c>
      <c r="H192">
        <v>0</v>
      </c>
      <c r="I192">
        <v>0</v>
      </c>
      <c r="J192">
        <v>20000</v>
      </c>
      <c r="K192">
        <v>30000</v>
      </c>
      <c r="L192">
        <v>0</v>
      </c>
      <c r="M192">
        <v>0</v>
      </c>
      <c r="N192">
        <v>8000</v>
      </c>
      <c r="O192">
        <v>4000</v>
      </c>
      <c r="P192">
        <v>68000</v>
      </c>
      <c r="Q192" t="s">
        <v>57</v>
      </c>
      <c r="R192">
        <v>177000</v>
      </c>
      <c r="S192">
        <v>68000</v>
      </c>
      <c r="T192">
        <v>128</v>
      </c>
    </row>
    <row r="193" spans="1:20" hidden="1" x14ac:dyDescent="0.3">
      <c r="A193">
        <v>1269</v>
      </c>
      <c r="B193">
        <v>679</v>
      </c>
      <c r="C193">
        <v>305</v>
      </c>
      <c r="D193">
        <v>4</v>
      </c>
      <c r="E193">
        <v>190000</v>
      </c>
      <c r="F193">
        <v>115000</v>
      </c>
      <c r="G193">
        <v>0</v>
      </c>
      <c r="H193">
        <v>140000</v>
      </c>
      <c r="I193">
        <v>125000</v>
      </c>
      <c r="J193">
        <v>30000</v>
      </c>
      <c r="K193">
        <v>30000</v>
      </c>
      <c r="L193">
        <v>15000</v>
      </c>
      <c r="M193">
        <v>0</v>
      </c>
      <c r="N193">
        <v>0</v>
      </c>
      <c r="O193">
        <v>0</v>
      </c>
      <c r="P193">
        <v>83000</v>
      </c>
      <c r="Q193" t="s">
        <v>57</v>
      </c>
      <c r="R193">
        <v>315000</v>
      </c>
      <c r="S193">
        <v>83000</v>
      </c>
      <c r="T193">
        <v>128</v>
      </c>
    </row>
    <row r="194" spans="1:20" hidden="1" x14ac:dyDescent="0.3">
      <c r="A194">
        <v>1164</v>
      </c>
      <c r="B194">
        <v>682</v>
      </c>
      <c r="C194">
        <v>286</v>
      </c>
      <c r="D194">
        <v>0</v>
      </c>
      <c r="E194">
        <v>75000</v>
      </c>
      <c r="F194">
        <v>40000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5000</v>
      </c>
      <c r="Q194" t="s">
        <v>58</v>
      </c>
      <c r="R194">
        <v>40000</v>
      </c>
      <c r="S194">
        <v>5000</v>
      </c>
      <c r="T194">
        <v>124</v>
      </c>
    </row>
    <row r="195" spans="1:20" hidden="1" x14ac:dyDescent="0.3">
      <c r="A195">
        <v>1176</v>
      </c>
      <c r="B195">
        <v>682</v>
      </c>
      <c r="C195">
        <v>290</v>
      </c>
      <c r="D195">
        <v>1</v>
      </c>
      <c r="E195">
        <v>75000</v>
      </c>
      <c r="F195">
        <v>40000</v>
      </c>
      <c r="G195">
        <v>0</v>
      </c>
      <c r="H195">
        <v>0</v>
      </c>
      <c r="I195">
        <v>15000</v>
      </c>
      <c r="J195">
        <v>15000</v>
      </c>
      <c r="K195">
        <v>11000</v>
      </c>
      <c r="L195">
        <v>0</v>
      </c>
      <c r="M195">
        <v>0</v>
      </c>
      <c r="N195">
        <v>8000</v>
      </c>
      <c r="O195">
        <v>0</v>
      </c>
      <c r="P195">
        <v>-9000</v>
      </c>
      <c r="Q195" t="s">
        <v>58</v>
      </c>
      <c r="R195">
        <v>89000</v>
      </c>
      <c r="S195">
        <v>-9000</v>
      </c>
      <c r="T195">
        <v>124</v>
      </c>
    </row>
    <row r="196" spans="1:20" hidden="1" x14ac:dyDescent="0.3">
      <c r="A196">
        <v>1215</v>
      </c>
      <c r="B196">
        <v>682</v>
      </c>
      <c r="C196">
        <v>296</v>
      </c>
      <c r="D196">
        <v>2</v>
      </c>
      <c r="E196">
        <v>75000</v>
      </c>
      <c r="F196">
        <v>40000</v>
      </c>
      <c r="G196">
        <v>9000</v>
      </c>
      <c r="H196">
        <v>0</v>
      </c>
      <c r="I196">
        <v>0</v>
      </c>
      <c r="J196">
        <v>15000</v>
      </c>
      <c r="K196">
        <v>11000</v>
      </c>
      <c r="L196">
        <v>0</v>
      </c>
      <c r="M196">
        <v>0</v>
      </c>
      <c r="N196">
        <v>0</v>
      </c>
      <c r="O196">
        <v>4000</v>
      </c>
      <c r="P196">
        <v>-4000</v>
      </c>
      <c r="Q196" t="s">
        <v>58</v>
      </c>
      <c r="R196">
        <v>70000</v>
      </c>
      <c r="S196">
        <v>-4000</v>
      </c>
      <c r="T196">
        <v>124</v>
      </c>
    </row>
    <row r="197" spans="1:20" hidden="1" x14ac:dyDescent="0.3">
      <c r="A197">
        <v>1233</v>
      </c>
      <c r="B197">
        <v>682</v>
      </c>
      <c r="C197">
        <v>299</v>
      </c>
      <c r="D197">
        <v>3</v>
      </c>
      <c r="E197">
        <v>75000</v>
      </c>
      <c r="F197">
        <v>40000</v>
      </c>
      <c r="G197">
        <v>4000</v>
      </c>
      <c r="H197">
        <v>0</v>
      </c>
      <c r="I197">
        <v>0</v>
      </c>
      <c r="J197">
        <v>15000</v>
      </c>
      <c r="K197">
        <v>11000</v>
      </c>
      <c r="L197">
        <v>1000</v>
      </c>
      <c r="M197">
        <v>3750</v>
      </c>
      <c r="N197">
        <v>20000</v>
      </c>
      <c r="O197">
        <v>0</v>
      </c>
      <c r="P197">
        <v>-19750</v>
      </c>
      <c r="Q197" t="s">
        <v>58</v>
      </c>
      <c r="R197">
        <v>90750</v>
      </c>
      <c r="S197">
        <v>-19750</v>
      </c>
      <c r="T197">
        <v>124</v>
      </c>
    </row>
    <row r="198" spans="1:20" hidden="1" x14ac:dyDescent="0.3">
      <c r="A198">
        <v>1252</v>
      </c>
      <c r="B198">
        <v>682</v>
      </c>
      <c r="C198">
        <v>302</v>
      </c>
      <c r="D198">
        <v>4</v>
      </c>
      <c r="E198">
        <v>75000</v>
      </c>
      <c r="F198">
        <v>40000</v>
      </c>
      <c r="G198">
        <v>19750</v>
      </c>
      <c r="H198">
        <v>0</v>
      </c>
      <c r="I198">
        <v>0</v>
      </c>
      <c r="J198">
        <v>15000</v>
      </c>
      <c r="K198">
        <v>11000</v>
      </c>
      <c r="L198">
        <v>0</v>
      </c>
      <c r="M198">
        <v>0</v>
      </c>
      <c r="N198">
        <v>16000</v>
      </c>
      <c r="O198">
        <v>4000</v>
      </c>
      <c r="P198">
        <v>-30750</v>
      </c>
      <c r="Q198" t="s">
        <v>58</v>
      </c>
      <c r="R198">
        <v>86000</v>
      </c>
      <c r="S198">
        <v>-30750</v>
      </c>
      <c r="T198">
        <v>124</v>
      </c>
    </row>
    <row r="199" spans="1:20" hidden="1" x14ac:dyDescent="0.3">
      <c r="A199">
        <v>1167</v>
      </c>
      <c r="B199">
        <v>683</v>
      </c>
      <c r="C199">
        <v>286</v>
      </c>
      <c r="D199">
        <v>0</v>
      </c>
      <c r="E199">
        <v>110000</v>
      </c>
      <c r="F199">
        <v>60000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30000</v>
      </c>
      <c r="Q199" t="s">
        <v>59</v>
      </c>
      <c r="R199">
        <v>60000</v>
      </c>
      <c r="S199">
        <v>30000</v>
      </c>
      <c r="T199">
        <v>126</v>
      </c>
    </row>
    <row r="200" spans="1:20" hidden="1" x14ac:dyDescent="0.3">
      <c r="A200">
        <v>1179</v>
      </c>
      <c r="B200">
        <v>683</v>
      </c>
      <c r="C200">
        <v>290</v>
      </c>
      <c r="D200">
        <v>1</v>
      </c>
      <c r="E200">
        <v>110000</v>
      </c>
      <c r="F200">
        <v>60000</v>
      </c>
      <c r="G200">
        <v>0</v>
      </c>
      <c r="H200">
        <v>0</v>
      </c>
      <c r="I200">
        <v>0</v>
      </c>
      <c r="J200">
        <v>15000</v>
      </c>
      <c r="K200">
        <v>12500</v>
      </c>
      <c r="L200">
        <v>8000</v>
      </c>
      <c r="M200">
        <v>8000</v>
      </c>
      <c r="N200">
        <v>4000</v>
      </c>
      <c r="O200">
        <v>0</v>
      </c>
      <c r="P200">
        <v>32500</v>
      </c>
      <c r="Q200" t="s">
        <v>59</v>
      </c>
      <c r="R200">
        <v>107500</v>
      </c>
      <c r="S200">
        <v>32500</v>
      </c>
      <c r="T200">
        <v>126</v>
      </c>
    </row>
    <row r="201" spans="1:20" hidden="1" x14ac:dyDescent="0.3">
      <c r="A201">
        <v>1219</v>
      </c>
      <c r="B201">
        <v>683</v>
      </c>
      <c r="C201">
        <v>296</v>
      </c>
      <c r="D201">
        <v>2</v>
      </c>
      <c r="E201">
        <v>110000</v>
      </c>
      <c r="F201">
        <v>60000</v>
      </c>
      <c r="G201">
        <v>0</v>
      </c>
      <c r="H201">
        <v>0</v>
      </c>
      <c r="I201">
        <v>0</v>
      </c>
      <c r="J201">
        <v>15000</v>
      </c>
      <c r="K201">
        <v>12500</v>
      </c>
      <c r="L201">
        <v>10000</v>
      </c>
      <c r="M201">
        <v>0</v>
      </c>
      <c r="N201">
        <v>0</v>
      </c>
      <c r="O201">
        <v>4000</v>
      </c>
      <c r="P201">
        <v>41000</v>
      </c>
      <c r="Q201" t="s">
        <v>59</v>
      </c>
      <c r="R201">
        <v>101500</v>
      </c>
      <c r="S201">
        <v>41000</v>
      </c>
      <c r="T201">
        <v>126</v>
      </c>
    </row>
    <row r="202" spans="1:20" hidden="1" x14ac:dyDescent="0.3">
      <c r="A202">
        <v>1238</v>
      </c>
      <c r="B202">
        <v>683</v>
      </c>
      <c r="C202">
        <v>299</v>
      </c>
      <c r="D202">
        <v>3</v>
      </c>
      <c r="E202">
        <v>110000</v>
      </c>
      <c r="F202">
        <v>60000</v>
      </c>
      <c r="G202">
        <v>0</v>
      </c>
      <c r="H202">
        <v>0</v>
      </c>
      <c r="I202">
        <v>0</v>
      </c>
      <c r="J202">
        <v>15000</v>
      </c>
      <c r="K202">
        <v>12500</v>
      </c>
      <c r="L202">
        <v>8000</v>
      </c>
      <c r="M202">
        <v>6250</v>
      </c>
      <c r="N202">
        <v>24000</v>
      </c>
      <c r="O202">
        <v>0</v>
      </c>
      <c r="P202">
        <v>25250</v>
      </c>
      <c r="Q202" t="s">
        <v>59</v>
      </c>
      <c r="R202">
        <v>125750</v>
      </c>
      <c r="S202">
        <v>25250</v>
      </c>
      <c r="T202">
        <v>126</v>
      </c>
    </row>
    <row r="203" spans="1:20" hidden="1" x14ac:dyDescent="0.3">
      <c r="A203">
        <v>1257</v>
      </c>
      <c r="B203">
        <v>683</v>
      </c>
      <c r="C203">
        <v>302</v>
      </c>
      <c r="D203">
        <v>4</v>
      </c>
      <c r="E203">
        <v>110000</v>
      </c>
      <c r="F203">
        <v>60000</v>
      </c>
      <c r="G203">
        <v>0</v>
      </c>
      <c r="H203">
        <v>0</v>
      </c>
      <c r="I203">
        <v>0</v>
      </c>
      <c r="J203">
        <v>15000</v>
      </c>
      <c r="K203">
        <v>12500</v>
      </c>
      <c r="L203">
        <v>6000</v>
      </c>
      <c r="M203">
        <v>0</v>
      </c>
      <c r="N203">
        <v>16000</v>
      </c>
      <c r="O203">
        <v>4000</v>
      </c>
      <c r="P203">
        <v>21750</v>
      </c>
      <c r="Q203" t="s">
        <v>59</v>
      </c>
      <c r="R203">
        <v>113500</v>
      </c>
      <c r="S203">
        <v>21750</v>
      </c>
      <c r="T203">
        <v>126</v>
      </c>
    </row>
    <row r="204" spans="1:20" hidden="1" x14ac:dyDescent="0.3">
      <c r="A204">
        <v>1165</v>
      </c>
      <c r="B204">
        <v>684</v>
      </c>
      <c r="C204">
        <v>286</v>
      </c>
      <c r="D204">
        <v>0</v>
      </c>
      <c r="E204">
        <v>60000</v>
      </c>
      <c r="F204">
        <v>30000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60</v>
      </c>
      <c r="R204">
        <v>30000</v>
      </c>
      <c r="S204">
        <v>0</v>
      </c>
      <c r="T204">
        <v>123</v>
      </c>
    </row>
    <row r="205" spans="1:20" hidden="1" x14ac:dyDescent="0.3">
      <c r="A205">
        <v>1173</v>
      </c>
      <c r="B205">
        <v>684</v>
      </c>
      <c r="C205">
        <v>290</v>
      </c>
      <c r="D205">
        <v>1</v>
      </c>
      <c r="E205">
        <v>60000</v>
      </c>
      <c r="F205">
        <v>30000</v>
      </c>
      <c r="G205">
        <v>0</v>
      </c>
      <c r="H205">
        <v>0</v>
      </c>
      <c r="I205">
        <v>0</v>
      </c>
      <c r="J205">
        <v>15000</v>
      </c>
      <c r="K205">
        <v>7000</v>
      </c>
      <c r="L205">
        <v>1000</v>
      </c>
      <c r="M205">
        <v>1400</v>
      </c>
      <c r="N205">
        <v>4000</v>
      </c>
      <c r="O205">
        <v>0</v>
      </c>
      <c r="P205">
        <v>1600</v>
      </c>
      <c r="Q205" t="s">
        <v>60</v>
      </c>
      <c r="R205">
        <v>58400</v>
      </c>
      <c r="S205">
        <v>1600</v>
      </c>
      <c r="T205">
        <v>123</v>
      </c>
    </row>
    <row r="206" spans="1:20" hidden="1" x14ac:dyDescent="0.3">
      <c r="A206">
        <v>1213</v>
      </c>
      <c r="B206">
        <v>684</v>
      </c>
      <c r="C206">
        <v>296</v>
      </c>
      <c r="D206">
        <v>2</v>
      </c>
      <c r="E206">
        <v>60000</v>
      </c>
      <c r="F206">
        <v>30000</v>
      </c>
      <c r="G206">
        <v>0</v>
      </c>
      <c r="H206">
        <v>0</v>
      </c>
      <c r="I206">
        <v>0</v>
      </c>
      <c r="J206">
        <v>15000</v>
      </c>
      <c r="K206">
        <v>7000</v>
      </c>
      <c r="L206">
        <v>0</v>
      </c>
      <c r="M206">
        <v>3500</v>
      </c>
      <c r="N206">
        <v>0</v>
      </c>
      <c r="O206">
        <v>4000</v>
      </c>
      <c r="P206">
        <v>2100</v>
      </c>
      <c r="Q206" t="s">
        <v>60</v>
      </c>
      <c r="R206">
        <v>59500</v>
      </c>
      <c r="S206">
        <v>2100</v>
      </c>
      <c r="T206">
        <v>123</v>
      </c>
    </row>
    <row r="207" spans="1:20" hidden="1" x14ac:dyDescent="0.3">
      <c r="A207">
        <v>1235</v>
      </c>
      <c r="B207">
        <v>684</v>
      </c>
      <c r="C207">
        <v>299</v>
      </c>
      <c r="D207">
        <v>3</v>
      </c>
      <c r="E207">
        <v>60000</v>
      </c>
      <c r="F207">
        <v>30000</v>
      </c>
      <c r="G207">
        <v>0</v>
      </c>
      <c r="H207">
        <v>0</v>
      </c>
      <c r="I207">
        <v>0</v>
      </c>
      <c r="J207">
        <v>15000</v>
      </c>
      <c r="K207">
        <v>7000</v>
      </c>
      <c r="L207">
        <v>0</v>
      </c>
      <c r="M207">
        <v>1750</v>
      </c>
      <c r="N207">
        <v>24000</v>
      </c>
      <c r="O207">
        <v>0</v>
      </c>
      <c r="P207">
        <v>-15650</v>
      </c>
      <c r="Q207" t="s">
        <v>60</v>
      </c>
      <c r="R207">
        <v>77750</v>
      </c>
      <c r="S207">
        <v>-15650</v>
      </c>
      <c r="T207">
        <v>123</v>
      </c>
    </row>
    <row r="208" spans="1:20" hidden="1" x14ac:dyDescent="0.3">
      <c r="A208">
        <v>1255</v>
      </c>
      <c r="B208">
        <v>684</v>
      </c>
      <c r="C208">
        <v>302</v>
      </c>
      <c r="D208">
        <v>4</v>
      </c>
      <c r="E208">
        <v>60000</v>
      </c>
      <c r="F208">
        <v>30000</v>
      </c>
      <c r="G208">
        <v>15650</v>
      </c>
      <c r="H208">
        <v>0</v>
      </c>
      <c r="I208">
        <v>0</v>
      </c>
      <c r="J208">
        <v>15000</v>
      </c>
      <c r="K208">
        <v>0</v>
      </c>
      <c r="L208">
        <v>0</v>
      </c>
      <c r="M208">
        <v>0</v>
      </c>
      <c r="N208">
        <v>16000</v>
      </c>
      <c r="O208">
        <v>4000</v>
      </c>
      <c r="P208">
        <v>-20650</v>
      </c>
      <c r="Q208" t="s">
        <v>60</v>
      </c>
      <c r="R208">
        <v>65000</v>
      </c>
      <c r="S208">
        <v>-20650</v>
      </c>
      <c r="T208">
        <v>123</v>
      </c>
    </row>
    <row r="209" spans="1:20" hidden="1" x14ac:dyDescent="0.3">
      <c r="A209">
        <v>1154</v>
      </c>
      <c r="B209">
        <v>685</v>
      </c>
      <c r="C209">
        <v>286</v>
      </c>
      <c r="D209">
        <v>0</v>
      </c>
      <c r="E209">
        <v>90000</v>
      </c>
      <c r="F209">
        <v>50000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15000</v>
      </c>
      <c r="Q209" t="s">
        <v>61</v>
      </c>
      <c r="R209">
        <v>50000</v>
      </c>
      <c r="S209">
        <v>15000</v>
      </c>
      <c r="T209">
        <v>125</v>
      </c>
    </row>
    <row r="210" spans="1:20" hidden="1" x14ac:dyDescent="0.3">
      <c r="A210">
        <v>1175</v>
      </c>
      <c r="B210">
        <v>685</v>
      </c>
      <c r="C210">
        <v>290</v>
      </c>
      <c r="D210">
        <v>1</v>
      </c>
      <c r="E210">
        <v>90000</v>
      </c>
      <c r="F210">
        <v>50000</v>
      </c>
      <c r="G210">
        <v>0</v>
      </c>
      <c r="H210">
        <v>0</v>
      </c>
      <c r="I210">
        <v>0</v>
      </c>
      <c r="J210">
        <v>15000</v>
      </c>
      <c r="K210">
        <v>7000</v>
      </c>
      <c r="L210">
        <v>6000</v>
      </c>
      <c r="M210">
        <v>3500</v>
      </c>
      <c r="N210">
        <v>8000</v>
      </c>
      <c r="O210">
        <v>0</v>
      </c>
      <c r="P210">
        <v>15500</v>
      </c>
      <c r="Q210" t="s">
        <v>61</v>
      </c>
      <c r="R210">
        <v>89500</v>
      </c>
      <c r="S210">
        <v>15500</v>
      </c>
      <c r="T210">
        <v>125</v>
      </c>
    </row>
    <row r="211" spans="1:20" hidden="1" x14ac:dyDescent="0.3">
      <c r="A211">
        <v>1214</v>
      </c>
      <c r="B211">
        <v>685</v>
      </c>
      <c r="C211">
        <v>296</v>
      </c>
      <c r="D211">
        <v>2</v>
      </c>
      <c r="E211">
        <v>90000</v>
      </c>
      <c r="F211">
        <v>50000</v>
      </c>
      <c r="G211">
        <v>0</v>
      </c>
      <c r="H211">
        <v>0</v>
      </c>
      <c r="I211">
        <v>0</v>
      </c>
      <c r="J211">
        <v>15000</v>
      </c>
      <c r="K211">
        <v>7000</v>
      </c>
      <c r="L211">
        <v>11000</v>
      </c>
      <c r="M211">
        <v>1400</v>
      </c>
      <c r="N211">
        <v>0</v>
      </c>
      <c r="O211">
        <v>4000</v>
      </c>
      <c r="P211">
        <v>17100</v>
      </c>
      <c r="Q211" t="s">
        <v>61</v>
      </c>
      <c r="R211">
        <v>88400</v>
      </c>
      <c r="S211">
        <v>17100</v>
      </c>
      <c r="T211">
        <v>125</v>
      </c>
    </row>
    <row r="212" spans="1:20" hidden="1" x14ac:dyDescent="0.3">
      <c r="A212">
        <v>1236</v>
      </c>
      <c r="B212">
        <v>685</v>
      </c>
      <c r="C212">
        <v>299</v>
      </c>
      <c r="D212">
        <v>3</v>
      </c>
      <c r="E212">
        <v>90000</v>
      </c>
      <c r="F212">
        <v>50000</v>
      </c>
      <c r="G212">
        <v>0</v>
      </c>
      <c r="H212">
        <v>0</v>
      </c>
      <c r="I212">
        <v>0</v>
      </c>
      <c r="J212">
        <v>15000</v>
      </c>
      <c r="K212">
        <v>7000</v>
      </c>
      <c r="L212">
        <v>16000</v>
      </c>
      <c r="M212">
        <v>1750</v>
      </c>
      <c r="N212">
        <v>20000</v>
      </c>
      <c r="O212">
        <v>0</v>
      </c>
      <c r="P212">
        <v>-2650</v>
      </c>
      <c r="Q212" t="s">
        <v>61</v>
      </c>
      <c r="R212">
        <v>109750</v>
      </c>
      <c r="S212">
        <v>-2650</v>
      </c>
      <c r="T212">
        <v>125</v>
      </c>
    </row>
    <row r="213" spans="1:20" hidden="1" x14ac:dyDescent="0.3">
      <c r="A213">
        <v>1253</v>
      </c>
      <c r="B213">
        <v>685</v>
      </c>
      <c r="C213">
        <v>302</v>
      </c>
      <c r="D213">
        <v>4</v>
      </c>
      <c r="E213">
        <v>90000</v>
      </c>
      <c r="F213">
        <v>50000</v>
      </c>
      <c r="G213">
        <v>2650</v>
      </c>
      <c r="H213">
        <v>21000</v>
      </c>
      <c r="I213">
        <v>0</v>
      </c>
      <c r="J213">
        <v>25000</v>
      </c>
      <c r="K213">
        <v>10000</v>
      </c>
      <c r="L213">
        <v>6000</v>
      </c>
      <c r="M213">
        <v>0</v>
      </c>
      <c r="N213">
        <v>0</v>
      </c>
      <c r="O213">
        <v>4000</v>
      </c>
      <c r="P213">
        <v>13350</v>
      </c>
      <c r="Q213" t="s">
        <v>61</v>
      </c>
      <c r="R213">
        <v>95000</v>
      </c>
      <c r="S213">
        <v>13350</v>
      </c>
      <c r="T213">
        <v>125</v>
      </c>
    </row>
    <row r="214" spans="1:20" hidden="1" x14ac:dyDescent="0.3">
      <c r="A214">
        <v>1158</v>
      </c>
      <c r="B214">
        <v>686</v>
      </c>
      <c r="C214">
        <v>286</v>
      </c>
      <c r="D214">
        <v>0</v>
      </c>
      <c r="E214">
        <v>130000</v>
      </c>
      <c r="F214">
        <v>75000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50000</v>
      </c>
      <c r="Q214" t="s">
        <v>62</v>
      </c>
      <c r="R214">
        <v>75000</v>
      </c>
      <c r="S214">
        <v>50000</v>
      </c>
      <c r="T214">
        <v>127</v>
      </c>
    </row>
    <row r="215" spans="1:20" hidden="1" x14ac:dyDescent="0.3">
      <c r="A215">
        <v>1174</v>
      </c>
      <c r="B215">
        <v>686</v>
      </c>
      <c r="C215">
        <v>290</v>
      </c>
      <c r="D215">
        <v>1</v>
      </c>
      <c r="E215">
        <v>130000</v>
      </c>
      <c r="F215">
        <v>75000</v>
      </c>
      <c r="G215">
        <v>0</v>
      </c>
      <c r="H215">
        <v>0</v>
      </c>
      <c r="I215">
        <v>0</v>
      </c>
      <c r="J215">
        <v>20000</v>
      </c>
      <c r="K215">
        <v>8000</v>
      </c>
      <c r="L215">
        <v>14000</v>
      </c>
      <c r="M215">
        <v>7600</v>
      </c>
      <c r="N215">
        <v>0</v>
      </c>
      <c r="O215">
        <v>0</v>
      </c>
      <c r="P215">
        <v>55400</v>
      </c>
      <c r="Q215" t="s">
        <v>62</v>
      </c>
      <c r="R215">
        <v>124600</v>
      </c>
      <c r="S215">
        <v>55400</v>
      </c>
      <c r="T215">
        <v>127</v>
      </c>
    </row>
    <row r="216" spans="1:20" hidden="1" x14ac:dyDescent="0.3">
      <c r="A216">
        <v>1217</v>
      </c>
      <c r="B216">
        <v>686</v>
      </c>
      <c r="C216">
        <v>296</v>
      </c>
      <c r="D216">
        <v>2</v>
      </c>
      <c r="E216">
        <v>130000</v>
      </c>
      <c r="F216">
        <v>75000</v>
      </c>
      <c r="G216">
        <v>0</v>
      </c>
      <c r="H216">
        <v>0</v>
      </c>
      <c r="I216">
        <v>0</v>
      </c>
      <c r="J216">
        <v>20000</v>
      </c>
      <c r="K216">
        <v>8000</v>
      </c>
      <c r="L216">
        <v>18000</v>
      </c>
      <c r="M216">
        <v>0</v>
      </c>
      <c r="N216">
        <v>0</v>
      </c>
      <c r="O216">
        <v>4000</v>
      </c>
      <c r="P216">
        <v>60400</v>
      </c>
      <c r="Q216" t="s">
        <v>62</v>
      </c>
      <c r="R216">
        <v>125000</v>
      </c>
      <c r="S216">
        <v>60400</v>
      </c>
      <c r="T216">
        <v>127</v>
      </c>
    </row>
    <row r="217" spans="1:20" hidden="1" x14ac:dyDescent="0.3">
      <c r="A217">
        <v>1237</v>
      </c>
      <c r="B217">
        <v>686</v>
      </c>
      <c r="C217">
        <v>299</v>
      </c>
      <c r="D217">
        <v>3</v>
      </c>
      <c r="E217">
        <v>130000</v>
      </c>
      <c r="F217">
        <v>75000</v>
      </c>
      <c r="G217">
        <v>0</v>
      </c>
      <c r="H217">
        <v>0</v>
      </c>
      <c r="I217">
        <v>0</v>
      </c>
      <c r="J217">
        <v>20000</v>
      </c>
      <c r="K217">
        <v>8000</v>
      </c>
      <c r="L217">
        <v>1000</v>
      </c>
      <c r="M217">
        <v>6500</v>
      </c>
      <c r="N217">
        <v>8000</v>
      </c>
      <c r="O217">
        <v>4000</v>
      </c>
      <c r="P217">
        <v>67900</v>
      </c>
      <c r="Q217" t="s">
        <v>62</v>
      </c>
      <c r="R217">
        <v>122500</v>
      </c>
      <c r="S217">
        <v>67900</v>
      </c>
      <c r="T217">
        <v>127</v>
      </c>
    </row>
    <row r="218" spans="1:20" hidden="1" x14ac:dyDescent="0.3">
      <c r="A218">
        <v>1256</v>
      </c>
      <c r="B218">
        <v>686</v>
      </c>
      <c r="C218">
        <v>302</v>
      </c>
      <c r="D218">
        <v>4</v>
      </c>
      <c r="E218">
        <v>130000</v>
      </c>
      <c r="F218">
        <v>75000</v>
      </c>
      <c r="G218">
        <v>0</v>
      </c>
      <c r="H218">
        <v>0</v>
      </c>
      <c r="I218">
        <v>0</v>
      </c>
      <c r="J218">
        <v>20000</v>
      </c>
      <c r="K218">
        <v>0</v>
      </c>
      <c r="L218">
        <v>0</v>
      </c>
      <c r="M218">
        <v>0</v>
      </c>
      <c r="N218">
        <v>4000</v>
      </c>
      <c r="O218">
        <v>4000</v>
      </c>
      <c r="P218">
        <v>94900</v>
      </c>
      <c r="Q218" t="s">
        <v>62</v>
      </c>
      <c r="R218">
        <v>103000</v>
      </c>
      <c r="S218">
        <v>94900</v>
      </c>
      <c r="T218">
        <v>127</v>
      </c>
    </row>
    <row r="219" spans="1:20" hidden="1" x14ac:dyDescent="0.3">
      <c r="A219">
        <v>1177</v>
      </c>
      <c r="B219">
        <v>687</v>
      </c>
      <c r="C219">
        <v>286</v>
      </c>
      <c r="D219">
        <v>0</v>
      </c>
      <c r="E219">
        <v>190000</v>
      </c>
      <c r="F219">
        <v>115000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80000</v>
      </c>
      <c r="Q219" t="s">
        <v>63</v>
      </c>
      <c r="R219">
        <v>115000</v>
      </c>
      <c r="S219">
        <v>80000</v>
      </c>
      <c r="T219">
        <v>128</v>
      </c>
    </row>
    <row r="220" spans="1:20" hidden="1" x14ac:dyDescent="0.3">
      <c r="A220">
        <v>1180</v>
      </c>
      <c r="B220">
        <v>687</v>
      </c>
      <c r="C220">
        <v>290</v>
      </c>
      <c r="D220">
        <v>1</v>
      </c>
      <c r="E220">
        <v>190000</v>
      </c>
      <c r="F220">
        <v>115000</v>
      </c>
      <c r="G220">
        <v>0</v>
      </c>
      <c r="H220">
        <v>0</v>
      </c>
      <c r="I220">
        <v>0</v>
      </c>
      <c r="J220">
        <v>20000</v>
      </c>
      <c r="K220">
        <v>20000</v>
      </c>
      <c r="L220">
        <v>33000</v>
      </c>
      <c r="M220">
        <v>14000</v>
      </c>
      <c r="N220">
        <v>0</v>
      </c>
      <c r="O220">
        <v>0</v>
      </c>
      <c r="P220">
        <v>68000</v>
      </c>
      <c r="Q220" t="s">
        <v>63</v>
      </c>
      <c r="R220">
        <v>202000</v>
      </c>
      <c r="S220">
        <v>68000</v>
      </c>
      <c r="T220">
        <v>128</v>
      </c>
    </row>
    <row r="221" spans="1:20" hidden="1" x14ac:dyDescent="0.3">
      <c r="A221">
        <v>1218</v>
      </c>
      <c r="B221">
        <v>687</v>
      </c>
      <c r="C221">
        <v>296</v>
      </c>
      <c r="D221">
        <v>2</v>
      </c>
      <c r="E221">
        <v>190000</v>
      </c>
      <c r="F221">
        <v>115000</v>
      </c>
      <c r="G221">
        <v>0</v>
      </c>
      <c r="H221">
        <v>0</v>
      </c>
      <c r="I221">
        <v>0</v>
      </c>
      <c r="J221">
        <v>20000</v>
      </c>
      <c r="K221">
        <v>20000</v>
      </c>
      <c r="L221">
        <v>0</v>
      </c>
      <c r="M221">
        <v>14500</v>
      </c>
      <c r="N221">
        <v>0</v>
      </c>
      <c r="O221">
        <v>4000</v>
      </c>
      <c r="P221">
        <v>84500</v>
      </c>
      <c r="Q221" t="s">
        <v>63</v>
      </c>
      <c r="R221">
        <v>173500</v>
      </c>
      <c r="S221">
        <v>84500</v>
      </c>
      <c r="T221">
        <v>128</v>
      </c>
    </row>
    <row r="222" spans="1:20" hidden="1" x14ac:dyDescent="0.3">
      <c r="A222">
        <v>1234</v>
      </c>
      <c r="B222">
        <v>687</v>
      </c>
      <c r="C222">
        <v>299</v>
      </c>
      <c r="D222">
        <v>3</v>
      </c>
      <c r="E222">
        <v>190000</v>
      </c>
      <c r="F222">
        <v>115000</v>
      </c>
      <c r="G222">
        <v>0</v>
      </c>
      <c r="H222">
        <v>0</v>
      </c>
      <c r="I222">
        <v>0</v>
      </c>
      <c r="J222">
        <v>20000</v>
      </c>
      <c r="K222">
        <v>20000</v>
      </c>
      <c r="L222">
        <v>0</v>
      </c>
      <c r="M222">
        <v>0</v>
      </c>
      <c r="N222">
        <v>12000</v>
      </c>
      <c r="O222">
        <v>0</v>
      </c>
      <c r="P222">
        <v>107500</v>
      </c>
      <c r="Q222" t="s">
        <v>63</v>
      </c>
      <c r="R222">
        <v>167000</v>
      </c>
      <c r="S222">
        <v>107500</v>
      </c>
      <c r="T222">
        <v>128</v>
      </c>
    </row>
    <row r="223" spans="1:20" hidden="1" x14ac:dyDescent="0.3">
      <c r="A223">
        <v>1254</v>
      </c>
      <c r="B223">
        <v>687</v>
      </c>
      <c r="C223">
        <v>302</v>
      </c>
      <c r="D223">
        <v>4</v>
      </c>
      <c r="E223">
        <v>190000</v>
      </c>
      <c r="F223">
        <v>115000</v>
      </c>
      <c r="G223">
        <v>0</v>
      </c>
      <c r="H223">
        <v>0</v>
      </c>
      <c r="I223">
        <v>0</v>
      </c>
      <c r="J223">
        <v>25000</v>
      </c>
      <c r="K223">
        <v>20000</v>
      </c>
      <c r="L223">
        <v>0</v>
      </c>
      <c r="M223">
        <v>0</v>
      </c>
      <c r="N223">
        <v>4000</v>
      </c>
      <c r="O223">
        <v>4000</v>
      </c>
      <c r="P223">
        <v>129500</v>
      </c>
      <c r="Q223" t="s">
        <v>63</v>
      </c>
      <c r="R223">
        <v>168000</v>
      </c>
      <c r="S223">
        <v>129500</v>
      </c>
      <c r="T223">
        <v>128</v>
      </c>
    </row>
    <row r="224" spans="1:20" hidden="1" x14ac:dyDescent="0.3">
      <c r="A224">
        <v>1168</v>
      </c>
      <c r="B224">
        <v>690</v>
      </c>
      <c r="C224">
        <v>287</v>
      </c>
      <c r="D224">
        <v>0</v>
      </c>
      <c r="E224">
        <v>75000</v>
      </c>
      <c r="F224">
        <v>40000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5000</v>
      </c>
      <c r="Q224" t="s">
        <v>64</v>
      </c>
      <c r="R224">
        <v>40000</v>
      </c>
      <c r="S224">
        <v>5000</v>
      </c>
      <c r="T224">
        <v>124</v>
      </c>
    </row>
    <row r="225" spans="1:20" hidden="1" x14ac:dyDescent="0.3">
      <c r="A225">
        <v>1200</v>
      </c>
      <c r="B225">
        <v>690</v>
      </c>
      <c r="C225">
        <v>293</v>
      </c>
      <c r="D225">
        <v>1</v>
      </c>
      <c r="E225">
        <v>75000</v>
      </c>
      <c r="F225">
        <v>40000</v>
      </c>
      <c r="G225">
        <v>0</v>
      </c>
      <c r="H225">
        <v>0</v>
      </c>
      <c r="I225">
        <v>0</v>
      </c>
      <c r="J225">
        <v>15000</v>
      </c>
      <c r="K225">
        <v>10000</v>
      </c>
      <c r="L225">
        <v>6000</v>
      </c>
      <c r="M225">
        <v>0</v>
      </c>
      <c r="N225">
        <v>0</v>
      </c>
      <c r="O225">
        <v>4000</v>
      </c>
      <c r="P225">
        <v>5000</v>
      </c>
      <c r="Q225" t="s">
        <v>64</v>
      </c>
      <c r="R225">
        <v>75000</v>
      </c>
      <c r="S225">
        <v>5000</v>
      </c>
      <c r="T225">
        <v>124</v>
      </c>
    </row>
    <row r="226" spans="1:20" hidden="1" x14ac:dyDescent="0.3">
      <c r="A226">
        <v>1216</v>
      </c>
      <c r="B226">
        <v>690</v>
      </c>
      <c r="C226">
        <v>295</v>
      </c>
      <c r="D226">
        <v>2</v>
      </c>
      <c r="E226">
        <v>75000</v>
      </c>
      <c r="F226">
        <v>40000</v>
      </c>
      <c r="G226">
        <v>0</v>
      </c>
      <c r="H226">
        <v>0</v>
      </c>
      <c r="I226">
        <v>0</v>
      </c>
      <c r="J226">
        <v>15000</v>
      </c>
      <c r="K226">
        <v>10000</v>
      </c>
      <c r="L226">
        <v>0</v>
      </c>
      <c r="M226">
        <v>7000</v>
      </c>
      <c r="N226">
        <v>0</v>
      </c>
      <c r="O226">
        <v>0</v>
      </c>
      <c r="P226">
        <v>8000</v>
      </c>
      <c r="Q226" t="s">
        <v>64</v>
      </c>
      <c r="R226">
        <v>72000</v>
      </c>
      <c r="S226">
        <v>8000</v>
      </c>
      <c r="T226">
        <v>124</v>
      </c>
    </row>
    <row r="227" spans="1:20" hidden="1" x14ac:dyDescent="0.3">
      <c r="A227">
        <v>1244</v>
      </c>
      <c r="B227">
        <v>690</v>
      </c>
      <c r="C227">
        <v>300</v>
      </c>
      <c r="D227">
        <v>3</v>
      </c>
      <c r="E227">
        <v>75000</v>
      </c>
      <c r="F227">
        <v>40000</v>
      </c>
      <c r="G227">
        <v>0</v>
      </c>
      <c r="H227">
        <v>0</v>
      </c>
      <c r="I227">
        <v>0</v>
      </c>
      <c r="J227">
        <v>15000</v>
      </c>
      <c r="K227">
        <v>10000</v>
      </c>
      <c r="L227">
        <v>10000</v>
      </c>
      <c r="M227">
        <v>0</v>
      </c>
      <c r="N227">
        <v>0</v>
      </c>
      <c r="O227">
        <v>0</v>
      </c>
      <c r="P227">
        <v>8000</v>
      </c>
      <c r="Q227" t="s">
        <v>64</v>
      </c>
      <c r="R227">
        <v>75000</v>
      </c>
      <c r="S227">
        <v>8000</v>
      </c>
      <c r="T227">
        <v>124</v>
      </c>
    </row>
    <row r="228" spans="1:20" hidden="1" x14ac:dyDescent="0.3">
      <c r="A228">
        <v>1263</v>
      </c>
      <c r="B228">
        <v>690</v>
      </c>
      <c r="C228">
        <v>303</v>
      </c>
      <c r="D228">
        <v>4</v>
      </c>
      <c r="E228">
        <v>75000</v>
      </c>
      <c r="F228">
        <v>40000</v>
      </c>
      <c r="G228">
        <v>0</v>
      </c>
      <c r="H228">
        <v>0</v>
      </c>
      <c r="I228">
        <v>0</v>
      </c>
      <c r="J228">
        <v>30000</v>
      </c>
      <c r="K228">
        <v>10000</v>
      </c>
      <c r="L228">
        <v>0</v>
      </c>
      <c r="M228">
        <v>0</v>
      </c>
      <c r="N228">
        <v>0</v>
      </c>
      <c r="O228">
        <v>0</v>
      </c>
      <c r="P228">
        <v>3000</v>
      </c>
      <c r="Q228" t="s">
        <v>64</v>
      </c>
      <c r="R228">
        <v>80000</v>
      </c>
      <c r="S228">
        <v>3000</v>
      </c>
      <c r="T228">
        <v>124</v>
      </c>
    </row>
    <row r="229" spans="1:20" hidden="1" x14ac:dyDescent="0.3">
      <c r="A229">
        <v>1194</v>
      </c>
      <c r="B229">
        <v>691</v>
      </c>
      <c r="C229">
        <v>287</v>
      </c>
      <c r="D229">
        <v>0</v>
      </c>
      <c r="E229">
        <v>110000</v>
      </c>
      <c r="F229">
        <v>60000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30000</v>
      </c>
      <c r="Q229" t="s">
        <v>65</v>
      </c>
      <c r="R229">
        <v>60000</v>
      </c>
      <c r="S229">
        <v>30000</v>
      </c>
      <c r="T229">
        <v>126</v>
      </c>
    </row>
    <row r="230" spans="1:20" hidden="1" x14ac:dyDescent="0.3">
      <c r="A230">
        <v>1199</v>
      </c>
      <c r="B230">
        <v>691</v>
      </c>
      <c r="C230">
        <v>293</v>
      </c>
      <c r="D230">
        <v>1</v>
      </c>
      <c r="E230">
        <v>110000</v>
      </c>
      <c r="F230">
        <v>60000</v>
      </c>
      <c r="G230">
        <v>0</v>
      </c>
      <c r="H230">
        <v>0</v>
      </c>
      <c r="I230">
        <v>30000</v>
      </c>
      <c r="J230">
        <v>15000</v>
      </c>
      <c r="K230">
        <v>17000</v>
      </c>
      <c r="L230">
        <v>8000</v>
      </c>
      <c r="M230">
        <v>0</v>
      </c>
      <c r="N230">
        <v>0</v>
      </c>
      <c r="O230">
        <v>4000</v>
      </c>
      <c r="P230">
        <v>6000</v>
      </c>
      <c r="Q230" t="s">
        <v>65</v>
      </c>
      <c r="R230">
        <v>134000</v>
      </c>
      <c r="S230">
        <v>6000</v>
      </c>
      <c r="T230">
        <v>126</v>
      </c>
    </row>
    <row r="231" spans="1:20" hidden="1" x14ac:dyDescent="0.3">
      <c r="A231">
        <v>1212</v>
      </c>
      <c r="B231">
        <v>691</v>
      </c>
      <c r="C231">
        <v>295</v>
      </c>
      <c r="D231">
        <v>2</v>
      </c>
      <c r="E231">
        <v>110000</v>
      </c>
      <c r="F231">
        <v>60000</v>
      </c>
      <c r="G231">
        <v>0</v>
      </c>
      <c r="H231">
        <v>0</v>
      </c>
      <c r="I231">
        <v>0</v>
      </c>
      <c r="J231">
        <v>15000</v>
      </c>
      <c r="K231">
        <v>17000</v>
      </c>
      <c r="L231">
        <v>14000</v>
      </c>
      <c r="M231">
        <v>0</v>
      </c>
      <c r="N231">
        <v>0</v>
      </c>
      <c r="O231">
        <v>0</v>
      </c>
      <c r="P231">
        <v>10000</v>
      </c>
      <c r="Q231" t="s">
        <v>65</v>
      </c>
      <c r="R231">
        <v>106000</v>
      </c>
      <c r="S231">
        <v>10000</v>
      </c>
      <c r="T231">
        <v>126</v>
      </c>
    </row>
    <row r="232" spans="1:20" hidden="1" x14ac:dyDescent="0.3">
      <c r="A232">
        <v>1241</v>
      </c>
      <c r="B232">
        <v>691</v>
      </c>
      <c r="C232">
        <v>300</v>
      </c>
      <c r="D232">
        <v>3</v>
      </c>
      <c r="E232">
        <v>110000</v>
      </c>
      <c r="F232">
        <v>60000</v>
      </c>
      <c r="G232">
        <v>0</v>
      </c>
      <c r="H232">
        <v>0</v>
      </c>
      <c r="I232">
        <v>0</v>
      </c>
      <c r="J232">
        <v>15000</v>
      </c>
      <c r="K232">
        <v>17000</v>
      </c>
      <c r="L232">
        <v>11000</v>
      </c>
      <c r="M232">
        <v>4000</v>
      </c>
      <c r="N232">
        <v>0</v>
      </c>
      <c r="O232">
        <v>0</v>
      </c>
      <c r="P232">
        <v>13000</v>
      </c>
      <c r="Q232" t="s">
        <v>65</v>
      </c>
      <c r="R232">
        <v>107000</v>
      </c>
      <c r="S232">
        <v>13000</v>
      </c>
      <c r="T232">
        <v>126</v>
      </c>
    </row>
    <row r="233" spans="1:20" hidden="1" x14ac:dyDescent="0.3">
      <c r="A233">
        <v>1259</v>
      </c>
      <c r="B233">
        <v>691</v>
      </c>
      <c r="C233">
        <v>303</v>
      </c>
      <c r="D233">
        <v>4</v>
      </c>
      <c r="E233">
        <v>110000</v>
      </c>
      <c r="F233">
        <v>60000</v>
      </c>
      <c r="G233">
        <v>0</v>
      </c>
      <c r="H233">
        <v>0</v>
      </c>
      <c r="I233">
        <v>0</v>
      </c>
      <c r="J233">
        <v>30000</v>
      </c>
      <c r="K233">
        <v>17000</v>
      </c>
      <c r="L233">
        <v>0</v>
      </c>
      <c r="M233">
        <v>5000</v>
      </c>
      <c r="N233">
        <v>0</v>
      </c>
      <c r="O233">
        <v>0</v>
      </c>
      <c r="P233">
        <v>11000</v>
      </c>
      <c r="Q233" t="s">
        <v>65</v>
      </c>
      <c r="R233">
        <v>112000</v>
      </c>
      <c r="S233">
        <v>11000</v>
      </c>
      <c r="T233">
        <v>126</v>
      </c>
    </row>
    <row r="234" spans="1:20" hidden="1" x14ac:dyDescent="0.3">
      <c r="A234">
        <v>1170</v>
      </c>
      <c r="B234">
        <v>693</v>
      </c>
      <c r="C234">
        <v>287</v>
      </c>
      <c r="D234">
        <v>0</v>
      </c>
      <c r="E234">
        <v>90000</v>
      </c>
      <c r="F234">
        <v>50000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15000</v>
      </c>
      <c r="Q234" t="s">
        <v>66</v>
      </c>
      <c r="R234">
        <v>50000</v>
      </c>
      <c r="S234">
        <v>15000</v>
      </c>
      <c r="T234">
        <v>125</v>
      </c>
    </row>
    <row r="235" spans="1:20" hidden="1" x14ac:dyDescent="0.3">
      <c r="A235">
        <v>1198</v>
      </c>
      <c r="B235">
        <v>693</v>
      </c>
      <c r="C235">
        <v>293</v>
      </c>
      <c r="D235">
        <v>1</v>
      </c>
      <c r="E235">
        <v>90000</v>
      </c>
      <c r="F235">
        <v>50000</v>
      </c>
      <c r="G235">
        <v>0</v>
      </c>
      <c r="H235">
        <v>0</v>
      </c>
      <c r="I235">
        <v>0</v>
      </c>
      <c r="J235">
        <v>20000</v>
      </c>
      <c r="K235">
        <v>7000</v>
      </c>
      <c r="L235">
        <v>9000</v>
      </c>
      <c r="M235">
        <v>1400</v>
      </c>
      <c r="N235">
        <v>0</v>
      </c>
      <c r="O235">
        <v>4000</v>
      </c>
      <c r="P235">
        <v>13600</v>
      </c>
      <c r="Q235" t="s">
        <v>66</v>
      </c>
      <c r="R235">
        <v>91400</v>
      </c>
      <c r="S235">
        <v>13600</v>
      </c>
      <c r="T235">
        <v>125</v>
      </c>
    </row>
    <row r="236" spans="1:20" hidden="1" x14ac:dyDescent="0.3">
      <c r="A236">
        <v>1210</v>
      </c>
      <c r="B236">
        <v>693</v>
      </c>
      <c r="C236">
        <v>295</v>
      </c>
      <c r="D236">
        <v>2</v>
      </c>
      <c r="E236">
        <v>90000</v>
      </c>
      <c r="F236">
        <v>50000</v>
      </c>
      <c r="G236">
        <v>0</v>
      </c>
      <c r="H236">
        <v>0</v>
      </c>
      <c r="I236">
        <v>0</v>
      </c>
      <c r="J236">
        <v>20000</v>
      </c>
      <c r="K236">
        <v>7000</v>
      </c>
      <c r="L236">
        <v>0</v>
      </c>
      <c r="M236">
        <v>5250</v>
      </c>
      <c r="N236">
        <v>8000</v>
      </c>
      <c r="O236">
        <v>0</v>
      </c>
      <c r="P236">
        <v>13350</v>
      </c>
      <c r="Q236" t="s">
        <v>66</v>
      </c>
      <c r="R236">
        <v>90250</v>
      </c>
      <c r="S236">
        <v>13350</v>
      </c>
      <c r="T236">
        <v>125</v>
      </c>
    </row>
    <row r="237" spans="1:20" hidden="1" x14ac:dyDescent="0.3">
      <c r="A237">
        <v>1239</v>
      </c>
      <c r="B237">
        <v>693</v>
      </c>
      <c r="C237">
        <v>300</v>
      </c>
      <c r="D237">
        <v>3</v>
      </c>
      <c r="E237">
        <v>90000</v>
      </c>
      <c r="F237">
        <v>50000</v>
      </c>
      <c r="G237">
        <v>0</v>
      </c>
      <c r="H237">
        <v>0</v>
      </c>
      <c r="I237">
        <v>0</v>
      </c>
      <c r="J237">
        <v>20000</v>
      </c>
      <c r="K237">
        <v>7000</v>
      </c>
      <c r="L237">
        <v>8000</v>
      </c>
      <c r="M237">
        <v>0</v>
      </c>
      <c r="N237">
        <v>8000</v>
      </c>
      <c r="O237">
        <v>0</v>
      </c>
      <c r="P237">
        <v>10350</v>
      </c>
      <c r="Q237" t="s">
        <v>66</v>
      </c>
      <c r="R237">
        <v>93000</v>
      </c>
      <c r="S237">
        <v>10350</v>
      </c>
      <c r="T237">
        <v>125</v>
      </c>
    </row>
    <row r="238" spans="1:20" hidden="1" x14ac:dyDescent="0.3">
      <c r="A238">
        <v>1258</v>
      </c>
      <c r="B238">
        <v>693</v>
      </c>
      <c r="C238">
        <v>303</v>
      </c>
      <c r="D238">
        <v>4</v>
      </c>
      <c r="E238">
        <v>90000</v>
      </c>
      <c r="F238">
        <v>50000</v>
      </c>
      <c r="G238">
        <v>0</v>
      </c>
      <c r="H238">
        <v>21000</v>
      </c>
      <c r="I238">
        <v>0</v>
      </c>
      <c r="J238">
        <v>30000</v>
      </c>
      <c r="K238">
        <v>10000</v>
      </c>
      <c r="L238">
        <v>6000</v>
      </c>
      <c r="M238">
        <v>4500</v>
      </c>
      <c r="N238">
        <v>0</v>
      </c>
      <c r="O238">
        <v>0</v>
      </c>
      <c r="P238">
        <v>20850</v>
      </c>
      <c r="Q238" t="s">
        <v>66</v>
      </c>
      <c r="R238">
        <v>100500</v>
      </c>
      <c r="S238">
        <v>20850</v>
      </c>
      <c r="T238">
        <v>125</v>
      </c>
    </row>
    <row r="239" spans="1:20" hidden="1" x14ac:dyDescent="0.3">
      <c r="A239">
        <v>1172</v>
      </c>
      <c r="B239">
        <v>694</v>
      </c>
      <c r="C239">
        <v>287</v>
      </c>
      <c r="D239">
        <v>0</v>
      </c>
      <c r="E239">
        <v>130000</v>
      </c>
      <c r="F239">
        <v>75000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50000</v>
      </c>
      <c r="Q239" t="s">
        <v>67</v>
      </c>
      <c r="R239">
        <v>75000</v>
      </c>
      <c r="S239">
        <v>50000</v>
      </c>
      <c r="T239">
        <v>127</v>
      </c>
    </row>
    <row r="240" spans="1:20" hidden="1" x14ac:dyDescent="0.3">
      <c r="A240">
        <v>1197</v>
      </c>
      <c r="B240">
        <v>694</v>
      </c>
      <c r="C240">
        <v>293</v>
      </c>
      <c r="D240">
        <v>1</v>
      </c>
      <c r="E240">
        <v>130000</v>
      </c>
      <c r="F240">
        <v>75000</v>
      </c>
      <c r="G240">
        <v>0</v>
      </c>
      <c r="H240">
        <v>0</v>
      </c>
      <c r="I240">
        <v>0</v>
      </c>
      <c r="J240">
        <v>20000</v>
      </c>
      <c r="K240">
        <v>20000</v>
      </c>
      <c r="L240">
        <v>16000</v>
      </c>
      <c r="M240">
        <v>4000</v>
      </c>
      <c r="N240">
        <v>0</v>
      </c>
      <c r="O240">
        <v>0</v>
      </c>
      <c r="P240">
        <v>45000</v>
      </c>
      <c r="Q240" t="s">
        <v>67</v>
      </c>
      <c r="R240">
        <v>135000</v>
      </c>
      <c r="S240">
        <v>45000</v>
      </c>
      <c r="T240">
        <v>127</v>
      </c>
    </row>
    <row r="241" spans="1:20" hidden="1" x14ac:dyDescent="0.3">
      <c r="A241">
        <v>1211</v>
      </c>
      <c r="B241">
        <v>694</v>
      </c>
      <c r="C241">
        <v>295</v>
      </c>
      <c r="D241">
        <v>2</v>
      </c>
      <c r="E241">
        <v>130000</v>
      </c>
      <c r="F241">
        <v>75000</v>
      </c>
      <c r="G241">
        <v>0</v>
      </c>
      <c r="H241">
        <v>0</v>
      </c>
      <c r="I241">
        <v>0</v>
      </c>
      <c r="J241">
        <v>20000</v>
      </c>
      <c r="K241">
        <v>20000</v>
      </c>
      <c r="L241">
        <v>1000</v>
      </c>
      <c r="M241">
        <v>10000</v>
      </c>
      <c r="N241">
        <v>4000</v>
      </c>
      <c r="O241">
        <v>0</v>
      </c>
      <c r="P241">
        <v>45000</v>
      </c>
      <c r="Q241" t="s">
        <v>67</v>
      </c>
      <c r="R241">
        <v>130000</v>
      </c>
      <c r="S241">
        <v>45000</v>
      </c>
      <c r="T241">
        <v>127</v>
      </c>
    </row>
    <row r="242" spans="1:20" hidden="1" x14ac:dyDescent="0.3">
      <c r="A242">
        <v>1243</v>
      </c>
      <c r="B242">
        <v>694</v>
      </c>
      <c r="C242">
        <v>300</v>
      </c>
      <c r="D242">
        <v>3</v>
      </c>
      <c r="E242">
        <v>130000</v>
      </c>
      <c r="F242">
        <v>75000</v>
      </c>
      <c r="G242">
        <v>0</v>
      </c>
      <c r="H242">
        <v>0</v>
      </c>
      <c r="I242">
        <v>0</v>
      </c>
      <c r="J242">
        <v>20000</v>
      </c>
      <c r="K242">
        <v>20000</v>
      </c>
      <c r="L242">
        <v>10000</v>
      </c>
      <c r="M242">
        <v>11500</v>
      </c>
      <c r="N242">
        <v>8000</v>
      </c>
      <c r="O242">
        <v>0</v>
      </c>
      <c r="P242">
        <v>30500</v>
      </c>
      <c r="Q242" t="s">
        <v>67</v>
      </c>
      <c r="R242">
        <v>144500</v>
      </c>
      <c r="S242">
        <v>30500</v>
      </c>
      <c r="T242">
        <v>127</v>
      </c>
    </row>
    <row r="243" spans="1:20" hidden="1" x14ac:dyDescent="0.3">
      <c r="A243">
        <v>1260</v>
      </c>
      <c r="B243">
        <v>694</v>
      </c>
      <c r="C243">
        <v>303</v>
      </c>
      <c r="D243">
        <v>4</v>
      </c>
      <c r="E243">
        <v>130000</v>
      </c>
      <c r="F243">
        <v>75000</v>
      </c>
      <c r="G243">
        <v>0</v>
      </c>
      <c r="H243">
        <v>60000</v>
      </c>
      <c r="I243">
        <v>0</v>
      </c>
      <c r="J243">
        <v>30000</v>
      </c>
      <c r="K243">
        <v>0</v>
      </c>
      <c r="L243">
        <v>23000</v>
      </c>
      <c r="M243">
        <v>0</v>
      </c>
      <c r="N243">
        <v>0</v>
      </c>
      <c r="O243">
        <v>0</v>
      </c>
      <c r="P243">
        <v>92500</v>
      </c>
      <c r="Q243" t="s">
        <v>67</v>
      </c>
      <c r="R243">
        <v>128000</v>
      </c>
      <c r="S243">
        <v>92500</v>
      </c>
      <c r="T243">
        <v>127</v>
      </c>
    </row>
    <row r="244" spans="1:20" hidden="1" x14ac:dyDescent="0.3">
      <c r="A244">
        <v>1166</v>
      </c>
      <c r="B244">
        <v>695</v>
      </c>
      <c r="C244">
        <v>287</v>
      </c>
      <c r="D244">
        <v>0</v>
      </c>
      <c r="E244">
        <v>190000</v>
      </c>
      <c r="F244">
        <v>115000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80000</v>
      </c>
      <c r="Q244" t="s">
        <v>68</v>
      </c>
      <c r="R244">
        <v>115000</v>
      </c>
      <c r="S244">
        <v>80000</v>
      </c>
      <c r="T244">
        <v>128</v>
      </c>
    </row>
    <row r="245" spans="1:20" hidden="1" x14ac:dyDescent="0.3">
      <c r="A245">
        <v>1195</v>
      </c>
      <c r="B245">
        <v>695</v>
      </c>
      <c r="C245">
        <v>293</v>
      </c>
      <c r="D245">
        <v>1</v>
      </c>
      <c r="E245">
        <v>190000</v>
      </c>
      <c r="F245">
        <v>115000</v>
      </c>
      <c r="G245">
        <v>0</v>
      </c>
      <c r="H245">
        <v>0</v>
      </c>
      <c r="I245">
        <v>0</v>
      </c>
      <c r="J245">
        <v>15000</v>
      </c>
      <c r="K245">
        <v>20000</v>
      </c>
      <c r="L245">
        <v>14000</v>
      </c>
      <c r="M245">
        <v>19500</v>
      </c>
      <c r="N245">
        <v>0</v>
      </c>
      <c r="O245">
        <v>0</v>
      </c>
      <c r="P245">
        <v>86500</v>
      </c>
      <c r="Q245" t="s">
        <v>68</v>
      </c>
      <c r="R245">
        <v>183500</v>
      </c>
      <c r="S245">
        <v>86500</v>
      </c>
      <c r="T245">
        <v>128</v>
      </c>
    </row>
    <row r="246" spans="1:20" hidden="1" x14ac:dyDescent="0.3">
      <c r="A246">
        <v>1209</v>
      </c>
      <c r="B246">
        <v>695</v>
      </c>
      <c r="C246">
        <v>295</v>
      </c>
      <c r="D246">
        <v>2</v>
      </c>
      <c r="E246">
        <v>190000</v>
      </c>
      <c r="F246">
        <v>115000</v>
      </c>
      <c r="G246">
        <v>0</v>
      </c>
      <c r="H246">
        <v>0</v>
      </c>
      <c r="I246">
        <v>0</v>
      </c>
      <c r="J246">
        <v>15000</v>
      </c>
      <c r="K246">
        <v>20000</v>
      </c>
      <c r="L246">
        <v>0</v>
      </c>
      <c r="M246">
        <v>5000</v>
      </c>
      <c r="N246">
        <v>0</v>
      </c>
      <c r="O246">
        <v>0</v>
      </c>
      <c r="P246">
        <v>121500</v>
      </c>
      <c r="Q246" t="s">
        <v>68</v>
      </c>
      <c r="R246">
        <v>155000</v>
      </c>
      <c r="S246">
        <v>121500</v>
      </c>
      <c r="T246">
        <v>128</v>
      </c>
    </row>
    <row r="247" spans="1:20" hidden="1" x14ac:dyDescent="0.3">
      <c r="A247">
        <v>1242</v>
      </c>
      <c r="B247">
        <v>695</v>
      </c>
      <c r="C247">
        <v>300</v>
      </c>
      <c r="D247">
        <v>3</v>
      </c>
      <c r="E247">
        <v>190000</v>
      </c>
      <c r="F247">
        <v>115000</v>
      </c>
      <c r="G247">
        <v>0</v>
      </c>
      <c r="H247">
        <v>0</v>
      </c>
      <c r="I247">
        <v>0</v>
      </c>
      <c r="J247">
        <v>15000</v>
      </c>
      <c r="K247">
        <v>20000</v>
      </c>
      <c r="L247">
        <v>8000</v>
      </c>
      <c r="M247">
        <v>4000</v>
      </c>
      <c r="N247">
        <v>0</v>
      </c>
      <c r="O247">
        <v>0</v>
      </c>
      <c r="P247">
        <v>149500</v>
      </c>
      <c r="Q247" t="s">
        <v>68</v>
      </c>
      <c r="R247">
        <v>162000</v>
      </c>
      <c r="S247">
        <v>149500</v>
      </c>
      <c r="T247">
        <v>128</v>
      </c>
    </row>
    <row r="248" spans="1:20" hidden="1" x14ac:dyDescent="0.3">
      <c r="A248">
        <v>1261</v>
      </c>
      <c r="B248">
        <v>695</v>
      </c>
      <c r="C248">
        <v>303</v>
      </c>
      <c r="D248">
        <v>4</v>
      </c>
      <c r="E248">
        <v>190000</v>
      </c>
      <c r="F248">
        <v>115000</v>
      </c>
      <c r="G248">
        <v>0</v>
      </c>
      <c r="H248">
        <v>110000</v>
      </c>
      <c r="I248">
        <v>125000</v>
      </c>
      <c r="J248">
        <v>30000</v>
      </c>
      <c r="K248">
        <v>30000</v>
      </c>
      <c r="L248">
        <v>15000</v>
      </c>
      <c r="M248">
        <v>0</v>
      </c>
      <c r="N248">
        <v>0</v>
      </c>
      <c r="O248">
        <v>0</v>
      </c>
      <c r="P248">
        <v>134500</v>
      </c>
      <c r="Q248" t="s">
        <v>68</v>
      </c>
      <c r="R248">
        <v>315000</v>
      </c>
      <c r="S248">
        <v>134500</v>
      </c>
      <c r="T248">
        <v>128</v>
      </c>
    </row>
    <row r="249" spans="1:20" hidden="1" x14ac:dyDescent="0.3">
      <c r="A249">
        <v>1169</v>
      </c>
      <c r="B249">
        <v>696</v>
      </c>
      <c r="C249">
        <v>287</v>
      </c>
      <c r="D249">
        <v>0</v>
      </c>
      <c r="E249">
        <v>110000</v>
      </c>
      <c r="F249">
        <v>60000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30000</v>
      </c>
      <c r="Q249" t="s">
        <v>69</v>
      </c>
      <c r="R249">
        <v>60000</v>
      </c>
      <c r="S249">
        <v>30000</v>
      </c>
      <c r="T249">
        <v>126</v>
      </c>
    </row>
    <row r="250" spans="1:20" hidden="1" x14ac:dyDescent="0.3">
      <c r="A250">
        <v>1196</v>
      </c>
      <c r="B250">
        <v>696</v>
      </c>
      <c r="C250">
        <v>293</v>
      </c>
      <c r="D250">
        <v>1</v>
      </c>
      <c r="E250">
        <v>110000</v>
      </c>
      <c r="F250">
        <v>60000</v>
      </c>
      <c r="G250">
        <v>0</v>
      </c>
      <c r="H250">
        <v>0</v>
      </c>
      <c r="I250">
        <v>0</v>
      </c>
      <c r="J250">
        <v>20000</v>
      </c>
      <c r="K250">
        <v>16000</v>
      </c>
      <c r="L250">
        <v>23000</v>
      </c>
      <c r="M250">
        <v>0</v>
      </c>
      <c r="N250">
        <v>0</v>
      </c>
      <c r="O250">
        <v>4000</v>
      </c>
      <c r="P250">
        <v>17000</v>
      </c>
      <c r="Q250" t="s">
        <v>69</v>
      </c>
      <c r="R250">
        <v>123000</v>
      </c>
      <c r="S250">
        <v>17000</v>
      </c>
      <c r="T250">
        <v>126</v>
      </c>
    </row>
    <row r="251" spans="1:20" hidden="1" x14ac:dyDescent="0.3">
      <c r="A251">
        <v>1208</v>
      </c>
      <c r="B251">
        <v>696</v>
      </c>
      <c r="C251">
        <v>295</v>
      </c>
      <c r="D251">
        <v>2</v>
      </c>
      <c r="E251">
        <v>110000</v>
      </c>
      <c r="F251">
        <v>60000</v>
      </c>
      <c r="G251">
        <v>0</v>
      </c>
      <c r="H251">
        <v>0</v>
      </c>
      <c r="I251">
        <v>0</v>
      </c>
      <c r="J251">
        <v>20000</v>
      </c>
      <c r="K251">
        <v>0</v>
      </c>
      <c r="L251">
        <v>10000</v>
      </c>
      <c r="M251">
        <v>4000</v>
      </c>
      <c r="N251">
        <v>0</v>
      </c>
      <c r="O251">
        <v>0</v>
      </c>
      <c r="P251">
        <v>33000</v>
      </c>
      <c r="Q251" t="s">
        <v>69</v>
      </c>
      <c r="R251">
        <v>94000</v>
      </c>
      <c r="S251">
        <v>33000</v>
      </c>
      <c r="T251">
        <v>126</v>
      </c>
    </row>
    <row r="252" spans="1:20" hidden="1" x14ac:dyDescent="0.3">
      <c r="A252">
        <v>1240</v>
      </c>
      <c r="B252">
        <v>696</v>
      </c>
      <c r="C252">
        <v>300</v>
      </c>
      <c r="D252">
        <v>3</v>
      </c>
      <c r="E252">
        <v>110000</v>
      </c>
      <c r="F252">
        <v>60000</v>
      </c>
      <c r="G252">
        <v>0</v>
      </c>
      <c r="H252">
        <v>0</v>
      </c>
      <c r="I252">
        <v>0</v>
      </c>
      <c r="J252">
        <v>20000</v>
      </c>
      <c r="K252">
        <v>16000</v>
      </c>
      <c r="L252">
        <v>0</v>
      </c>
      <c r="M252">
        <v>16700</v>
      </c>
      <c r="N252">
        <v>0</v>
      </c>
      <c r="O252">
        <v>0</v>
      </c>
      <c r="P252">
        <v>30300</v>
      </c>
      <c r="Q252" t="s">
        <v>69</v>
      </c>
      <c r="R252">
        <v>112700</v>
      </c>
      <c r="S252">
        <v>30300</v>
      </c>
      <c r="T252">
        <v>126</v>
      </c>
    </row>
    <row r="253" spans="1:20" hidden="1" x14ac:dyDescent="0.3">
      <c r="A253">
        <v>1262</v>
      </c>
      <c r="B253">
        <v>696</v>
      </c>
      <c r="C253">
        <v>303</v>
      </c>
      <c r="D253">
        <v>4</v>
      </c>
      <c r="E253">
        <v>110000</v>
      </c>
      <c r="F253">
        <v>60000</v>
      </c>
      <c r="G253">
        <v>0</v>
      </c>
      <c r="H253">
        <v>0</v>
      </c>
      <c r="I253">
        <v>0</v>
      </c>
      <c r="J253">
        <v>20000</v>
      </c>
      <c r="K253">
        <v>16000</v>
      </c>
      <c r="L253">
        <v>0</v>
      </c>
      <c r="M253">
        <v>0</v>
      </c>
      <c r="N253">
        <v>0</v>
      </c>
      <c r="O253">
        <v>0</v>
      </c>
      <c r="P253">
        <v>44300</v>
      </c>
      <c r="Q253" t="s">
        <v>69</v>
      </c>
      <c r="R253">
        <v>96000</v>
      </c>
      <c r="S253">
        <v>44300</v>
      </c>
      <c r="T253">
        <v>126</v>
      </c>
    </row>
    <row r="254" spans="1:20" hidden="1" x14ac:dyDescent="0.3">
      <c r="T254" t="e">
        <v>#N/A</v>
      </c>
    </row>
    <row r="255" spans="1:20" hidden="1" x14ac:dyDescent="0.3">
      <c r="T255" t="e">
        <v>#N/A</v>
      </c>
    </row>
    <row r="256" spans="1:20" hidden="1" x14ac:dyDescent="0.3">
      <c r="T256" t="e">
        <v>#N/A</v>
      </c>
    </row>
    <row r="257" spans="20:20" hidden="1" x14ac:dyDescent="0.3">
      <c r="T257" t="e">
        <v>#N/A</v>
      </c>
    </row>
    <row r="258" spans="20:20" hidden="1" x14ac:dyDescent="0.3">
      <c r="T258" t="e">
        <v>#N/A</v>
      </c>
    </row>
    <row r="259" spans="20:20" hidden="1" x14ac:dyDescent="0.3">
      <c r="T259" t="e">
        <v>#N/A</v>
      </c>
    </row>
    <row r="260" spans="20:20" hidden="1" x14ac:dyDescent="0.3">
      <c r="T260" t="e">
        <v>#N/A</v>
      </c>
    </row>
    <row r="261" spans="20:20" hidden="1" x14ac:dyDescent="0.3">
      <c r="T261" t="e">
        <v>#N/A</v>
      </c>
    </row>
    <row r="262" spans="20:20" hidden="1" x14ac:dyDescent="0.3">
      <c r="T262" t="e">
        <v>#N/A</v>
      </c>
    </row>
    <row r="263" spans="20:20" hidden="1" x14ac:dyDescent="0.3">
      <c r="T263" t="e">
        <v>#N/A</v>
      </c>
    </row>
    <row r="264" spans="20:20" hidden="1" x14ac:dyDescent="0.3">
      <c r="T264" t="e">
        <v>#N/A</v>
      </c>
    </row>
    <row r="265" spans="20:20" hidden="1" x14ac:dyDescent="0.3">
      <c r="T265" t="e">
        <v>#N/A</v>
      </c>
    </row>
    <row r="266" spans="20:20" hidden="1" x14ac:dyDescent="0.3">
      <c r="T266" t="e">
        <v>#N/A</v>
      </c>
    </row>
    <row r="267" spans="20:20" hidden="1" x14ac:dyDescent="0.3">
      <c r="T267" t="e">
        <v>#N/A</v>
      </c>
    </row>
    <row r="268" spans="20:20" hidden="1" x14ac:dyDescent="0.3">
      <c r="T268" t="e">
        <v>#N/A</v>
      </c>
    </row>
    <row r="269" spans="20:20" hidden="1" x14ac:dyDescent="0.3">
      <c r="T269" t="e">
        <v>#N/A</v>
      </c>
    </row>
    <row r="270" spans="20:20" hidden="1" x14ac:dyDescent="0.3">
      <c r="T270" t="e">
        <v>#N/A</v>
      </c>
    </row>
    <row r="271" spans="20:20" hidden="1" x14ac:dyDescent="0.3">
      <c r="T271" t="e">
        <v>#N/A</v>
      </c>
    </row>
    <row r="272" spans="20:20" hidden="1" x14ac:dyDescent="0.3">
      <c r="T272" t="e">
        <v>#N/A</v>
      </c>
    </row>
    <row r="273" spans="20:20" hidden="1" x14ac:dyDescent="0.3">
      <c r="T273" t="e">
        <v>#N/A</v>
      </c>
    </row>
    <row r="274" spans="20:20" hidden="1" x14ac:dyDescent="0.3">
      <c r="T274" t="e">
        <v>#N/A</v>
      </c>
    </row>
    <row r="275" spans="20:20" hidden="1" x14ac:dyDescent="0.3">
      <c r="T275" t="e">
        <v>#N/A</v>
      </c>
    </row>
    <row r="276" spans="20:20" hidden="1" x14ac:dyDescent="0.3">
      <c r="T276" t="e">
        <v>#N/A</v>
      </c>
    </row>
    <row r="277" spans="20:20" hidden="1" x14ac:dyDescent="0.3">
      <c r="T277" t="e">
        <v>#N/A</v>
      </c>
    </row>
    <row r="278" spans="20:20" hidden="1" x14ac:dyDescent="0.3">
      <c r="T278" t="e">
        <v>#N/A</v>
      </c>
    </row>
    <row r="279" spans="20:20" hidden="1" x14ac:dyDescent="0.3">
      <c r="T279" t="e">
        <v>#N/A</v>
      </c>
    </row>
    <row r="280" spans="20:20" hidden="1" x14ac:dyDescent="0.3">
      <c r="T280" t="e">
        <v>#N/A</v>
      </c>
    </row>
    <row r="281" spans="20:20" hidden="1" x14ac:dyDescent="0.3">
      <c r="T281" t="e">
        <v>#N/A</v>
      </c>
    </row>
    <row r="282" spans="20:20" hidden="1" x14ac:dyDescent="0.3">
      <c r="T282" t="e">
        <v>#N/A</v>
      </c>
    </row>
    <row r="283" spans="20:20" hidden="1" x14ac:dyDescent="0.3">
      <c r="T283" t="e">
        <v>#N/A</v>
      </c>
    </row>
    <row r="284" spans="20:20" hidden="1" x14ac:dyDescent="0.3">
      <c r="T284" t="e">
        <v>#N/A</v>
      </c>
    </row>
    <row r="285" spans="20:20" hidden="1" x14ac:dyDescent="0.3">
      <c r="T285" t="e">
        <v>#N/A</v>
      </c>
    </row>
    <row r="286" spans="20:20" hidden="1" x14ac:dyDescent="0.3">
      <c r="T286" t="e">
        <v>#N/A</v>
      </c>
    </row>
    <row r="287" spans="20:20" hidden="1" x14ac:dyDescent="0.3">
      <c r="T287" t="e">
        <v>#N/A</v>
      </c>
    </row>
    <row r="288" spans="20:20" hidden="1" x14ac:dyDescent="0.3">
      <c r="T288" t="e">
        <v>#N/A</v>
      </c>
    </row>
    <row r="289" spans="20:20" hidden="1" x14ac:dyDescent="0.3">
      <c r="T289" t="e">
        <v>#N/A</v>
      </c>
    </row>
    <row r="290" spans="20:20" hidden="1" x14ac:dyDescent="0.3">
      <c r="T290" t="e">
        <v>#N/A</v>
      </c>
    </row>
    <row r="291" spans="20:20" hidden="1" x14ac:dyDescent="0.3">
      <c r="T291" t="e">
        <v>#N/A</v>
      </c>
    </row>
    <row r="292" spans="20:20" hidden="1" x14ac:dyDescent="0.3">
      <c r="T292" t="e">
        <v>#N/A</v>
      </c>
    </row>
    <row r="293" spans="20:20" hidden="1" x14ac:dyDescent="0.3">
      <c r="T293" t="e">
        <v>#N/A</v>
      </c>
    </row>
    <row r="294" spans="20:20" hidden="1" x14ac:dyDescent="0.3">
      <c r="T294" t="e">
        <v>#N/A</v>
      </c>
    </row>
    <row r="295" spans="20:20" hidden="1" x14ac:dyDescent="0.3">
      <c r="T295" t="e">
        <v>#N/A</v>
      </c>
    </row>
    <row r="296" spans="20:20" hidden="1" x14ac:dyDescent="0.3">
      <c r="T296" t="e">
        <v>#N/A</v>
      </c>
    </row>
    <row r="297" spans="20:20" hidden="1" x14ac:dyDescent="0.3">
      <c r="T297" t="e">
        <v>#N/A</v>
      </c>
    </row>
    <row r="298" spans="20:20" hidden="1" x14ac:dyDescent="0.3">
      <c r="T298" t="e">
        <v>#N/A</v>
      </c>
    </row>
    <row r="299" spans="20:20" hidden="1" x14ac:dyDescent="0.3">
      <c r="T299" t="e">
        <v>#N/A</v>
      </c>
    </row>
    <row r="300" spans="20:20" hidden="1" x14ac:dyDescent="0.3">
      <c r="T300" t="e">
        <v>#N/A</v>
      </c>
    </row>
    <row r="301" spans="20:20" hidden="1" x14ac:dyDescent="0.3">
      <c r="T301" t="e">
        <v>#N/A</v>
      </c>
    </row>
    <row r="302" spans="20:20" hidden="1" x14ac:dyDescent="0.3">
      <c r="T302" t="e">
        <v>#N/A</v>
      </c>
    </row>
    <row r="303" spans="20:20" hidden="1" x14ac:dyDescent="0.3">
      <c r="T303" t="e">
        <v>#N/A</v>
      </c>
    </row>
    <row r="304" spans="20:20" hidden="1" x14ac:dyDescent="0.3">
      <c r="T304" t="e">
        <v>#N/A</v>
      </c>
    </row>
    <row r="305" spans="20:20" hidden="1" x14ac:dyDescent="0.3">
      <c r="T305" t="e">
        <v>#N/A</v>
      </c>
    </row>
    <row r="306" spans="20:20" hidden="1" x14ac:dyDescent="0.3">
      <c r="T306" t="e">
        <v>#N/A</v>
      </c>
    </row>
    <row r="307" spans="20:20" hidden="1" x14ac:dyDescent="0.3">
      <c r="T307" t="e">
        <v>#N/A</v>
      </c>
    </row>
    <row r="308" spans="20:20" hidden="1" x14ac:dyDescent="0.3">
      <c r="T308" t="e">
        <v>#N/A</v>
      </c>
    </row>
    <row r="309" spans="20:20" hidden="1" x14ac:dyDescent="0.3">
      <c r="T309" t="e">
        <v>#N/A</v>
      </c>
    </row>
    <row r="310" spans="20:20" hidden="1" x14ac:dyDescent="0.3">
      <c r="T310" t="e">
        <v>#N/A</v>
      </c>
    </row>
    <row r="311" spans="20:20" hidden="1" x14ac:dyDescent="0.3">
      <c r="T311" t="e">
        <v>#N/A</v>
      </c>
    </row>
    <row r="312" spans="20:20" hidden="1" x14ac:dyDescent="0.3">
      <c r="T312" t="e">
        <v>#N/A</v>
      </c>
    </row>
    <row r="313" spans="20:20" hidden="1" x14ac:dyDescent="0.3">
      <c r="T313" t="e">
        <v>#N/A</v>
      </c>
    </row>
    <row r="314" spans="20:20" hidden="1" x14ac:dyDescent="0.3">
      <c r="T314" t="e">
        <v>#N/A</v>
      </c>
    </row>
  </sheetData>
  <autoFilter ref="A1:T314" xr:uid="{00000000-0001-0000-0000-000000000000}">
    <filterColumn colId="4">
      <filters>
        <filter val="round_incom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4.4" x14ac:dyDescent="0.3"/>
  <cols>
    <col min="5" max="5" width="20.6640625" style="2" customWidth="1"/>
    <col min="8" max="8" width="20.6640625" style="2" customWidth="1"/>
  </cols>
  <sheetData>
    <row r="1" spans="1:10" s="1" customFormat="1" x14ac:dyDescent="0.3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3">
      <c r="A2">
        <v>19</v>
      </c>
      <c r="B2" t="s">
        <v>80</v>
      </c>
      <c r="C2" t="s">
        <v>81</v>
      </c>
      <c r="D2" t="s">
        <v>82</v>
      </c>
      <c r="E2" s="2">
        <v>45910.543680555551</v>
      </c>
      <c r="H2" s="2">
        <v>45931.467361111107</v>
      </c>
      <c r="I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4" x14ac:dyDescent="0.3"/>
  <sheetData>
    <row r="1" spans="1:7" s="1" customFormat="1" x14ac:dyDescent="0.3">
      <c r="A1" s="1" t="s">
        <v>70</v>
      </c>
      <c r="B1" s="1" t="s">
        <v>83</v>
      </c>
      <c r="C1" s="1" t="s">
        <v>72</v>
      </c>
      <c r="D1" s="1" t="s">
        <v>84</v>
      </c>
      <c r="E1" s="1" t="s">
        <v>85</v>
      </c>
      <c r="F1" s="1" t="s">
        <v>86</v>
      </c>
      <c r="G1" s="1" t="s">
        <v>71</v>
      </c>
    </row>
    <row r="2" spans="1:7" x14ac:dyDescent="0.3">
      <c r="A2">
        <v>89</v>
      </c>
      <c r="B2" t="s">
        <v>87</v>
      </c>
      <c r="C2" t="s">
        <v>81</v>
      </c>
      <c r="D2">
        <v>19</v>
      </c>
      <c r="E2">
        <v>22</v>
      </c>
      <c r="F2">
        <v>7</v>
      </c>
      <c r="G2" t="s">
        <v>80</v>
      </c>
    </row>
    <row r="3" spans="1:7" x14ac:dyDescent="0.3">
      <c r="A3">
        <v>90</v>
      </c>
      <c r="B3" t="s">
        <v>88</v>
      </c>
      <c r="C3" t="s">
        <v>81</v>
      </c>
      <c r="D3">
        <v>19</v>
      </c>
      <c r="E3">
        <v>22</v>
      </c>
      <c r="F3">
        <v>8</v>
      </c>
      <c r="G3" t="s">
        <v>80</v>
      </c>
    </row>
    <row r="4" spans="1:7" x14ac:dyDescent="0.3">
      <c r="A4">
        <v>91</v>
      </c>
      <c r="B4" t="s">
        <v>89</v>
      </c>
      <c r="C4" t="s">
        <v>81</v>
      </c>
      <c r="D4">
        <v>19</v>
      </c>
      <c r="E4">
        <v>22</v>
      </c>
      <c r="F4">
        <v>9</v>
      </c>
      <c r="G4" t="s">
        <v>80</v>
      </c>
    </row>
    <row r="5" spans="1:7" x14ac:dyDescent="0.3">
      <c r="A5">
        <v>92</v>
      </c>
      <c r="B5" t="s">
        <v>90</v>
      </c>
      <c r="C5" t="s">
        <v>81</v>
      </c>
      <c r="D5">
        <v>19</v>
      </c>
      <c r="E5">
        <v>22</v>
      </c>
      <c r="F5">
        <v>10</v>
      </c>
      <c r="G5" t="s">
        <v>80</v>
      </c>
    </row>
    <row r="6" spans="1:7" x14ac:dyDescent="0.3">
      <c r="A6">
        <v>93</v>
      </c>
      <c r="B6" t="s">
        <v>91</v>
      </c>
      <c r="C6" t="s">
        <v>81</v>
      </c>
      <c r="D6">
        <v>19</v>
      </c>
      <c r="E6">
        <v>22</v>
      </c>
      <c r="F6">
        <v>11</v>
      </c>
      <c r="G6" t="s">
        <v>80</v>
      </c>
    </row>
    <row r="7" spans="1:7" x14ac:dyDescent="0.3">
      <c r="A7">
        <v>94</v>
      </c>
      <c r="B7" t="s">
        <v>92</v>
      </c>
      <c r="C7" t="s">
        <v>81</v>
      </c>
      <c r="D7">
        <v>19</v>
      </c>
      <c r="E7">
        <v>22</v>
      </c>
      <c r="F7">
        <v>13</v>
      </c>
      <c r="G7" t="s">
        <v>80</v>
      </c>
    </row>
    <row r="8" spans="1:7" x14ac:dyDescent="0.3">
      <c r="A8">
        <v>95</v>
      </c>
      <c r="B8" t="s">
        <v>93</v>
      </c>
      <c r="C8" t="s">
        <v>81</v>
      </c>
      <c r="D8">
        <v>19</v>
      </c>
      <c r="E8">
        <v>22</v>
      </c>
      <c r="F8">
        <v>14</v>
      </c>
      <c r="G8" t="s">
        <v>80</v>
      </c>
    </row>
    <row r="9" spans="1:7" x14ac:dyDescent="0.3">
      <c r="A9">
        <v>96</v>
      </c>
      <c r="B9" t="s">
        <v>94</v>
      </c>
      <c r="C9" t="s">
        <v>81</v>
      </c>
      <c r="D9">
        <v>19</v>
      </c>
      <c r="E9">
        <v>22</v>
      </c>
      <c r="F9">
        <v>15</v>
      </c>
      <c r="G9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workbookViewId="0"/>
  </sheetViews>
  <sheetFormatPr defaultRowHeight="14.4" x14ac:dyDescent="0.3"/>
  <cols>
    <col min="2" max="2" width="20.6640625" style="2" customWidth="1"/>
  </cols>
  <sheetData>
    <row r="1" spans="1:11" s="1" customFormat="1" x14ac:dyDescent="0.3">
      <c r="A1" s="1" t="s">
        <v>70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84</v>
      </c>
      <c r="J1" s="1" t="s">
        <v>71</v>
      </c>
      <c r="K1" s="1" t="s">
        <v>102</v>
      </c>
    </row>
    <row r="2" spans="1:11" x14ac:dyDescent="0.3">
      <c r="A2">
        <v>269</v>
      </c>
      <c r="B2" s="2">
        <v>45923.434733796297</v>
      </c>
      <c r="C2">
        <v>0</v>
      </c>
      <c r="D2">
        <v>0</v>
      </c>
      <c r="E2" t="s">
        <v>103</v>
      </c>
      <c r="F2">
        <v>0</v>
      </c>
      <c r="G2">
        <v>89</v>
      </c>
      <c r="H2" t="s">
        <v>87</v>
      </c>
      <c r="I2">
        <v>19</v>
      </c>
      <c r="J2" t="s">
        <v>80</v>
      </c>
      <c r="K2">
        <v>22</v>
      </c>
    </row>
    <row r="3" spans="1:11" x14ac:dyDescent="0.3">
      <c r="A3">
        <v>271</v>
      </c>
      <c r="B3" s="2">
        <v>45923.449108796303</v>
      </c>
      <c r="C3">
        <v>5</v>
      </c>
      <c r="D3">
        <v>6</v>
      </c>
      <c r="E3" t="s">
        <v>104</v>
      </c>
      <c r="F3">
        <v>1</v>
      </c>
      <c r="G3">
        <v>89</v>
      </c>
      <c r="H3" t="s">
        <v>87</v>
      </c>
      <c r="I3">
        <v>19</v>
      </c>
      <c r="J3" t="s">
        <v>80</v>
      </c>
      <c r="K3">
        <v>22</v>
      </c>
    </row>
    <row r="4" spans="1:11" x14ac:dyDescent="0.3">
      <c r="A4">
        <v>276</v>
      </c>
      <c r="B4" s="2">
        <v>45923.464907407411</v>
      </c>
      <c r="C4">
        <v>3</v>
      </c>
      <c r="D4">
        <v>5</v>
      </c>
      <c r="E4" t="s">
        <v>104</v>
      </c>
      <c r="F4">
        <v>2</v>
      </c>
      <c r="G4">
        <v>89</v>
      </c>
      <c r="H4" t="s">
        <v>87</v>
      </c>
      <c r="I4">
        <v>19</v>
      </c>
      <c r="J4" t="s">
        <v>80</v>
      </c>
      <c r="K4">
        <v>22</v>
      </c>
    </row>
    <row r="5" spans="1:11" x14ac:dyDescent="0.3">
      <c r="A5">
        <v>278</v>
      </c>
      <c r="B5" s="2">
        <v>45923.471203703702</v>
      </c>
      <c r="C5">
        <v>1</v>
      </c>
      <c r="D5">
        <v>7</v>
      </c>
      <c r="E5" t="s">
        <v>104</v>
      </c>
      <c r="F5">
        <v>3</v>
      </c>
      <c r="G5">
        <v>89</v>
      </c>
      <c r="H5" t="s">
        <v>87</v>
      </c>
      <c r="I5">
        <v>19</v>
      </c>
      <c r="J5" t="s">
        <v>80</v>
      </c>
      <c r="K5">
        <v>22</v>
      </c>
    </row>
    <row r="6" spans="1:11" x14ac:dyDescent="0.3">
      <c r="A6">
        <v>282</v>
      </c>
      <c r="B6" s="2">
        <v>45923.479317129633</v>
      </c>
      <c r="C6">
        <v>1</v>
      </c>
      <c r="D6">
        <v>8</v>
      </c>
      <c r="E6" t="s">
        <v>104</v>
      </c>
      <c r="F6">
        <v>4</v>
      </c>
      <c r="G6">
        <v>89</v>
      </c>
      <c r="H6" t="s">
        <v>87</v>
      </c>
      <c r="I6">
        <v>19</v>
      </c>
      <c r="J6" t="s">
        <v>80</v>
      </c>
      <c r="K6">
        <v>22</v>
      </c>
    </row>
    <row r="7" spans="1:11" x14ac:dyDescent="0.3">
      <c r="A7">
        <v>267</v>
      </c>
      <c r="B7" s="2">
        <v>45923.428067129629</v>
      </c>
      <c r="C7">
        <v>0</v>
      </c>
      <c r="D7">
        <v>0</v>
      </c>
      <c r="E7" t="s">
        <v>103</v>
      </c>
      <c r="F7">
        <v>0</v>
      </c>
      <c r="G7">
        <v>90</v>
      </c>
      <c r="H7" t="s">
        <v>88</v>
      </c>
      <c r="I7">
        <v>19</v>
      </c>
      <c r="J7" t="s">
        <v>80</v>
      </c>
      <c r="K7">
        <v>22</v>
      </c>
    </row>
    <row r="8" spans="1:11" x14ac:dyDescent="0.3">
      <c r="A8">
        <v>270</v>
      </c>
      <c r="B8" s="2">
        <v>45923.448101851864</v>
      </c>
      <c r="C8">
        <v>1</v>
      </c>
      <c r="D8">
        <v>8</v>
      </c>
      <c r="E8" t="s">
        <v>104</v>
      </c>
      <c r="F8">
        <v>1</v>
      </c>
      <c r="G8">
        <v>90</v>
      </c>
      <c r="H8" t="s">
        <v>88</v>
      </c>
      <c r="I8">
        <v>19</v>
      </c>
      <c r="J8" t="s">
        <v>80</v>
      </c>
      <c r="K8">
        <v>22</v>
      </c>
    </row>
    <row r="9" spans="1:11" x14ac:dyDescent="0.3">
      <c r="A9">
        <v>274</v>
      </c>
      <c r="B9" s="2">
        <v>45923.461875000001</v>
      </c>
      <c r="C9">
        <v>10</v>
      </c>
      <c r="D9">
        <v>8</v>
      </c>
      <c r="E9" t="s">
        <v>104</v>
      </c>
      <c r="F9">
        <v>2</v>
      </c>
      <c r="G9">
        <v>90</v>
      </c>
      <c r="H9" t="s">
        <v>88</v>
      </c>
      <c r="I9">
        <v>19</v>
      </c>
      <c r="J9" t="s">
        <v>80</v>
      </c>
      <c r="K9">
        <v>22</v>
      </c>
    </row>
    <row r="10" spans="1:11" x14ac:dyDescent="0.3">
      <c r="A10">
        <v>277</v>
      </c>
      <c r="B10" s="2">
        <v>45923.468530092592</v>
      </c>
      <c r="C10">
        <v>4</v>
      </c>
      <c r="D10">
        <v>11</v>
      </c>
      <c r="E10" t="s">
        <v>104</v>
      </c>
      <c r="F10">
        <v>3</v>
      </c>
      <c r="G10">
        <v>90</v>
      </c>
      <c r="H10" t="s">
        <v>88</v>
      </c>
      <c r="I10">
        <v>19</v>
      </c>
      <c r="J10" t="s">
        <v>80</v>
      </c>
      <c r="K10">
        <v>22</v>
      </c>
    </row>
    <row r="11" spans="1:11" x14ac:dyDescent="0.3">
      <c r="A11">
        <v>281</v>
      </c>
      <c r="B11" s="2">
        <v>45923.475590277783</v>
      </c>
      <c r="C11">
        <v>6</v>
      </c>
      <c r="D11">
        <v>7</v>
      </c>
      <c r="E11" t="s">
        <v>104</v>
      </c>
      <c r="F11">
        <v>4</v>
      </c>
      <c r="G11">
        <v>90</v>
      </c>
      <c r="H11" t="s">
        <v>88</v>
      </c>
      <c r="I11">
        <v>19</v>
      </c>
      <c r="J11" t="s">
        <v>80</v>
      </c>
      <c r="K11">
        <v>22</v>
      </c>
    </row>
    <row r="12" spans="1:11" x14ac:dyDescent="0.3">
      <c r="A12">
        <v>268</v>
      </c>
      <c r="B12" s="2">
        <v>45923.429930555547</v>
      </c>
      <c r="C12">
        <v>0</v>
      </c>
      <c r="D12">
        <v>0</v>
      </c>
      <c r="E12" t="s">
        <v>103</v>
      </c>
      <c r="F12">
        <v>0</v>
      </c>
      <c r="G12">
        <v>91</v>
      </c>
      <c r="H12" t="s">
        <v>89</v>
      </c>
      <c r="I12">
        <v>19</v>
      </c>
      <c r="J12" t="s">
        <v>80</v>
      </c>
      <c r="K12">
        <v>22</v>
      </c>
    </row>
    <row r="13" spans="1:11" x14ac:dyDescent="0.3">
      <c r="A13">
        <v>272</v>
      </c>
      <c r="B13" s="2">
        <v>45923.449942129642</v>
      </c>
      <c r="C13">
        <v>8</v>
      </c>
      <c r="D13">
        <v>7</v>
      </c>
      <c r="E13" t="s">
        <v>104</v>
      </c>
      <c r="F13">
        <v>1</v>
      </c>
      <c r="G13">
        <v>91</v>
      </c>
      <c r="H13" t="s">
        <v>89</v>
      </c>
      <c r="I13">
        <v>19</v>
      </c>
      <c r="J13" t="s">
        <v>80</v>
      </c>
      <c r="K13">
        <v>22</v>
      </c>
    </row>
    <row r="14" spans="1:11" x14ac:dyDescent="0.3">
      <c r="A14">
        <v>275</v>
      </c>
      <c r="B14" s="2">
        <v>45923.463831018518</v>
      </c>
      <c r="C14">
        <v>10</v>
      </c>
      <c r="D14">
        <v>6</v>
      </c>
      <c r="E14" t="s">
        <v>104</v>
      </c>
      <c r="F14">
        <v>2</v>
      </c>
      <c r="G14">
        <v>91</v>
      </c>
      <c r="H14" t="s">
        <v>89</v>
      </c>
      <c r="I14">
        <v>19</v>
      </c>
      <c r="J14" t="s">
        <v>80</v>
      </c>
      <c r="K14">
        <v>22</v>
      </c>
    </row>
    <row r="15" spans="1:11" x14ac:dyDescent="0.3">
      <c r="A15">
        <v>279</v>
      </c>
      <c r="B15" s="2">
        <v>45923.471226851849</v>
      </c>
      <c r="C15">
        <v>1</v>
      </c>
      <c r="D15">
        <v>11</v>
      </c>
      <c r="E15" t="s">
        <v>104</v>
      </c>
      <c r="F15">
        <v>3</v>
      </c>
      <c r="G15">
        <v>91</v>
      </c>
      <c r="H15" t="s">
        <v>89</v>
      </c>
      <c r="I15">
        <v>19</v>
      </c>
      <c r="J15" t="s">
        <v>80</v>
      </c>
      <c r="K15">
        <v>22</v>
      </c>
    </row>
    <row r="16" spans="1:11" x14ac:dyDescent="0.3">
      <c r="A16">
        <v>283</v>
      </c>
      <c r="B16" s="2">
        <v>45923.479722222233</v>
      </c>
      <c r="C16">
        <v>3</v>
      </c>
      <c r="D16">
        <v>9</v>
      </c>
      <c r="E16" t="s">
        <v>104</v>
      </c>
      <c r="F16">
        <v>4</v>
      </c>
      <c r="G16">
        <v>91</v>
      </c>
      <c r="H16" t="s">
        <v>89</v>
      </c>
      <c r="I16">
        <v>19</v>
      </c>
      <c r="J16" t="s">
        <v>80</v>
      </c>
      <c r="K16">
        <v>22</v>
      </c>
    </row>
    <row r="17" spans="1:11" x14ac:dyDescent="0.3">
      <c r="A17">
        <v>266</v>
      </c>
      <c r="B17" s="2">
        <v>45923.417731481481</v>
      </c>
      <c r="C17">
        <v>0</v>
      </c>
      <c r="D17">
        <v>0</v>
      </c>
      <c r="E17" t="s">
        <v>103</v>
      </c>
      <c r="F17">
        <v>0</v>
      </c>
      <c r="G17">
        <v>92</v>
      </c>
      <c r="H17" t="s">
        <v>90</v>
      </c>
      <c r="I17">
        <v>19</v>
      </c>
      <c r="J17" t="s">
        <v>80</v>
      </c>
      <c r="K17">
        <v>22</v>
      </c>
    </row>
    <row r="18" spans="1:11" x14ac:dyDescent="0.3">
      <c r="A18">
        <v>273</v>
      </c>
      <c r="B18" s="2">
        <v>45923.450810185182</v>
      </c>
      <c r="C18">
        <v>1</v>
      </c>
      <c r="D18">
        <v>7</v>
      </c>
      <c r="E18" t="s">
        <v>104</v>
      </c>
      <c r="F18">
        <v>1</v>
      </c>
      <c r="G18">
        <v>92</v>
      </c>
      <c r="H18" t="s">
        <v>90</v>
      </c>
      <c r="I18">
        <v>19</v>
      </c>
      <c r="J18" t="s">
        <v>80</v>
      </c>
      <c r="K18">
        <v>22</v>
      </c>
    </row>
    <row r="19" spans="1:11" x14ac:dyDescent="0.3">
      <c r="A19">
        <v>280</v>
      </c>
      <c r="B19" s="2">
        <v>45923.473634259259</v>
      </c>
      <c r="C19">
        <v>5</v>
      </c>
      <c r="D19">
        <v>5</v>
      </c>
      <c r="E19" t="s">
        <v>104</v>
      </c>
      <c r="F19">
        <v>2</v>
      </c>
      <c r="G19">
        <v>92</v>
      </c>
      <c r="H19" t="s">
        <v>90</v>
      </c>
      <c r="I19">
        <v>19</v>
      </c>
      <c r="J19" t="s">
        <v>80</v>
      </c>
      <c r="K19">
        <v>22</v>
      </c>
    </row>
    <row r="20" spans="1:11" x14ac:dyDescent="0.3">
      <c r="A20">
        <v>284</v>
      </c>
      <c r="B20" s="2">
        <v>45923.483634259261</v>
      </c>
      <c r="C20">
        <v>8</v>
      </c>
      <c r="D20">
        <v>8</v>
      </c>
      <c r="E20" t="s">
        <v>104</v>
      </c>
      <c r="F20">
        <v>3</v>
      </c>
      <c r="G20">
        <v>92</v>
      </c>
      <c r="H20" t="s">
        <v>90</v>
      </c>
      <c r="I20">
        <v>19</v>
      </c>
      <c r="J20" t="s">
        <v>80</v>
      </c>
      <c r="K20">
        <v>22</v>
      </c>
    </row>
    <row r="21" spans="1:11" x14ac:dyDescent="0.3">
      <c r="A21">
        <v>285</v>
      </c>
      <c r="B21" s="2">
        <v>45923.490671296298</v>
      </c>
      <c r="C21">
        <v>4</v>
      </c>
      <c r="D21">
        <v>2</v>
      </c>
      <c r="E21" t="s">
        <v>104</v>
      </c>
      <c r="F21">
        <v>4</v>
      </c>
      <c r="G21">
        <v>92</v>
      </c>
      <c r="H21" t="s">
        <v>90</v>
      </c>
      <c r="I21">
        <v>19</v>
      </c>
      <c r="J21" t="s">
        <v>80</v>
      </c>
      <c r="K21">
        <v>22</v>
      </c>
    </row>
    <row r="22" spans="1:11" x14ac:dyDescent="0.3">
      <c r="A22">
        <v>289</v>
      </c>
      <c r="B22" s="2">
        <v>45923.588333333333</v>
      </c>
      <c r="C22">
        <v>0</v>
      </c>
      <c r="D22">
        <v>0</v>
      </c>
      <c r="E22" t="s">
        <v>103</v>
      </c>
      <c r="F22">
        <v>0</v>
      </c>
      <c r="G22">
        <v>93</v>
      </c>
      <c r="H22" t="s">
        <v>91</v>
      </c>
      <c r="I22">
        <v>19</v>
      </c>
      <c r="J22" t="s">
        <v>80</v>
      </c>
      <c r="K22">
        <v>22</v>
      </c>
    </row>
    <row r="23" spans="1:11" x14ac:dyDescent="0.3">
      <c r="A23">
        <v>291</v>
      </c>
      <c r="B23" s="2">
        <v>45923.60193287037</v>
      </c>
      <c r="C23">
        <v>10</v>
      </c>
      <c r="D23">
        <v>10</v>
      </c>
      <c r="E23" t="s">
        <v>104</v>
      </c>
      <c r="F23">
        <v>1</v>
      </c>
      <c r="G23">
        <v>93</v>
      </c>
      <c r="H23" t="s">
        <v>91</v>
      </c>
      <c r="I23">
        <v>19</v>
      </c>
      <c r="J23" t="s">
        <v>80</v>
      </c>
      <c r="K23">
        <v>22</v>
      </c>
    </row>
    <row r="24" spans="1:11" x14ac:dyDescent="0.3">
      <c r="A24">
        <v>297</v>
      </c>
      <c r="B24" s="2">
        <v>45923.620208333326</v>
      </c>
      <c r="C24">
        <v>8</v>
      </c>
      <c r="D24">
        <v>12</v>
      </c>
      <c r="E24" t="s">
        <v>104</v>
      </c>
      <c r="F24">
        <v>2</v>
      </c>
      <c r="G24">
        <v>93</v>
      </c>
      <c r="H24" t="s">
        <v>91</v>
      </c>
      <c r="I24">
        <v>19</v>
      </c>
      <c r="J24" t="s">
        <v>80</v>
      </c>
      <c r="K24">
        <v>22</v>
      </c>
    </row>
    <row r="25" spans="1:11" x14ac:dyDescent="0.3">
      <c r="A25">
        <v>301</v>
      </c>
      <c r="B25" s="2">
        <v>45923.627685185187</v>
      </c>
      <c r="C25">
        <v>7</v>
      </c>
      <c r="D25">
        <v>8</v>
      </c>
      <c r="E25" t="s">
        <v>104</v>
      </c>
      <c r="F25">
        <v>3</v>
      </c>
      <c r="G25">
        <v>93</v>
      </c>
      <c r="H25" t="s">
        <v>91</v>
      </c>
      <c r="I25">
        <v>19</v>
      </c>
      <c r="J25" t="s">
        <v>80</v>
      </c>
      <c r="K25">
        <v>22</v>
      </c>
    </row>
    <row r="26" spans="1:11" x14ac:dyDescent="0.3">
      <c r="A26">
        <v>304</v>
      </c>
      <c r="B26" s="2">
        <v>45923.632222222222</v>
      </c>
      <c r="C26">
        <v>6</v>
      </c>
      <c r="D26">
        <v>7</v>
      </c>
      <c r="E26" t="s">
        <v>105</v>
      </c>
      <c r="F26">
        <v>4</v>
      </c>
      <c r="G26">
        <v>93</v>
      </c>
      <c r="H26" t="s">
        <v>91</v>
      </c>
      <c r="I26">
        <v>19</v>
      </c>
      <c r="J26" t="s">
        <v>80</v>
      </c>
      <c r="K26">
        <v>22</v>
      </c>
    </row>
    <row r="27" spans="1:11" x14ac:dyDescent="0.3">
      <c r="A27">
        <v>288</v>
      </c>
      <c r="B27" s="2">
        <v>45923.587013888893</v>
      </c>
      <c r="C27">
        <v>0</v>
      </c>
      <c r="D27">
        <v>0</v>
      </c>
      <c r="E27" t="s">
        <v>103</v>
      </c>
      <c r="F27">
        <v>0</v>
      </c>
      <c r="G27">
        <v>94</v>
      </c>
      <c r="H27" t="s">
        <v>92</v>
      </c>
      <c r="I27">
        <v>19</v>
      </c>
      <c r="J27" t="s">
        <v>80</v>
      </c>
      <c r="K27">
        <v>22</v>
      </c>
    </row>
    <row r="28" spans="1:11" x14ac:dyDescent="0.3">
      <c r="A28">
        <v>292</v>
      </c>
      <c r="B28" s="2">
        <v>45923.602083333331</v>
      </c>
      <c r="C28">
        <v>7</v>
      </c>
      <c r="D28">
        <v>8</v>
      </c>
      <c r="E28" t="s">
        <v>104</v>
      </c>
      <c r="F28">
        <v>1</v>
      </c>
      <c r="G28">
        <v>94</v>
      </c>
      <c r="H28" t="s">
        <v>92</v>
      </c>
      <c r="I28">
        <v>19</v>
      </c>
      <c r="J28" t="s">
        <v>80</v>
      </c>
      <c r="K28">
        <v>22</v>
      </c>
    </row>
    <row r="29" spans="1:11" x14ac:dyDescent="0.3">
      <c r="A29">
        <v>294</v>
      </c>
      <c r="B29" s="2">
        <v>45923.61681712963</v>
      </c>
      <c r="C29">
        <v>6</v>
      </c>
      <c r="D29">
        <v>9</v>
      </c>
      <c r="E29" t="s">
        <v>104</v>
      </c>
      <c r="F29">
        <v>2</v>
      </c>
      <c r="G29">
        <v>94</v>
      </c>
      <c r="H29" t="s">
        <v>92</v>
      </c>
      <c r="I29">
        <v>19</v>
      </c>
      <c r="J29" t="s">
        <v>80</v>
      </c>
      <c r="K29">
        <v>22</v>
      </c>
    </row>
    <row r="30" spans="1:11" x14ac:dyDescent="0.3">
      <c r="A30">
        <v>298</v>
      </c>
      <c r="B30" s="2">
        <v>45923.623171296298</v>
      </c>
      <c r="C30">
        <v>6</v>
      </c>
      <c r="D30">
        <v>10</v>
      </c>
      <c r="E30" t="s">
        <v>104</v>
      </c>
      <c r="F30">
        <v>3</v>
      </c>
      <c r="G30">
        <v>94</v>
      </c>
      <c r="H30" t="s">
        <v>92</v>
      </c>
      <c r="I30">
        <v>19</v>
      </c>
      <c r="J30" t="s">
        <v>80</v>
      </c>
      <c r="K30">
        <v>22</v>
      </c>
    </row>
    <row r="31" spans="1:11" x14ac:dyDescent="0.3">
      <c r="A31">
        <v>305</v>
      </c>
      <c r="B31" s="2">
        <v>45923.632592592592</v>
      </c>
      <c r="C31">
        <v>1</v>
      </c>
      <c r="D31">
        <v>8</v>
      </c>
      <c r="E31" t="s">
        <v>104</v>
      </c>
      <c r="F31">
        <v>4</v>
      </c>
      <c r="G31">
        <v>94</v>
      </c>
      <c r="H31" t="s">
        <v>92</v>
      </c>
      <c r="I31">
        <v>19</v>
      </c>
      <c r="J31" t="s">
        <v>80</v>
      </c>
      <c r="K31">
        <v>22</v>
      </c>
    </row>
    <row r="32" spans="1:11" x14ac:dyDescent="0.3">
      <c r="A32">
        <v>286</v>
      </c>
      <c r="B32" s="2">
        <v>45923.53696759259</v>
      </c>
      <c r="C32">
        <v>0</v>
      </c>
      <c r="D32">
        <v>0</v>
      </c>
      <c r="E32" t="s">
        <v>103</v>
      </c>
      <c r="F32">
        <v>0</v>
      </c>
      <c r="G32">
        <v>95</v>
      </c>
      <c r="H32" t="s">
        <v>93</v>
      </c>
      <c r="I32">
        <v>19</v>
      </c>
      <c r="J32" t="s">
        <v>80</v>
      </c>
      <c r="K32">
        <v>22</v>
      </c>
    </row>
    <row r="33" spans="1:11" x14ac:dyDescent="0.3">
      <c r="A33">
        <v>290</v>
      </c>
      <c r="B33" s="2">
        <v>45923.601053240738</v>
      </c>
      <c r="C33">
        <v>4</v>
      </c>
      <c r="D33">
        <v>8</v>
      </c>
      <c r="E33" t="s">
        <v>104</v>
      </c>
      <c r="F33">
        <v>1</v>
      </c>
      <c r="G33">
        <v>95</v>
      </c>
      <c r="H33" t="s">
        <v>93</v>
      </c>
      <c r="I33">
        <v>19</v>
      </c>
      <c r="J33" t="s">
        <v>80</v>
      </c>
      <c r="K33">
        <v>22</v>
      </c>
    </row>
    <row r="34" spans="1:11" x14ac:dyDescent="0.3">
      <c r="A34">
        <v>296</v>
      </c>
      <c r="B34" s="2">
        <v>45923.619259259263</v>
      </c>
      <c r="C34">
        <v>9</v>
      </c>
      <c r="D34">
        <v>3</v>
      </c>
      <c r="E34" t="s">
        <v>104</v>
      </c>
      <c r="F34">
        <v>2</v>
      </c>
      <c r="G34">
        <v>95</v>
      </c>
      <c r="H34" t="s">
        <v>93</v>
      </c>
      <c r="I34">
        <v>19</v>
      </c>
      <c r="J34" t="s">
        <v>80</v>
      </c>
      <c r="K34">
        <v>22</v>
      </c>
    </row>
    <row r="35" spans="1:11" x14ac:dyDescent="0.3">
      <c r="A35">
        <v>299</v>
      </c>
      <c r="B35" s="2">
        <v>45923.624722222223</v>
      </c>
      <c r="C35">
        <v>3</v>
      </c>
      <c r="D35">
        <v>11</v>
      </c>
      <c r="E35" t="s">
        <v>104</v>
      </c>
      <c r="F35">
        <v>3</v>
      </c>
      <c r="G35">
        <v>95</v>
      </c>
      <c r="H35" t="s">
        <v>93</v>
      </c>
      <c r="I35">
        <v>19</v>
      </c>
      <c r="J35" t="s">
        <v>80</v>
      </c>
      <c r="K35">
        <v>22</v>
      </c>
    </row>
    <row r="36" spans="1:11" x14ac:dyDescent="0.3">
      <c r="A36">
        <v>302</v>
      </c>
      <c r="B36" s="2">
        <v>45923.628564814819</v>
      </c>
      <c r="C36">
        <v>8</v>
      </c>
      <c r="D36">
        <v>9</v>
      </c>
      <c r="E36" t="s">
        <v>104</v>
      </c>
      <c r="F36">
        <v>4</v>
      </c>
      <c r="G36">
        <v>95</v>
      </c>
      <c r="H36" t="s">
        <v>93</v>
      </c>
      <c r="I36">
        <v>19</v>
      </c>
      <c r="J36" t="s">
        <v>80</v>
      </c>
      <c r="K36">
        <v>22</v>
      </c>
    </row>
    <row r="37" spans="1:11" x14ac:dyDescent="0.3">
      <c r="A37">
        <v>287</v>
      </c>
      <c r="B37" s="2">
        <v>45923.577372685177</v>
      </c>
      <c r="C37">
        <v>0</v>
      </c>
      <c r="D37">
        <v>0</v>
      </c>
      <c r="E37" t="s">
        <v>103</v>
      </c>
      <c r="F37">
        <v>0</v>
      </c>
      <c r="G37">
        <v>96</v>
      </c>
      <c r="H37" t="s">
        <v>94</v>
      </c>
      <c r="I37">
        <v>19</v>
      </c>
      <c r="J37" t="s">
        <v>80</v>
      </c>
      <c r="K37">
        <v>22</v>
      </c>
    </row>
    <row r="38" spans="1:11" x14ac:dyDescent="0.3">
      <c r="A38">
        <v>293</v>
      </c>
      <c r="B38" s="2">
        <v>45923.603333333333</v>
      </c>
      <c r="C38">
        <v>8</v>
      </c>
      <c r="D38">
        <v>7</v>
      </c>
      <c r="E38" t="s">
        <v>104</v>
      </c>
      <c r="F38">
        <v>1</v>
      </c>
      <c r="G38">
        <v>96</v>
      </c>
      <c r="H38" t="s">
        <v>94</v>
      </c>
      <c r="I38">
        <v>19</v>
      </c>
      <c r="J38" t="s">
        <v>80</v>
      </c>
      <c r="K38">
        <v>22</v>
      </c>
    </row>
    <row r="39" spans="1:11" x14ac:dyDescent="0.3">
      <c r="A39">
        <v>295</v>
      </c>
      <c r="B39" s="2">
        <v>45923.619259259263</v>
      </c>
      <c r="C39">
        <v>5</v>
      </c>
      <c r="D39">
        <v>8</v>
      </c>
      <c r="E39" t="s">
        <v>104</v>
      </c>
      <c r="F39">
        <v>2</v>
      </c>
      <c r="G39">
        <v>96</v>
      </c>
      <c r="H39" t="s">
        <v>94</v>
      </c>
      <c r="I39">
        <v>19</v>
      </c>
      <c r="J39" t="s">
        <v>80</v>
      </c>
      <c r="K39">
        <v>22</v>
      </c>
    </row>
    <row r="40" spans="1:11" x14ac:dyDescent="0.3">
      <c r="A40">
        <v>300</v>
      </c>
      <c r="B40" s="2">
        <v>45923.6252662037</v>
      </c>
      <c r="C40">
        <v>2</v>
      </c>
      <c r="D40">
        <v>8</v>
      </c>
      <c r="E40" t="s">
        <v>104</v>
      </c>
      <c r="F40">
        <v>3</v>
      </c>
      <c r="G40">
        <v>96</v>
      </c>
      <c r="H40" t="s">
        <v>94</v>
      </c>
      <c r="I40">
        <v>19</v>
      </c>
      <c r="J40" t="s">
        <v>80</v>
      </c>
      <c r="K40">
        <v>22</v>
      </c>
    </row>
    <row r="41" spans="1:11" x14ac:dyDescent="0.3">
      <c r="A41">
        <v>303</v>
      </c>
      <c r="B41" s="2">
        <v>45923.630173611113</v>
      </c>
      <c r="C41">
        <v>2</v>
      </c>
      <c r="D41">
        <v>7</v>
      </c>
      <c r="E41" t="s">
        <v>104</v>
      </c>
      <c r="F41">
        <v>4</v>
      </c>
      <c r="G41">
        <v>96</v>
      </c>
      <c r="H41" t="s">
        <v>94</v>
      </c>
      <c r="I41">
        <v>19</v>
      </c>
      <c r="J41" t="s">
        <v>80</v>
      </c>
      <c r="K4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"/>
  <sheetViews>
    <sheetView topLeftCell="D44" workbookViewId="0"/>
  </sheetViews>
  <sheetFormatPr defaultRowHeight="14.4" x14ac:dyDescent="0.3"/>
  <cols>
    <col min="5" max="5" width="13.6640625" bestFit="1" customWidth="1"/>
  </cols>
  <sheetData>
    <row r="1" spans="1:5" s="1" customFormat="1" x14ac:dyDescent="0.3">
      <c r="A1" s="1" t="s">
        <v>70</v>
      </c>
      <c r="B1" s="1" t="s">
        <v>106</v>
      </c>
      <c r="C1" s="1" t="s">
        <v>107</v>
      </c>
      <c r="D1" s="1" t="s">
        <v>100</v>
      </c>
      <c r="E1" s="1" t="s">
        <v>108</v>
      </c>
    </row>
    <row r="2" spans="1:5" x14ac:dyDescent="0.3">
      <c r="A2">
        <v>634</v>
      </c>
      <c r="B2" t="s">
        <v>19</v>
      </c>
      <c r="D2">
        <v>89</v>
      </c>
      <c r="E2">
        <v>124</v>
      </c>
    </row>
    <row r="3" spans="1:5" x14ac:dyDescent="0.3">
      <c r="A3">
        <v>635</v>
      </c>
      <c r="B3" t="s">
        <v>20</v>
      </c>
      <c r="D3">
        <v>89</v>
      </c>
      <c r="E3">
        <v>126</v>
      </c>
    </row>
    <row r="4" spans="1:5" x14ac:dyDescent="0.3">
      <c r="A4">
        <v>636</v>
      </c>
      <c r="B4" t="s">
        <v>21</v>
      </c>
      <c r="D4">
        <v>89</v>
      </c>
      <c r="E4">
        <v>123</v>
      </c>
    </row>
    <row r="5" spans="1:5" x14ac:dyDescent="0.3">
      <c r="A5">
        <v>637</v>
      </c>
      <c r="B5" t="s">
        <v>22</v>
      </c>
      <c r="D5">
        <v>89</v>
      </c>
      <c r="E5">
        <v>125</v>
      </c>
    </row>
    <row r="6" spans="1:5" x14ac:dyDescent="0.3">
      <c r="A6">
        <v>638</v>
      </c>
      <c r="B6" t="s">
        <v>23</v>
      </c>
      <c r="D6">
        <v>89</v>
      </c>
      <c r="E6">
        <v>127</v>
      </c>
    </row>
    <row r="7" spans="1:5" x14ac:dyDescent="0.3">
      <c r="A7">
        <v>639</v>
      </c>
      <c r="B7" t="s">
        <v>24</v>
      </c>
      <c r="D7">
        <v>89</v>
      </c>
      <c r="E7">
        <v>128</v>
      </c>
    </row>
    <row r="8" spans="1:5" x14ac:dyDescent="0.3">
      <c r="A8">
        <v>640</v>
      </c>
      <c r="B8" t="s">
        <v>25</v>
      </c>
      <c r="D8">
        <v>89</v>
      </c>
      <c r="E8">
        <v>126</v>
      </c>
    </row>
    <row r="9" spans="1:5" x14ac:dyDescent="0.3">
      <c r="A9">
        <v>641</v>
      </c>
      <c r="B9" t="s">
        <v>109</v>
      </c>
      <c r="D9">
        <v>89</v>
      </c>
      <c r="E9">
        <v>126</v>
      </c>
    </row>
    <row r="10" spans="1:5" x14ac:dyDescent="0.3">
      <c r="A10">
        <v>642</v>
      </c>
      <c r="B10" t="s">
        <v>26</v>
      </c>
      <c r="D10">
        <v>90</v>
      </c>
      <c r="E10">
        <v>123</v>
      </c>
    </row>
    <row r="11" spans="1:5" x14ac:dyDescent="0.3">
      <c r="A11">
        <v>643</v>
      </c>
      <c r="B11" t="s">
        <v>27</v>
      </c>
      <c r="D11">
        <v>90</v>
      </c>
      <c r="E11">
        <v>126</v>
      </c>
    </row>
    <row r="12" spans="1:5" x14ac:dyDescent="0.3">
      <c r="A12">
        <v>644</v>
      </c>
      <c r="B12" t="s">
        <v>28</v>
      </c>
      <c r="D12">
        <v>90</v>
      </c>
      <c r="E12">
        <v>123</v>
      </c>
    </row>
    <row r="13" spans="1:5" x14ac:dyDescent="0.3">
      <c r="A13">
        <v>645</v>
      </c>
      <c r="B13" t="s">
        <v>29</v>
      </c>
      <c r="D13">
        <v>90</v>
      </c>
      <c r="E13">
        <v>124</v>
      </c>
    </row>
    <row r="14" spans="1:5" x14ac:dyDescent="0.3">
      <c r="A14">
        <v>646</v>
      </c>
      <c r="B14" t="s">
        <v>30</v>
      </c>
      <c r="D14">
        <v>90</v>
      </c>
      <c r="E14">
        <v>127</v>
      </c>
    </row>
    <row r="15" spans="1:5" x14ac:dyDescent="0.3">
      <c r="A15">
        <v>647</v>
      </c>
      <c r="B15" t="s">
        <v>31</v>
      </c>
      <c r="D15">
        <v>90</v>
      </c>
      <c r="E15">
        <v>128</v>
      </c>
    </row>
    <row r="16" spans="1:5" x14ac:dyDescent="0.3">
      <c r="A16">
        <v>648</v>
      </c>
      <c r="B16" t="s">
        <v>110</v>
      </c>
      <c r="D16">
        <v>90</v>
      </c>
      <c r="E16">
        <v>126</v>
      </c>
    </row>
    <row r="17" spans="1:5" x14ac:dyDescent="0.3">
      <c r="A17">
        <v>649</v>
      </c>
      <c r="B17" t="s">
        <v>111</v>
      </c>
      <c r="D17">
        <v>90</v>
      </c>
      <c r="E17">
        <v>126</v>
      </c>
    </row>
    <row r="18" spans="1:5" x14ac:dyDescent="0.3">
      <c r="A18">
        <v>650</v>
      </c>
      <c r="B18" t="s">
        <v>32</v>
      </c>
      <c r="D18">
        <v>91</v>
      </c>
      <c r="E18">
        <v>124</v>
      </c>
    </row>
    <row r="19" spans="1:5" x14ac:dyDescent="0.3">
      <c r="A19">
        <v>651</v>
      </c>
      <c r="B19" t="s">
        <v>33</v>
      </c>
      <c r="D19">
        <v>91</v>
      </c>
      <c r="E19">
        <v>126</v>
      </c>
    </row>
    <row r="20" spans="1:5" x14ac:dyDescent="0.3">
      <c r="A20">
        <v>652</v>
      </c>
      <c r="B20" t="s">
        <v>34</v>
      </c>
      <c r="D20">
        <v>91</v>
      </c>
      <c r="E20">
        <v>123</v>
      </c>
    </row>
    <row r="21" spans="1:5" x14ac:dyDescent="0.3">
      <c r="A21">
        <v>653</v>
      </c>
      <c r="B21" t="s">
        <v>35</v>
      </c>
      <c r="D21">
        <v>91</v>
      </c>
      <c r="E21">
        <v>125</v>
      </c>
    </row>
    <row r="22" spans="1:5" x14ac:dyDescent="0.3">
      <c r="A22">
        <v>654</v>
      </c>
      <c r="B22" t="s">
        <v>36</v>
      </c>
      <c r="D22">
        <v>91</v>
      </c>
      <c r="E22">
        <v>127</v>
      </c>
    </row>
    <row r="23" spans="1:5" x14ac:dyDescent="0.3">
      <c r="A23">
        <v>655</v>
      </c>
      <c r="B23" t="s">
        <v>37</v>
      </c>
      <c r="D23">
        <v>91</v>
      </c>
      <c r="E23">
        <v>128</v>
      </c>
    </row>
    <row r="24" spans="1:5" x14ac:dyDescent="0.3">
      <c r="A24">
        <v>656</v>
      </c>
      <c r="B24" t="s">
        <v>112</v>
      </c>
      <c r="D24">
        <v>91</v>
      </c>
      <c r="E24">
        <v>126</v>
      </c>
    </row>
    <row r="25" spans="1:5" x14ac:dyDescent="0.3">
      <c r="A25">
        <v>657</v>
      </c>
      <c r="B25" t="s">
        <v>113</v>
      </c>
      <c r="D25">
        <v>91</v>
      </c>
      <c r="E25">
        <v>126</v>
      </c>
    </row>
    <row r="26" spans="1:5" x14ac:dyDescent="0.3">
      <c r="A26">
        <v>658</v>
      </c>
      <c r="B26" t="s">
        <v>38</v>
      </c>
      <c r="D26">
        <v>92</v>
      </c>
      <c r="E26">
        <v>124</v>
      </c>
    </row>
    <row r="27" spans="1:5" x14ac:dyDescent="0.3">
      <c r="A27">
        <v>659</v>
      </c>
      <c r="B27" t="s">
        <v>39</v>
      </c>
      <c r="D27">
        <v>92</v>
      </c>
      <c r="E27">
        <v>126</v>
      </c>
    </row>
    <row r="28" spans="1:5" x14ac:dyDescent="0.3">
      <c r="A28">
        <v>660</v>
      </c>
      <c r="B28" t="s">
        <v>40</v>
      </c>
      <c r="D28">
        <v>92</v>
      </c>
      <c r="E28">
        <v>123</v>
      </c>
    </row>
    <row r="29" spans="1:5" x14ac:dyDescent="0.3">
      <c r="A29">
        <v>661</v>
      </c>
      <c r="B29" t="s">
        <v>41</v>
      </c>
      <c r="D29">
        <v>92</v>
      </c>
      <c r="E29">
        <v>125</v>
      </c>
    </row>
    <row r="30" spans="1:5" x14ac:dyDescent="0.3">
      <c r="A30">
        <v>662</v>
      </c>
      <c r="B30" t="s">
        <v>42</v>
      </c>
      <c r="D30">
        <v>92</v>
      </c>
      <c r="E30">
        <v>127</v>
      </c>
    </row>
    <row r="31" spans="1:5" x14ac:dyDescent="0.3">
      <c r="A31">
        <v>663</v>
      </c>
      <c r="B31" t="s">
        <v>43</v>
      </c>
      <c r="D31">
        <v>92</v>
      </c>
      <c r="E31">
        <v>128</v>
      </c>
    </row>
    <row r="32" spans="1:5" x14ac:dyDescent="0.3">
      <c r="A32">
        <v>664</v>
      </c>
      <c r="B32" t="s">
        <v>44</v>
      </c>
      <c r="D32">
        <v>92</v>
      </c>
      <c r="E32">
        <v>126</v>
      </c>
    </row>
    <row r="33" spans="1:5" x14ac:dyDescent="0.3">
      <c r="A33">
        <v>665</v>
      </c>
      <c r="B33" t="s">
        <v>114</v>
      </c>
      <c r="D33">
        <v>92</v>
      </c>
      <c r="E33">
        <v>126</v>
      </c>
    </row>
    <row r="34" spans="1:5" x14ac:dyDescent="0.3">
      <c r="A34">
        <v>666</v>
      </c>
      <c r="B34" t="s">
        <v>45</v>
      </c>
      <c r="D34">
        <v>93</v>
      </c>
      <c r="E34">
        <v>124</v>
      </c>
    </row>
    <row r="35" spans="1:5" x14ac:dyDescent="0.3">
      <c r="A35">
        <v>667</v>
      </c>
      <c r="B35" t="s">
        <v>46</v>
      </c>
      <c r="D35">
        <v>93</v>
      </c>
      <c r="E35">
        <v>126</v>
      </c>
    </row>
    <row r="36" spans="1:5" x14ac:dyDescent="0.3">
      <c r="A36">
        <v>668</v>
      </c>
      <c r="B36" t="s">
        <v>47</v>
      </c>
      <c r="D36">
        <v>93</v>
      </c>
      <c r="E36">
        <v>123</v>
      </c>
    </row>
    <row r="37" spans="1:5" x14ac:dyDescent="0.3">
      <c r="A37">
        <v>669</v>
      </c>
      <c r="B37" t="s">
        <v>48</v>
      </c>
      <c r="D37">
        <v>93</v>
      </c>
      <c r="E37">
        <v>125</v>
      </c>
    </row>
    <row r="38" spans="1:5" x14ac:dyDescent="0.3">
      <c r="A38">
        <v>670</v>
      </c>
      <c r="B38" t="s">
        <v>49</v>
      </c>
      <c r="D38">
        <v>93</v>
      </c>
      <c r="E38">
        <v>127</v>
      </c>
    </row>
    <row r="39" spans="1:5" x14ac:dyDescent="0.3">
      <c r="A39">
        <v>671</v>
      </c>
      <c r="B39" t="s">
        <v>50</v>
      </c>
      <c r="D39">
        <v>93</v>
      </c>
      <c r="E39">
        <v>128</v>
      </c>
    </row>
    <row r="40" spans="1:5" x14ac:dyDescent="0.3">
      <c r="A40">
        <v>672</v>
      </c>
      <c r="B40" t="s">
        <v>51</v>
      </c>
      <c r="D40">
        <v>93</v>
      </c>
      <c r="E40">
        <v>126</v>
      </c>
    </row>
    <row r="41" spans="1:5" x14ac:dyDescent="0.3">
      <c r="A41">
        <v>673</v>
      </c>
      <c r="B41" t="s">
        <v>115</v>
      </c>
      <c r="D41">
        <v>93</v>
      </c>
      <c r="E41">
        <v>126</v>
      </c>
    </row>
    <row r="42" spans="1:5" x14ac:dyDescent="0.3">
      <c r="A42">
        <v>674</v>
      </c>
      <c r="B42" t="s">
        <v>52</v>
      </c>
      <c r="D42">
        <v>94</v>
      </c>
      <c r="E42">
        <v>124</v>
      </c>
    </row>
    <row r="43" spans="1:5" x14ac:dyDescent="0.3">
      <c r="A43">
        <v>675</v>
      </c>
      <c r="B43" t="s">
        <v>53</v>
      </c>
      <c r="D43">
        <v>94</v>
      </c>
      <c r="E43">
        <v>126</v>
      </c>
    </row>
    <row r="44" spans="1:5" x14ac:dyDescent="0.3">
      <c r="A44">
        <v>676</v>
      </c>
      <c r="B44" t="s">
        <v>54</v>
      </c>
      <c r="D44">
        <v>94</v>
      </c>
      <c r="E44">
        <v>123</v>
      </c>
    </row>
    <row r="45" spans="1:5" x14ac:dyDescent="0.3">
      <c r="A45">
        <v>677</v>
      </c>
      <c r="B45" t="s">
        <v>55</v>
      </c>
      <c r="D45">
        <v>94</v>
      </c>
      <c r="E45">
        <v>125</v>
      </c>
    </row>
    <row r="46" spans="1:5" x14ac:dyDescent="0.3">
      <c r="A46">
        <v>678</v>
      </c>
      <c r="B46" t="s">
        <v>56</v>
      </c>
      <c r="D46">
        <v>94</v>
      </c>
      <c r="E46">
        <v>127</v>
      </c>
    </row>
    <row r="47" spans="1:5" x14ac:dyDescent="0.3">
      <c r="A47">
        <v>679</v>
      </c>
      <c r="B47" t="s">
        <v>57</v>
      </c>
      <c r="D47">
        <v>94</v>
      </c>
      <c r="E47">
        <v>128</v>
      </c>
    </row>
    <row r="48" spans="1:5" x14ac:dyDescent="0.3">
      <c r="A48">
        <v>680</v>
      </c>
      <c r="B48" t="s">
        <v>116</v>
      </c>
      <c r="D48">
        <v>94</v>
      </c>
      <c r="E48">
        <v>126</v>
      </c>
    </row>
    <row r="49" spans="1:5" x14ac:dyDescent="0.3">
      <c r="A49">
        <v>681</v>
      </c>
      <c r="B49" t="s">
        <v>117</v>
      </c>
      <c r="D49">
        <v>94</v>
      </c>
      <c r="E49">
        <v>126</v>
      </c>
    </row>
    <row r="50" spans="1:5" x14ac:dyDescent="0.3">
      <c r="A50">
        <v>682</v>
      </c>
      <c r="B50" t="s">
        <v>58</v>
      </c>
      <c r="D50">
        <v>95</v>
      </c>
      <c r="E50">
        <v>124</v>
      </c>
    </row>
    <row r="51" spans="1:5" x14ac:dyDescent="0.3">
      <c r="A51">
        <v>683</v>
      </c>
      <c r="B51" t="s">
        <v>59</v>
      </c>
      <c r="D51">
        <v>95</v>
      </c>
      <c r="E51">
        <v>126</v>
      </c>
    </row>
    <row r="52" spans="1:5" x14ac:dyDescent="0.3">
      <c r="A52">
        <v>684</v>
      </c>
      <c r="B52" t="s">
        <v>60</v>
      </c>
      <c r="D52">
        <v>95</v>
      </c>
      <c r="E52">
        <v>123</v>
      </c>
    </row>
    <row r="53" spans="1:5" x14ac:dyDescent="0.3">
      <c r="A53">
        <v>685</v>
      </c>
      <c r="B53" t="s">
        <v>61</v>
      </c>
      <c r="D53">
        <v>95</v>
      </c>
      <c r="E53">
        <v>125</v>
      </c>
    </row>
    <row r="54" spans="1:5" x14ac:dyDescent="0.3">
      <c r="A54">
        <v>686</v>
      </c>
      <c r="B54" t="s">
        <v>62</v>
      </c>
      <c r="D54">
        <v>95</v>
      </c>
      <c r="E54">
        <v>127</v>
      </c>
    </row>
    <row r="55" spans="1:5" x14ac:dyDescent="0.3">
      <c r="A55">
        <v>687</v>
      </c>
      <c r="B55" t="s">
        <v>63</v>
      </c>
      <c r="D55">
        <v>95</v>
      </c>
      <c r="E55">
        <v>128</v>
      </c>
    </row>
    <row r="56" spans="1:5" x14ac:dyDescent="0.3">
      <c r="A56">
        <v>688</v>
      </c>
      <c r="B56" t="s">
        <v>118</v>
      </c>
      <c r="D56">
        <v>95</v>
      </c>
      <c r="E56">
        <v>126</v>
      </c>
    </row>
    <row r="57" spans="1:5" x14ac:dyDescent="0.3">
      <c r="A57">
        <v>689</v>
      </c>
      <c r="B57" t="s">
        <v>119</v>
      </c>
      <c r="D57">
        <v>95</v>
      </c>
      <c r="E57">
        <v>126</v>
      </c>
    </row>
    <row r="58" spans="1:5" x14ac:dyDescent="0.3">
      <c r="A58">
        <v>690</v>
      </c>
      <c r="B58" t="s">
        <v>64</v>
      </c>
      <c r="D58">
        <v>96</v>
      </c>
      <c r="E58">
        <v>124</v>
      </c>
    </row>
    <row r="59" spans="1:5" x14ac:dyDescent="0.3">
      <c r="A59">
        <v>691</v>
      </c>
      <c r="B59" t="s">
        <v>65</v>
      </c>
      <c r="D59">
        <v>96</v>
      </c>
      <c r="E59">
        <v>126</v>
      </c>
    </row>
    <row r="60" spans="1:5" x14ac:dyDescent="0.3">
      <c r="A60">
        <v>692</v>
      </c>
      <c r="B60" t="s">
        <v>120</v>
      </c>
      <c r="D60">
        <v>96</v>
      </c>
      <c r="E60">
        <v>123</v>
      </c>
    </row>
    <row r="61" spans="1:5" x14ac:dyDescent="0.3">
      <c r="A61">
        <v>693</v>
      </c>
      <c r="B61" t="s">
        <v>66</v>
      </c>
      <c r="D61">
        <v>96</v>
      </c>
      <c r="E61">
        <v>125</v>
      </c>
    </row>
    <row r="62" spans="1:5" x14ac:dyDescent="0.3">
      <c r="A62">
        <v>694</v>
      </c>
      <c r="B62" t="s">
        <v>67</v>
      </c>
      <c r="D62">
        <v>96</v>
      </c>
      <c r="E62">
        <v>127</v>
      </c>
    </row>
    <row r="63" spans="1:5" x14ac:dyDescent="0.3">
      <c r="A63">
        <v>695</v>
      </c>
      <c r="B63" t="s">
        <v>68</v>
      </c>
      <c r="D63">
        <v>96</v>
      </c>
      <c r="E63">
        <v>128</v>
      </c>
    </row>
    <row r="64" spans="1:5" x14ac:dyDescent="0.3">
      <c r="A64">
        <v>696</v>
      </c>
      <c r="B64" t="s">
        <v>69</v>
      </c>
      <c r="D64">
        <v>96</v>
      </c>
      <c r="E64">
        <v>126</v>
      </c>
    </row>
    <row r="65" spans="1:5" x14ac:dyDescent="0.3">
      <c r="A65">
        <v>697</v>
      </c>
      <c r="B65" t="s">
        <v>121</v>
      </c>
      <c r="D65">
        <v>96</v>
      </c>
      <c r="E65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DB47-6CD7-4C05-BEB9-4B9A679431CE}">
  <sheetPr>
    <tabColor rgb="FFFFFF00"/>
  </sheetPr>
  <dimension ref="A3:H8"/>
  <sheetViews>
    <sheetView workbookViewId="0">
      <selection activeCell="N27" sqref="N27"/>
    </sheetView>
  </sheetViews>
  <sheetFormatPr defaultRowHeight="14.4" x14ac:dyDescent="0.3"/>
  <cols>
    <col min="1" max="1" width="29.88671875" bestFit="1" customWidth="1"/>
    <col min="2" max="2" width="13.44140625" bestFit="1" customWidth="1"/>
    <col min="3" max="7" width="4" bestFit="1" customWidth="1"/>
    <col min="8" max="8" width="9.5546875" bestFit="1" customWidth="1"/>
  </cols>
  <sheetData>
    <row r="3" spans="1:8" x14ac:dyDescent="0.3">
      <c r="A3" s="5" t="s">
        <v>167</v>
      </c>
      <c r="B3" s="5" t="s">
        <v>165</v>
      </c>
    </row>
    <row r="4" spans="1:8" x14ac:dyDescent="0.3">
      <c r="A4" s="5" t="s">
        <v>159</v>
      </c>
      <c r="B4">
        <v>123</v>
      </c>
      <c r="C4">
        <v>124</v>
      </c>
      <c r="D4">
        <v>125</v>
      </c>
      <c r="E4">
        <v>126</v>
      </c>
      <c r="F4">
        <v>127</v>
      </c>
      <c r="G4">
        <v>128</v>
      </c>
      <c r="H4" t="s">
        <v>163</v>
      </c>
    </row>
    <row r="5" spans="1:8" x14ac:dyDescent="0.3">
      <c r="A5" s="6" t="s">
        <v>160</v>
      </c>
      <c r="B5">
        <v>8</v>
      </c>
      <c r="C5">
        <v>2</v>
      </c>
      <c r="E5">
        <v>14</v>
      </c>
      <c r="F5">
        <v>15</v>
      </c>
      <c r="G5">
        <v>41</v>
      </c>
      <c r="H5">
        <v>80</v>
      </c>
    </row>
    <row r="6" spans="1:8" x14ac:dyDescent="0.3">
      <c r="A6" s="6" t="s">
        <v>161</v>
      </c>
      <c r="B6">
        <v>0</v>
      </c>
      <c r="C6">
        <v>6</v>
      </c>
      <c r="D6">
        <v>23</v>
      </c>
      <c r="E6">
        <v>44</v>
      </c>
      <c r="F6">
        <v>35</v>
      </c>
      <c r="G6">
        <v>57</v>
      </c>
      <c r="H6">
        <v>165</v>
      </c>
    </row>
    <row r="7" spans="1:8" x14ac:dyDescent="0.3">
      <c r="A7" s="6" t="s">
        <v>162</v>
      </c>
      <c r="B7">
        <v>2</v>
      </c>
      <c r="C7">
        <v>5</v>
      </c>
      <c r="D7">
        <v>17</v>
      </c>
      <c r="E7">
        <v>6</v>
      </c>
      <c r="F7">
        <v>6</v>
      </c>
      <c r="H7">
        <v>36</v>
      </c>
    </row>
    <row r="8" spans="1:8" x14ac:dyDescent="0.3">
      <c r="A8" s="6" t="s">
        <v>163</v>
      </c>
      <c r="B8">
        <v>10</v>
      </c>
      <c r="C8">
        <v>13</v>
      </c>
      <c r="D8">
        <v>40</v>
      </c>
      <c r="E8">
        <v>64</v>
      </c>
      <c r="F8">
        <v>56</v>
      </c>
      <c r="G8">
        <v>98</v>
      </c>
      <c r="H8">
        <v>281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C85D-D8A7-4FF6-9958-D2B446008E6F}">
  <dimension ref="A3:G9"/>
  <sheetViews>
    <sheetView workbookViewId="0">
      <selection activeCell="A5" sqref="A5:A8"/>
      <pivotSelection pane="bottomRight" showHeader="1" activeRow="4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4" x14ac:dyDescent="0.3"/>
  <cols>
    <col min="1" max="1" width="26.77734375" bestFit="1" customWidth="1"/>
    <col min="2" max="2" width="13.44140625" bestFit="1" customWidth="1"/>
    <col min="3" max="6" width="5" bestFit="1" customWidth="1"/>
    <col min="7" max="7" width="9.5546875" bestFit="1" customWidth="1"/>
  </cols>
  <sheetData>
    <row r="3" spans="1:7" x14ac:dyDescent="0.3">
      <c r="A3" s="5" t="s">
        <v>164</v>
      </c>
      <c r="B3" s="5" t="s">
        <v>165</v>
      </c>
    </row>
    <row r="4" spans="1:7" x14ac:dyDescent="0.3">
      <c r="A4" s="5" t="s">
        <v>159</v>
      </c>
      <c r="B4">
        <v>0</v>
      </c>
      <c r="C4">
        <v>1</v>
      </c>
      <c r="D4">
        <v>2</v>
      </c>
      <c r="E4">
        <v>3</v>
      </c>
      <c r="F4">
        <v>4</v>
      </c>
      <c r="G4" t="s">
        <v>163</v>
      </c>
    </row>
    <row r="5" spans="1:7" x14ac:dyDescent="0.3">
      <c r="A5" s="6"/>
      <c r="B5">
        <v>6403</v>
      </c>
      <c r="C5">
        <v>124</v>
      </c>
      <c r="G5">
        <v>6527</v>
      </c>
    </row>
    <row r="6" spans="1:7" x14ac:dyDescent="0.3">
      <c r="A6" s="6" t="s">
        <v>160</v>
      </c>
      <c r="C6">
        <v>2021</v>
      </c>
      <c r="D6">
        <v>2021</v>
      </c>
      <c r="E6">
        <v>2021</v>
      </c>
      <c r="F6">
        <v>1252</v>
      </c>
      <c r="G6">
        <v>7315</v>
      </c>
    </row>
    <row r="7" spans="1:7" x14ac:dyDescent="0.3">
      <c r="A7" s="6" t="s">
        <v>161</v>
      </c>
      <c r="C7">
        <v>2640</v>
      </c>
      <c r="D7">
        <v>2640</v>
      </c>
      <c r="E7">
        <v>2640</v>
      </c>
      <c r="F7">
        <v>3911</v>
      </c>
      <c r="G7">
        <v>11831</v>
      </c>
    </row>
    <row r="8" spans="1:7" x14ac:dyDescent="0.3">
      <c r="A8" s="6" t="s">
        <v>162</v>
      </c>
      <c r="C8">
        <v>1618</v>
      </c>
      <c r="D8">
        <v>1618</v>
      </c>
      <c r="E8">
        <v>1618</v>
      </c>
      <c r="F8">
        <v>1116</v>
      </c>
      <c r="G8">
        <v>5970</v>
      </c>
    </row>
    <row r="9" spans="1:7" x14ac:dyDescent="0.3">
      <c r="A9" s="6" t="s">
        <v>163</v>
      </c>
      <c r="B9">
        <v>6403</v>
      </c>
      <c r="C9">
        <v>6403</v>
      </c>
      <c r="D9">
        <v>6279</v>
      </c>
      <c r="E9">
        <v>6279</v>
      </c>
      <c r="F9">
        <v>6279</v>
      </c>
      <c r="G9">
        <v>31643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F4A7-15DD-4A17-A719-1AC49C64D332}">
  <sheetPr>
    <tabColor rgb="FFFFFF00"/>
  </sheetPr>
  <dimension ref="A1:H10"/>
  <sheetViews>
    <sheetView topLeftCell="A8" workbookViewId="0">
      <selection activeCell="B13" sqref="B13"/>
    </sheetView>
  </sheetViews>
  <sheetFormatPr defaultRowHeight="14.4" x14ac:dyDescent="0.3"/>
  <cols>
    <col min="1" max="1" width="23.77734375" bestFit="1" customWidth="1"/>
    <col min="2" max="2" width="24" bestFit="1" customWidth="1"/>
    <col min="3" max="3" width="32.33203125" bestFit="1" customWidth="1"/>
    <col min="4" max="4" width="44.109375" bestFit="1" customWidth="1"/>
    <col min="5" max="5" width="34" bestFit="1" customWidth="1"/>
    <col min="6" max="6" width="41.5546875" bestFit="1" customWidth="1"/>
    <col min="7" max="7" width="43.77734375" bestFit="1" customWidth="1"/>
    <col min="8" max="8" width="30.109375" bestFit="1" customWidth="1"/>
    <col min="9" max="9" width="33.21875" bestFit="1" customWidth="1"/>
  </cols>
  <sheetData>
    <row r="1" spans="1:8" x14ac:dyDescent="0.3">
      <c r="A1" s="5" t="s">
        <v>3</v>
      </c>
      <c r="B1" s="6">
        <v>4</v>
      </c>
    </row>
    <row r="3" spans="1:8" x14ac:dyDescent="0.3">
      <c r="A3" s="5" t="s">
        <v>159</v>
      </c>
      <c r="B3" t="s">
        <v>170</v>
      </c>
      <c r="C3" t="s">
        <v>171</v>
      </c>
      <c r="D3" t="s">
        <v>172</v>
      </c>
      <c r="E3" t="s">
        <v>173</v>
      </c>
      <c r="F3" t="s">
        <v>174</v>
      </c>
      <c r="G3" t="s">
        <v>175</v>
      </c>
      <c r="H3" t="s">
        <v>176</v>
      </c>
    </row>
    <row r="4" spans="1:8" x14ac:dyDescent="0.3">
      <c r="A4" s="6">
        <v>123</v>
      </c>
      <c r="B4">
        <v>15500</v>
      </c>
      <c r="C4">
        <v>6750</v>
      </c>
      <c r="D4">
        <v>0</v>
      </c>
      <c r="E4">
        <v>7500</v>
      </c>
      <c r="F4">
        <v>1125</v>
      </c>
      <c r="G4">
        <v>250</v>
      </c>
      <c r="H4">
        <v>-6.625</v>
      </c>
    </row>
    <row r="5" spans="1:8" x14ac:dyDescent="0.3">
      <c r="A5" s="6">
        <v>124</v>
      </c>
      <c r="B5">
        <v>13771.428571428571</v>
      </c>
      <c r="C5">
        <v>9857.1428571428569</v>
      </c>
      <c r="D5">
        <v>0</v>
      </c>
      <c r="E5">
        <v>9142.8571428571431</v>
      </c>
      <c r="F5">
        <v>0</v>
      </c>
      <c r="G5">
        <v>0</v>
      </c>
      <c r="H5">
        <v>-5.8571428571428568</v>
      </c>
    </row>
    <row r="6" spans="1:8" x14ac:dyDescent="0.3">
      <c r="A6" s="6">
        <v>125</v>
      </c>
      <c r="B6">
        <v>5539.2857142857147</v>
      </c>
      <c r="C6">
        <v>10514.285714285714</v>
      </c>
      <c r="D6">
        <v>0</v>
      </c>
      <c r="E6">
        <v>3428.5714285714284</v>
      </c>
      <c r="F6">
        <v>6142.8571428571431</v>
      </c>
      <c r="G6">
        <v>1000</v>
      </c>
      <c r="H6">
        <v>-1.8571428571428572</v>
      </c>
    </row>
    <row r="7" spans="1:8" x14ac:dyDescent="0.3">
      <c r="A7" s="6">
        <v>126</v>
      </c>
      <c r="B7">
        <v>4000</v>
      </c>
      <c r="C7">
        <v>16541.666666666668</v>
      </c>
      <c r="D7">
        <v>24166.666666666668</v>
      </c>
      <c r="E7">
        <v>3333.3333333333335</v>
      </c>
      <c r="F7">
        <v>583.33333333333337</v>
      </c>
      <c r="G7">
        <v>1708.3333333333333</v>
      </c>
      <c r="H7">
        <v>3.0833333333333335</v>
      </c>
    </row>
    <row r="8" spans="1:8" x14ac:dyDescent="0.3">
      <c r="A8" s="6">
        <v>127</v>
      </c>
      <c r="B8">
        <v>4750</v>
      </c>
      <c r="C8">
        <v>14500</v>
      </c>
      <c r="D8">
        <v>0</v>
      </c>
      <c r="E8">
        <v>2000</v>
      </c>
      <c r="F8">
        <v>6500</v>
      </c>
      <c r="G8">
        <v>5125</v>
      </c>
      <c r="H8">
        <v>3.75</v>
      </c>
    </row>
    <row r="9" spans="1:8" x14ac:dyDescent="0.3">
      <c r="A9" s="6">
        <v>128</v>
      </c>
      <c r="B9">
        <v>0</v>
      </c>
      <c r="C9">
        <v>28750</v>
      </c>
      <c r="D9">
        <v>109375</v>
      </c>
      <c r="E9">
        <v>1000</v>
      </c>
      <c r="F9">
        <v>11000</v>
      </c>
      <c r="G9">
        <v>2515.625</v>
      </c>
      <c r="H9">
        <v>8</v>
      </c>
    </row>
    <row r="10" spans="1:8" x14ac:dyDescent="0.3">
      <c r="A10" s="6" t="s">
        <v>163</v>
      </c>
      <c r="B10">
        <v>6903.5</v>
      </c>
      <c r="C10">
        <v>14822</v>
      </c>
      <c r="D10">
        <v>23300</v>
      </c>
      <c r="E10">
        <v>4240</v>
      </c>
      <c r="F10">
        <v>3980</v>
      </c>
      <c r="G10">
        <v>1812.5</v>
      </c>
      <c r="H10">
        <v>0.48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C681-8907-4EB4-B01A-AF41611EBF5D}">
  <sheetPr>
    <tabColor rgb="FFFFFF00"/>
  </sheetPr>
  <dimension ref="A1:D10"/>
  <sheetViews>
    <sheetView workbookViewId="0">
      <selection activeCell="G16" sqref="G16"/>
    </sheetView>
  </sheetViews>
  <sheetFormatPr defaultRowHeight="14.4" x14ac:dyDescent="0.3"/>
  <cols>
    <col min="1" max="1" width="23.77734375" bestFit="1" customWidth="1"/>
    <col min="2" max="2" width="41.5546875" bestFit="1" customWidth="1"/>
    <col min="3" max="3" width="43.77734375" bestFit="1" customWidth="1"/>
    <col min="4" max="4" width="30.109375" bestFit="1" customWidth="1"/>
    <col min="5" max="5" width="33.21875" bestFit="1" customWidth="1"/>
  </cols>
  <sheetData>
    <row r="1" spans="1:4" x14ac:dyDescent="0.3">
      <c r="A1" s="5" t="s">
        <v>3</v>
      </c>
      <c r="B1" s="6">
        <v>4</v>
      </c>
    </row>
    <row r="3" spans="1:4" x14ac:dyDescent="0.3">
      <c r="A3" s="5" t="s">
        <v>159</v>
      </c>
      <c r="B3" t="s">
        <v>174</v>
      </c>
      <c r="C3" t="s">
        <v>175</v>
      </c>
      <c r="D3" t="s">
        <v>176</v>
      </c>
    </row>
    <row r="4" spans="1:4" x14ac:dyDescent="0.3">
      <c r="A4" s="6">
        <v>123</v>
      </c>
      <c r="B4">
        <v>1125</v>
      </c>
      <c r="C4">
        <v>250</v>
      </c>
      <c r="D4">
        <v>-6.625</v>
      </c>
    </row>
    <row r="5" spans="1:4" x14ac:dyDescent="0.3">
      <c r="A5" s="6">
        <v>124</v>
      </c>
      <c r="B5">
        <v>0</v>
      </c>
      <c r="C5">
        <v>0</v>
      </c>
      <c r="D5">
        <v>-5.8571428571428568</v>
      </c>
    </row>
    <row r="6" spans="1:4" x14ac:dyDescent="0.3">
      <c r="A6" s="6">
        <v>125</v>
      </c>
      <c r="B6">
        <v>6142.8571428571431</v>
      </c>
      <c r="C6">
        <v>1000</v>
      </c>
      <c r="D6">
        <v>-1.8571428571428572</v>
      </c>
    </row>
    <row r="7" spans="1:4" x14ac:dyDescent="0.3">
      <c r="A7" s="6">
        <v>126</v>
      </c>
      <c r="B7">
        <v>583.33333333333337</v>
      </c>
      <c r="C7">
        <v>1708.3333333333333</v>
      </c>
      <c r="D7">
        <v>3.0833333333333335</v>
      </c>
    </row>
    <row r="8" spans="1:4" x14ac:dyDescent="0.3">
      <c r="A8" s="6">
        <v>127</v>
      </c>
      <c r="B8">
        <v>6500</v>
      </c>
      <c r="C8">
        <v>5125</v>
      </c>
      <c r="D8">
        <v>3.75</v>
      </c>
    </row>
    <row r="9" spans="1:4" x14ac:dyDescent="0.3">
      <c r="A9" s="6">
        <v>128</v>
      </c>
      <c r="B9">
        <v>11000</v>
      </c>
      <c r="C9">
        <v>2515.625</v>
      </c>
      <c r="D9">
        <v>8</v>
      </c>
    </row>
    <row r="10" spans="1:4" x14ac:dyDescent="0.3">
      <c r="A10" s="6" t="s">
        <v>163</v>
      </c>
      <c r="B10">
        <v>3980</v>
      </c>
      <c r="C10">
        <v>1812.5</v>
      </c>
      <c r="D10">
        <v>0.48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4CC4-3E37-480D-932B-489D18F5031C}">
  <dimension ref="A1:D10"/>
  <sheetViews>
    <sheetView topLeftCell="B8" workbookViewId="0">
      <selection activeCell="C28" sqref="C28"/>
    </sheetView>
  </sheetViews>
  <sheetFormatPr defaultRowHeight="14.4" x14ac:dyDescent="0.3"/>
  <cols>
    <col min="1" max="1" width="23.77734375" bestFit="1" customWidth="1"/>
    <col min="2" max="2" width="41.5546875" bestFit="1" customWidth="1"/>
    <col min="3" max="3" width="34" bestFit="1" customWidth="1"/>
    <col min="4" max="4" width="30.109375" bestFit="1" customWidth="1"/>
  </cols>
  <sheetData>
    <row r="1" spans="1:4" x14ac:dyDescent="0.3">
      <c r="A1" s="5" t="s">
        <v>3</v>
      </c>
      <c r="B1" t="s">
        <v>177</v>
      </c>
    </row>
    <row r="3" spans="1:4" x14ac:dyDescent="0.3">
      <c r="A3" s="5" t="s">
        <v>159</v>
      </c>
      <c r="B3" t="s">
        <v>174</v>
      </c>
      <c r="C3" t="s">
        <v>173</v>
      </c>
      <c r="D3" t="s">
        <v>176</v>
      </c>
    </row>
    <row r="4" spans="1:4" x14ac:dyDescent="0.3">
      <c r="A4" s="6">
        <v>123</v>
      </c>
      <c r="B4">
        <v>975</v>
      </c>
      <c r="C4">
        <v>6500</v>
      </c>
      <c r="D4">
        <v>-2.5000000000000001E-2</v>
      </c>
    </row>
    <row r="5" spans="1:4" x14ac:dyDescent="0.3">
      <c r="A5" s="6">
        <v>124</v>
      </c>
      <c r="B5">
        <v>1513.5135135135135</v>
      </c>
      <c r="C5">
        <v>6378.3783783783783</v>
      </c>
      <c r="D5">
        <v>0.64864864864864868</v>
      </c>
    </row>
    <row r="6" spans="1:4" x14ac:dyDescent="0.3">
      <c r="A6" s="6">
        <v>125</v>
      </c>
      <c r="B6">
        <v>5085.7142857142853</v>
      </c>
      <c r="C6">
        <v>5257.1428571428569</v>
      </c>
      <c r="D6">
        <v>1.8571428571428572</v>
      </c>
    </row>
    <row r="7" spans="1:4" x14ac:dyDescent="0.3">
      <c r="A7" s="6">
        <v>126</v>
      </c>
      <c r="B7">
        <v>4150</v>
      </c>
      <c r="C7">
        <v>3133.3333333333335</v>
      </c>
      <c r="D7">
        <v>4.4666666666666668</v>
      </c>
    </row>
    <row r="8" spans="1:4" x14ac:dyDescent="0.3">
      <c r="A8" s="6">
        <v>127</v>
      </c>
      <c r="B8">
        <v>6100</v>
      </c>
      <c r="C8">
        <v>3300</v>
      </c>
      <c r="D8">
        <v>4.9749999999999996</v>
      </c>
    </row>
    <row r="9" spans="1:4" x14ac:dyDescent="0.3">
      <c r="A9" s="6">
        <v>128</v>
      </c>
      <c r="B9">
        <v>8300</v>
      </c>
      <c r="C9">
        <v>2900</v>
      </c>
      <c r="D9">
        <v>7.4</v>
      </c>
    </row>
    <row r="10" spans="1:4" x14ac:dyDescent="0.3">
      <c r="A10" s="6" t="s">
        <v>163</v>
      </c>
      <c r="B10">
        <v>4357.1428571428569</v>
      </c>
      <c r="C10">
        <v>4428.5714285714284</v>
      </c>
      <c r="D10">
        <v>3.376984126984127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314"/>
  <sheetViews>
    <sheetView workbookViewId="0">
      <selection activeCell="AN1" sqref="A1:BD314"/>
    </sheetView>
  </sheetViews>
  <sheetFormatPr defaultRowHeight="14.4" x14ac:dyDescent="0.3"/>
  <cols>
    <col min="2" max="2" width="20.6640625" style="2" customWidth="1"/>
    <col min="3" max="3" width="17.88671875" bestFit="1" customWidth="1"/>
    <col min="4" max="4" width="15.109375" bestFit="1" customWidth="1"/>
    <col min="5" max="5" width="14" bestFit="1" customWidth="1"/>
    <col min="6" max="6" width="22.33203125" bestFit="1" customWidth="1"/>
    <col min="7" max="7" width="20.77734375" bestFit="1" customWidth="1"/>
    <col min="8" max="8" width="34.109375" bestFit="1" customWidth="1"/>
    <col min="9" max="9" width="14.21875" bestFit="1" customWidth="1"/>
    <col min="10" max="10" width="31.5546875" bestFit="1" customWidth="1"/>
    <col min="11" max="11" width="33.6640625" bestFit="1" customWidth="1"/>
    <col min="12" max="12" width="23" bestFit="1" customWidth="1"/>
    <col min="13" max="13" width="23.44140625" bestFit="1" customWidth="1"/>
    <col min="14" max="14" width="21.44140625" bestFit="1" customWidth="1"/>
    <col min="15" max="15" width="28.44140625" bestFit="1" customWidth="1"/>
    <col min="16" max="16" width="32.6640625" bestFit="1" customWidth="1"/>
    <col min="17" max="17" width="30.5546875" bestFit="1" customWidth="1"/>
    <col min="18" max="18" width="32.6640625" bestFit="1" customWidth="1"/>
    <col min="19" max="19" width="28.77734375" bestFit="1" customWidth="1"/>
    <col min="20" max="20" width="29.21875" bestFit="1" customWidth="1"/>
    <col min="21" max="21" width="27.5546875" bestFit="1" customWidth="1"/>
    <col min="22" max="22" width="20" bestFit="1" customWidth="1"/>
    <col min="23" max="23" width="25.5546875" bestFit="1" customWidth="1"/>
    <col min="25" max="25" width="24.6640625" bestFit="1" customWidth="1"/>
    <col min="27" max="27" width="20.21875" bestFit="1" customWidth="1"/>
    <col min="28" max="28" width="23" bestFit="1" customWidth="1"/>
    <col min="33" max="33" width="21.5546875" bestFit="1" customWidth="1"/>
    <col min="34" max="34" width="21" bestFit="1" customWidth="1"/>
    <col min="35" max="35" width="27.21875" bestFit="1" customWidth="1"/>
    <col min="36" max="36" width="26.77734375" bestFit="1" customWidth="1"/>
    <col min="37" max="37" width="22.5546875" bestFit="1" customWidth="1"/>
    <col min="38" max="38" width="22.109375" bestFit="1" customWidth="1"/>
    <col min="45" max="45" width="25.21875" bestFit="1" customWidth="1"/>
    <col min="50" max="50" width="16.6640625" bestFit="1" customWidth="1"/>
    <col min="51" max="51" width="26.21875" customWidth="1"/>
    <col min="52" max="52" width="21.21875" bestFit="1" customWidth="1"/>
    <col min="53" max="53" width="35.21875" bestFit="1" customWidth="1"/>
    <col min="54" max="54" width="18.77734375" bestFit="1" customWidth="1"/>
    <col min="55" max="55" width="21.88671875" bestFit="1" customWidth="1"/>
    <col min="56" max="56" width="19.44140625" bestFit="1" customWidth="1"/>
  </cols>
  <sheetData>
    <row r="1" spans="1:56" s="1" customFormat="1" x14ac:dyDescent="0.3">
      <c r="A1" s="1" t="s">
        <v>0</v>
      </c>
      <c r="B1" s="1" t="s">
        <v>74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</v>
      </c>
      <c r="AO1" s="1" t="s">
        <v>2</v>
      </c>
      <c r="AP1" s="1" t="s">
        <v>147</v>
      </c>
      <c r="AQ1" s="1" t="s">
        <v>148</v>
      </c>
      <c r="AR1" s="1" t="s">
        <v>149</v>
      </c>
      <c r="AS1" s="1" t="s">
        <v>3</v>
      </c>
      <c r="AT1" s="1" t="s">
        <v>100</v>
      </c>
      <c r="AU1" s="1" t="s">
        <v>101</v>
      </c>
      <c r="AV1" s="1" t="s">
        <v>84</v>
      </c>
      <c r="AW1" s="1" t="s">
        <v>71</v>
      </c>
      <c r="AX1" s="1" t="s">
        <v>102</v>
      </c>
      <c r="AY1" s="3" t="s">
        <v>157</v>
      </c>
      <c r="AZ1" s="3" t="s">
        <v>158</v>
      </c>
      <c r="BA1" s="3" t="s">
        <v>168</v>
      </c>
      <c r="BB1" s="3" t="s">
        <v>156</v>
      </c>
      <c r="BC1" s="3" t="s">
        <v>166</v>
      </c>
      <c r="BD1" s="3" t="s">
        <v>169</v>
      </c>
    </row>
    <row r="2" spans="1:56" x14ac:dyDescent="0.3">
      <c r="A2">
        <v>1036</v>
      </c>
      <c r="B2" s="2">
        <v>45923.447962962957</v>
      </c>
      <c r="C2">
        <v>75000</v>
      </c>
      <c r="D2">
        <v>40000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103</v>
      </c>
      <c r="AN2">
        <v>634</v>
      </c>
      <c r="AO2">
        <v>269</v>
      </c>
      <c r="AS2">
        <v>0</v>
      </c>
      <c r="AT2">
        <v>89</v>
      </c>
      <c r="AU2" t="s">
        <v>87</v>
      </c>
      <c r="AV2">
        <v>19</v>
      </c>
      <c r="AW2" t="s">
        <v>80</v>
      </c>
      <c r="AX2">
        <v>22</v>
      </c>
      <c r="AY2" s="4">
        <f>AG2+AH2</f>
        <v>0</v>
      </c>
      <c r="AZ2" t="str">
        <f>IF(AY2=12,"(U-village)",IF(AY2=13,"(Dike-town)",IF(AY2=15,"(Natu-city)","")))</f>
        <v/>
      </c>
      <c r="BA2">
        <v>0</v>
      </c>
      <c r="BB2" cm="1">
        <f t="array" ref="BB2:BB314">+VLOOKUP(AN2:AN314,player!1:1048576,5,0)</f>
        <v>124</v>
      </c>
      <c r="BD2">
        <f>L2+M2</f>
        <v>0</v>
      </c>
    </row>
    <row r="3" spans="1:56" x14ac:dyDescent="0.3">
      <c r="A3">
        <v>1054</v>
      </c>
      <c r="B3" s="2">
        <v>45923.447962962957</v>
      </c>
      <c r="C3">
        <v>75000</v>
      </c>
      <c r="D3">
        <v>40000</v>
      </c>
      <c r="E3">
        <v>0</v>
      </c>
      <c r="F3">
        <v>11000</v>
      </c>
      <c r="G3">
        <v>0</v>
      </c>
      <c r="H3">
        <v>15000</v>
      </c>
      <c r="I3">
        <v>20000</v>
      </c>
      <c r="J3">
        <v>0</v>
      </c>
      <c r="K3">
        <v>0</v>
      </c>
      <c r="L3">
        <v>0</v>
      </c>
      <c r="M3">
        <v>0</v>
      </c>
      <c r="N3">
        <v>-6000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</v>
      </c>
      <c r="W3">
        <v>4</v>
      </c>
      <c r="X3">
        <v>110000</v>
      </c>
      <c r="Y3">
        <v>0</v>
      </c>
      <c r="Z3">
        <v>0</v>
      </c>
      <c r="AA3">
        <v>0</v>
      </c>
      <c r="AB3">
        <v>125000</v>
      </c>
      <c r="AC3">
        <v>110000</v>
      </c>
      <c r="AD3">
        <v>99000</v>
      </c>
      <c r="AG3">
        <v>6</v>
      </c>
      <c r="AH3">
        <v>6</v>
      </c>
      <c r="AI3">
        <v>0</v>
      </c>
      <c r="AJ3">
        <v>0</v>
      </c>
      <c r="AK3">
        <v>0</v>
      </c>
      <c r="AL3">
        <v>0</v>
      </c>
      <c r="AM3" t="s">
        <v>150</v>
      </c>
      <c r="AN3">
        <v>634</v>
      </c>
      <c r="AO3">
        <v>271</v>
      </c>
      <c r="AQ3">
        <v>1307</v>
      </c>
      <c r="AS3">
        <v>1</v>
      </c>
      <c r="AT3">
        <v>89</v>
      </c>
      <c r="AU3" t="s">
        <v>87</v>
      </c>
      <c r="AV3">
        <v>19</v>
      </c>
      <c r="AW3" t="s">
        <v>80</v>
      </c>
      <c r="AX3">
        <v>22</v>
      </c>
      <c r="AY3" s="4">
        <f t="shared" ref="AY3:AY66" si="0">AG3+AH3</f>
        <v>12</v>
      </c>
      <c r="AZ3" t="str">
        <f t="shared" ref="AZ3:AZ66" si="1">IF(AY3=12,"(U-village)",IF(AY3=13,"(Dike-town)",IF(AY3=15,"(Natu-city)","")))</f>
        <v>(U-village)</v>
      </c>
      <c r="BA3">
        <v>1</v>
      </c>
      <c r="BB3">
        <v>124</v>
      </c>
      <c r="BC3">
        <f>AK3+AL3</f>
        <v>0</v>
      </c>
      <c r="BD3">
        <f t="shared" ref="BD3:BD66" si="2">L3+M3</f>
        <v>0</v>
      </c>
    </row>
    <row r="4" spans="1:56" x14ac:dyDescent="0.3">
      <c r="A4">
        <v>1092</v>
      </c>
      <c r="B4" s="2">
        <v>45923.447962962957</v>
      </c>
      <c r="C4">
        <v>75000</v>
      </c>
      <c r="D4">
        <v>40000</v>
      </c>
      <c r="E4">
        <v>6000</v>
      </c>
      <c r="F4">
        <v>11000</v>
      </c>
      <c r="G4">
        <v>0</v>
      </c>
      <c r="H4">
        <v>0</v>
      </c>
      <c r="I4">
        <v>20000</v>
      </c>
      <c r="J4">
        <v>0</v>
      </c>
      <c r="K4">
        <v>0</v>
      </c>
      <c r="L4">
        <v>0</v>
      </c>
      <c r="M4">
        <v>0</v>
      </c>
      <c r="N4">
        <v>-2000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</v>
      </c>
      <c r="W4">
        <v>4</v>
      </c>
      <c r="X4">
        <v>110000</v>
      </c>
      <c r="Y4">
        <v>110000</v>
      </c>
      <c r="Z4">
        <v>99000</v>
      </c>
      <c r="AA4">
        <v>0</v>
      </c>
      <c r="AB4">
        <v>0</v>
      </c>
      <c r="AC4">
        <v>110000</v>
      </c>
      <c r="AD4">
        <v>88000</v>
      </c>
      <c r="AG4">
        <v>6</v>
      </c>
      <c r="AH4">
        <v>6</v>
      </c>
      <c r="AI4">
        <v>0</v>
      </c>
      <c r="AJ4">
        <v>0</v>
      </c>
      <c r="AK4">
        <v>0</v>
      </c>
      <c r="AL4">
        <v>0</v>
      </c>
      <c r="AM4" t="s">
        <v>150</v>
      </c>
      <c r="AN4">
        <v>634</v>
      </c>
      <c r="AO4">
        <v>276</v>
      </c>
      <c r="AP4">
        <v>1307</v>
      </c>
      <c r="AQ4">
        <v>1307</v>
      </c>
      <c r="AS4">
        <v>2</v>
      </c>
      <c r="AT4">
        <v>89</v>
      </c>
      <c r="AU4" t="s">
        <v>87</v>
      </c>
      <c r="AV4">
        <v>19</v>
      </c>
      <c r="AW4" t="s">
        <v>80</v>
      </c>
      <c r="AX4">
        <v>22</v>
      </c>
      <c r="AY4" s="4">
        <f t="shared" si="0"/>
        <v>12</v>
      </c>
      <c r="AZ4" t="str">
        <f t="shared" si="1"/>
        <v>(U-village)</v>
      </c>
      <c r="BA4">
        <v>2</v>
      </c>
      <c r="BB4">
        <v>124</v>
      </c>
      <c r="BC4">
        <f t="shared" ref="BC4:BC6" si="3">AK4+AL4</f>
        <v>0</v>
      </c>
      <c r="BD4">
        <f t="shared" si="2"/>
        <v>0</v>
      </c>
    </row>
    <row r="5" spans="1:56" x14ac:dyDescent="0.3">
      <c r="A5">
        <v>1105</v>
      </c>
      <c r="B5" s="2">
        <v>45923.447962962957</v>
      </c>
      <c r="C5">
        <v>75000</v>
      </c>
      <c r="D5">
        <v>40000</v>
      </c>
      <c r="E5">
        <v>2000</v>
      </c>
      <c r="F5">
        <v>11000</v>
      </c>
      <c r="G5">
        <v>0</v>
      </c>
      <c r="H5">
        <v>0</v>
      </c>
      <c r="I5">
        <v>20000</v>
      </c>
      <c r="J5">
        <v>0</v>
      </c>
      <c r="K5">
        <v>0</v>
      </c>
      <c r="L5">
        <v>12000</v>
      </c>
      <c r="M5">
        <v>0</v>
      </c>
      <c r="N5">
        <v>-10000</v>
      </c>
      <c r="O5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1</v>
      </c>
      <c r="V5">
        <v>-1</v>
      </c>
      <c r="W5">
        <v>4</v>
      </c>
      <c r="X5">
        <v>110000</v>
      </c>
      <c r="Y5">
        <v>110000</v>
      </c>
      <c r="Z5">
        <v>88000</v>
      </c>
      <c r="AA5">
        <v>0</v>
      </c>
      <c r="AB5">
        <v>0</v>
      </c>
      <c r="AC5">
        <v>110000</v>
      </c>
      <c r="AD5">
        <v>77000</v>
      </c>
      <c r="AG5">
        <v>6</v>
      </c>
      <c r="AH5">
        <v>6</v>
      </c>
      <c r="AI5">
        <v>-1</v>
      </c>
      <c r="AJ5">
        <v>-2</v>
      </c>
      <c r="AK5">
        <v>0</v>
      </c>
      <c r="AL5">
        <v>0</v>
      </c>
      <c r="AM5" t="s">
        <v>150</v>
      </c>
      <c r="AN5">
        <v>634</v>
      </c>
      <c r="AO5">
        <v>278</v>
      </c>
      <c r="AP5">
        <v>1307</v>
      </c>
      <c r="AQ5">
        <v>1307</v>
      </c>
      <c r="AS5">
        <v>3</v>
      </c>
      <c r="AT5">
        <v>89</v>
      </c>
      <c r="AU5" t="s">
        <v>87</v>
      </c>
      <c r="AV5">
        <v>19</v>
      </c>
      <c r="AW5" t="s">
        <v>80</v>
      </c>
      <c r="AX5">
        <v>22</v>
      </c>
      <c r="AY5" s="4">
        <f t="shared" si="0"/>
        <v>12</v>
      </c>
      <c r="AZ5" t="str">
        <f t="shared" si="1"/>
        <v>(U-village)</v>
      </c>
      <c r="BA5">
        <v>3</v>
      </c>
      <c r="BB5">
        <v>124</v>
      </c>
      <c r="BC5">
        <f t="shared" si="3"/>
        <v>0</v>
      </c>
      <c r="BD5">
        <f t="shared" si="2"/>
        <v>12000</v>
      </c>
    </row>
    <row r="6" spans="1:56" x14ac:dyDescent="0.3">
      <c r="A6">
        <v>1131</v>
      </c>
      <c r="B6" s="2">
        <v>45923.447962962957</v>
      </c>
      <c r="C6">
        <v>75000</v>
      </c>
      <c r="D6">
        <v>40000</v>
      </c>
      <c r="E6">
        <v>10000</v>
      </c>
      <c r="F6">
        <v>11000</v>
      </c>
      <c r="G6">
        <v>0</v>
      </c>
      <c r="H6">
        <v>0</v>
      </c>
      <c r="I6">
        <v>20000</v>
      </c>
      <c r="J6">
        <v>0</v>
      </c>
      <c r="K6">
        <v>0</v>
      </c>
      <c r="L6">
        <v>12000</v>
      </c>
      <c r="M6">
        <v>0</v>
      </c>
      <c r="N6">
        <v>-18000</v>
      </c>
      <c r="O6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1</v>
      </c>
      <c r="V6">
        <v>-6</v>
      </c>
      <c r="W6">
        <v>4</v>
      </c>
      <c r="X6">
        <v>110000</v>
      </c>
      <c r="Y6">
        <v>110000</v>
      </c>
      <c r="Z6">
        <v>77000</v>
      </c>
      <c r="AA6">
        <v>0</v>
      </c>
      <c r="AB6">
        <v>0</v>
      </c>
      <c r="AC6">
        <v>110000</v>
      </c>
      <c r="AD6">
        <v>66000</v>
      </c>
      <c r="AG6">
        <v>6</v>
      </c>
      <c r="AH6">
        <v>6</v>
      </c>
      <c r="AI6">
        <v>-2</v>
      </c>
      <c r="AJ6">
        <v>-1</v>
      </c>
      <c r="AK6">
        <v>0</v>
      </c>
      <c r="AL6">
        <v>0</v>
      </c>
      <c r="AM6" t="s">
        <v>150</v>
      </c>
      <c r="AN6">
        <v>634</v>
      </c>
      <c r="AO6">
        <v>282</v>
      </c>
      <c r="AP6">
        <v>1307</v>
      </c>
      <c r="AQ6">
        <v>1307</v>
      </c>
      <c r="AS6">
        <v>4</v>
      </c>
      <c r="AT6">
        <v>89</v>
      </c>
      <c r="AU6" t="s">
        <v>87</v>
      </c>
      <c r="AV6">
        <v>19</v>
      </c>
      <c r="AW6" t="s">
        <v>80</v>
      </c>
      <c r="AX6">
        <v>22</v>
      </c>
      <c r="AY6" s="4">
        <f t="shared" si="0"/>
        <v>12</v>
      </c>
      <c r="AZ6" t="str">
        <f t="shared" si="1"/>
        <v>(U-village)</v>
      </c>
      <c r="BA6">
        <v>4</v>
      </c>
      <c r="BB6">
        <v>124</v>
      </c>
      <c r="BC6">
        <f t="shared" si="3"/>
        <v>0</v>
      </c>
      <c r="BD6">
        <f t="shared" si="2"/>
        <v>12000</v>
      </c>
    </row>
    <row r="7" spans="1:56" x14ac:dyDescent="0.3">
      <c r="A7">
        <v>1030</v>
      </c>
      <c r="B7" s="2">
        <v>45923.436527777783</v>
      </c>
      <c r="C7">
        <v>110000</v>
      </c>
      <c r="D7">
        <v>60000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6</v>
      </c>
      <c r="X7">
        <v>170000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103</v>
      </c>
      <c r="AN7">
        <v>635</v>
      </c>
      <c r="AO7">
        <v>269</v>
      </c>
      <c r="AS7">
        <v>0</v>
      </c>
      <c r="AT7">
        <v>89</v>
      </c>
      <c r="AU7" t="s">
        <v>87</v>
      </c>
      <c r="AV7">
        <v>19</v>
      </c>
      <c r="AW7" t="s">
        <v>80</v>
      </c>
      <c r="AX7">
        <v>22</v>
      </c>
      <c r="AY7" s="4">
        <f t="shared" si="0"/>
        <v>0</v>
      </c>
      <c r="AZ7" t="str">
        <f t="shared" si="1"/>
        <v/>
      </c>
      <c r="BA7">
        <v>0</v>
      </c>
      <c r="BB7">
        <v>126</v>
      </c>
      <c r="BD7">
        <f t="shared" si="2"/>
        <v>0</v>
      </c>
    </row>
    <row r="8" spans="1:56" x14ac:dyDescent="0.3">
      <c r="A8">
        <v>1049</v>
      </c>
      <c r="B8" s="2">
        <v>45923.436527777783</v>
      </c>
      <c r="C8">
        <v>110000</v>
      </c>
      <c r="D8">
        <v>60000</v>
      </c>
      <c r="E8">
        <v>0</v>
      </c>
      <c r="F8">
        <v>17000</v>
      </c>
      <c r="G8">
        <v>0</v>
      </c>
      <c r="H8">
        <v>30000</v>
      </c>
      <c r="I8">
        <v>15000</v>
      </c>
      <c r="J8">
        <v>8000</v>
      </c>
      <c r="K8">
        <v>0</v>
      </c>
      <c r="L8">
        <v>0</v>
      </c>
      <c r="M8">
        <v>0</v>
      </c>
      <c r="N8">
        <v>10000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6</v>
      </c>
      <c r="W8">
        <v>6</v>
      </c>
      <c r="X8">
        <v>170000</v>
      </c>
      <c r="Y8">
        <v>0</v>
      </c>
      <c r="Z8">
        <v>0</v>
      </c>
      <c r="AA8">
        <v>0</v>
      </c>
      <c r="AB8">
        <v>200000</v>
      </c>
      <c r="AC8">
        <v>170000</v>
      </c>
      <c r="AD8">
        <v>153000</v>
      </c>
      <c r="AG8">
        <v>6</v>
      </c>
      <c r="AH8">
        <v>9</v>
      </c>
      <c r="AI8">
        <v>0</v>
      </c>
      <c r="AJ8">
        <v>0</v>
      </c>
      <c r="AK8">
        <v>1</v>
      </c>
      <c r="AL8">
        <v>1</v>
      </c>
      <c r="AM8" t="s">
        <v>150</v>
      </c>
      <c r="AN8">
        <v>635</v>
      </c>
      <c r="AO8">
        <v>271</v>
      </c>
      <c r="AQ8">
        <v>1296</v>
      </c>
      <c r="AS8">
        <v>1</v>
      </c>
      <c r="AT8">
        <v>89</v>
      </c>
      <c r="AU8" t="s">
        <v>87</v>
      </c>
      <c r="AV8">
        <v>19</v>
      </c>
      <c r="AW8" t="s">
        <v>80</v>
      </c>
      <c r="AX8">
        <v>22</v>
      </c>
      <c r="AY8" s="4">
        <f t="shared" si="0"/>
        <v>15</v>
      </c>
      <c r="AZ8" t="str">
        <f t="shared" si="1"/>
        <v>(Natu-city)</v>
      </c>
      <c r="BA8">
        <v>1</v>
      </c>
      <c r="BB8">
        <v>126</v>
      </c>
      <c r="BC8">
        <f t="shared" ref="BC8:BC11" si="4">AK8+AL8</f>
        <v>2</v>
      </c>
      <c r="BD8">
        <f t="shared" si="2"/>
        <v>0</v>
      </c>
    </row>
    <row r="9" spans="1:56" x14ac:dyDescent="0.3">
      <c r="A9">
        <v>1090</v>
      </c>
      <c r="B9" s="2">
        <v>45923.436527777783</v>
      </c>
      <c r="C9">
        <v>110000</v>
      </c>
      <c r="D9">
        <v>60000</v>
      </c>
      <c r="E9">
        <v>0</v>
      </c>
      <c r="F9">
        <v>17000</v>
      </c>
      <c r="G9">
        <v>0</v>
      </c>
      <c r="H9">
        <v>0</v>
      </c>
      <c r="I9">
        <v>15000</v>
      </c>
      <c r="J9">
        <v>0</v>
      </c>
      <c r="K9">
        <v>9000</v>
      </c>
      <c r="L9">
        <v>0</v>
      </c>
      <c r="M9">
        <v>0</v>
      </c>
      <c r="N9">
        <v>19000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7</v>
      </c>
      <c r="W9">
        <v>6</v>
      </c>
      <c r="X9">
        <v>170000</v>
      </c>
      <c r="Y9">
        <v>170000</v>
      </c>
      <c r="Z9">
        <v>153000</v>
      </c>
      <c r="AA9">
        <v>0</v>
      </c>
      <c r="AB9">
        <v>0</v>
      </c>
      <c r="AC9">
        <v>170000</v>
      </c>
      <c r="AD9">
        <v>136000</v>
      </c>
      <c r="AG9">
        <v>6</v>
      </c>
      <c r="AH9">
        <v>9</v>
      </c>
      <c r="AI9">
        <v>0</v>
      </c>
      <c r="AJ9">
        <v>0</v>
      </c>
      <c r="AK9">
        <v>0</v>
      </c>
      <c r="AL9">
        <v>0</v>
      </c>
      <c r="AM9" t="s">
        <v>150</v>
      </c>
      <c r="AN9">
        <v>635</v>
      </c>
      <c r="AO9">
        <v>276</v>
      </c>
      <c r="AP9">
        <v>1296</v>
      </c>
      <c r="AQ9">
        <v>1296</v>
      </c>
      <c r="AS9">
        <v>2</v>
      </c>
      <c r="AT9">
        <v>89</v>
      </c>
      <c r="AU9" t="s">
        <v>87</v>
      </c>
      <c r="AV9">
        <v>19</v>
      </c>
      <c r="AW9" t="s">
        <v>80</v>
      </c>
      <c r="AX9">
        <v>22</v>
      </c>
      <c r="AY9" s="4">
        <f t="shared" si="0"/>
        <v>15</v>
      </c>
      <c r="AZ9" t="str">
        <f t="shared" si="1"/>
        <v>(Natu-city)</v>
      </c>
      <c r="BA9">
        <v>2</v>
      </c>
      <c r="BB9">
        <v>126</v>
      </c>
      <c r="BC9">
        <f t="shared" si="4"/>
        <v>0</v>
      </c>
      <c r="BD9">
        <f t="shared" si="2"/>
        <v>0</v>
      </c>
    </row>
    <row r="10" spans="1:56" x14ac:dyDescent="0.3">
      <c r="A10">
        <v>1102</v>
      </c>
      <c r="B10" s="2">
        <v>45923.436527777783</v>
      </c>
      <c r="C10">
        <v>110000</v>
      </c>
      <c r="D10">
        <v>60000</v>
      </c>
      <c r="E10">
        <v>0</v>
      </c>
      <c r="F10">
        <v>17000</v>
      </c>
      <c r="G10">
        <v>0</v>
      </c>
      <c r="H10">
        <v>0</v>
      </c>
      <c r="I10">
        <v>15000</v>
      </c>
      <c r="J10">
        <v>6000</v>
      </c>
      <c r="K10">
        <v>15500</v>
      </c>
      <c r="L10">
        <v>0</v>
      </c>
      <c r="M10">
        <v>0</v>
      </c>
      <c r="N10">
        <v>15500</v>
      </c>
      <c r="O10">
        <v>0</v>
      </c>
      <c r="P10">
        <v>0</v>
      </c>
      <c r="Q10">
        <v>1</v>
      </c>
      <c r="R10">
        <v>3</v>
      </c>
      <c r="S10">
        <v>0</v>
      </c>
      <c r="T10">
        <v>0</v>
      </c>
      <c r="U10">
        <v>0</v>
      </c>
      <c r="V10">
        <v>11</v>
      </c>
      <c r="W10">
        <v>6</v>
      </c>
      <c r="X10">
        <v>170000</v>
      </c>
      <c r="Y10">
        <v>170000</v>
      </c>
      <c r="Z10">
        <v>136000</v>
      </c>
      <c r="AA10">
        <v>0</v>
      </c>
      <c r="AB10">
        <v>0</v>
      </c>
      <c r="AC10">
        <v>170000</v>
      </c>
      <c r="AD10">
        <v>119000</v>
      </c>
      <c r="AG10">
        <v>6</v>
      </c>
      <c r="AH10">
        <v>9</v>
      </c>
      <c r="AI10">
        <v>-1</v>
      </c>
      <c r="AJ10">
        <v>-2</v>
      </c>
      <c r="AK10">
        <v>1</v>
      </c>
      <c r="AL10">
        <v>0</v>
      </c>
      <c r="AM10" t="s">
        <v>150</v>
      </c>
      <c r="AN10">
        <v>635</v>
      </c>
      <c r="AO10">
        <v>278</v>
      </c>
      <c r="AP10">
        <v>1296</v>
      </c>
      <c r="AQ10">
        <v>1296</v>
      </c>
      <c r="AS10">
        <v>3</v>
      </c>
      <c r="AT10">
        <v>89</v>
      </c>
      <c r="AU10" t="s">
        <v>87</v>
      </c>
      <c r="AV10">
        <v>19</v>
      </c>
      <c r="AW10" t="s">
        <v>80</v>
      </c>
      <c r="AX10">
        <v>22</v>
      </c>
      <c r="AY10" s="4">
        <f t="shared" si="0"/>
        <v>15</v>
      </c>
      <c r="AZ10" t="str">
        <f t="shared" si="1"/>
        <v>(Natu-city)</v>
      </c>
      <c r="BA10">
        <v>3</v>
      </c>
      <c r="BB10">
        <v>126</v>
      </c>
      <c r="BC10">
        <f t="shared" si="4"/>
        <v>1</v>
      </c>
      <c r="BD10">
        <f t="shared" si="2"/>
        <v>0</v>
      </c>
    </row>
    <row r="11" spans="1:56" x14ac:dyDescent="0.3">
      <c r="A11">
        <v>1127</v>
      </c>
      <c r="B11" s="2">
        <v>45923.436527777783</v>
      </c>
      <c r="C11">
        <v>110000</v>
      </c>
      <c r="D11">
        <v>60000</v>
      </c>
      <c r="E11">
        <v>0</v>
      </c>
      <c r="F11">
        <v>17000</v>
      </c>
      <c r="G11">
        <v>0</v>
      </c>
      <c r="H11">
        <v>0</v>
      </c>
      <c r="I11">
        <v>30000</v>
      </c>
      <c r="J11">
        <v>1000</v>
      </c>
      <c r="K11">
        <v>0</v>
      </c>
      <c r="L11">
        <v>0</v>
      </c>
      <c r="M11">
        <v>0</v>
      </c>
      <c r="N11">
        <v>17500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</v>
      </c>
      <c r="W11">
        <v>6</v>
      </c>
      <c r="X11">
        <v>170000</v>
      </c>
      <c r="Y11">
        <v>170000</v>
      </c>
      <c r="Z11">
        <v>119000</v>
      </c>
      <c r="AA11">
        <v>0</v>
      </c>
      <c r="AB11">
        <v>0</v>
      </c>
      <c r="AC11">
        <v>170000</v>
      </c>
      <c r="AD11">
        <v>102000</v>
      </c>
      <c r="AG11">
        <v>6</v>
      </c>
      <c r="AH11">
        <v>9</v>
      </c>
      <c r="AI11">
        <v>-2</v>
      </c>
      <c r="AJ11">
        <v>-1</v>
      </c>
      <c r="AK11">
        <v>0</v>
      </c>
      <c r="AL11">
        <v>1</v>
      </c>
      <c r="AM11" t="s">
        <v>150</v>
      </c>
      <c r="AN11">
        <v>635</v>
      </c>
      <c r="AO11">
        <v>282</v>
      </c>
      <c r="AP11">
        <v>1296</v>
      </c>
      <c r="AQ11">
        <v>1296</v>
      </c>
      <c r="AS11">
        <v>4</v>
      </c>
      <c r="AT11">
        <v>89</v>
      </c>
      <c r="AU11" t="s">
        <v>87</v>
      </c>
      <c r="AV11">
        <v>19</v>
      </c>
      <c r="AW11" t="s">
        <v>80</v>
      </c>
      <c r="AX11">
        <v>22</v>
      </c>
      <c r="AY11" s="4">
        <f t="shared" si="0"/>
        <v>15</v>
      </c>
      <c r="AZ11" t="str">
        <f t="shared" si="1"/>
        <v>(Natu-city)</v>
      </c>
      <c r="BA11">
        <v>4</v>
      </c>
      <c r="BB11">
        <v>126</v>
      </c>
      <c r="BC11">
        <f t="shared" si="4"/>
        <v>1</v>
      </c>
      <c r="BD11">
        <f t="shared" si="2"/>
        <v>0</v>
      </c>
    </row>
    <row r="12" spans="1:56" x14ac:dyDescent="0.3">
      <c r="A12">
        <v>1025</v>
      </c>
      <c r="B12" s="2">
        <v>45923.434733796297</v>
      </c>
      <c r="C12">
        <v>60000</v>
      </c>
      <c r="D12">
        <v>30000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3</v>
      </c>
      <c r="X12">
        <v>80000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103</v>
      </c>
      <c r="AN12">
        <v>636</v>
      </c>
      <c r="AO12">
        <v>269</v>
      </c>
      <c r="AS12">
        <v>0</v>
      </c>
      <c r="AT12">
        <v>89</v>
      </c>
      <c r="AU12" t="s">
        <v>87</v>
      </c>
      <c r="AV12">
        <v>19</v>
      </c>
      <c r="AW12" t="s">
        <v>80</v>
      </c>
      <c r="AX12">
        <v>22</v>
      </c>
      <c r="AY12" s="4">
        <f t="shared" si="0"/>
        <v>0</v>
      </c>
      <c r="AZ12" t="str">
        <f t="shared" si="1"/>
        <v/>
      </c>
      <c r="BA12">
        <v>0</v>
      </c>
      <c r="BB12">
        <v>123</v>
      </c>
      <c r="BD12">
        <f t="shared" si="2"/>
        <v>0</v>
      </c>
    </row>
    <row r="13" spans="1:56" x14ac:dyDescent="0.3">
      <c r="A13">
        <v>1050</v>
      </c>
      <c r="B13" s="2">
        <v>45923.434733796297</v>
      </c>
      <c r="C13">
        <v>60000</v>
      </c>
      <c r="D13">
        <v>30000</v>
      </c>
      <c r="E13">
        <v>0</v>
      </c>
      <c r="F13">
        <v>7000</v>
      </c>
      <c r="G13">
        <v>0</v>
      </c>
      <c r="H13">
        <v>0</v>
      </c>
      <c r="I13">
        <v>20000</v>
      </c>
      <c r="J13">
        <v>0</v>
      </c>
      <c r="K13">
        <v>1750</v>
      </c>
      <c r="L13">
        <v>0</v>
      </c>
      <c r="M13">
        <v>0</v>
      </c>
      <c r="N13">
        <v>1250</v>
      </c>
      <c r="O13">
        <v>0</v>
      </c>
      <c r="P13">
        <v>-1</v>
      </c>
      <c r="Q13">
        <v>0</v>
      </c>
      <c r="R13">
        <v>1</v>
      </c>
      <c r="S13">
        <v>0</v>
      </c>
      <c r="T13">
        <v>0</v>
      </c>
      <c r="U13">
        <v>0</v>
      </c>
      <c r="V13">
        <v>5</v>
      </c>
      <c r="W13">
        <v>3</v>
      </c>
      <c r="X13">
        <v>80000</v>
      </c>
      <c r="Y13">
        <v>0</v>
      </c>
      <c r="Z13">
        <v>0</v>
      </c>
      <c r="AA13">
        <v>0</v>
      </c>
      <c r="AB13">
        <v>70000</v>
      </c>
      <c r="AC13">
        <v>70000</v>
      </c>
      <c r="AD13">
        <v>63000</v>
      </c>
      <c r="AG13">
        <v>6</v>
      </c>
      <c r="AH13">
        <v>6</v>
      </c>
      <c r="AI13">
        <v>0</v>
      </c>
      <c r="AJ13">
        <v>0</v>
      </c>
      <c r="AK13">
        <v>0</v>
      </c>
      <c r="AL13">
        <v>0</v>
      </c>
      <c r="AM13" t="s">
        <v>150</v>
      </c>
      <c r="AN13">
        <v>636</v>
      </c>
      <c r="AO13">
        <v>271</v>
      </c>
      <c r="AQ13">
        <v>1308</v>
      </c>
      <c r="AS13">
        <v>1</v>
      </c>
      <c r="AT13">
        <v>89</v>
      </c>
      <c r="AU13" t="s">
        <v>87</v>
      </c>
      <c r="AV13">
        <v>19</v>
      </c>
      <c r="AW13" t="s">
        <v>80</v>
      </c>
      <c r="AX13">
        <v>22</v>
      </c>
      <c r="AY13" s="4">
        <f t="shared" si="0"/>
        <v>12</v>
      </c>
      <c r="AZ13" t="str">
        <f t="shared" si="1"/>
        <v>(U-village)</v>
      </c>
      <c r="BA13">
        <v>1</v>
      </c>
      <c r="BB13">
        <v>123</v>
      </c>
      <c r="BC13">
        <f t="shared" ref="BC13:BC16" si="5">AK13+AL13</f>
        <v>0</v>
      </c>
      <c r="BD13">
        <f t="shared" si="2"/>
        <v>0</v>
      </c>
    </row>
    <row r="14" spans="1:56" x14ac:dyDescent="0.3">
      <c r="A14">
        <v>1091</v>
      </c>
      <c r="B14" s="2">
        <v>45923.434733796297</v>
      </c>
      <c r="C14">
        <v>60000</v>
      </c>
      <c r="D14">
        <v>30000</v>
      </c>
      <c r="E14">
        <v>0</v>
      </c>
      <c r="F14">
        <v>7000</v>
      </c>
      <c r="G14">
        <v>0</v>
      </c>
      <c r="H14">
        <v>0</v>
      </c>
      <c r="I14">
        <v>20000</v>
      </c>
      <c r="J14">
        <v>1000</v>
      </c>
      <c r="K14">
        <v>1400</v>
      </c>
      <c r="L14">
        <v>0</v>
      </c>
      <c r="M14">
        <v>0</v>
      </c>
      <c r="N14">
        <v>1850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</v>
      </c>
      <c r="W14">
        <v>3</v>
      </c>
      <c r="X14">
        <v>80000</v>
      </c>
      <c r="Y14">
        <v>70000</v>
      </c>
      <c r="Z14">
        <v>63000</v>
      </c>
      <c r="AA14">
        <v>0</v>
      </c>
      <c r="AB14">
        <v>0</v>
      </c>
      <c r="AC14">
        <v>70000</v>
      </c>
      <c r="AD14">
        <v>56000</v>
      </c>
      <c r="AG14">
        <v>6</v>
      </c>
      <c r="AH14">
        <v>6</v>
      </c>
      <c r="AI14">
        <v>0</v>
      </c>
      <c r="AJ14">
        <v>0</v>
      </c>
      <c r="AK14">
        <v>0</v>
      </c>
      <c r="AL14">
        <v>1</v>
      </c>
      <c r="AM14" t="s">
        <v>150</v>
      </c>
      <c r="AN14">
        <v>636</v>
      </c>
      <c r="AO14">
        <v>276</v>
      </c>
      <c r="AP14">
        <v>1308</v>
      </c>
      <c r="AQ14">
        <v>1308</v>
      </c>
      <c r="AS14">
        <v>2</v>
      </c>
      <c r="AT14">
        <v>89</v>
      </c>
      <c r="AU14" t="s">
        <v>87</v>
      </c>
      <c r="AV14">
        <v>19</v>
      </c>
      <c r="AW14" t="s">
        <v>80</v>
      </c>
      <c r="AX14">
        <v>22</v>
      </c>
      <c r="AY14" s="4">
        <f t="shared" si="0"/>
        <v>12</v>
      </c>
      <c r="AZ14" t="str">
        <f t="shared" si="1"/>
        <v>(U-village)</v>
      </c>
      <c r="BA14">
        <v>2</v>
      </c>
      <c r="BB14">
        <v>123</v>
      </c>
      <c r="BC14">
        <f t="shared" si="5"/>
        <v>1</v>
      </c>
      <c r="BD14">
        <f t="shared" si="2"/>
        <v>0</v>
      </c>
    </row>
    <row r="15" spans="1:56" x14ac:dyDescent="0.3">
      <c r="A15">
        <v>1111</v>
      </c>
      <c r="B15" s="2">
        <v>45923.434733796297</v>
      </c>
      <c r="C15">
        <v>60000</v>
      </c>
      <c r="D15">
        <v>30000</v>
      </c>
      <c r="E15">
        <v>0</v>
      </c>
      <c r="F15">
        <v>7000</v>
      </c>
      <c r="G15">
        <v>0</v>
      </c>
      <c r="H15">
        <v>0</v>
      </c>
      <c r="I15">
        <v>20000</v>
      </c>
      <c r="J15">
        <v>0</v>
      </c>
      <c r="K15">
        <v>0</v>
      </c>
      <c r="L15">
        <v>12000</v>
      </c>
      <c r="M15">
        <v>0</v>
      </c>
      <c r="N15">
        <v>-7150</v>
      </c>
      <c r="O15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0</v>
      </c>
      <c r="V15">
        <v>1</v>
      </c>
      <c r="W15">
        <v>3</v>
      </c>
      <c r="X15">
        <v>80000</v>
      </c>
      <c r="Y15">
        <v>70000</v>
      </c>
      <c r="Z15">
        <v>56000</v>
      </c>
      <c r="AA15">
        <v>0</v>
      </c>
      <c r="AB15">
        <v>0</v>
      </c>
      <c r="AC15">
        <v>70000</v>
      </c>
      <c r="AD15">
        <v>49000</v>
      </c>
      <c r="AG15">
        <v>6</v>
      </c>
      <c r="AH15">
        <v>6</v>
      </c>
      <c r="AI15">
        <v>-1</v>
      </c>
      <c r="AJ15">
        <v>-2</v>
      </c>
      <c r="AK15">
        <v>0</v>
      </c>
      <c r="AL15">
        <v>0</v>
      </c>
      <c r="AM15" t="s">
        <v>150</v>
      </c>
      <c r="AN15">
        <v>636</v>
      </c>
      <c r="AO15">
        <v>278</v>
      </c>
      <c r="AP15">
        <v>1308</v>
      </c>
      <c r="AQ15">
        <v>1308</v>
      </c>
      <c r="AS15">
        <v>3</v>
      </c>
      <c r="AT15">
        <v>89</v>
      </c>
      <c r="AU15" t="s">
        <v>87</v>
      </c>
      <c r="AV15">
        <v>19</v>
      </c>
      <c r="AW15" t="s">
        <v>80</v>
      </c>
      <c r="AX15">
        <v>22</v>
      </c>
      <c r="AY15" s="4">
        <f t="shared" si="0"/>
        <v>12</v>
      </c>
      <c r="AZ15" t="str">
        <f t="shared" si="1"/>
        <v>(U-village)</v>
      </c>
      <c r="BA15">
        <v>3</v>
      </c>
      <c r="BB15">
        <v>123</v>
      </c>
      <c r="BC15">
        <f t="shared" si="5"/>
        <v>0</v>
      </c>
      <c r="BD15">
        <f t="shared" si="2"/>
        <v>12000</v>
      </c>
    </row>
    <row r="16" spans="1:56" x14ac:dyDescent="0.3">
      <c r="A16">
        <v>1128</v>
      </c>
      <c r="B16" s="2">
        <v>45923.434733796297</v>
      </c>
      <c r="C16">
        <v>60000</v>
      </c>
      <c r="D16">
        <v>30000</v>
      </c>
      <c r="E16">
        <v>7150</v>
      </c>
      <c r="F16">
        <v>7000</v>
      </c>
      <c r="G16">
        <v>0</v>
      </c>
      <c r="H16">
        <v>0</v>
      </c>
      <c r="I16">
        <v>20000</v>
      </c>
      <c r="J16">
        <v>0</v>
      </c>
      <c r="K16">
        <v>0</v>
      </c>
      <c r="L16">
        <v>12000</v>
      </c>
      <c r="M16">
        <v>0</v>
      </c>
      <c r="N16">
        <v>-16150</v>
      </c>
      <c r="O16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1</v>
      </c>
      <c r="V16">
        <v>-4</v>
      </c>
      <c r="W16">
        <v>3</v>
      </c>
      <c r="X16">
        <v>80000</v>
      </c>
      <c r="Y16">
        <v>70000</v>
      </c>
      <c r="Z16">
        <v>49000</v>
      </c>
      <c r="AA16">
        <v>0</v>
      </c>
      <c r="AB16">
        <v>0</v>
      </c>
      <c r="AC16">
        <v>70000</v>
      </c>
      <c r="AD16">
        <v>42000</v>
      </c>
      <c r="AG16">
        <v>6</v>
      </c>
      <c r="AH16">
        <v>6</v>
      </c>
      <c r="AI16">
        <v>-2</v>
      </c>
      <c r="AJ16">
        <v>-1</v>
      </c>
      <c r="AK16">
        <v>0</v>
      </c>
      <c r="AL16">
        <v>0</v>
      </c>
      <c r="AM16" t="s">
        <v>150</v>
      </c>
      <c r="AN16">
        <v>636</v>
      </c>
      <c r="AO16">
        <v>282</v>
      </c>
      <c r="AP16">
        <v>1308</v>
      </c>
      <c r="AQ16">
        <v>1308</v>
      </c>
      <c r="AS16">
        <v>4</v>
      </c>
      <c r="AT16">
        <v>89</v>
      </c>
      <c r="AU16" t="s">
        <v>87</v>
      </c>
      <c r="AV16">
        <v>19</v>
      </c>
      <c r="AW16" t="s">
        <v>80</v>
      </c>
      <c r="AX16">
        <v>22</v>
      </c>
      <c r="AY16" s="4">
        <f t="shared" si="0"/>
        <v>12</v>
      </c>
      <c r="AZ16" t="str">
        <f t="shared" si="1"/>
        <v>(U-village)</v>
      </c>
      <c r="BA16">
        <v>4</v>
      </c>
      <c r="BB16">
        <v>123</v>
      </c>
      <c r="BC16">
        <f t="shared" si="5"/>
        <v>0</v>
      </c>
      <c r="BD16">
        <f t="shared" si="2"/>
        <v>12000</v>
      </c>
    </row>
    <row r="17" spans="1:56" x14ac:dyDescent="0.3">
      <c r="A17">
        <v>1034</v>
      </c>
      <c r="B17" s="2">
        <v>45923.440081018518</v>
      </c>
      <c r="C17">
        <v>90000</v>
      </c>
      <c r="D17">
        <v>50000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</v>
      </c>
      <c r="W17">
        <v>5</v>
      </c>
      <c r="X17">
        <v>130000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103</v>
      </c>
      <c r="AN17">
        <v>637</v>
      </c>
      <c r="AO17">
        <v>269</v>
      </c>
      <c r="AS17">
        <v>0</v>
      </c>
      <c r="AT17">
        <v>89</v>
      </c>
      <c r="AU17" t="s">
        <v>87</v>
      </c>
      <c r="AV17">
        <v>19</v>
      </c>
      <c r="AW17" t="s">
        <v>80</v>
      </c>
      <c r="AX17">
        <v>22</v>
      </c>
      <c r="AY17" s="4">
        <f t="shared" si="0"/>
        <v>0</v>
      </c>
      <c r="AZ17" t="str">
        <f t="shared" si="1"/>
        <v/>
      </c>
      <c r="BA17">
        <v>0</v>
      </c>
      <c r="BB17">
        <v>125</v>
      </c>
      <c r="BD17">
        <f t="shared" si="2"/>
        <v>0</v>
      </c>
    </row>
    <row r="18" spans="1:56" x14ac:dyDescent="0.3">
      <c r="A18">
        <v>1052</v>
      </c>
      <c r="B18" s="2">
        <v>45923.440081018518</v>
      </c>
      <c r="C18">
        <v>90000</v>
      </c>
      <c r="D18">
        <v>50000</v>
      </c>
      <c r="E18">
        <v>0</v>
      </c>
      <c r="F18">
        <v>10000</v>
      </c>
      <c r="G18">
        <v>0</v>
      </c>
      <c r="H18">
        <v>0</v>
      </c>
      <c r="I18">
        <v>15000</v>
      </c>
      <c r="J18">
        <v>6000</v>
      </c>
      <c r="K18">
        <v>5000</v>
      </c>
      <c r="L18">
        <v>0</v>
      </c>
      <c r="M18">
        <v>0</v>
      </c>
      <c r="N18">
        <v>19000</v>
      </c>
      <c r="O18">
        <v>0</v>
      </c>
      <c r="P18">
        <v>-2</v>
      </c>
      <c r="Q18">
        <v>1</v>
      </c>
      <c r="R18">
        <v>2</v>
      </c>
      <c r="S18">
        <v>0</v>
      </c>
      <c r="T18">
        <v>0</v>
      </c>
      <c r="U18">
        <v>0</v>
      </c>
      <c r="V18">
        <v>6</v>
      </c>
      <c r="W18">
        <v>5</v>
      </c>
      <c r="X18">
        <v>130000</v>
      </c>
      <c r="Y18">
        <v>0</v>
      </c>
      <c r="Z18">
        <v>0</v>
      </c>
      <c r="AA18">
        <v>0</v>
      </c>
      <c r="AB18">
        <v>100000</v>
      </c>
      <c r="AC18">
        <v>100000</v>
      </c>
      <c r="AD18">
        <v>90000</v>
      </c>
      <c r="AG18">
        <v>6</v>
      </c>
      <c r="AH18">
        <v>9</v>
      </c>
      <c r="AI18">
        <v>0</v>
      </c>
      <c r="AJ18">
        <v>0</v>
      </c>
      <c r="AK18">
        <v>1</v>
      </c>
      <c r="AL18">
        <v>0</v>
      </c>
      <c r="AM18" t="s">
        <v>150</v>
      </c>
      <c r="AN18">
        <v>637</v>
      </c>
      <c r="AO18">
        <v>271</v>
      </c>
      <c r="AQ18">
        <v>1298</v>
      </c>
      <c r="AS18">
        <v>1</v>
      </c>
      <c r="AT18">
        <v>89</v>
      </c>
      <c r="AU18" t="s">
        <v>87</v>
      </c>
      <c r="AV18">
        <v>19</v>
      </c>
      <c r="AW18" t="s">
        <v>80</v>
      </c>
      <c r="AX18">
        <v>22</v>
      </c>
      <c r="AY18" s="4">
        <f t="shared" si="0"/>
        <v>15</v>
      </c>
      <c r="AZ18" t="str">
        <f t="shared" si="1"/>
        <v>(Natu-city)</v>
      </c>
      <c r="BA18">
        <v>1</v>
      </c>
      <c r="BB18">
        <v>125</v>
      </c>
      <c r="BC18">
        <f t="shared" ref="BC18:BC21" si="6">AK18+AL18</f>
        <v>1</v>
      </c>
      <c r="BD18">
        <f t="shared" si="2"/>
        <v>0</v>
      </c>
    </row>
    <row r="19" spans="1:56" x14ac:dyDescent="0.3">
      <c r="A19">
        <v>1094</v>
      </c>
      <c r="B19" s="2">
        <v>45923.440081018518</v>
      </c>
      <c r="C19">
        <v>90000</v>
      </c>
      <c r="D19">
        <v>50000</v>
      </c>
      <c r="E19">
        <v>0</v>
      </c>
      <c r="F19">
        <v>10000</v>
      </c>
      <c r="G19">
        <v>0</v>
      </c>
      <c r="H19">
        <v>0</v>
      </c>
      <c r="I19">
        <v>15000</v>
      </c>
      <c r="J19">
        <v>10000</v>
      </c>
      <c r="K19">
        <v>2500</v>
      </c>
      <c r="L19">
        <v>0</v>
      </c>
      <c r="M19">
        <v>0</v>
      </c>
      <c r="N19">
        <v>21500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7</v>
      </c>
      <c r="W19">
        <v>5</v>
      </c>
      <c r="X19">
        <v>130000</v>
      </c>
      <c r="Y19">
        <v>100000</v>
      </c>
      <c r="Z19">
        <v>90000</v>
      </c>
      <c r="AA19">
        <v>0</v>
      </c>
      <c r="AB19">
        <v>0</v>
      </c>
      <c r="AC19">
        <v>100000</v>
      </c>
      <c r="AD19">
        <v>80000</v>
      </c>
      <c r="AG19">
        <v>6</v>
      </c>
      <c r="AH19">
        <v>9</v>
      </c>
      <c r="AI19">
        <v>0</v>
      </c>
      <c r="AJ19">
        <v>0</v>
      </c>
      <c r="AK19">
        <v>1</v>
      </c>
      <c r="AL19">
        <v>1</v>
      </c>
      <c r="AM19" t="s">
        <v>150</v>
      </c>
      <c r="AN19">
        <v>637</v>
      </c>
      <c r="AO19">
        <v>276</v>
      </c>
      <c r="AP19">
        <v>1298</v>
      </c>
      <c r="AQ19">
        <v>1298</v>
      </c>
      <c r="AS19">
        <v>2</v>
      </c>
      <c r="AT19">
        <v>89</v>
      </c>
      <c r="AU19" t="s">
        <v>87</v>
      </c>
      <c r="AV19">
        <v>19</v>
      </c>
      <c r="AW19" t="s">
        <v>80</v>
      </c>
      <c r="AX19">
        <v>22</v>
      </c>
      <c r="AY19" s="4">
        <f t="shared" si="0"/>
        <v>15</v>
      </c>
      <c r="AZ19" t="str">
        <f t="shared" si="1"/>
        <v>(Natu-city)</v>
      </c>
      <c r="BA19">
        <v>2</v>
      </c>
      <c r="BB19">
        <v>125</v>
      </c>
      <c r="BC19">
        <f t="shared" si="6"/>
        <v>2</v>
      </c>
      <c r="BD19">
        <f t="shared" si="2"/>
        <v>0</v>
      </c>
    </row>
    <row r="20" spans="1:56" x14ac:dyDescent="0.3">
      <c r="A20">
        <v>1108</v>
      </c>
      <c r="B20" s="2">
        <v>45923.440081018518</v>
      </c>
      <c r="C20">
        <v>90000</v>
      </c>
      <c r="D20">
        <v>50000</v>
      </c>
      <c r="E20">
        <v>0</v>
      </c>
      <c r="F20">
        <v>10000</v>
      </c>
      <c r="G20">
        <v>0</v>
      </c>
      <c r="H20">
        <v>0</v>
      </c>
      <c r="I20">
        <v>15000</v>
      </c>
      <c r="J20">
        <v>8000</v>
      </c>
      <c r="K20">
        <v>0</v>
      </c>
      <c r="L20">
        <v>0</v>
      </c>
      <c r="M20">
        <v>0</v>
      </c>
      <c r="N20">
        <v>28500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8</v>
      </c>
      <c r="W20">
        <v>5</v>
      </c>
      <c r="X20">
        <v>130000</v>
      </c>
      <c r="Y20">
        <v>100000</v>
      </c>
      <c r="Z20">
        <v>80000</v>
      </c>
      <c r="AA20">
        <v>0</v>
      </c>
      <c r="AB20">
        <v>0</v>
      </c>
      <c r="AC20">
        <v>100000</v>
      </c>
      <c r="AD20">
        <v>70000</v>
      </c>
      <c r="AG20">
        <v>6</v>
      </c>
      <c r="AH20">
        <v>9</v>
      </c>
      <c r="AI20">
        <v>-1</v>
      </c>
      <c r="AJ20">
        <v>-2</v>
      </c>
      <c r="AK20">
        <v>1</v>
      </c>
      <c r="AL20">
        <v>0</v>
      </c>
      <c r="AM20" t="s">
        <v>150</v>
      </c>
      <c r="AN20">
        <v>637</v>
      </c>
      <c r="AO20">
        <v>278</v>
      </c>
      <c r="AP20">
        <v>1298</v>
      </c>
      <c r="AQ20">
        <v>1298</v>
      </c>
      <c r="AS20">
        <v>3</v>
      </c>
      <c r="AT20">
        <v>89</v>
      </c>
      <c r="AU20" t="s">
        <v>87</v>
      </c>
      <c r="AV20">
        <v>19</v>
      </c>
      <c r="AW20" t="s">
        <v>80</v>
      </c>
      <c r="AX20">
        <v>22</v>
      </c>
      <c r="AY20" s="4">
        <f t="shared" si="0"/>
        <v>15</v>
      </c>
      <c r="AZ20" t="str">
        <f t="shared" si="1"/>
        <v>(Natu-city)</v>
      </c>
      <c r="BA20">
        <v>3</v>
      </c>
      <c r="BB20">
        <v>125</v>
      </c>
      <c r="BC20">
        <f t="shared" si="6"/>
        <v>1</v>
      </c>
      <c r="BD20">
        <f t="shared" si="2"/>
        <v>0</v>
      </c>
    </row>
    <row r="21" spans="1:56" x14ac:dyDescent="0.3">
      <c r="A21">
        <v>1133</v>
      </c>
      <c r="B21" s="2">
        <v>45923.440081018518</v>
      </c>
      <c r="C21">
        <v>90000</v>
      </c>
      <c r="D21">
        <v>50000</v>
      </c>
      <c r="E21">
        <v>0</v>
      </c>
      <c r="F21">
        <v>10000</v>
      </c>
      <c r="G21">
        <v>0</v>
      </c>
      <c r="H21">
        <v>0</v>
      </c>
      <c r="I21">
        <v>30000</v>
      </c>
      <c r="J21">
        <v>9000</v>
      </c>
      <c r="K21">
        <v>0</v>
      </c>
      <c r="L21">
        <v>0</v>
      </c>
      <c r="M21">
        <v>0</v>
      </c>
      <c r="N21">
        <v>19500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9</v>
      </c>
      <c r="W21">
        <v>5</v>
      </c>
      <c r="X21">
        <v>130000</v>
      </c>
      <c r="Y21">
        <v>100000</v>
      </c>
      <c r="Z21">
        <v>70000</v>
      </c>
      <c r="AA21">
        <v>0</v>
      </c>
      <c r="AB21">
        <v>0</v>
      </c>
      <c r="AC21">
        <v>100000</v>
      </c>
      <c r="AD21">
        <v>60000</v>
      </c>
      <c r="AG21">
        <v>6</v>
      </c>
      <c r="AH21">
        <v>9</v>
      </c>
      <c r="AI21">
        <v>-2</v>
      </c>
      <c r="AJ21">
        <v>-1</v>
      </c>
      <c r="AK21">
        <v>1</v>
      </c>
      <c r="AL21">
        <v>2</v>
      </c>
      <c r="AM21" t="s">
        <v>151</v>
      </c>
      <c r="AN21">
        <v>637</v>
      </c>
      <c r="AO21">
        <v>282</v>
      </c>
      <c r="AP21">
        <v>1298</v>
      </c>
      <c r="AQ21">
        <v>1298</v>
      </c>
      <c r="AS21">
        <v>4</v>
      </c>
      <c r="AT21">
        <v>89</v>
      </c>
      <c r="AU21" t="s">
        <v>87</v>
      </c>
      <c r="AV21">
        <v>19</v>
      </c>
      <c r="AW21" t="s">
        <v>80</v>
      </c>
      <c r="AX21">
        <v>22</v>
      </c>
      <c r="AY21" s="4">
        <f t="shared" si="0"/>
        <v>15</v>
      </c>
      <c r="AZ21" t="str">
        <f t="shared" si="1"/>
        <v>(Natu-city)</v>
      </c>
      <c r="BA21">
        <v>4</v>
      </c>
      <c r="BB21">
        <v>125</v>
      </c>
      <c r="BC21">
        <f t="shared" si="6"/>
        <v>3</v>
      </c>
      <c r="BD21">
        <f t="shared" si="2"/>
        <v>0</v>
      </c>
    </row>
    <row r="22" spans="1:56" x14ac:dyDescent="0.3">
      <c r="A22">
        <v>1033</v>
      </c>
      <c r="B22" s="2">
        <v>45923.439953703702</v>
      </c>
      <c r="C22">
        <v>130000</v>
      </c>
      <c r="D22">
        <v>75000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7</v>
      </c>
      <c r="X22">
        <v>200000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103</v>
      </c>
      <c r="AN22">
        <v>638</v>
      </c>
      <c r="AO22">
        <v>269</v>
      </c>
      <c r="AS22">
        <v>0</v>
      </c>
      <c r="AT22">
        <v>89</v>
      </c>
      <c r="AU22" t="s">
        <v>87</v>
      </c>
      <c r="AV22">
        <v>19</v>
      </c>
      <c r="AW22" t="s">
        <v>80</v>
      </c>
      <c r="AX22">
        <v>22</v>
      </c>
      <c r="AY22" s="4">
        <f t="shared" si="0"/>
        <v>0</v>
      </c>
      <c r="AZ22" t="str">
        <f t="shared" si="1"/>
        <v/>
      </c>
      <c r="BA22">
        <v>0</v>
      </c>
      <c r="BB22">
        <v>127</v>
      </c>
      <c r="BD22">
        <f t="shared" si="2"/>
        <v>0</v>
      </c>
    </row>
    <row r="23" spans="1:56" x14ac:dyDescent="0.3">
      <c r="A23">
        <v>1051</v>
      </c>
      <c r="B23" s="2">
        <v>45923.439953703702</v>
      </c>
      <c r="C23">
        <v>130000</v>
      </c>
      <c r="D23">
        <v>75000</v>
      </c>
      <c r="E23">
        <v>0</v>
      </c>
      <c r="F23">
        <v>20000</v>
      </c>
      <c r="G23">
        <v>0</v>
      </c>
      <c r="H23">
        <v>100000</v>
      </c>
      <c r="I23">
        <v>20000</v>
      </c>
      <c r="J23">
        <v>0</v>
      </c>
      <c r="K23">
        <v>0</v>
      </c>
      <c r="L23">
        <v>0</v>
      </c>
      <c r="M23">
        <v>4000</v>
      </c>
      <c r="N23">
        <v>-39000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5</v>
      </c>
      <c r="W23">
        <v>7</v>
      </c>
      <c r="X23">
        <v>200000</v>
      </c>
      <c r="Y23">
        <v>0</v>
      </c>
      <c r="Z23">
        <v>0</v>
      </c>
      <c r="AA23">
        <v>0</v>
      </c>
      <c r="AB23">
        <v>300000</v>
      </c>
      <c r="AC23">
        <v>200000</v>
      </c>
      <c r="AD23">
        <v>180000</v>
      </c>
      <c r="AG23">
        <v>4</v>
      </c>
      <c r="AH23">
        <v>9</v>
      </c>
      <c r="AI23">
        <v>0</v>
      </c>
      <c r="AJ23">
        <v>0</v>
      </c>
      <c r="AK23">
        <v>0</v>
      </c>
      <c r="AL23">
        <v>0</v>
      </c>
      <c r="AM23" t="s">
        <v>150</v>
      </c>
      <c r="AN23">
        <v>638</v>
      </c>
      <c r="AO23">
        <v>271</v>
      </c>
      <c r="AQ23">
        <v>1299</v>
      </c>
      <c r="AS23">
        <v>1</v>
      </c>
      <c r="AT23">
        <v>89</v>
      </c>
      <c r="AU23" t="s">
        <v>87</v>
      </c>
      <c r="AV23">
        <v>19</v>
      </c>
      <c r="AW23" t="s">
        <v>80</v>
      </c>
      <c r="AX23">
        <v>22</v>
      </c>
      <c r="AY23" s="4">
        <f t="shared" si="0"/>
        <v>13</v>
      </c>
      <c r="AZ23" t="str">
        <f t="shared" si="1"/>
        <v>(Dike-town)</v>
      </c>
      <c r="BA23">
        <v>1</v>
      </c>
      <c r="BB23">
        <v>127</v>
      </c>
      <c r="BC23">
        <f t="shared" ref="BC23:BC26" si="7">AK23+AL23</f>
        <v>0</v>
      </c>
      <c r="BD23">
        <f t="shared" si="2"/>
        <v>4000</v>
      </c>
    </row>
    <row r="24" spans="1:56" x14ac:dyDescent="0.3">
      <c r="A24">
        <v>1093</v>
      </c>
      <c r="B24" s="2">
        <v>45923.439953703702</v>
      </c>
      <c r="C24">
        <v>130000</v>
      </c>
      <c r="D24">
        <v>75000</v>
      </c>
      <c r="E24">
        <v>39000</v>
      </c>
      <c r="F24">
        <v>20000</v>
      </c>
      <c r="G24">
        <v>0</v>
      </c>
      <c r="H24">
        <v>0</v>
      </c>
      <c r="I24">
        <v>20000</v>
      </c>
      <c r="J24">
        <v>0</v>
      </c>
      <c r="K24">
        <v>0</v>
      </c>
      <c r="L24">
        <v>0</v>
      </c>
      <c r="M24">
        <v>0</v>
      </c>
      <c r="N24">
        <v>-24000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4</v>
      </c>
      <c r="W24">
        <v>7</v>
      </c>
      <c r="X24">
        <v>200000</v>
      </c>
      <c r="Y24">
        <v>200000</v>
      </c>
      <c r="Z24">
        <v>180000</v>
      </c>
      <c r="AA24">
        <v>0</v>
      </c>
      <c r="AB24">
        <v>0</v>
      </c>
      <c r="AC24">
        <v>200000</v>
      </c>
      <c r="AD24">
        <v>160000</v>
      </c>
      <c r="AG24">
        <v>4</v>
      </c>
      <c r="AH24">
        <v>9</v>
      </c>
      <c r="AI24">
        <v>0</v>
      </c>
      <c r="AJ24">
        <v>0</v>
      </c>
      <c r="AK24">
        <v>0</v>
      </c>
      <c r="AL24">
        <v>0</v>
      </c>
      <c r="AM24" t="s">
        <v>150</v>
      </c>
      <c r="AN24">
        <v>638</v>
      </c>
      <c r="AO24">
        <v>276</v>
      </c>
      <c r="AP24">
        <v>1299</v>
      </c>
      <c r="AQ24">
        <v>1299</v>
      </c>
      <c r="AS24">
        <v>2</v>
      </c>
      <c r="AT24">
        <v>89</v>
      </c>
      <c r="AU24" t="s">
        <v>87</v>
      </c>
      <c r="AV24">
        <v>19</v>
      </c>
      <c r="AW24" t="s">
        <v>80</v>
      </c>
      <c r="AX24">
        <v>22</v>
      </c>
      <c r="AY24" s="4">
        <f t="shared" si="0"/>
        <v>13</v>
      </c>
      <c r="AZ24" t="str">
        <f t="shared" si="1"/>
        <v>(Dike-town)</v>
      </c>
      <c r="BA24">
        <v>2</v>
      </c>
      <c r="BB24">
        <v>127</v>
      </c>
      <c r="BC24">
        <f t="shared" si="7"/>
        <v>0</v>
      </c>
      <c r="BD24">
        <f t="shared" si="2"/>
        <v>0</v>
      </c>
    </row>
    <row r="25" spans="1:56" x14ac:dyDescent="0.3">
      <c r="A25">
        <v>1107</v>
      </c>
      <c r="B25" s="2">
        <v>45923.439953703702</v>
      </c>
      <c r="C25">
        <v>130000</v>
      </c>
      <c r="D25">
        <v>75000</v>
      </c>
      <c r="E25">
        <v>24000</v>
      </c>
      <c r="F25">
        <v>20000</v>
      </c>
      <c r="G25">
        <v>0</v>
      </c>
      <c r="H25">
        <v>0</v>
      </c>
      <c r="I25">
        <v>20000</v>
      </c>
      <c r="J25">
        <v>0</v>
      </c>
      <c r="K25">
        <v>0</v>
      </c>
      <c r="L25">
        <v>0</v>
      </c>
      <c r="M25">
        <v>0</v>
      </c>
      <c r="N25">
        <v>-9000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3</v>
      </c>
      <c r="W25">
        <v>7</v>
      </c>
      <c r="X25">
        <v>200000</v>
      </c>
      <c r="Y25">
        <v>200000</v>
      </c>
      <c r="Z25">
        <v>160000</v>
      </c>
      <c r="AA25">
        <v>0</v>
      </c>
      <c r="AB25">
        <v>0</v>
      </c>
      <c r="AC25">
        <v>200000</v>
      </c>
      <c r="AD25">
        <v>140000</v>
      </c>
      <c r="AG25">
        <v>4</v>
      </c>
      <c r="AH25">
        <v>9</v>
      </c>
      <c r="AI25">
        <v>-1</v>
      </c>
      <c r="AJ25">
        <v>-2</v>
      </c>
      <c r="AK25">
        <v>0</v>
      </c>
      <c r="AL25">
        <v>0</v>
      </c>
      <c r="AM25" t="s">
        <v>150</v>
      </c>
      <c r="AN25">
        <v>638</v>
      </c>
      <c r="AO25">
        <v>278</v>
      </c>
      <c r="AP25">
        <v>1299</v>
      </c>
      <c r="AQ25">
        <v>1299</v>
      </c>
      <c r="AS25">
        <v>3</v>
      </c>
      <c r="AT25">
        <v>89</v>
      </c>
      <c r="AU25" t="s">
        <v>87</v>
      </c>
      <c r="AV25">
        <v>19</v>
      </c>
      <c r="AW25" t="s">
        <v>80</v>
      </c>
      <c r="AX25">
        <v>22</v>
      </c>
      <c r="AY25" s="4">
        <f t="shared" si="0"/>
        <v>13</v>
      </c>
      <c r="AZ25" t="str">
        <f t="shared" si="1"/>
        <v>(Dike-town)</v>
      </c>
      <c r="BA25">
        <v>3</v>
      </c>
      <c r="BB25">
        <v>127</v>
      </c>
      <c r="BC25">
        <f t="shared" si="7"/>
        <v>0</v>
      </c>
      <c r="BD25">
        <f t="shared" si="2"/>
        <v>0</v>
      </c>
    </row>
    <row r="26" spans="1:56" x14ac:dyDescent="0.3">
      <c r="A26">
        <v>1129</v>
      </c>
      <c r="B26" s="2">
        <v>45923.439953703702</v>
      </c>
      <c r="C26">
        <v>130000</v>
      </c>
      <c r="D26">
        <v>75000</v>
      </c>
      <c r="E26">
        <v>9000</v>
      </c>
      <c r="F26">
        <v>20000</v>
      </c>
      <c r="G26">
        <v>0</v>
      </c>
      <c r="H26">
        <v>0</v>
      </c>
      <c r="I26">
        <v>20000</v>
      </c>
      <c r="J26">
        <v>6000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3</v>
      </c>
      <c r="W26">
        <v>7</v>
      </c>
      <c r="X26">
        <v>200000</v>
      </c>
      <c r="Y26">
        <v>200000</v>
      </c>
      <c r="Z26">
        <v>140000</v>
      </c>
      <c r="AA26">
        <v>0</v>
      </c>
      <c r="AB26">
        <v>0</v>
      </c>
      <c r="AC26">
        <v>200000</v>
      </c>
      <c r="AD26">
        <v>120000</v>
      </c>
      <c r="AG26">
        <v>4</v>
      </c>
      <c r="AH26">
        <v>9</v>
      </c>
      <c r="AI26">
        <v>-2</v>
      </c>
      <c r="AJ26">
        <v>-1</v>
      </c>
      <c r="AK26">
        <v>1</v>
      </c>
      <c r="AL26">
        <v>0</v>
      </c>
      <c r="AM26" t="s">
        <v>150</v>
      </c>
      <c r="AN26">
        <v>638</v>
      </c>
      <c r="AO26">
        <v>282</v>
      </c>
      <c r="AP26">
        <v>1299</v>
      </c>
      <c r="AQ26">
        <v>1299</v>
      </c>
      <c r="AS26">
        <v>4</v>
      </c>
      <c r="AT26">
        <v>89</v>
      </c>
      <c r="AU26" t="s">
        <v>87</v>
      </c>
      <c r="AV26">
        <v>19</v>
      </c>
      <c r="AW26" t="s">
        <v>80</v>
      </c>
      <c r="AX26">
        <v>22</v>
      </c>
      <c r="AY26" s="4">
        <f t="shared" si="0"/>
        <v>13</v>
      </c>
      <c r="AZ26" t="str">
        <f t="shared" si="1"/>
        <v>(Dike-town)</v>
      </c>
      <c r="BA26">
        <v>4</v>
      </c>
      <c r="BB26">
        <v>127</v>
      </c>
      <c r="BC26">
        <f t="shared" si="7"/>
        <v>1</v>
      </c>
      <c r="BD26">
        <f t="shared" si="2"/>
        <v>0</v>
      </c>
    </row>
    <row r="27" spans="1:56" x14ac:dyDescent="0.3">
      <c r="A27">
        <v>1043</v>
      </c>
      <c r="B27" s="2">
        <v>45923.448321759257</v>
      </c>
      <c r="C27">
        <v>190000</v>
      </c>
      <c r="D27">
        <v>115000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80000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8</v>
      </c>
      <c r="X27">
        <v>300000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103</v>
      </c>
      <c r="AN27">
        <v>639</v>
      </c>
      <c r="AO27">
        <v>269</v>
      </c>
      <c r="AS27">
        <v>0</v>
      </c>
      <c r="AT27">
        <v>89</v>
      </c>
      <c r="AU27" t="s">
        <v>87</v>
      </c>
      <c r="AV27">
        <v>19</v>
      </c>
      <c r="AW27" t="s">
        <v>80</v>
      </c>
      <c r="AX27">
        <v>22</v>
      </c>
      <c r="AY27" s="4">
        <f t="shared" si="0"/>
        <v>0</v>
      </c>
      <c r="AZ27" t="str">
        <f t="shared" si="1"/>
        <v/>
      </c>
      <c r="BA27">
        <v>0</v>
      </c>
      <c r="BB27">
        <v>128</v>
      </c>
      <c r="BD27">
        <f t="shared" si="2"/>
        <v>0</v>
      </c>
    </row>
    <row r="28" spans="1:56" x14ac:dyDescent="0.3">
      <c r="A28">
        <v>1053</v>
      </c>
      <c r="B28" s="2">
        <v>45923.448321759257</v>
      </c>
      <c r="C28">
        <v>190000</v>
      </c>
      <c r="D28">
        <v>115000</v>
      </c>
      <c r="E28">
        <v>0</v>
      </c>
      <c r="F28">
        <v>0</v>
      </c>
      <c r="G28">
        <v>0</v>
      </c>
      <c r="H28">
        <v>0</v>
      </c>
      <c r="I28">
        <v>20000</v>
      </c>
      <c r="J28">
        <v>8000</v>
      </c>
      <c r="K28">
        <v>21000</v>
      </c>
      <c r="L28">
        <v>0</v>
      </c>
      <c r="M28">
        <v>0</v>
      </c>
      <c r="N28">
        <v>106000</v>
      </c>
      <c r="O28">
        <v>0</v>
      </c>
      <c r="P28">
        <v>0</v>
      </c>
      <c r="Q28">
        <v>1</v>
      </c>
      <c r="R28">
        <v>2</v>
      </c>
      <c r="S28">
        <v>0</v>
      </c>
      <c r="T28">
        <v>0</v>
      </c>
      <c r="U28">
        <v>0</v>
      </c>
      <c r="V28">
        <v>8</v>
      </c>
      <c r="W28">
        <v>8</v>
      </c>
      <c r="X28">
        <v>300000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4</v>
      </c>
      <c r="AH28">
        <v>9</v>
      </c>
      <c r="AI28">
        <v>0</v>
      </c>
      <c r="AJ28">
        <v>0</v>
      </c>
      <c r="AK28">
        <v>1</v>
      </c>
      <c r="AL28">
        <v>1</v>
      </c>
      <c r="AM28" t="s">
        <v>150</v>
      </c>
      <c r="AN28">
        <v>639</v>
      </c>
      <c r="AO28">
        <v>271</v>
      </c>
      <c r="AQ28">
        <v>1300</v>
      </c>
      <c r="AS28">
        <v>1</v>
      </c>
      <c r="AT28">
        <v>89</v>
      </c>
      <c r="AU28" t="s">
        <v>87</v>
      </c>
      <c r="AV28">
        <v>19</v>
      </c>
      <c r="AW28" t="s">
        <v>80</v>
      </c>
      <c r="AX28">
        <v>22</v>
      </c>
      <c r="AY28" s="4">
        <f t="shared" si="0"/>
        <v>13</v>
      </c>
      <c r="AZ28" t="str">
        <f t="shared" si="1"/>
        <v>(Dike-town)</v>
      </c>
      <c r="BA28">
        <v>1</v>
      </c>
      <c r="BB28">
        <v>128</v>
      </c>
      <c r="BC28">
        <f t="shared" ref="BC28:BC31" si="8">AK28+AL28</f>
        <v>2</v>
      </c>
      <c r="BD28">
        <f t="shared" si="2"/>
        <v>0</v>
      </c>
    </row>
    <row r="29" spans="1:56" x14ac:dyDescent="0.3">
      <c r="A29">
        <v>1095</v>
      </c>
      <c r="B29" s="2">
        <v>45923.448321759257</v>
      </c>
      <c r="C29">
        <v>190000</v>
      </c>
      <c r="D29">
        <v>115000</v>
      </c>
      <c r="E29">
        <v>0</v>
      </c>
      <c r="F29">
        <v>0</v>
      </c>
      <c r="G29">
        <v>0</v>
      </c>
      <c r="H29">
        <v>0</v>
      </c>
      <c r="I29">
        <v>20000</v>
      </c>
      <c r="J29">
        <v>16000</v>
      </c>
      <c r="K29">
        <v>0</v>
      </c>
      <c r="L29">
        <v>0</v>
      </c>
      <c r="M29">
        <v>0</v>
      </c>
      <c r="N29">
        <v>145000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9</v>
      </c>
      <c r="W29">
        <v>8</v>
      </c>
      <c r="X29">
        <v>300000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4</v>
      </c>
      <c r="AH29">
        <v>9</v>
      </c>
      <c r="AI29">
        <v>0</v>
      </c>
      <c r="AJ29">
        <v>0</v>
      </c>
      <c r="AK29">
        <v>2</v>
      </c>
      <c r="AL29">
        <v>1</v>
      </c>
      <c r="AM29" t="s">
        <v>150</v>
      </c>
      <c r="AN29">
        <v>639</v>
      </c>
      <c r="AO29">
        <v>276</v>
      </c>
      <c r="AP29">
        <v>1300</v>
      </c>
      <c r="AQ29">
        <v>1300</v>
      </c>
      <c r="AS29">
        <v>2</v>
      </c>
      <c r="AT29">
        <v>89</v>
      </c>
      <c r="AU29" t="s">
        <v>87</v>
      </c>
      <c r="AV29">
        <v>19</v>
      </c>
      <c r="AW29" t="s">
        <v>80</v>
      </c>
      <c r="AX29">
        <v>22</v>
      </c>
      <c r="AY29" s="4">
        <f t="shared" si="0"/>
        <v>13</v>
      </c>
      <c r="AZ29" t="str">
        <f t="shared" si="1"/>
        <v>(Dike-town)</v>
      </c>
      <c r="BA29">
        <v>2</v>
      </c>
      <c r="BB29">
        <v>128</v>
      </c>
      <c r="BC29">
        <f t="shared" si="8"/>
        <v>3</v>
      </c>
      <c r="BD29">
        <f t="shared" si="2"/>
        <v>0</v>
      </c>
    </row>
    <row r="30" spans="1:56" x14ac:dyDescent="0.3">
      <c r="A30">
        <v>1114</v>
      </c>
      <c r="B30" s="2">
        <v>45923.448321759257</v>
      </c>
      <c r="C30">
        <v>190000</v>
      </c>
      <c r="D30">
        <v>115000</v>
      </c>
      <c r="E30">
        <v>0</v>
      </c>
      <c r="F30">
        <v>0</v>
      </c>
      <c r="G30">
        <v>0</v>
      </c>
      <c r="H30">
        <v>0</v>
      </c>
      <c r="I30">
        <v>20000</v>
      </c>
      <c r="J30">
        <v>8000</v>
      </c>
      <c r="K30">
        <v>17000</v>
      </c>
      <c r="L30">
        <v>0</v>
      </c>
      <c r="M30">
        <v>0</v>
      </c>
      <c r="N30">
        <v>175000</v>
      </c>
      <c r="O30">
        <v>0</v>
      </c>
      <c r="P30">
        <v>0</v>
      </c>
      <c r="Q30">
        <v>1</v>
      </c>
      <c r="R30">
        <v>2</v>
      </c>
      <c r="S30">
        <v>0</v>
      </c>
      <c r="T30">
        <v>0</v>
      </c>
      <c r="U30">
        <v>0</v>
      </c>
      <c r="V30">
        <v>12</v>
      </c>
      <c r="W30">
        <v>8</v>
      </c>
      <c r="X30">
        <v>300000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4</v>
      </c>
      <c r="AH30">
        <v>9</v>
      </c>
      <c r="AI30">
        <v>-1</v>
      </c>
      <c r="AJ30">
        <v>-2</v>
      </c>
      <c r="AK30">
        <v>1</v>
      </c>
      <c r="AL30">
        <v>0</v>
      </c>
      <c r="AM30" t="s">
        <v>150</v>
      </c>
      <c r="AN30">
        <v>639</v>
      </c>
      <c r="AO30">
        <v>278</v>
      </c>
      <c r="AP30">
        <v>1300</v>
      </c>
      <c r="AQ30">
        <v>1300</v>
      </c>
      <c r="AS30">
        <v>3</v>
      </c>
      <c r="AT30">
        <v>89</v>
      </c>
      <c r="AU30" t="s">
        <v>87</v>
      </c>
      <c r="AV30">
        <v>19</v>
      </c>
      <c r="AW30" t="s">
        <v>80</v>
      </c>
      <c r="AX30">
        <v>22</v>
      </c>
      <c r="AY30" s="4">
        <f t="shared" si="0"/>
        <v>13</v>
      </c>
      <c r="AZ30" t="str">
        <f t="shared" si="1"/>
        <v>(Dike-town)</v>
      </c>
      <c r="BA30">
        <v>3</v>
      </c>
      <c r="BB30">
        <v>128</v>
      </c>
      <c r="BC30">
        <f t="shared" si="8"/>
        <v>1</v>
      </c>
      <c r="BD30">
        <f t="shared" si="2"/>
        <v>0</v>
      </c>
    </row>
    <row r="31" spans="1:56" x14ac:dyDescent="0.3">
      <c r="A31">
        <v>1132</v>
      </c>
      <c r="B31" s="2">
        <v>45923.448321759257</v>
      </c>
      <c r="C31">
        <v>190000</v>
      </c>
      <c r="D31">
        <v>115000</v>
      </c>
      <c r="E31">
        <v>0</v>
      </c>
      <c r="F31">
        <v>30000</v>
      </c>
      <c r="G31">
        <v>300000</v>
      </c>
      <c r="H31">
        <v>125000</v>
      </c>
      <c r="I31">
        <v>30000</v>
      </c>
      <c r="J31">
        <v>14000</v>
      </c>
      <c r="K31">
        <v>0</v>
      </c>
      <c r="L31">
        <v>0</v>
      </c>
      <c r="M31">
        <v>0</v>
      </c>
      <c r="N31">
        <v>351000</v>
      </c>
      <c r="O31">
        <v>1</v>
      </c>
      <c r="P31">
        <v>1</v>
      </c>
      <c r="Q31">
        <v>2</v>
      </c>
      <c r="R31">
        <v>0</v>
      </c>
      <c r="S31">
        <v>0</v>
      </c>
      <c r="T31">
        <v>0</v>
      </c>
      <c r="U31">
        <v>0</v>
      </c>
      <c r="V31">
        <v>14</v>
      </c>
      <c r="W31">
        <v>8</v>
      </c>
      <c r="X31">
        <v>300000</v>
      </c>
      <c r="Y31">
        <v>0</v>
      </c>
      <c r="Z31">
        <v>0</v>
      </c>
      <c r="AA31">
        <v>300000</v>
      </c>
      <c r="AB31">
        <v>425000</v>
      </c>
      <c r="AC31">
        <v>300000</v>
      </c>
      <c r="AD31">
        <v>270000</v>
      </c>
      <c r="AE31">
        <v>34</v>
      </c>
      <c r="AF31" t="s">
        <v>152</v>
      </c>
      <c r="AG31">
        <v>6</v>
      </c>
      <c r="AH31">
        <v>9</v>
      </c>
      <c r="AI31">
        <v>-2</v>
      </c>
      <c r="AJ31">
        <v>-1</v>
      </c>
      <c r="AK31">
        <v>4</v>
      </c>
      <c r="AL31">
        <v>2</v>
      </c>
      <c r="AM31" t="s">
        <v>150</v>
      </c>
      <c r="AN31">
        <v>639</v>
      </c>
      <c r="AO31">
        <v>282</v>
      </c>
      <c r="AP31">
        <v>1300</v>
      </c>
      <c r="AQ31">
        <v>1357</v>
      </c>
      <c r="AS31">
        <v>4</v>
      </c>
      <c r="AT31">
        <v>89</v>
      </c>
      <c r="AU31" t="s">
        <v>87</v>
      </c>
      <c r="AV31">
        <v>19</v>
      </c>
      <c r="AW31" t="s">
        <v>80</v>
      </c>
      <c r="AX31">
        <v>22</v>
      </c>
      <c r="AY31" s="4">
        <f t="shared" si="0"/>
        <v>15</v>
      </c>
      <c r="AZ31" t="str">
        <f t="shared" si="1"/>
        <v>(Natu-city)</v>
      </c>
      <c r="BA31">
        <v>4</v>
      </c>
      <c r="BB31">
        <v>128</v>
      </c>
      <c r="BC31">
        <f t="shared" si="8"/>
        <v>6</v>
      </c>
      <c r="BD31">
        <f t="shared" si="2"/>
        <v>0</v>
      </c>
    </row>
    <row r="32" spans="1:56" x14ac:dyDescent="0.3">
      <c r="A32">
        <v>1032</v>
      </c>
      <c r="B32" s="2">
        <v>45923.439791666657</v>
      </c>
      <c r="C32">
        <v>110000</v>
      </c>
      <c r="D32">
        <v>60000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30000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6</v>
      </c>
      <c r="X32">
        <v>170000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103</v>
      </c>
      <c r="AN32">
        <v>640</v>
      </c>
      <c r="AO32">
        <v>269</v>
      </c>
      <c r="AS32">
        <v>0</v>
      </c>
      <c r="AT32">
        <v>89</v>
      </c>
      <c r="AU32" t="s">
        <v>87</v>
      </c>
      <c r="AV32">
        <v>19</v>
      </c>
      <c r="AW32" t="s">
        <v>80</v>
      </c>
      <c r="AX32">
        <v>22</v>
      </c>
      <c r="AY32" s="4">
        <f t="shared" si="0"/>
        <v>0</v>
      </c>
      <c r="AZ32" t="str">
        <f t="shared" si="1"/>
        <v/>
      </c>
      <c r="BA32">
        <v>0</v>
      </c>
      <c r="BB32">
        <v>126</v>
      </c>
      <c r="BD32">
        <f t="shared" si="2"/>
        <v>0</v>
      </c>
    </row>
    <row r="33" spans="1:56" x14ac:dyDescent="0.3">
      <c r="A33">
        <v>1061</v>
      </c>
      <c r="B33" s="2">
        <v>45923.439791666657</v>
      </c>
      <c r="C33">
        <v>110000</v>
      </c>
      <c r="D33">
        <v>60000</v>
      </c>
      <c r="E33">
        <v>0</v>
      </c>
      <c r="F33">
        <v>17000</v>
      </c>
      <c r="G33">
        <v>0</v>
      </c>
      <c r="H33">
        <v>75000</v>
      </c>
      <c r="I33">
        <v>15000</v>
      </c>
      <c r="J33">
        <v>0</v>
      </c>
      <c r="K33">
        <v>0</v>
      </c>
      <c r="L33">
        <v>0</v>
      </c>
      <c r="M33">
        <v>0</v>
      </c>
      <c r="N33">
        <v>-27000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</v>
      </c>
      <c r="W33">
        <v>6</v>
      </c>
      <c r="X33">
        <v>170000</v>
      </c>
      <c r="Y33">
        <v>0</v>
      </c>
      <c r="Z33">
        <v>0</v>
      </c>
      <c r="AA33">
        <v>0</v>
      </c>
      <c r="AB33">
        <v>245000</v>
      </c>
      <c r="AC33">
        <v>170000</v>
      </c>
      <c r="AD33">
        <v>153000</v>
      </c>
      <c r="AG33">
        <v>6</v>
      </c>
      <c r="AH33">
        <v>9</v>
      </c>
      <c r="AI33">
        <v>0</v>
      </c>
      <c r="AJ33">
        <v>0</v>
      </c>
      <c r="AK33">
        <v>0</v>
      </c>
      <c r="AL33">
        <v>0</v>
      </c>
      <c r="AM33" t="s">
        <v>150</v>
      </c>
      <c r="AN33">
        <v>640</v>
      </c>
      <c r="AO33">
        <v>271</v>
      </c>
      <c r="AQ33">
        <v>1297</v>
      </c>
      <c r="AS33">
        <v>1</v>
      </c>
      <c r="AT33">
        <v>89</v>
      </c>
      <c r="AU33" t="s">
        <v>87</v>
      </c>
      <c r="AV33">
        <v>19</v>
      </c>
      <c r="AW33" t="s">
        <v>80</v>
      </c>
      <c r="AX33">
        <v>22</v>
      </c>
      <c r="AY33" s="4">
        <f t="shared" si="0"/>
        <v>15</v>
      </c>
      <c r="AZ33" t="str">
        <f t="shared" si="1"/>
        <v>(Natu-city)</v>
      </c>
      <c r="BA33">
        <v>1</v>
      </c>
      <c r="BB33">
        <v>126</v>
      </c>
      <c r="BC33">
        <f t="shared" ref="BC33:BC36" si="9">AK33+AL33</f>
        <v>0</v>
      </c>
      <c r="BD33">
        <f t="shared" si="2"/>
        <v>0</v>
      </c>
    </row>
    <row r="34" spans="1:56" x14ac:dyDescent="0.3">
      <c r="A34">
        <v>1089</v>
      </c>
      <c r="B34" s="2">
        <v>45923.439791666657</v>
      </c>
      <c r="C34">
        <v>110000</v>
      </c>
      <c r="D34">
        <v>60000</v>
      </c>
      <c r="E34">
        <v>27000</v>
      </c>
      <c r="F34">
        <v>17000</v>
      </c>
      <c r="G34">
        <v>0</v>
      </c>
      <c r="H34">
        <v>0</v>
      </c>
      <c r="I34">
        <v>15000</v>
      </c>
      <c r="J34">
        <v>0</v>
      </c>
      <c r="K34">
        <v>0</v>
      </c>
      <c r="L34">
        <v>0</v>
      </c>
      <c r="M34">
        <v>0</v>
      </c>
      <c r="N34">
        <v>-9000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4</v>
      </c>
      <c r="W34">
        <v>6</v>
      </c>
      <c r="X34">
        <v>170000</v>
      </c>
      <c r="Y34">
        <v>170000</v>
      </c>
      <c r="Z34">
        <v>153000</v>
      </c>
      <c r="AA34">
        <v>0</v>
      </c>
      <c r="AB34">
        <v>0</v>
      </c>
      <c r="AC34">
        <v>170000</v>
      </c>
      <c r="AD34">
        <v>136000</v>
      </c>
      <c r="AG34">
        <v>6</v>
      </c>
      <c r="AH34">
        <v>9</v>
      </c>
      <c r="AI34">
        <v>0</v>
      </c>
      <c r="AJ34">
        <v>0</v>
      </c>
      <c r="AK34">
        <v>0</v>
      </c>
      <c r="AL34">
        <v>0</v>
      </c>
      <c r="AM34" t="s">
        <v>150</v>
      </c>
      <c r="AN34">
        <v>640</v>
      </c>
      <c r="AO34">
        <v>276</v>
      </c>
      <c r="AP34">
        <v>1297</v>
      </c>
      <c r="AQ34">
        <v>1297</v>
      </c>
      <c r="AS34">
        <v>2</v>
      </c>
      <c r="AT34">
        <v>89</v>
      </c>
      <c r="AU34" t="s">
        <v>87</v>
      </c>
      <c r="AV34">
        <v>19</v>
      </c>
      <c r="AW34" t="s">
        <v>80</v>
      </c>
      <c r="AX34">
        <v>22</v>
      </c>
      <c r="AY34" s="4">
        <f t="shared" si="0"/>
        <v>15</v>
      </c>
      <c r="AZ34" t="str">
        <f t="shared" si="1"/>
        <v>(Natu-city)</v>
      </c>
      <c r="BA34">
        <v>2</v>
      </c>
      <c r="BB34">
        <v>126</v>
      </c>
      <c r="BC34">
        <f t="shared" si="9"/>
        <v>0</v>
      </c>
      <c r="BD34">
        <f t="shared" si="2"/>
        <v>0</v>
      </c>
    </row>
    <row r="35" spans="1:56" x14ac:dyDescent="0.3">
      <c r="A35">
        <v>1112</v>
      </c>
      <c r="B35" s="2">
        <v>45923.439791666657</v>
      </c>
      <c r="C35">
        <v>110000</v>
      </c>
      <c r="D35">
        <v>60000</v>
      </c>
      <c r="E35">
        <v>9000</v>
      </c>
      <c r="F35">
        <v>17000</v>
      </c>
      <c r="G35">
        <v>0</v>
      </c>
      <c r="H35">
        <v>0</v>
      </c>
      <c r="I35">
        <v>15000</v>
      </c>
      <c r="J35">
        <v>7000</v>
      </c>
      <c r="K35">
        <v>0</v>
      </c>
      <c r="L35">
        <v>0</v>
      </c>
      <c r="M35">
        <v>0</v>
      </c>
      <c r="N35">
        <v>2000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4</v>
      </c>
      <c r="W35">
        <v>6</v>
      </c>
      <c r="X35">
        <v>170000</v>
      </c>
      <c r="Y35">
        <v>170000</v>
      </c>
      <c r="Z35">
        <v>136000</v>
      </c>
      <c r="AA35">
        <v>0</v>
      </c>
      <c r="AB35">
        <v>0</v>
      </c>
      <c r="AC35">
        <v>170000</v>
      </c>
      <c r="AD35">
        <v>119000</v>
      </c>
      <c r="AG35">
        <v>6</v>
      </c>
      <c r="AH35">
        <v>9</v>
      </c>
      <c r="AI35">
        <v>-1</v>
      </c>
      <c r="AJ35">
        <v>-2</v>
      </c>
      <c r="AK35">
        <v>1</v>
      </c>
      <c r="AL35">
        <v>1</v>
      </c>
      <c r="AM35" t="s">
        <v>150</v>
      </c>
      <c r="AN35">
        <v>640</v>
      </c>
      <c r="AO35">
        <v>278</v>
      </c>
      <c r="AP35">
        <v>1297</v>
      </c>
      <c r="AQ35">
        <v>1297</v>
      </c>
      <c r="AS35">
        <v>3</v>
      </c>
      <c r="AT35">
        <v>89</v>
      </c>
      <c r="AU35" t="s">
        <v>87</v>
      </c>
      <c r="AV35">
        <v>19</v>
      </c>
      <c r="AW35" t="s">
        <v>80</v>
      </c>
      <c r="AX35">
        <v>22</v>
      </c>
      <c r="AY35" s="4">
        <f t="shared" si="0"/>
        <v>15</v>
      </c>
      <c r="AZ35" t="str">
        <f t="shared" si="1"/>
        <v>(Natu-city)</v>
      </c>
      <c r="BA35">
        <v>3</v>
      </c>
      <c r="BB35">
        <v>126</v>
      </c>
      <c r="BC35">
        <f t="shared" si="9"/>
        <v>2</v>
      </c>
      <c r="BD35">
        <f t="shared" si="2"/>
        <v>0</v>
      </c>
    </row>
    <row r="36" spans="1:56" x14ac:dyDescent="0.3">
      <c r="A36">
        <v>1130</v>
      </c>
      <c r="B36" s="2">
        <v>45923.439791666657</v>
      </c>
      <c r="C36">
        <v>110000</v>
      </c>
      <c r="D36">
        <v>60000</v>
      </c>
      <c r="E36">
        <v>0</v>
      </c>
      <c r="F36">
        <v>17000</v>
      </c>
      <c r="G36">
        <v>0</v>
      </c>
      <c r="H36">
        <v>0</v>
      </c>
      <c r="I36">
        <v>30000</v>
      </c>
      <c r="J36">
        <v>0</v>
      </c>
      <c r="K36">
        <v>0</v>
      </c>
      <c r="L36">
        <v>0</v>
      </c>
      <c r="M36">
        <v>0</v>
      </c>
      <c r="N36">
        <v>5000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6</v>
      </c>
      <c r="X36">
        <v>170000</v>
      </c>
      <c r="Y36">
        <v>170000</v>
      </c>
      <c r="Z36">
        <v>119000</v>
      </c>
      <c r="AA36">
        <v>0</v>
      </c>
      <c r="AB36">
        <v>0</v>
      </c>
      <c r="AC36">
        <v>170000</v>
      </c>
      <c r="AD36">
        <v>102000</v>
      </c>
      <c r="AG36">
        <v>6</v>
      </c>
      <c r="AH36">
        <v>9</v>
      </c>
      <c r="AI36">
        <v>-2</v>
      </c>
      <c r="AJ36">
        <v>-1</v>
      </c>
      <c r="AK36">
        <v>0</v>
      </c>
      <c r="AL36">
        <v>0</v>
      </c>
      <c r="AM36" t="s">
        <v>150</v>
      </c>
      <c r="AN36">
        <v>640</v>
      </c>
      <c r="AO36">
        <v>282</v>
      </c>
      <c r="AP36">
        <v>1297</v>
      </c>
      <c r="AQ36">
        <v>1297</v>
      </c>
      <c r="AS36">
        <v>4</v>
      </c>
      <c r="AT36">
        <v>89</v>
      </c>
      <c r="AU36" t="s">
        <v>87</v>
      </c>
      <c r="AV36">
        <v>19</v>
      </c>
      <c r="AW36" t="s">
        <v>80</v>
      </c>
      <c r="AX36">
        <v>22</v>
      </c>
      <c r="AY36" s="4">
        <f t="shared" si="0"/>
        <v>15</v>
      </c>
      <c r="AZ36" t="str">
        <f t="shared" si="1"/>
        <v>(Natu-city)</v>
      </c>
      <c r="BA36">
        <v>4</v>
      </c>
      <c r="BB36">
        <v>126</v>
      </c>
      <c r="BC36">
        <f t="shared" si="9"/>
        <v>0</v>
      </c>
      <c r="BD36">
        <f t="shared" si="2"/>
        <v>0</v>
      </c>
    </row>
    <row r="37" spans="1:56" x14ac:dyDescent="0.3">
      <c r="A37">
        <v>1026</v>
      </c>
      <c r="B37" s="2">
        <v>45923.435104166667</v>
      </c>
      <c r="C37">
        <v>60000</v>
      </c>
      <c r="D37">
        <v>30000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</v>
      </c>
      <c r="W37">
        <v>3</v>
      </c>
      <c r="X37">
        <v>80000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103</v>
      </c>
      <c r="AN37">
        <v>642</v>
      </c>
      <c r="AO37">
        <v>267</v>
      </c>
      <c r="AS37">
        <v>0</v>
      </c>
      <c r="AT37">
        <v>90</v>
      </c>
      <c r="AU37" t="s">
        <v>88</v>
      </c>
      <c r="AV37">
        <v>19</v>
      </c>
      <c r="AW37" t="s">
        <v>80</v>
      </c>
      <c r="AX37">
        <v>22</v>
      </c>
      <c r="AY37" s="4">
        <f t="shared" si="0"/>
        <v>0</v>
      </c>
      <c r="AZ37" t="str">
        <f t="shared" si="1"/>
        <v/>
      </c>
      <c r="BA37">
        <v>0</v>
      </c>
      <c r="BB37">
        <v>123</v>
      </c>
      <c r="BD37">
        <f t="shared" si="2"/>
        <v>0</v>
      </c>
    </row>
    <row r="38" spans="1:56" x14ac:dyDescent="0.3">
      <c r="A38">
        <v>1038</v>
      </c>
      <c r="B38" s="2">
        <v>45923.435104166667</v>
      </c>
      <c r="C38">
        <v>60000</v>
      </c>
      <c r="D38">
        <v>30000</v>
      </c>
      <c r="E38">
        <v>0</v>
      </c>
      <c r="F38">
        <v>8000</v>
      </c>
      <c r="G38">
        <v>0</v>
      </c>
      <c r="H38">
        <v>20000</v>
      </c>
      <c r="I38">
        <v>15000</v>
      </c>
      <c r="J38">
        <v>0</v>
      </c>
      <c r="K38">
        <v>0</v>
      </c>
      <c r="L38">
        <v>0</v>
      </c>
      <c r="M38">
        <v>0</v>
      </c>
      <c r="N38">
        <v>-13000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</v>
      </c>
      <c r="W38">
        <v>3</v>
      </c>
      <c r="X38">
        <v>80000</v>
      </c>
      <c r="Y38">
        <v>0</v>
      </c>
      <c r="Z38">
        <v>0</v>
      </c>
      <c r="AA38">
        <v>0</v>
      </c>
      <c r="AB38">
        <v>100000</v>
      </c>
      <c r="AC38">
        <v>80000</v>
      </c>
      <c r="AD38">
        <v>72000</v>
      </c>
      <c r="AG38">
        <v>6</v>
      </c>
      <c r="AH38">
        <v>9</v>
      </c>
      <c r="AI38">
        <v>0</v>
      </c>
      <c r="AJ38">
        <v>0</v>
      </c>
      <c r="AK38">
        <v>0</v>
      </c>
      <c r="AL38">
        <v>0</v>
      </c>
      <c r="AM38" t="s">
        <v>150</v>
      </c>
      <c r="AN38">
        <v>642</v>
      </c>
      <c r="AO38">
        <v>270</v>
      </c>
      <c r="AQ38">
        <v>1283</v>
      </c>
      <c r="AS38">
        <v>1</v>
      </c>
      <c r="AT38">
        <v>90</v>
      </c>
      <c r="AU38" t="s">
        <v>88</v>
      </c>
      <c r="AV38">
        <v>19</v>
      </c>
      <c r="AW38" t="s">
        <v>80</v>
      </c>
      <c r="AX38">
        <v>22</v>
      </c>
      <c r="AY38" s="4">
        <f t="shared" si="0"/>
        <v>15</v>
      </c>
      <c r="AZ38" t="str">
        <f t="shared" si="1"/>
        <v>(Natu-city)</v>
      </c>
      <c r="BA38">
        <v>1</v>
      </c>
      <c r="BB38">
        <v>123</v>
      </c>
      <c r="BC38">
        <f t="shared" ref="BC38:BC41" si="10">AK38+AL38</f>
        <v>0</v>
      </c>
      <c r="BD38">
        <f t="shared" si="2"/>
        <v>0</v>
      </c>
    </row>
    <row r="39" spans="1:56" x14ac:dyDescent="0.3">
      <c r="A39">
        <v>1078</v>
      </c>
      <c r="B39" s="2">
        <v>45923.435104166667</v>
      </c>
      <c r="C39">
        <v>60000</v>
      </c>
      <c r="D39">
        <v>30000</v>
      </c>
      <c r="E39">
        <v>13000</v>
      </c>
      <c r="F39">
        <v>8000</v>
      </c>
      <c r="G39">
        <v>0</v>
      </c>
      <c r="H39">
        <v>0</v>
      </c>
      <c r="I39">
        <v>15000</v>
      </c>
      <c r="J39">
        <v>0</v>
      </c>
      <c r="K39">
        <v>0</v>
      </c>
      <c r="L39">
        <v>0</v>
      </c>
      <c r="M39">
        <v>4000</v>
      </c>
      <c r="N39">
        <v>-10000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3</v>
      </c>
      <c r="W39">
        <v>3</v>
      </c>
      <c r="X39">
        <v>80000</v>
      </c>
      <c r="Y39">
        <v>80000</v>
      </c>
      <c r="Z39">
        <v>72000</v>
      </c>
      <c r="AA39">
        <v>0</v>
      </c>
      <c r="AB39">
        <v>0</v>
      </c>
      <c r="AC39">
        <v>80000</v>
      </c>
      <c r="AD39">
        <v>64000</v>
      </c>
      <c r="AG39">
        <v>6</v>
      </c>
      <c r="AH39">
        <v>9</v>
      </c>
      <c r="AI39">
        <v>0</v>
      </c>
      <c r="AJ39">
        <v>0</v>
      </c>
      <c r="AK39">
        <v>0</v>
      </c>
      <c r="AL39">
        <v>0</v>
      </c>
      <c r="AM39" t="s">
        <v>150</v>
      </c>
      <c r="AN39">
        <v>642</v>
      </c>
      <c r="AO39">
        <v>274</v>
      </c>
      <c r="AP39">
        <v>1283</v>
      </c>
      <c r="AQ39">
        <v>1283</v>
      </c>
      <c r="AS39">
        <v>2</v>
      </c>
      <c r="AT39">
        <v>90</v>
      </c>
      <c r="AU39" t="s">
        <v>88</v>
      </c>
      <c r="AV39">
        <v>19</v>
      </c>
      <c r="AW39" t="s">
        <v>80</v>
      </c>
      <c r="AX39">
        <v>22</v>
      </c>
      <c r="AY39" s="4">
        <f t="shared" si="0"/>
        <v>15</v>
      </c>
      <c r="AZ39" t="str">
        <f t="shared" si="1"/>
        <v>(Natu-city)</v>
      </c>
      <c r="BA39">
        <v>2</v>
      </c>
      <c r="BB39">
        <v>123</v>
      </c>
      <c r="BC39">
        <f t="shared" si="10"/>
        <v>0</v>
      </c>
      <c r="BD39">
        <f t="shared" si="2"/>
        <v>4000</v>
      </c>
    </row>
    <row r="40" spans="1:56" x14ac:dyDescent="0.3">
      <c r="A40">
        <v>1096</v>
      </c>
      <c r="B40" s="2">
        <v>45923.435104166667</v>
      </c>
      <c r="C40">
        <v>60000</v>
      </c>
      <c r="D40">
        <v>30000</v>
      </c>
      <c r="E40">
        <v>10000</v>
      </c>
      <c r="F40">
        <v>8000</v>
      </c>
      <c r="G40">
        <v>0</v>
      </c>
      <c r="H40">
        <v>0</v>
      </c>
      <c r="I40">
        <v>15000</v>
      </c>
      <c r="J40">
        <v>0</v>
      </c>
      <c r="K40">
        <v>0</v>
      </c>
      <c r="L40">
        <v>16000</v>
      </c>
      <c r="M40">
        <v>0</v>
      </c>
      <c r="N40">
        <v>-19000</v>
      </c>
      <c r="O40">
        <v>0</v>
      </c>
      <c r="P40">
        <v>0</v>
      </c>
      <c r="Q40">
        <v>0</v>
      </c>
      <c r="R40">
        <v>0</v>
      </c>
      <c r="S40">
        <v>5</v>
      </c>
      <c r="T40">
        <v>0</v>
      </c>
      <c r="U40">
        <v>1</v>
      </c>
      <c r="V40">
        <v>-3</v>
      </c>
      <c r="W40">
        <v>3</v>
      </c>
      <c r="X40">
        <v>80000</v>
      </c>
      <c r="Y40">
        <v>80000</v>
      </c>
      <c r="Z40">
        <v>64000</v>
      </c>
      <c r="AA40">
        <v>0</v>
      </c>
      <c r="AB40">
        <v>0</v>
      </c>
      <c r="AC40">
        <v>80000</v>
      </c>
      <c r="AD40">
        <v>56000</v>
      </c>
      <c r="AG40">
        <v>6</v>
      </c>
      <c r="AH40">
        <v>9</v>
      </c>
      <c r="AI40">
        <v>-1</v>
      </c>
      <c r="AJ40">
        <v>-2</v>
      </c>
      <c r="AK40">
        <v>0</v>
      </c>
      <c r="AL40">
        <v>0</v>
      </c>
      <c r="AM40" t="s">
        <v>150</v>
      </c>
      <c r="AN40">
        <v>642</v>
      </c>
      <c r="AO40">
        <v>277</v>
      </c>
      <c r="AP40">
        <v>1283</v>
      </c>
      <c r="AQ40">
        <v>1283</v>
      </c>
      <c r="AS40">
        <v>3</v>
      </c>
      <c r="AT40">
        <v>90</v>
      </c>
      <c r="AU40" t="s">
        <v>88</v>
      </c>
      <c r="AV40">
        <v>19</v>
      </c>
      <c r="AW40" t="s">
        <v>80</v>
      </c>
      <c r="AX40">
        <v>22</v>
      </c>
      <c r="AY40" s="4">
        <f t="shared" si="0"/>
        <v>15</v>
      </c>
      <c r="AZ40" t="str">
        <f t="shared" si="1"/>
        <v>(Natu-city)</v>
      </c>
      <c r="BA40">
        <v>3</v>
      </c>
      <c r="BB40">
        <v>123</v>
      </c>
      <c r="BC40">
        <f t="shared" si="10"/>
        <v>0</v>
      </c>
      <c r="BD40">
        <f t="shared" si="2"/>
        <v>16000</v>
      </c>
    </row>
    <row r="41" spans="1:56" x14ac:dyDescent="0.3">
      <c r="A41">
        <v>1123</v>
      </c>
      <c r="B41" s="2">
        <v>45923.435104166667</v>
      </c>
      <c r="C41">
        <v>60000</v>
      </c>
      <c r="D41">
        <v>30000</v>
      </c>
      <c r="E41">
        <v>19000</v>
      </c>
      <c r="F41">
        <v>8000</v>
      </c>
      <c r="G41">
        <v>0</v>
      </c>
      <c r="H41">
        <v>0</v>
      </c>
      <c r="I41">
        <v>20000</v>
      </c>
      <c r="J41">
        <v>0</v>
      </c>
      <c r="K41">
        <v>0</v>
      </c>
      <c r="L41">
        <v>0</v>
      </c>
      <c r="M41">
        <v>4000</v>
      </c>
      <c r="N41">
        <v>-21000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-5</v>
      </c>
      <c r="W41">
        <v>3</v>
      </c>
      <c r="X41">
        <v>80000</v>
      </c>
      <c r="Y41">
        <v>80000</v>
      </c>
      <c r="Z41">
        <v>56000</v>
      </c>
      <c r="AA41">
        <v>0</v>
      </c>
      <c r="AB41">
        <v>0</v>
      </c>
      <c r="AC41">
        <v>80000</v>
      </c>
      <c r="AD41">
        <v>48000</v>
      </c>
      <c r="AG41">
        <v>6</v>
      </c>
      <c r="AH41">
        <v>9</v>
      </c>
      <c r="AI41">
        <v>-2</v>
      </c>
      <c r="AJ41">
        <v>-1</v>
      </c>
      <c r="AK41">
        <v>0</v>
      </c>
      <c r="AL41">
        <v>0</v>
      </c>
      <c r="AM41" t="s">
        <v>150</v>
      </c>
      <c r="AN41">
        <v>642</v>
      </c>
      <c r="AO41">
        <v>281</v>
      </c>
      <c r="AP41">
        <v>1283</v>
      </c>
      <c r="AQ41">
        <v>1283</v>
      </c>
      <c r="AS41">
        <v>4</v>
      </c>
      <c r="AT41">
        <v>90</v>
      </c>
      <c r="AU41" t="s">
        <v>88</v>
      </c>
      <c r="AV41">
        <v>19</v>
      </c>
      <c r="AW41" t="s">
        <v>80</v>
      </c>
      <c r="AX41">
        <v>22</v>
      </c>
      <c r="AY41" s="4">
        <f t="shared" si="0"/>
        <v>15</v>
      </c>
      <c r="AZ41" t="str">
        <f t="shared" si="1"/>
        <v>(Natu-city)</v>
      </c>
      <c r="BA41">
        <v>4</v>
      </c>
      <c r="BB41">
        <v>123</v>
      </c>
      <c r="BC41">
        <f t="shared" si="10"/>
        <v>0</v>
      </c>
      <c r="BD41">
        <f t="shared" si="2"/>
        <v>4000</v>
      </c>
    </row>
    <row r="42" spans="1:56" x14ac:dyDescent="0.3">
      <c r="A42">
        <v>1027</v>
      </c>
      <c r="B42" s="2">
        <v>45923.435196759259</v>
      </c>
      <c r="C42">
        <v>110000</v>
      </c>
      <c r="D42">
        <v>60000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30000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6</v>
      </c>
      <c r="X42">
        <v>170000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103</v>
      </c>
      <c r="AN42">
        <v>643</v>
      </c>
      <c r="AO42">
        <v>267</v>
      </c>
      <c r="AS42">
        <v>0</v>
      </c>
      <c r="AT42">
        <v>90</v>
      </c>
      <c r="AU42" t="s">
        <v>88</v>
      </c>
      <c r="AV42">
        <v>19</v>
      </c>
      <c r="AW42" t="s">
        <v>80</v>
      </c>
      <c r="AX42">
        <v>22</v>
      </c>
      <c r="AY42" s="4">
        <f t="shared" si="0"/>
        <v>0</v>
      </c>
      <c r="AZ42" t="str">
        <f t="shared" si="1"/>
        <v/>
      </c>
      <c r="BA42">
        <v>0</v>
      </c>
      <c r="BB42">
        <v>126</v>
      </c>
      <c r="BD42">
        <f t="shared" si="2"/>
        <v>0</v>
      </c>
    </row>
    <row r="43" spans="1:56" x14ac:dyDescent="0.3">
      <c r="A43">
        <v>1039</v>
      </c>
      <c r="B43" s="2">
        <v>45923.435196759259</v>
      </c>
      <c r="C43">
        <v>110000</v>
      </c>
      <c r="D43">
        <v>60000</v>
      </c>
      <c r="E43">
        <v>0</v>
      </c>
      <c r="F43">
        <v>17000</v>
      </c>
      <c r="G43">
        <v>0</v>
      </c>
      <c r="H43">
        <v>30000</v>
      </c>
      <c r="I43">
        <v>15000</v>
      </c>
      <c r="J43">
        <v>0</v>
      </c>
      <c r="K43">
        <v>15000</v>
      </c>
      <c r="L43">
        <v>0</v>
      </c>
      <c r="M43">
        <v>0</v>
      </c>
      <c r="N43">
        <v>3000</v>
      </c>
      <c r="O43">
        <v>0</v>
      </c>
      <c r="P43">
        <v>0</v>
      </c>
      <c r="Q43">
        <v>0</v>
      </c>
      <c r="R43">
        <v>3</v>
      </c>
      <c r="S43">
        <v>0</v>
      </c>
      <c r="T43">
        <v>0</v>
      </c>
      <c r="U43">
        <v>0</v>
      </c>
      <c r="V43">
        <v>8</v>
      </c>
      <c r="W43">
        <v>6</v>
      </c>
      <c r="X43">
        <v>170000</v>
      </c>
      <c r="Y43">
        <v>0</v>
      </c>
      <c r="Z43">
        <v>0</v>
      </c>
      <c r="AA43">
        <v>0</v>
      </c>
      <c r="AB43">
        <v>200000</v>
      </c>
      <c r="AC43">
        <v>170000</v>
      </c>
      <c r="AD43">
        <v>153000</v>
      </c>
      <c r="AG43">
        <v>6</v>
      </c>
      <c r="AH43">
        <v>9</v>
      </c>
      <c r="AI43">
        <v>0</v>
      </c>
      <c r="AJ43">
        <v>0</v>
      </c>
      <c r="AK43">
        <v>0</v>
      </c>
      <c r="AL43">
        <v>0</v>
      </c>
      <c r="AM43" t="s">
        <v>150</v>
      </c>
      <c r="AN43">
        <v>643</v>
      </c>
      <c r="AO43">
        <v>270</v>
      </c>
      <c r="AQ43">
        <v>1281</v>
      </c>
      <c r="AS43">
        <v>1</v>
      </c>
      <c r="AT43">
        <v>90</v>
      </c>
      <c r="AU43" t="s">
        <v>88</v>
      </c>
      <c r="AV43">
        <v>19</v>
      </c>
      <c r="AW43" t="s">
        <v>80</v>
      </c>
      <c r="AX43">
        <v>22</v>
      </c>
      <c r="AY43" s="4">
        <f t="shared" si="0"/>
        <v>15</v>
      </c>
      <c r="AZ43" t="str">
        <f t="shared" si="1"/>
        <v>(Natu-city)</v>
      </c>
      <c r="BA43">
        <v>1</v>
      </c>
      <c r="BB43">
        <v>126</v>
      </c>
      <c r="BC43">
        <f t="shared" ref="BC43:BC46" si="11">AK43+AL43</f>
        <v>0</v>
      </c>
      <c r="BD43">
        <f t="shared" si="2"/>
        <v>0</v>
      </c>
    </row>
    <row r="44" spans="1:56" x14ac:dyDescent="0.3">
      <c r="A44">
        <v>1077</v>
      </c>
      <c r="B44" s="2">
        <v>45923.435196759259</v>
      </c>
      <c r="C44">
        <v>110000</v>
      </c>
      <c r="D44">
        <v>60000</v>
      </c>
      <c r="E44">
        <v>0</v>
      </c>
      <c r="F44">
        <v>17000</v>
      </c>
      <c r="G44">
        <v>0</v>
      </c>
      <c r="H44">
        <v>0</v>
      </c>
      <c r="I44">
        <v>15000</v>
      </c>
      <c r="J44">
        <v>8000</v>
      </c>
      <c r="K44">
        <v>0</v>
      </c>
      <c r="L44">
        <v>0</v>
      </c>
      <c r="M44">
        <v>4000</v>
      </c>
      <c r="N44">
        <v>9000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8</v>
      </c>
      <c r="W44">
        <v>6</v>
      </c>
      <c r="X44">
        <v>170000</v>
      </c>
      <c r="Y44">
        <v>170000</v>
      </c>
      <c r="Z44">
        <v>153000</v>
      </c>
      <c r="AA44">
        <v>0</v>
      </c>
      <c r="AB44">
        <v>0</v>
      </c>
      <c r="AC44">
        <v>170000</v>
      </c>
      <c r="AD44">
        <v>136000</v>
      </c>
      <c r="AG44">
        <v>6</v>
      </c>
      <c r="AH44">
        <v>9</v>
      </c>
      <c r="AI44">
        <v>0</v>
      </c>
      <c r="AJ44">
        <v>0</v>
      </c>
      <c r="AK44">
        <v>1</v>
      </c>
      <c r="AL44">
        <v>1</v>
      </c>
      <c r="AM44" t="s">
        <v>150</v>
      </c>
      <c r="AN44">
        <v>643</v>
      </c>
      <c r="AO44">
        <v>274</v>
      </c>
      <c r="AP44">
        <v>1281</v>
      </c>
      <c r="AQ44">
        <v>1281</v>
      </c>
      <c r="AS44">
        <v>2</v>
      </c>
      <c r="AT44">
        <v>90</v>
      </c>
      <c r="AU44" t="s">
        <v>88</v>
      </c>
      <c r="AV44">
        <v>19</v>
      </c>
      <c r="AW44" t="s">
        <v>80</v>
      </c>
      <c r="AX44">
        <v>22</v>
      </c>
      <c r="AY44" s="4">
        <f t="shared" si="0"/>
        <v>15</v>
      </c>
      <c r="AZ44" t="str">
        <f t="shared" si="1"/>
        <v>(Natu-city)</v>
      </c>
      <c r="BA44">
        <v>2</v>
      </c>
      <c r="BB44">
        <v>126</v>
      </c>
      <c r="BC44">
        <f t="shared" si="11"/>
        <v>2</v>
      </c>
      <c r="BD44">
        <f t="shared" si="2"/>
        <v>4000</v>
      </c>
    </row>
    <row r="45" spans="1:56" x14ac:dyDescent="0.3">
      <c r="A45">
        <v>1097</v>
      </c>
      <c r="B45" s="2">
        <v>45923.435196759259</v>
      </c>
      <c r="C45">
        <v>110000</v>
      </c>
      <c r="D45">
        <v>60000</v>
      </c>
      <c r="E45">
        <v>0</v>
      </c>
      <c r="F45">
        <v>17000</v>
      </c>
      <c r="G45">
        <v>0</v>
      </c>
      <c r="H45">
        <v>0</v>
      </c>
      <c r="I45">
        <v>15000</v>
      </c>
      <c r="J45">
        <v>0</v>
      </c>
      <c r="K45">
        <v>0</v>
      </c>
      <c r="L45">
        <v>16000</v>
      </c>
      <c r="M45">
        <v>0</v>
      </c>
      <c r="N45">
        <v>11000</v>
      </c>
      <c r="O45">
        <v>0</v>
      </c>
      <c r="P45">
        <v>0</v>
      </c>
      <c r="Q45">
        <v>0</v>
      </c>
      <c r="R45">
        <v>0</v>
      </c>
      <c r="S45">
        <v>5</v>
      </c>
      <c r="T45">
        <v>0</v>
      </c>
      <c r="U45">
        <v>0</v>
      </c>
      <c r="V45">
        <v>3</v>
      </c>
      <c r="W45">
        <v>6</v>
      </c>
      <c r="X45">
        <v>170000</v>
      </c>
      <c r="Y45">
        <v>170000</v>
      </c>
      <c r="Z45">
        <v>136000</v>
      </c>
      <c r="AA45">
        <v>0</v>
      </c>
      <c r="AB45">
        <v>0</v>
      </c>
      <c r="AC45">
        <v>170000</v>
      </c>
      <c r="AD45">
        <v>119000</v>
      </c>
      <c r="AG45">
        <v>6</v>
      </c>
      <c r="AH45">
        <v>9</v>
      </c>
      <c r="AI45">
        <v>-1</v>
      </c>
      <c r="AJ45">
        <v>-2</v>
      </c>
      <c r="AK45">
        <v>0</v>
      </c>
      <c r="AL45">
        <v>0</v>
      </c>
      <c r="AM45" t="s">
        <v>150</v>
      </c>
      <c r="AN45">
        <v>643</v>
      </c>
      <c r="AO45">
        <v>277</v>
      </c>
      <c r="AP45">
        <v>1281</v>
      </c>
      <c r="AQ45">
        <v>1281</v>
      </c>
      <c r="AS45">
        <v>3</v>
      </c>
      <c r="AT45">
        <v>90</v>
      </c>
      <c r="AU45" t="s">
        <v>88</v>
      </c>
      <c r="AV45">
        <v>19</v>
      </c>
      <c r="AW45" t="s">
        <v>80</v>
      </c>
      <c r="AX45">
        <v>22</v>
      </c>
      <c r="AY45" s="4">
        <f t="shared" si="0"/>
        <v>15</v>
      </c>
      <c r="AZ45" t="str">
        <f t="shared" si="1"/>
        <v>(Natu-city)</v>
      </c>
      <c r="BA45">
        <v>3</v>
      </c>
      <c r="BB45">
        <v>126</v>
      </c>
      <c r="BC45">
        <f t="shared" si="11"/>
        <v>0</v>
      </c>
      <c r="BD45">
        <f t="shared" si="2"/>
        <v>16000</v>
      </c>
    </row>
    <row r="46" spans="1:56" x14ac:dyDescent="0.3">
      <c r="A46">
        <v>1125</v>
      </c>
      <c r="B46" s="2">
        <v>45923.435196759259</v>
      </c>
      <c r="C46">
        <v>110000</v>
      </c>
      <c r="D46">
        <v>60000</v>
      </c>
      <c r="E46">
        <v>0</v>
      </c>
      <c r="F46">
        <v>17000</v>
      </c>
      <c r="G46">
        <v>101000</v>
      </c>
      <c r="H46">
        <v>130000</v>
      </c>
      <c r="I46">
        <v>15000</v>
      </c>
      <c r="J46">
        <v>0</v>
      </c>
      <c r="K46">
        <v>0</v>
      </c>
      <c r="L46">
        <v>0</v>
      </c>
      <c r="M46">
        <v>4000</v>
      </c>
      <c r="N46">
        <v>-4000</v>
      </c>
      <c r="O46">
        <v>3</v>
      </c>
      <c r="P46">
        <v>2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6</v>
      </c>
      <c r="X46">
        <v>170000</v>
      </c>
      <c r="Y46">
        <v>170000</v>
      </c>
      <c r="Z46">
        <v>119000</v>
      </c>
      <c r="AA46">
        <v>220000</v>
      </c>
      <c r="AB46">
        <v>300000</v>
      </c>
      <c r="AC46">
        <v>170000</v>
      </c>
      <c r="AD46">
        <v>153000</v>
      </c>
      <c r="AE46">
        <v>33</v>
      </c>
      <c r="AG46">
        <v>4</v>
      </c>
      <c r="AH46">
        <v>9</v>
      </c>
      <c r="AI46">
        <v>-2</v>
      </c>
      <c r="AJ46">
        <v>-1</v>
      </c>
      <c r="AK46">
        <v>0</v>
      </c>
      <c r="AL46">
        <v>0</v>
      </c>
      <c r="AM46" t="s">
        <v>150</v>
      </c>
      <c r="AN46">
        <v>643</v>
      </c>
      <c r="AO46">
        <v>281</v>
      </c>
      <c r="AP46">
        <v>1281</v>
      </c>
      <c r="AQ46">
        <v>1349</v>
      </c>
      <c r="AS46">
        <v>4</v>
      </c>
      <c r="AT46">
        <v>90</v>
      </c>
      <c r="AU46" t="s">
        <v>88</v>
      </c>
      <c r="AV46">
        <v>19</v>
      </c>
      <c r="AW46" t="s">
        <v>80</v>
      </c>
      <c r="AX46">
        <v>22</v>
      </c>
      <c r="AY46" s="4">
        <f t="shared" si="0"/>
        <v>13</v>
      </c>
      <c r="AZ46" t="str">
        <f t="shared" si="1"/>
        <v>(Dike-town)</v>
      </c>
      <c r="BA46">
        <v>4</v>
      </c>
      <c r="BB46">
        <v>126</v>
      </c>
      <c r="BC46">
        <f t="shared" si="11"/>
        <v>0</v>
      </c>
      <c r="BD46">
        <f t="shared" si="2"/>
        <v>4000</v>
      </c>
    </row>
    <row r="47" spans="1:56" x14ac:dyDescent="0.3">
      <c r="A47">
        <v>1028</v>
      </c>
      <c r="B47" s="2">
        <v>45923.435428240737</v>
      </c>
      <c r="C47">
        <v>60000</v>
      </c>
      <c r="D47">
        <v>30000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</v>
      </c>
      <c r="W47">
        <v>3</v>
      </c>
      <c r="X47">
        <v>80000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103</v>
      </c>
      <c r="AN47">
        <v>644</v>
      </c>
      <c r="AO47">
        <v>267</v>
      </c>
      <c r="AS47">
        <v>0</v>
      </c>
      <c r="AT47">
        <v>90</v>
      </c>
      <c r="AU47" t="s">
        <v>88</v>
      </c>
      <c r="AV47">
        <v>19</v>
      </c>
      <c r="AW47" t="s">
        <v>80</v>
      </c>
      <c r="AX47">
        <v>22</v>
      </c>
      <c r="AY47" s="4">
        <f t="shared" si="0"/>
        <v>0</v>
      </c>
      <c r="AZ47" t="str">
        <f t="shared" si="1"/>
        <v/>
      </c>
      <c r="BA47">
        <v>0</v>
      </c>
      <c r="BB47">
        <v>123</v>
      </c>
      <c r="BD47">
        <f t="shared" si="2"/>
        <v>0</v>
      </c>
    </row>
    <row r="48" spans="1:56" x14ac:dyDescent="0.3">
      <c r="A48">
        <v>1042</v>
      </c>
      <c r="B48" s="2">
        <v>45923.435428240737</v>
      </c>
      <c r="C48">
        <v>60000</v>
      </c>
      <c r="D48">
        <v>30000</v>
      </c>
      <c r="E48">
        <v>0</v>
      </c>
      <c r="F48">
        <v>8000</v>
      </c>
      <c r="G48">
        <v>0</v>
      </c>
      <c r="H48">
        <v>0</v>
      </c>
      <c r="I48">
        <v>15000</v>
      </c>
      <c r="J48">
        <v>0</v>
      </c>
      <c r="K48">
        <v>3600</v>
      </c>
      <c r="L48">
        <v>0</v>
      </c>
      <c r="M48">
        <v>0</v>
      </c>
      <c r="N48">
        <v>3400</v>
      </c>
      <c r="O48">
        <v>0</v>
      </c>
      <c r="P48">
        <v>-1</v>
      </c>
      <c r="Q48">
        <v>0</v>
      </c>
      <c r="R48">
        <v>1</v>
      </c>
      <c r="S48">
        <v>0</v>
      </c>
      <c r="T48">
        <v>0</v>
      </c>
      <c r="U48">
        <v>0</v>
      </c>
      <c r="V48">
        <v>5</v>
      </c>
      <c r="W48">
        <v>3</v>
      </c>
      <c r="X48">
        <v>80000</v>
      </c>
      <c r="Y48">
        <v>0</v>
      </c>
      <c r="Z48">
        <v>0</v>
      </c>
      <c r="AA48">
        <v>0</v>
      </c>
      <c r="AB48">
        <v>80000</v>
      </c>
      <c r="AC48">
        <v>80000</v>
      </c>
      <c r="AD48">
        <v>72000</v>
      </c>
      <c r="AG48">
        <v>4</v>
      </c>
      <c r="AH48">
        <v>9</v>
      </c>
      <c r="AI48">
        <v>0</v>
      </c>
      <c r="AJ48">
        <v>0</v>
      </c>
      <c r="AK48">
        <v>0</v>
      </c>
      <c r="AL48">
        <v>0</v>
      </c>
      <c r="AM48" t="s">
        <v>150</v>
      </c>
      <c r="AN48">
        <v>644</v>
      </c>
      <c r="AO48">
        <v>270</v>
      </c>
      <c r="AQ48">
        <v>1288</v>
      </c>
      <c r="AS48">
        <v>1</v>
      </c>
      <c r="AT48">
        <v>90</v>
      </c>
      <c r="AU48" t="s">
        <v>88</v>
      </c>
      <c r="AV48">
        <v>19</v>
      </c>
      <c r="AW48" t="s">
        <v>80</v>
      </c>
      <c r="AX48">
        <v>22</v>
      </c>
      <c r="AY48" s="4">
        <f t="shared" si="0"/>
        <v>13</v>
      </c>
      <c r="AZ48" t="str">
        <f t="shared" si="1"/>
        <v>(Dike-town)</v>
      </c>
      <c r="BA48">
        <v>1</v>
      </c>
      <c r="BB48">
        <v>123</v>
      </c>
      <c r="BC48">
        <f t="shared" ref="BC48:BC51" si="12">AK48+AL48</f>
        <v>0</v>
      </c>
      <c r="BD48">
        <f t="shared" si="2"/>
        <v>0</v>
      </c>
    </row>
    <row r="49" spans="1:56" x14ac:dyDescent="0.3">
      <c r="A49">
        <v>1079</v>
      </c>
      <c r="B49" s="2">
        <v>45923.435428240737</v>
      </c>
      <c r="C49">
        <v>60000</v>
      </c>
      <c r="D49">
        <v>30000</v>
      </c>
      <c r="E49">
        <v>0</v>
      </c>
      <c r="F49">
        <v>8000</v>
      </c>
      <c r="G49">
        <v>0</v>
      </c>
      <c r="H49">
        <v>0</v>
      </c>
      <c r="I49">
        <v>15000</v>
      </c>
      <c r="J49">
        <v>8000</v>
      </c>
      <c r="K49">
        <v>0</v>
      </c>
      <c r="L49">
        <v>0</v>
      </c>
      <c r="M49">
        <v>4000</v>
      </c>
      <c r="N49">
        <v>-1600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5</v>
      </c>
      <c r="W49">
        <v>3</v>
      </c>
      <c r="X49">
        <v>80000</v>
      </c>
      <c r="Y49">
        <v>80000</v>
      </c>
      <c r="Z49">
        <v>72000</v>
      </c>
      <c r="AA49">
        <v>0</v>
      </c>
      <c r="AB49">
        <v>0</v>
      </c>
      <c r="AC49">
        <v>80000</v>
      </c>
      <c r="AD49">
        <v>64000</v>
      </c>
      <c r="AG49">
        <v>4</v>
      </c>
      <c r="AH49">
        <v>9</v>
      </c>
      <c r="AI49">
        <v>0</v>
      </c>
      <c r="AJ49">
        <v>0</v>
      </c>
      <c r="AK49">
        <v>1</v>
      </c>
      <c r="AL49">
        <v>1</v>
      </c>
      <c r="AM49" t="s">
        <v>150</v>
      </c>
      <c r="AN49">
        <v>644</v>
      </c>
      <c r="AO49">
        <v>274</v>
      </c>
      <c r="AP49">
        <v>1288</v>
      </c>
      <c r="AQ49">
        <v>1288</v>
      </c>
      <c r="AS49">
        <v>2</v>
      </c>
      <c r="AT49">
        <v>90</v>
      </c>
      <c r="AU49" t="s">
        <v>88</v>
      </c>
      <c r="AV49">
        <v>19</v>
      </c>
      <c r="AW49" t="s">
        <v>80</v>
      </c>
      <c r="AX49">
        <v>22</v>
      </c>
      <c r="AY49" s="4">
        <f t="shared" si="0"/>
        <v>13</v>
      </c>
      <c r="AZ49" t="str">
        <f t="shared" si="1"/>
        <v>(Dike-town)</v>
      </c>
      <c r="BA49">
        <v>2</v>
      </c>
      <c r="BB49">
        <v>123</v>
      </c>
      <c r="BC49">
        <f t="shared" si="12"/>
        <v>2</v>
      </c>
      <c r="BD49">
        <f t="shared" si="2"/>
        <v>4000</v>
      </c>
    </row>
    <row r="50" spans="1:56" x14ac:dyDescent="0.3">
      <c r="A50">
        <v>1099</v>
      </c>
      <c r="B50" s="2">
        <v>45923.435428240737</v>
      </c>
      <c r="C50">
        <v>60000</v>
      </c>
      <c r="D50">
        <v>30000</v>
      </c>
      <c r="E50">
        <v>1600</v>
      </c>
      <c r="F50">
        <v>8000</v>
      </c>
      <c r="G50">
        <v>0</v>
      </c>
      <c r="H50">
        <v>0</v>
      </c>
      <c r="I50">
        <v>15000</v>
      </c>
      <c r="J50">
        <v>0</v>
      </c>
      <c r="K50">
        <v>0</v>
      </c>
      <c r="L50">
        <v>16000</v>
      </c>
      <c r="M50">
        <v>4000</v>
      </c>
      <c r="N50">
        <v>-14600</v>
      </c>
      <c r="O50">
        <v>0</v>
      </c>
      <c r="P50">
        <v>0</v>
      </c>
      <c r="Q50">
        <v>0</v>
      </c>
      <c r="R50">
        <v>0</v>
      </c>
      <c r="S50">
        <v>5</v>
      </c>
      <c r="T50">
        <v>1</v>
      </c>
      <c r="U50">
        <v>1</v>
      </c>
      <c r="V50">
        <v>-2</v>
      </c>
      <c r="W50">
        <v>3</v>
      </c>
      <c r="X50">
        <v>80000</v>
      </c>
      <c r="Y50">
        <v>80000</v>
      </c>
      <c r="Z50">
        <v>64000</v>
      </c>
      <c r="AA50">
        <v>0</v>
      </c>
      <c r="AB50">
        <v>0</v>
      </c>
      <c r="AC50">
        <v>80000</v>
      </c>
      <c r="AD50">
        <v>56000</v>
      </c>
      <c r="AG50">
        <v>4</v>
      </c>
      <c r="AH50">
        <v>9</v>
      </c>
      <c r="AI50">
        <v>-1</v>
      </c>
      <c r="AJ50">
        <v>-2</v>
      </c>
      <c r="AK50">
        <v>0</v>
      </c>
      <c r="AL50">
        <v>0</v>
      </c>
      <c r="AM50" t="s">
        <v>150</v>
      </c>
      <c r="AN50">
        <v>644</v>
      </c>
      <c r="AO50">
        <v>277</v>
      </c>
      <c r="AP50">
        <v>1288</v>
      </c>
      <c r="AQ50">
        <v>1288</v>
      </c>
      <c r="AS50">
        <v>3</v>
      </c>
      <c r="AT50">
        <v>90</v>
      </c>
      <c r="AU50" t="s">
        <v>88</v>
      </c>
      <c r="AV50">
        <v>19</v>
      </c>
      <c r="AW50" t="s">
        <v>80</v>
      </c>
      <c r="AX50">
        <v>22</v>
      </c>
      <c r="AY50" s="4">
        <f t="shared" si="0"/>
        <v>13</v>
      </c>
      <c r="AZ50" t="str">
        <f t="shared" si="1"/>
        <v>(Dike-town)</v>
      </c>
      <c r="BA50">
        <v>3</v>
      </c>
      <c r="BB50">
        <v>123</v>
      </c>
      <c r="BC50">
        <f t="shared" si="12"/>
        <v>0</v>
      </c>
      <c r="BD50">
        <f t="shared" si="2"/>
        <v>20000</v>
      </c>
    </row>
    <row r="51" spans="1:56" x14ac:dyDescent="0.3">
      <c r="A51">
        <v>1122</v>
      </c>
      <c r="B51" s="2">
        <v>45923.435428240737</v>
      </c>
      <c r="C51">
        <v>60000</v>
      </c>
      <c r="D51">
        <v>30000</v>
      </c>
      <c r="E51">
        <v>14600</v>
      </c>
      <c r="F51">
        <v>8000</v>
      </c>
      <c r="G51">
        <v>0</v>
      </c>
      <c r="H51">
        <v>0</v>
      </c>
      <c r="I51">
        <v>15000</v>
      </c>
      <c r="J51">
        <v>0</v>
      </c>
      <c r="K51">
        <v>0</v>
      </c>
      <c r="L51">
        <v>0</v>
      </c>
      <c r="M51">
        <v>4000</v>
      </c>
      <c r="N51">
        <v>-11600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-4</v>
      </c>
      <c r="W51">
        <v>3</v>
      </c>
      <c r="X51">
        <v>80000</v>
      </c>
      <c r="Y51">
        <v>80000</v>
      </c>
      <c r="Z51">
        <v>56000</v>
      </c>
      <c r="AA51">
        <v>0</v>
      </c>
      <c r="AB51">
        <v>0</v>
      </c>
      <c r="AC51">
        <v>80000</v>
      </c>
      <c r="AD51">
        <v>48000</v>
      </c>
      <c r="AG51">
        <v>4</v>
      </c>
      <c r="AH51">
        <v>9</v>
      </c>
      <c r="AI51">
        <v>-2</v>
      </c>
      <c r="AJ51">
        <v>-1</v>
      </c>
      <c r="AK51">
        <v>0</v>
      </c>
      <c r="AL51">
        <v>0</v>
      </c>
      <c r="AM51" t="s">
        <v>150</v>
      </c>
      <c r="AN51">
        <v>644</v>
      </c>
      <c r="AO51">
        <v>281</v>
      </c>
      <c r="AP51">
        <v>1288</v>
      </c>
      <c r="AQ51">
        <v>1288</v>
      </c>
      <c r="AS51">
        <v>4</v>
      </c>
      <c r="AT51">
        <v>90</v>
      </c>
      <c r="AU51" t="s">
        <v>88</v>
      </c>
      <c r="AV51">
        <v>19</v>
      </c>
      <c r="AW51" t="s">
        <v>80</v>
      </c>
      <c r="AX51">
        <v>22</v>
      </c>
      <c r="AY51" s="4">
        <f t="shared" si="0"/>
        <v>13</v>
      </c>
      <c r="AZ51" t="str">
        <f t="shared" si="1"/>
        <v>(Dike-town)</v>
      </c>
      <c r="BA51">
        <v>4</v>
      </c>
      <c r="BB51">
        <v>123</v>
      </c>
      <c r="BC51">
        <f t="shared" si="12"/>
        <v>0</v>
      </c>
      <c r="BD51">
        <f t="shared" si="2"/>
        <v>4000</v>
      </c>
    </row>
    <row r="52" spans="1:56" x14ac:dyDescent="0.3">
      <c r="A52">
        <v>1029</v>
      </c>
      <c r="B52" s="2">
        <v>45923.43550925926</v>
      </c>
      <c r="C52">
        <v>90000</v>
      </c>
      <c r="D52">
        <v>50000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15000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5</v>
      </c>
      <c r="X52">
        <v>130000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103</v>
      </c>
      <c r="AN52">
        <v>645</v>
      </c>
      <c r="AO52">
        <v>267</v>
      </c>
      <c r="AS52">
        <v>0</v>
      </c>
      <c r="AT52">
        <v>90</v>
      </c>
      <c r="AU52" t="s">
        <v>88</v>
      </c>
      <c r="AV52">
        <v>19</v>
      </c>
      <c r="AW52" t="s">
        <v>80</v>
      </c>
      <c r="AX52">
        <v>22</v>
      </c>
      <c r="AY52" s="4">
        <f t="shared" si="0"/>
        <v>0</v>
      </c>
      <c r="AZ52" t="str">
        <f t="shared" si="1"/>
        <v/>
      </c>
      <c r="BA52">
        <v>0</v>
      </c>
      <c r="BB52">
        <v>124</v>
      </c>
      <c r="BD52">
        <f t="shared" si="2"/>
        <v>0</v>
      </c>
    </row>
    <row r="53" spans="1:56" x14ac:dyDescent="0.3">
      <c r="A53">
        <v>1045</v>
      </c>
      <c r="B53" s="2">
        <v>45923.43550925926</v>
      </c>
      <c r="C53">
        <v>90000</v>
      </c>
      <c r="D53">
        <v>50000</v>
      </c>
      <c r="E53">
        <v>0</v>
      </c>
      <c r="F53">
        <v>13000</v>
      </c>
      <c r="G53">
        <v>0</v>
      </c>
      <c r="H53">
        <v>30000</v>
      </c>
      <c r="I53">
        <v>15000</v>
      </c>
      <c r="J53">
        <v>0</v>
      </c>
      <c r="K53">
        <v>0</v>
      </c>
      <c r="L53">
        <v>0</v>
      </c>
      <c r="M53">
        <v>0</v>
      </c>
      <c r="N53">
        <v>-3000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5</v>
      </c>
      <c r="W53">
        <v>5</v>
      </c>
      <c r="X53">
        <v>130000</v>
      </c>
      <c r="Y53">
        <v>0</v>
      </c>
      <c r="Z53">
        <v>0</v>
      </c>
      <c r="AA53">
        <v>0</v>
      </c>
      <c r="AB53">
        <v>160000</v>
      </c>
      <c r="AC53">
        <v>130000</v>
      </c>
      <c r="AD53">
        <v>117000</v>
      </c>
      <c r="AG53">
        <v>4</v>
      </c>
      <c r="AH53">
        <v>9</v>
      </c>
      <c r="AI53">
        <v>0</v>
      </c>
      <c r="AJ53">
        <v>0</v>
      </c>
      <c r="AK53">
        <v>0</v>
      </c>
      <c r="AL53">
        <v>0</v>
      </c>
      <c r="AM53" t="s">
        <v>150</v>
      </c>
      <c r="AN53">
        <v>645</v>
      </c>
      <c r="AO53">
        <v>270</v>
      </c>
      <c r="AQ53">
        <v>1286</v>
      </c>
      <c r="AS53">
        <v>1</v>
      </c>
      <c r="AT53">
        <v>90</v>
      </c>
      <c r="AU53" t="s">
        <v>88</v>
      </c>
      <c r="AV53">
        <v>19</v>
      </c>
      <c r="AW53" t="s">
        <v>80</v>
      </c>
      <c r="AX53">
        <v>22</v>
      </c>
      <c r="AY53" s="4">
        <f t="shared" si="0"/>
        <v>13</v>
      </c>
      <c r="AZ53" t="str">
        <f t="shared" si="1"/>
        <v>(Dike-town)</v>
      </c>
      <c r="BA53">
        <v>1</v>
      </c>
      <c r="BB53">
        <v>124</v>
      </c>
      <c r="BC53">
        <f t="shared" ref="BC53:BC56" si="13">AK53+AL53</f>
        <v>0</v>
      </c>
      <c r="BD53">
        <f t="shared" si="2"/>
        <v>0</v>
      </c>
    </row>
    <row r="54" spans="1:56" x14ac:dyDescent="0.3">
      <c r="A54">
        <v>1081</v>
      </c>
      <c r="B54" s="2">
        <v>45923.43550925926</v>
      </c>
      <c r="C54">
        <v>90000</v>
      </c>
      <c r="D54">
        <v>50000</v>
      </c>
      <c r="E54">
        <v>3000</v>
      </c>
      <c r="F54">
        <v>13000</v>
      </c>
      <c r="G54">
        <v>0</v>
      </c>
      <c r="H54">
        <v>0</v>
      </c>
      <c r="I54">
        <v>15000</v>
      </c>
      <c r="J54">
        <v>6000</v>
      </c>
      <c r="K54">
        <v>0</v>
      </c>
      <c r="L54">
        <v>0</v>
      </c>
      <c r="M54">
        <v>4000</v>
      </c>
      <c r="N54">
        <v>-1000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1</v>
      </c>
      <c r="V54">
        <v>4</v>
      </c>
      <c r="W54">
        <v>5</v>
      </c>
      <c r="X54">
        <v>130000</v>
      </c>
      <c r="Y54">
        <v>130000</v>
      </c>
      <c r="Z54">
        <v>117000</v>
      </c>
      <c r="AA54">
        <v>0</v>
      </c>
      <c r="AB54">
        <v>0</v>
      </c>
      <c r="AC54">
        <v>130000</v>
      </c>
      <c r="AD54">
        <v>104000</v>
      </c>
      <c r="AG54">
        <v>4</v>
      </c>
      <c r="AH54">
        <v>9</v>
      </c>
      <c r="AI54">
        <v>0</v>
      </c>
      <c r="AJ54">
        <v>0</v>
      </c>
      <c r="AK54">
        <v>1</v>
      </c>
      <c r="AL54">
        <v>0</v>
      </c>
      <c r="AM54" t="s">
        <v>150</v>
      </c>
      <c r="AN54">
        <v>645</v>
      </c>
      <c r="AO54">
        <v>274</v>
      </c>
      <c r="AP54">
        <v>1286</v>
      </c>
      <c r="AQ54">
        <v>1286</v>
      </c>
      <c r="AS54">
        <v>2</v>
      </c>
      <c r="AT54">
        <v>90</v>
      </c>
      <c r="AU54" t="s">
        <v>88</v>
      </c>
      <c r="AV54">
        <v>19</v>
      </c>
      <c r="AW54" t="s">
        <v>80</v>
      </c>
      <c r="AX54">
        <v>22</v>
      </c>
      <c r="AY54" s="4">
        <f t="shared" si="0"/>
        <v>13</v>
      </c>
      <c r="AZ54" t="str">
        <f t="shared" si="1"/>
        <v>(Dike-town)</v>
      </c>
      <c r="BA54">
        <v>2</v>
      </c>
      <c r="BB54">
        <v>124</v>
      </c>
      <c r="BC54">
        <f t="shared" si="13"/>
        <v>1</v>
      </c>
      <c r="BD54">
        <f t="shared" si="2"/>
        <v>4000</v>
      </c>
    </row>
    <row r="55" spans="1:56" x14ac:dyDescent="0.3">
      <c r="A55">
        <v>1098</v>
      </c>
      <c r="B55" s="2">
        <v>45923.43550925926</v>
      </c>
      <c r="C55">
        <v>90000</v>
      </c>
      <c r="D55">
        <v>50000</v>
      </c>
      <c r="E55">
        <v>1000</v>
      </c>
      <c r="F55">
        <v>13000</v>
      </c>
      <c r="G55">
        <v>0</v>
      </c>
      <c r="H55">
        <v>0</v>
      </c>
      <c r="I55">
        <v>15000</v>
      </c>
      <c r="J55">
        <v>8000</v>
      </c>
      <c r="K55">
        <v>0</v>
      </c>
      <c r="L55">
        <v>16000</v>
      </c>
      <c r="M55">
        <v>0</v>
      </c>
      <c r="N55">
        <v>-13000</v>
      </c>
      <c r="O55">
        <v>0</v>
      </c>
      <c r="P55">
        <v>0</v>
      </c>
      <c r="Q55">
        <v>1</v>
      </c>
      <c r="R55">
        <v>0</v>
      </c>
      <c r="S55">
        <v>5</v>
      </c>
      <c r="T55">
        <v>0</v>
      </c>
      <c r="U55">
        <v>1</v>
      </c>
      <c r="V55">
        <v>-1</v>
      </c>
      <c r="W55">
        <v>5</v>
      </c>
      <c r="X55">
        <v>130000</v>
      </c>
      <c r="Y55">
        <v>130000</v>
      </c>
      <c r="Z55">
        <v>104000</v>
      </c>
      <c r="AA55">
        <v>0</v>
      </c>
      <c r="AB55">
        <v>0</v>
      </c>
      <c r="AC55">
        <v>130000</v>
      </c>
      <c r="AD55">
        <v>91000</v>
      </c>
      <c r="AG55">
        <v>4</v>
      </c>
      <c r="AH55">
        <v>9</v>
      </c>
      <c r="AI55">
        <v>-1</v>
      </c>
      <c r="AJ55">
        <v>-2</v>
      </c>
      <c r="AK55">
        <v>1</v>
      </c>
      <c r="AL55">
        <v>0</v>
      </c>
      <c r="AM55" t="s">
        <v>150</v>
      </c>
      <c r="AN55">
        <v>645</v>
      </c>
      <c r="AO55">
        <v>277</v>
      </c>
      <c r="AP55">
        <v>1286</v>
      </c>
      <c r="AQ55">
        <v>1286</v>
      </c>
      <c r="AS55">
        <v>3</v>
      </c>
      <c r="AT55">
        <v>90</v>
      </c>
      <c r="AU55" t="s">
        <v>88</v>
      </c>
      <c r="AV55">
        <v>19</v>
      </c>
      <c r="AW55" t="s">
        <v>80</v>
      </c>
      <c r="AX55">
        <v>22</v>
      </c>
      <c r="AY55" s="4">
        <f t="shared" si="0"/>
        <v>13</v>
      </c>
      <c r="AZ55" t="str">
        <f t="shared" si="1"/>
        <v>(Dike-town)</v>
      </c>
      <c r="BA55">
        <v>3</v>
      </c>
      <c r="BB55">
        <v>124</v>
      </c>
      <c r="BC55">
        <f t="shared" si="13"/>
        <v>1</v>
      </c>
      <c r="BD55">
        <f t="shared" si="2"/>
        <v>16000</v>
      </c>
    </row>
    <row r="56" spans="1:56" x14ac:dyDescent="0.3">
      <c r="A56">
        <v>1126</v>
      </c>
      <c r="B56" s="2">
        <v>45923.43550925926</v>
      </c>
      <c r="C56">
        <v>90000</v>
      </c>
      <c r="D56">
        <v>50000</v>
      </c>
      <c r="E56">
        <v>13000</v>
      </c>
      <c r="F56">
        <v>13000</v>
      </c>
      <c r="G56">
        <v>0</v>
      </c>
      <c r="H56">
        <v>0</v>
      </c>
      <c r="I56">
        <v>15000</v>
      </c>
      <c r="J56">
        <v>0</v>
      </c>
      <c r="K56">
        <v>0</v>
      </c>
      <c r="L56">
        <v>0</v>
      </c>
      <c r="M56">
        <v>4000</v>
      </c>
      <c r="N56">
        <v>-5000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-3</v>
      </c>
      <c r="W56">
        <v>5</v>
      </c>
      <c r="X56">
        <v>130000</v>
      </c>
      <c r="Y56">
        <v>130000</v>
      </c>
      <c r="Z56">
        <v>91000</v>
      </c>
      <c r="AA56">
        <v>0</v>
      </c>
      <c r="AB56">
        <v>0</v>
      </c>
      <c r="AC56">
        <v>130000</v>
      </c>
      <c r="AD56">
        <v>78000</v>
      </c>
      <c r="AG56">
        <v>4</v>
      </c>
      <c r="AH56">
        <v>9</v>
      </c>
      <c r="AI56">
        <v>-2</v>
      </c>
      <c r="AJ56">
        <v>-1</v>
      </c>
      <c r="AK56">
        <v>0</v>
      </c>
      <c r="AL56">
        <v>0</v>
      </c>
      <c r="AM56" t="s">
        <v>150</v>
      </c>
      <c r="AN56">
        <v>645</v>
      </c>
      <c r="AO56">
        <v>281</v>
      </c>
      <c r="AP56">
        <v>1286</v>
      </c>
      <c r="AQ56">
        <v>1286</v>
      </c>
      <c r="AS56">
        <v>4</v>
      </c>
      <c r="AT56">
        <v>90</v>
      </c>
      <c r="AU56" t="s">
        <v>88</v>
      </c>
      <c r="AV56">
        <v>19</v>
      </c>
      <c r="AW56" t="s">
        <v>80</v>
      </c>
      <c r="AX56">
        <v>22</v>
      </c>
      <c r="AY56" s="4">
        <f t="shared" si="0"/>
        <v>13</v>
      </c>
      <c r="AZ56" t="str">
        <f t="shared" si="1"/>
        <v>(Dike-town)</v>
      </c>
      <c r="BA56">
        <v>4</v>
      </c>
      <c r="BB56">
        <v>124</v>
      </c>
      <c r="BC56">
        <f t="shared" si="13"/>
        <v>0</v>
      </c>
      <c r="BD56">
        <f t="shared" si="2"/>
        <v>4000</v>
      </c>
    </row>
    <row r="57" spans="1:56" x14ac:dyDescent="0.3">
      <c r="A57">
        <v>1037</v>
      </c>
      <c r="B57" s="2">
        <v>45923.447962962957</v>
      </c>
      <c r="C57">
        <v>130000</v>
      </c>
      <c r="D57">
        <v>75000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50000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7</v>
      </c>
      <c r="X57">
        <v>200000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103</v>
      </c>
      <c r="AN57">
        <v>646</v>
      </c>
      <c r="AO57">
        <v>267</v>
      </c>
      <c r="AS57">
        <v>0</v>
      </c>
      <c r="AT57">
        <v>90</v>
      </c>
      <c r="AU57" t="s">
        <v>88</v>
      </c>
      <c r="AV57">
        <v>19</v>
      </c>
      <c r="AW57" t="s">
        <v>80</v>
      </c>
      <c r="AX57">
        <v>22</v>
      </c>
      <c r="AY57" s="4">
        <f t="shared" si="0"/>
        <v>0</v>
      </c>
      <c r="AZ57" t="str">
        <f t="shared" si="1"/>
        <v/>
      </c>
      <c r="BA57">
        <v>0</v>
      </c>
      <c r="BB57">
        <v>127</v>
      </c>
      <c r="BD57">
        <f t="shared" si="2"/>
        <v>0</v>
      </c>
    </row>
    <row r="58" spans="1:56" x14ac:dyDescent="0.3">
      <c r="A58">
        <v>1046</v>
      </c>
      <c r="B58" s="2">
        <v>45923.447962962957</v>
      </c>
      <c r="C58">
        <v>130000</v>
      </c>
      <c r="D58">
        <v>75000</v>
      </c>
      <c r="E58">
        <v>0</v>
      </c>
      <c r="F58">
        <v>20000</v>
      </c>
      <c r="G58">
        <v>0</v>
      </c>
      <c r="H58">
        <v>0</v>
      </c>
      <c r="I58">
        <v>15000</v>
      </c>
      <c r="J58">
        <v>33000</v>
      </c>
      <c r="K58">
        <v>25500</v>
      </c>
      <c r="L58">
        <v>0</v>
      </c>
      <c r="M58">
        <v>0</v>
      </c>
      <c r="N58">
        <v>11500</v>
      </c>
      <c r="O58">
        <v>0</v>
      </c>
      <c r="P58">
        <v>-1</v>
      </c>
      <c r="Q58">
        <v>3</v>
      </c>
      <c r="R58">
        <v>4</v>
      </c>
      <c r="S58">
        <v>0</v>
      </c>
      <c r="T58">
        <v>0</v>
      </c>
      <c r="U58">
        <v>0</v>
      </c>
      <c r="V58">
        <v>11</v>
      </c>
      <c r="W58">
        <v>7</v>
      </c>
      <c r="X58">
        <v>200000</v>
      </c>
      <c r="Y58">
        <v>0</v>
      </c>
      <c r="Z58">
        <v>0</v>
      </c>
      <c r="AA58">
        <v>0</v>
      </c>
      <c r="AB58">
        <v>200000</v>
      </c>
      <c r="AC58">
        <v>200000</v>
      </c>
      <c r="AD58">
        <v>180000</v>
      </c>
      <c r="AG58">
        <v>6</v>
      </c>
      <c r="AH58">
        <v>9</v>
      </c>
      <c r="AI58">
        <v>0</v>
      </c>
      <c r="AJ58">
        <v>0</v>
      </c>
      <c r="AK58">
        <v>4</v>
      </c>
      <c r="AL58">
        <v>3</v>
      </c>
      <c r="AM58" t="s">
        <v>150</v>
      </c>
      <c r="AN58">
        <v>646</v>
      </c>
      <c r="AO58">
        <v>270</v>
      </c>
      <c r="AQ58">
        <v>1282</v>
      </c>
      <c r="AS58">
        <v>1</v>
      </c>
      <c r="AT58">
        <v>90</v>
      </c>
      <c r="AU58" t="s">
        <v>88</v>
      </c>
      <c r="AV58">
        <v>19</v>
      </c>
      <c r="AW58" t="s">
        <v>80</v>
      </c>
      <c r="AX58">
        <v>22</v>
      </c>
      <c r="AY58" s="4">
        <f t="shared" si="0"/>
        <v>15</v>
      </c>
      <c r="AZ58" t="str">
        <f t="shared" si="1"/>
        <v>(Natu-city)</v>
      </c>
      <c r="BA58">
        <v>1</v>
      </c>
      <c r="BB58">
        <v>127</v>
      </c>
      <c r="BC58">
        <f t="shared" ref="BC58:BC61" si="14">AK58+AL58</f>
        <v>7</v>
      </c>
      <c r="BD58">
        <f t="shared" si="2"/>
        <v>0</v>
      </c>
    </row>
    <row r="59" spans="1:56" x14ac:dyDescent="0.3">
      <c r="A59">
        <v>1080</v>
      </c>
      <c r="B59" s="2">
        <v>45923.447962962957</v>
      </c>
      <c r="C59">
        <v>130000</v>
      </c>
      <c r="D59">
        <v>75000</v>
      </c>
      <c r="E59">
        <v>0</v>
      </c>
      <c r="F59">
        <v>20000</v>
      </c>
      <c r="G59">
        <v>0</v>
      </c>
      <c r="H59">
        <v>0</v>
      </c>
      <c r="I59">
        <v>15000</v>
      </c>
      <c r="J59">
        <v>0</v>
      </c>
      <c r="K59">
        <v>0</v>
      </c>
      <c r="L59">
        <v>0</v>
      </c>
      <c r="M59">
        <v>4000</v>
      </c>
      <c r="N59">
        <v>27500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10</v>
      </c>
      <c r="W59">
        <v>7</v>
      </c>
      <c r="X59">
        <v>200000</v>
      </c>
      <c r="Y59">
        <v>200000</v>
      </c>
      <c r="Z59">
        <v>180000</v>
      </c>
      <c r="AA59">
        <v>0</v>
      </c>
      <c r="AB59">
        <v>0</v>
      </c>
      <c r="AC59">
        <v>200000</v>
      </c>
      <c r="AD59">
        <v>160000</v>
      </c>
      <c r="AG59">
        <v>6</v>
      </c>
      <c r="AH59">
        <v>9</v>
      </c>
      <c r="AI59">
        <v>0</v>
      </c>
      <c r="AJ59">
        <v>0</v>
      </c>
      <c r="AK59">
        <v>0</v>
      </c>
      <c r="AL59">
        <v>0</v>
      </c>
      <c r="AM59" t="s">
        <v>150</v>
      </c>
      <c r="AN59">
        <v>646</v>
      </c>
      <c r="AO59">
        <v>274</v>
      </c>
      <c r="AP59">
        <v>1282</v>
      </c>
      <c r="AQ59">
        <v>1282</v>
      </c>
      <c r="AS59">
        <v>2</v>
      </c>
      <c r="AT59">
        <v>90</v>
      </c>
      <c r="AU59" t="s">
        <v>88</v>
      </c>
      <c r="AV59">
        <v>19</v>
      </c>
      <c r="AW59" t="s">
        <v>80</v>
      </c>
      <c r="AX59">
        <v>22</v>
      </c>
      <c r="AY59" s="4">
        <f t="shared" si="0"/>
        <v>15</v>
      </c>
      <c r="AZ59" t="str">
        <f t="shared" si="1"/>
        <v>(Natu-city)</v>
      </c>
      <c r="BA59">
        <v>2</v>
      </c>
      <c r="BB59">
        <v>127</v>
      </c>
      <c r="BC59">
        <f t="shared" si="14"/>
        <v>0</v>
      </c>
      <c r="BD59">
        <f t="shared" si="2"/>
        <v>4000</v>
      </c>
    </row>
    <row r="60" spans="1:56" x14ac:dyDescent="0.3">
      <c r="A60">
        <v>1101</v>
      </c>
      <c r="B60" s="2">
        <v>45923.447962962957</v>
      </c>
      <c r="C60">
        <v>130000</v>
      </c>
      <c r="D60">
        <v>75000</v>
      </c>
      <c r="E60">
        <v>0</v>
      </c>
      <c r="F60">
        <v>20000</v>
      </c>
      <c r="G60">
        <v>0</v>
      </c>
      <c r="H60">
        <v>0</v>
      </c>
      <c r="I60">
        <v>15000</v>
      </c>
      <c r="J60">
        <v>0</v>
      </c>
      <c r="K60">
        <v>0</v>
      </c>
      <c r="L60">
        <v>16000</v>
      </c>
      <c r="M60">
        <v>0</v>
      </c>
      <c r="N60">
        <v>31500</v>
      </c>
      <c r="O60">
        <v>0</v>
      </c>
      <c r="P60">
        <v>0</v>
      </c>
      <c r="Q60">
        <v>0</v>
      </c>
      <c r="R60">
        <v>0</v>
      </c>
      <c r="S60">
        <v>5</v>
      </c>
      <c r="T60">
        <v>0</v>
      </c>
      <c r="U60">
        <v>0</v>
      </c>
      <c r="V60">
        <v>5</v>
      </c>
      <c r="W60">
        <v>7</v>
      </c>
      <c r="X60">
        <v>200000</v>
      </c>
      <c r="Y60">
        <v>200000</v>
      </c>
      <c r="Z60">
        <v>160000</v>
      </c>
      <c r="AA60">
        <v>0</v>
      </c>
      <c r="AB60">
        <v>0</v>
      </c>
      <c r="AC60">
        <v>200000</v>
      </c>
      <c r="AD60">
        <v>140000</v>
      </c>
      <c r="AG60">
        <v>6</v>
      </c>
      <c r="AH60">
        <v>9</v>
      </c>
      <c r="AI60">
        <v>-1</v>
      </c>
      <c r="AJ60">
        <v>-2</v>
      </c>
      <c r="AK60">
        <v>0</v>
      </c>
      <c r="AL60">
        <v>0</v>
      </c>
      <c r="AM60" t="s">
        <v>150</v>
      </c>
      <c r="AN60">
        <v>646</v>
      </c>
      <c r="AO60">
        <v>277</v>
      </c>
      <c r="AP60">
        <v>1282</v>
      </c>
      <c r="AQ60">
        <v>1282</v>
      </c>
      <c r="AS60">
        <v>3</v>
      </c>
      <c r="AT60">
        <v>90</v>
      </c>
      <c r="AU60" t="s">
        <v>88</v>
      </c>
      <c r="AV60">
        <v>19</v>
      </c>
      <c r="AW60" t="s">
        <v>80</v>
      </c>
      <c r="AX60">
        <v>22</v>
      </c>
      <c r="AY60" s="4">
        <f t="shared" si="0"/>
        <v>15</v>
      </c>
      <c r="AZ60" t="str">
        <f t="shared" si="1"/>
        <v>(Natu-city)</v>
      </c>
      <c r="BA60">
        <v>3</v>
      </c>
      <c r="BB60">
        <v>127</v>
      </c>
      <c r="BC60">
        <f t="shared" si="14"/>
        <v>0</v>
      </c>
      <c r="BD60">
        <f t="shared" si="2"/>
        <v>16000</v>
      </c>
    </row>
    <row r="61" spans="1:56" x14ac:dyDescent="0.3">
      <c r="A61">
        <v>1121</v>
      </c>
      <c r="B61" s="2">
        <v>45923.447962962957</v>
      </c>
      <c r="C61">
        <v>130000</v>
      </c>
      <c r="D61">
        <v>75000</v>
      </c>
      <c r="E61">
        <v>0</v>
      </c>
      <c r="F61">
        <v>20000</v>
      </c>
      <c r="G61">
        <v>0</v>
      </c>
      <c r="H61">
        <v>0</v>
      </c>
      <c r="I61">
        <v>20000</v>
      </c>
      <c r="J61">
        <v>0</v>
      </c>
      <c r="K61">
        <v>0</v>
      </c>
      <c r="L61">
        <v>0</v>
      </c>
      <c r="M61">
        <v>4000</v>
      </c>
      <c r="N61">
        <v>42500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4</v>
      </c>
      <c r="W61">
        <v>7</v>
      </c>
      <c r="X61">
        <v>200000</v>
      </c>
      <c r="Y61">
        <v>200000</v>
      </c>
      <c r="Z61">
        <v>140000</v>
      </c>
      <c r="AA61">
        <v>0</v>
      </c>
      <c r="AB61">
        <v>0</v>
      </c>
      <c r="AC61">
        <v>200000</v>
      </c>
      <c r="AD61">
        <v>120000</v>
      </c>
      <c r="AG61">
        <v>6</v>
      </c>
      <c r="AH61">
        <v>9</v>
      </c>
      <c r="AI61">
        <v>-2</v>
      </c>
      <c r="AJ61">
        <v>-1</v>
      </c>
      <c r="AK61">
        <v>0</v>
      </c>
      <c r="AL61">
        <v>0</v>
      </c>
      <c r="AM61" t="s">
        <v>150</v>
      </c>
      <c r="AN61">
        <v>646</v>
      </c>
      <c r="AO61">
        <v>281</v>
      </c>
      <c r="AP61">
        <v>1282</v>
      </c>
      <c r="AQ61">
        <v>1282</v>
      </c>
      <c r="AS61">
        <v>4</v>
      </c>
      <c r="AT61">
        <v>90</v>
      </c>
      <c r="AU61" t="s">
        <v>88</v>
      </c>
      <c r="AV61">
        <v>19</v>
      </c>
      <c r="AW61" t="s">
        <v>80</v>
      </c>
      <c r="AX61">
        <v>22</v>
      </c>
      <c r="AY61" s="4">
        <f t="shared" si="0"/>
        <v>15</v>
      </c>
      <c r="AZ61" t="str">
        <f t="shared" si="1"/>
        <v>(Natu-city)</v>
      </c>
      <c r="BA61">
        <v>4</v>
      </c>
      <c r="BB61">
        <v>127</v>
      </c>
      <c r="BC61">
        <f t="shared" si="14"/>
        <v>0</v>
      </c>
      <c r="BD61">
        <f t="shared" si="2"/>
        <v>4000</v>
      </c>
    </row>
    <row r="62" spans="1:56" x14ac:dyDescent="0.3">
      <c r="A62">
        <v>1031</v>
      </c>
      <c r="B62" s="2">
        <v>45923.437662037039</v>
      </c>
      <c r="C62">
        <v>190000</v>
      </c>
      <c r="D62">
        <v>115000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80000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8</v>
      </c>
      <c r="X62">
        <v>300000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103</v>
      </c>
      <c r="AN62">
        <v>647</v>
      </c>
      <c r="AO62">
        <v>267</v>
      </c>
      <c r="AS62">
        <v>0</v>
      </c>
      <c r="AT62">
        <v>90</v>
      </c>
      <c r="AU62" t="s">
        <v>88</v>
      </c>
      <c r="AV62">
        <v>19</v>
      </c>
      <c r="AW62" t="s">
        <v>80</v>
      </c>
      <c r="AX62">
        <v>22</v>
      </c>
      <c r="AY62" s="4">
        <f t="shared" si="0"/>
        <v>0</v>
      </c>
      <c r="AZ62" t="str">
        <f t="shared" si="1"/>
        <v/>
      </c>
      <c r="BA62">
        <v>0</v>
      </c>
      <c r="BB62">
        <v>128</v>
      </c>
      <c r="BD62">
        <f t="shared" si="2"/>
        <v>0</v>
      </c>
    </row>
    <row r="63" spans="1:56" x14ac:dyDescent="0.3">
      <c r="A63">
        <v>1047</v>
      </c>
      <c r="B63" s="2">
        <v>45923.437662037039</v>
      </c>
      <c r="C63">
        <v>190000</v>
      </c>
      <c r="D63">
        <v>115000</v>
      </c>
      <c r="E63">
        <v>0</v>
      </c>
      <c r="F63">
        <v>30000</v>
      </c>
      <c r="G63">
        <v>0</v>
      </c>
      <c r="H63">
        <v>0</v>
      </c>
      <c r="I63">
        <v>15000</v>
      </c>
      <c r="J63">
        <v>14000</v>
      </c>
      <c r="K63">
        <v>21000</v>
      </c>
      <c r="L63">
        <v>0</v>
      </c>
      <c r="M63">
        <v>0</v>
      </c>
      <c r="N63">
        <v>75000</v>
      </c>
      <c r="O63">
        <v>0</v>
      </c>
      <c r="P63">
        <v>0</v>
      </c>
      <c r="Q63">
        <v>2</v>
      </c>
      <c r="R63">
        <v>2</v>
      </c>
      <c r="S63">
        <v>0</v>
      </c>
      <c r="T63">
        <v>0</v>
      </c>
      <c r="U63">
        <v>0</v>
      </c>
      <c r="V63">
        <v>9</v>
      </c>
      <c r="W63">
        <v>8</v>
      </c>
      <c r="X63">
        <v>300000</v>
      </c>
      <c r="Y63">
        <v>0</v>
      </c>
      <c r="Z63">
        <v>0</v>
      </c>
      <c r="AA63">
        <v>0</v>
      </c>
      <c r="AB63">
        <v>300000</v>
      </c>
      <c r="AC63">
        <v>300000</v>
      </c>
      <c r="AD63">
        <v>270000</v>
      </c>
      <c r="AG63">
        <v>4</v>
      </c>
      <c r="AH63">
        <v>9</v>
      </c>
      <c r="AI63">
        <v>0</v>
      </c>
      <c r="AJ63">
        <v>0</v>
      </c>
      <c r="AK63">
        <v>2</v>
      </c>
      <c r="AL63">
        <v>0</v>
      </c>
      <c r="AM63" t="s">
        <v>150</v>
      </c>
      <c r="AN63">
        <v>647</v>
      </c>
      <c r="AO63">
        <v>270</v>
      </c>
      <c r="AQ63">
        <v>1284</v>
      </c>
      <c r="AS63">
        <v>1</v>
      </c>
      <c r="AT63">
        <v>90</v>
      </c>
      <c r="AU63" t="s">
        <v>88</v>
      </c>
      <c r="AV63">
        <v>19</v>
      </c>
      <c r="AW63" t="s">
        <v>80</v>
      </c>
      <c r="AX63">
        <v>22</v>
      </c>
      <c r="AY63" s="4">
        <f t="shared" si="0"/>
        <v>13</v>
      </c>
      <c r="AZ63" t="str">
        <f t="shared" si="1"/>
        <v>(Dike-town)</v>
      </c>
      <c r="BA63">
        <v>1</v>
      </c>
      <c r="BB63">
        <v>128</v>
      </c>
      <c r="BC63">
        <f t="shared" ref="BC63:BC66" si="15">AK63+AL63</f>
        <v>2</v>
      </c>
      <c r="BD63">
        <f t="shared" si="2"/>
        <v>0</v>
      </c>
    </row>
    <row r="64" spans="1:56" x14ac:dyDescent="0.3">
      <c r="A64">
        <v>1082</v>
      </c>
      <c r="B64" s="2">
        <v>45923.437662037039</v>
      </c>
      <c r="C64">
        <v>190000</v>
      </c>
      <c r="D64">
        <v>115000</v>
      </c>
      <c r="E64">
        <v>0</v>
      </c>
      <c r="F64">
        <v>30000</v>
      </c>
      <c r="G64">
        <v>0</v>
      </c>
      <c r="H64">
        <v>0</v>
      </c>
      <c r="I64">
        <v>15000</v>
      </c>
      <c r="J64">
        <v>19000</v>
      </c>
      <c r="K64">
        <v>17000</v>
      </c>
      <c r="L64">
        <v>0</v>
      </c>
      <c r="M64">
        <v>4000</v>
      </c>
      <c r="N64">
        <v>65000</v>
      </c>
      <c r="O64">
        <v>0</v>
      </c>
      <c r="P64">
        <v>0</v>
      </c>
      <c r="Q64">
        <v>1</v>
      </c>
      <c r="R64">
        <v>2</v>
      </c>
      <c r="S64">
        <v>0</v>
      </c>
      <c r="T64">
        <v>1</v>
      </c>
      <c r="U64">
        <v>0</v>
      </c>
      <c r="V64">
        <v>11</v>
      </c>
      <c r="W64">
        <v>8</v>
      </c>
      <c r="X64">
        <v>300000</v>
      </c>
      <c r="Y64">
        <v>300000</v>
      </c>
      <c r="Z64">
        <v>270000</v>
      </c>
      <c r="AA64">
        <v>0</v>
      </c>
      <c r="AB64">
        <v>0</v>
      </c>
      <c r="AC64">
        <v>300000</v>
      </c>
      <c r="AD64">
        <v>240000</v>
      </c>
      <c r="AG64">
        <v>4</v>
      </c>
      <c r="AH64">
        <v>9</v>
      </c>
      <c r="AI64">
        <v>0</v>
      </c>
      <c r="AJ64">
        <v>0</v>
      </c>
      <c r="AK64">
        <v>2</v>
      </c>
      <c r="AL64">
        <v>3</v>
      </c>
      <c r="AM64" t="s">
        <v>150</v>
      </c>
      <c r="AN64">
        <v>647</v>
      </c>
      <c r="AO64">
        <v>274</v>
      </c>
      <c r="AP64">
        <v>1284</v>
      </c>
      <c r="AQ64">
        <v>1284</v>
      </c>
      <c r="AS64">
        <v>2</v>
      </c>
      <c r="AT64">
        <v>90</v>
      </c>
      <c r="AU64" t="s">
        <v>88</v>
      </c>
      <c r="AV64">
        <v>19</v>
      </c>
      <c r="AW64" t="s">
        <v>80</v>
      </c>
      <c r="AX64">
        <v>22</v>
      </c>
      <c r="AY64" s="4">
        <f t="shared" si="0"/>
        <v>13</v>
      </c>
      <c r="AZ64" t="str">
        <f t="shared" si="1"/>
        <v>(Dike-town)</v>
      </c>
      <c r="BA64">
        <v>2</v>
      </c>
      <c r="BB64">
        <v>128</v>
      </c>
      <c r="BC64">
        <f t="shared" si="15"/>
        <v>5</v>
      </c>
      <c r="BD64">
        <f t="shared" si="2"/>
        <v>4000</v>
      </c>
    </row>
    <row r="65" spans="1:56" x14ac:dyDescent="0.3">
      <c r="A65">
        <v>1100</v>
      </c>
      <c r="B65" s="2">
        <v>45923.437662037039</v>
      </c>
      <c r="C65">
        <v>190000</v>
      </c>
      <c r="D65">
        <v>115000</v>
      </c>
      <c r="E65">
        <v>0</v>
      </c>
      <c r="F65">
        <v>30000</v>
      </c>
      <c r="G65">
        <v>0</v>
      </c>
      <c r="H65">
        <v>0</v>
      </c>
      <c r="I65">
        <v>15000</v>
      </c>
      <c r="J65">
        <v>0</v>
      </c>
      <c r="K65">
        <v>0</v>
      </c>
      <c r="L65">
        <v>16000</v>
      </c>
      <c r="M65">
        <v>4000</v>
      </c>
      <c r="N65">
        <v>75000</v>
      </c>
      <c r="O65">
        <v>0</v>
      </c>
      <c r="P65">
        <v>0</v>
      </c>
      <c r="Q65">
        <v>0</v>
      </c>
      <c r="R65">
        <v>0</v>
      </c>
      <c r="S65">
        <v>5</v>
      </c>
      <c r="T65">
        <v>1</v>
      </c>
      <c r="U65">
        <v>0</v>
      </c>
      <c r="V65">
        <v>5</v>
      </c>
      <c r="W65">
        <v>8</v>
      </c>
      <c r="X65">
        <v>300000</v>
      </c>
      <c r="Y65">
        <v>300000</v>
      </c>
      <c r="Z65">
        <v>240000</v>
      </c>
      <c r="AA65">
        <v>0</v>
      </c>
      <c r="AB65">
        <v>0</v>
      </c>
      <c r="AC65">
        <v>300000</v>
      </c>
      <c r="AD65">
        <v>210000</v>
      </c>
      <c r="AG65">
        <v>4</v>
      </c>
      <c r="AH65">
        <v>9</v>
      </c>
      <c r="AI65">
        <v>-1</v>
      </c>
      <c r="AJ65">
        <v>-2</v>
      </c>
      <c r="AK65">
        <v>0</v>
      </c>
      <c r="AL65">
        <v>0</v>
      </c>
      <c r="AM65" t="s">
        <v>150</v>
      </c>
      <c r="AN65">
        <v>647</v>
      </c>
      <c r="AO65">
        <v>277</v>
      </c>
      <c r="AP65">
        <v>1284</v>
      </c>
      <c r="AQ65">
        <v>1284</v>
      </c>
      <c r="AS65">
        <v>3</v>
      </c>
      <c r="AT65">
        <v>90</v>
      </c>
      <c r="AU65" t="s">
        <v>88</v>
      </c>
      <c r="AV65">
        <v>19</v>
      </c>
      <c r="AW65" t="s">
        <v>80</v>
      </c>
      <c r="AX65">
        <v>22</v>
      </c>
      <c r="AY65" s="4">
        <f t="shared" si="0"/>
        <v>13</v>
      </c>
      <c r="AZ65" t="str">
        <f t="shared" si="1"/>
        <v>(Dike-town)</v>
      </c>
      <c r="BA65">
        <v>3</v>
      </c>
      <c r="BB65">
        <v>128</v>
      </c>
      <c r="BC65">
        <f t="shared" si="15"/>
        <v>0</v>
      </c>
      <c r="BD65">
        <f t="shared" si="2"/>
        <v>20000</v>
      </c>
    </row>
    <row r="66" spans="1:56" x14ac:dyDescent="0.3">
      <c r="A66">
        <v>1124</v>
      </c>
      <c r="B66" s="2">
        <v>45923.437662037039</v>
      </c>
      <c r="C66">
        <v>190000</v>
      </c>
      <c r="D66">
        <v>115000</v>
      </c>
      <c r="E66">
        <v>0</v>
      </c>
      <c r="F66">
        <v>30000</v>
      </c>
      <c r="G66">
        <v>190000</v>
      </c>
      <c r="H66">
        <v>125000</v>
      </c>
      <c r="I66">
        <v>20000</v>
      </c>
      <c r="J66">
        <v>15000</v>
      </c>
      <c r="K66">
        <v>0</v>
      </c>
      <c r="L66">
        <v>0</v>
      </c>
      <c r="M66">
        <v>0</v>
      </c>
      <c r="N66">
        <v>150000</v>
      </c>
      <c r="O66">
        <v>1</v>
      </c>
      <c r="P66">
        <v>1</v>
      </c>
      <c r="Q66">
        <v>2</v>
      </c>
      <c r="R66">
        <v>0</v>
      </c>
      <c r="S66">
        <v>0</v>
      </c>
      <c r="T66">
        <v>0</v>
      </c>
      <c r="U66">
        <v>0</v>
      </c>
      <c r="V66">
        <v>7</v>
      </c>
      <c r="W66">
        <v>8</v>
      </c>
      <c r="X66">
        <v>300000</v>
      </c>
      <c r="Y66">
        <v>300000</v>
      </c>
      <c r="Z66">
        <v>210000</v>
      </c>
      <c r="AA66">
        <v>400000</v>
      </c>
      <c r="AB66">
        <v>425000</v>
      </c>
      <c r="AC66">
        <v>300000</v>
      </c>
      <c r="AD66">
        <v>270000</v>
      </c>
      <c r="AE66">
        <v>35</v>
      </c>
      <c r="AG66">
        <v>6</v>
      </c>
      <c r="AH66">
        <v>9</v>
      </c>
      <c r="AI66">
        <v>-2</v>
      </c>
      <c r="AJ66">
        <v>-1</v>
      </c>
      <c r="AK66">
        <v>4</v>
      </c>
      <c r="AL66">
        <v>3</v>
      </c>
      <c r="AM66" t="s">
        <v>150</v>
      </c>
      <c r="AN66">
        <v>647</v>
      </c>
      <c r="AO66">
        <v>281</v>
      </c>
      <c r="AP66">
        <v>1284</v>
      </c>
      <c r="AQ66">
        <v>1347</v>
      </c>
      <c r="AS66">
        <v>4</v>
      </c>
      <c r="AT66">
        <v>90</v>
      </c>
      <c r="AU66" t="s">
        <v>88</v>
      </c>
      <c r="AV66">
        <v>19</v>
      </c>
      <c r="AW66" t="s">
        <v>80</v>
      </c>
      <c r="AX66">
        <v>22</v>
      </c>
      <c r="AY66" s="4">
        <f t="shared" si="0"/>
        <v>15</v>
      </c>
      <c r="AZ66" t="str">
        <f t="shared" si="1"/>
        <v>(Natu-city)</v>
      </c>
      <c r="BA66">
        <v>4</v>
      </c>
      <c r="BB66">
        <v>128</v>
      </c>
      <c r="BC66">
        <f t="shared" si="15"/>
        <v>7</v>
      </c>
      <c r="BD66">
        <f t="shared" si="2"/>
        <v>0</v>
      </c>
    </row>
    <row r="67" spans="1:56" x14ac:dyDescent="0.3">
      <c r="A67">
        <v>1055</v>
      </c>
      <c r="B67" s="2">
        <v>45923.449282407411</v>
      </c>
      <c r="C67">
        <v>75000</v>
      </c>
      <c r="D67">
        <v>40000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4</v>
      </c>
      <c r="X67">
        <v>110000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103</v>
      </c>
      <c r="AN67">
        <v>650</v>
      </c>
      <c r="AO67">
        <v>268</v>
      </c>
      <c r="AS67">
        <v>0</v>
      </c>
      <c r="AT67">
        <v>91</v>
      </c>
      <c r="AU67" t="s">
        <v>89</v>
      </c>
      <c r="AV67">
        <v>19</v>
      </c>
      <c r="AW67" t="s">
        <v>80</v>
      </c>
      <c r="AX67">
        <v>22</v>
      </c>
      <c r="AY67" s="4">
        <f t="shared" ref="AY67:AY130" si="16">AG67+AH67</f>
        <v>0</v>
      </c>
      <c r="AZ67" t="str">
        <f t="shared" ref="AZ67:AZ130" si="17">IF(AY67=12,"(U-village)",IF(AY67=13,"(Dike-town)",IF(AY67=15,"(Natu-city)","")))</f>
        <v/>
      </c>
      <c r="BA67">
        <v>0</v>
      </c>
      <c r="BB67">
        <v>124</v>
      </c>
      <c r="BD67">
        <f t="shared" ref="BD67:BD130" si="18">L67+M67</f>
        <v>0</v>
      </c>
    </row>
    <row r="68" spans="1:56" x14ac:dyDescent="0.3">
      <c r="A68">
        <v>1064</v>
      </c>
      <c r="B68" s="2">
        <v>45923.449282407411</v>
      </c>
      <c r="C68">
        <v>75000</v>
      </c>
      <c r="D68">
        <v>40000</v>
      </c>
      <c r="E68">
        <v>0</v>
      </c>
      <c r="F68">
        <v>7000</v>
      </c>
      <c r="G68">
        <v>0</v>
      </c>
      <c r="H68">
        <v>0</v>
      </c>
      <c r="I68">
        <v>20000</v>
      </c>
      <c r="J68">
        <v>1000</v>
      </c>
      <c r="K68">
        <v>3150</v>
      </c>
      <c r="L68">
        <v>0</v>
      </c>
      <c r="M68">
        <v>4000</v>
      </c>
      <c r="N68">
        <v>4850</v>
      </c>
      <c r="O68">
        <v>0</v>
      </c>
      <c r="P68">
        <v>-2</v>
      </c>
      <c r="Q68">
        <v>0</v>
      </c>
      <c r="R68">
        <v>1</v>
      </c>
      <c r="S68">
        <v>1</v>
      </c>
      <c r="T68">
        <v>1</v>
      </c>
      <c r="U68">
        <v>0</v>
      </c>
      <c r="V68">
        <v>2</v>
      </c>
      <c r="W68">
        <v>4</v>
      </c>
      <c r="X68">
        <v>110000</v>
      </c>
      <c r="Y68">
        <v>0</v>
      </c>
      <c r="Z68">
        <v>0</v>
      </c>
      <c r="AA68">
        <v>0</v>
      </c>
      <c r="AB68">
        <v>70000</v>
      </c>
      <c r="AC68">
        <v>70000</v>
      </c>
      <c r="AD68">
        <v>63000</v>
      </c>
      <c r="AG68">
        <v>6</v>
      </c>
      <c r="AH68">
        <v>6</v>
      </c>
      <c r="AI68">
        <v>0</v>
      </c>
      <c r="AJ68">
        <v>0</v>
      </c>
      <c r="AK68">
        <v>0</v>
      </c>
      <c r="AL68">
        <v>1</v>
      </c>
      <c r="AM68" t="s">
        <v>150</v>
      </c>
      <c r="AN68">
        <v>650</v>
      </c>
      <c r="AO68">
        <v>272</v>
      </c>
      <c r="AQ68">
        <v>1324</v>
      </c>
      <c r="AS68">
        <v>1</v>
      </c>
      <c r="AT68">
        <v>91</v>
      </c>
      <c r="AU68" t="s">
        <v>89</v>
      </c>
      <c r="AV68">
        <v>19</v>
      </c>
      <c r="AW68" t="s">
        <v>80</v>
      </c>
      <c r="AX68">
        <v>22</v>
      </c>
      <c r="AY68" s="4">
        <f t="shared" si="16"/>
        <v>12</v>
      </c>
      <c r="AZ68" t="str">
        <f t="shared" si="17"/>
        <v>(U-village)</v>
      </c>
      <c r="BA68">
        <v>1</v>
      </c>
      <c r="BB68">
        <v>124</v>
      </c>
      <c r="BC68">
        <f t="shared" ref="BC68:BC71" si="19">AK68+AL68</f>
        <v>1</v>
      </c>
      <c r="BD68">
        <f t="shared" si="18"/>
        <v>4000</v>
      </c>
    </row>
    <row r="69" spans="1:56" x14ac:dyDescent="0.3">
      <c r="A69">
        <v>1087</v>
      </c>
      <c r="B69" s="2">
        <v>45923.449282407411</v>
      </c>
      <c r="C69">
        <v>75000</v>
      </c>
      <c r="D69">
        <v>40000</v>
      </c>
      <c r="E69">
        <v>0</v>
      </c>
      <c r="F69">
        <v>7000</v>
      </c>
      <c r="G69">
        <v>0</v>
      </c>
      <c r="H69">
        <v>0</v>
      </c>
      <c r="I69">
        <v>20000</v>
      </c>
      <c r="J69">
        <v>0</v>
      </c>
      <c r="K69">
        <v>3500</v>
      </c>
      <c r="L69">
        <v>0</v>
      </c>
      <c r="M69">
        <v>4000</v>
      </c>
      <c r="N69">
        <v>5350</v>
      </c>
      <c r="O69">
        <v>0</v>
      </c>
      <c r="P69">
        <v>0</v>
      </c>
      <c r="Q69">
        <v>0</v>
      </c>
      <c r="R69">
        <v>2</v>
      </c>
      <c r="S69">
        <v>0</v>
      </c>
      <c r="T69">
        <v>1</v>
      </c>
      <c r="U69">
        <v>0</v>
      </c>
      <c r="V69">
        <v>3</v>
      </c>
      <c r="W69">
        <v>4</v>
      </c>
      <c r="X69">
        <v>110000</v>
      </c>
      <c r="Y69">
        <v>70000</v>
      </c>
      <c r="Z69">
        <v>63000</v>
      </c>
      <c r="AA69">
        <v>0</v>
      </c>
      <c r="AB69">
        <v>0</v>
      </c>
      <c r="AC69">
        <v>70000</v>
      </c>
      <c r="AD69">
        <v>56000</v>
      </c>
      <c r="AG69">
        <v>6</v>
      </c>
      <c r="AH69">
        <v>6</v>
      </c>
      <c r="AI69">
        <v>0</v>
      </c>
      <c r="AJ69">
        <v>0</v>
      </c>
      <c r="AK69">
        <v>0</v>
      </c>
      <c r="AL69">
        <v>0</v>
      </c>
      <c r="AM69" t="s">
        <v>150</v>
      </c>
      <c r="AN69">
        <v>650</v>
      </c>
      <c r="AO69">
        <v>275</v>
      </c>
      <c r="AP69">
        <v>1324</v>
      </c>
      <c r="AQ69">
        <v>1324</v>
      </c>
      <c r="AS69">
        <v>2</v>
      </c>
      <c r="AT69">
        <v>91</v>
      </c>
      <c r="AU69" t="s">
        <v>89</v>
      </c>
      <c r="AV69">
        <v>19</v>
      </c>
      <c r="AW69" t="s">
        <v>80</v>
      </c>
      <c r="AX69">
        <v>22</v>
      </c>
      <c r="AY69" s="4">
        <f t="shared" si="16"/>
        <v>12</v>
      </c>
      <c r="AZ69" t="str">
        <f t="shared" si="17"/>
        <v>(U-village)</v>
      </c>
      <c r="BA69">
        <v>2</v>
      </c>
      <c r="BB69">
        <v>124</v>
      </c>
      <c r="BC69">
        <f t="shared" si="19"/>
        <v>0</v>
      </c>
      <c r="BD69">
        <f t="shared" si="18"/>
        <v>4000</v>
      </c>
    </row>
    <row r="70" spans="1:56" x14ac:dyDescent="0.3">
      <c r="A70">
        <v>1113</v>
      </c>
      <c r="B70" s="2">
        <v>45923.449282407411</v>
      </c>
      <c r="C70">
        <v>75000</v>
      </c>
      <c r="D70">
        <v>40000</v>
      </c>
      <c r="E70">
        <v>0</v>
      </c>
      <c r="F70">
        <v>7000</v>
      </c>
      <c r="G70">
        <v>0</v>
      </c>
      <c r="H70">
        <v>0</v>
      </c>
      <c r="I70">
        <v>20000</v>
      </c>
      <c r="J70">
        <v>8000</v>
      </c>
      <c r="K70">
        <v>0</v>
      </c>
      <c r="L70">
        <v>24000</v>
      </c>
      <c r="M70">
        <v>0</v>
      </c>
      <c r="N70">
        <v>-18650</v>
      </c>
      <c r="O70">
        <v>0</v>
      </c>
      <c r="P70">
        <v>0</v>
      </c>
      <c r="Q70">
        <v>1</v>
      </c>
      <c r="R70">
        <v>0</v>
      </c>
      <c r="S70">
        <v>7</v>
      </c>
      <c r="T70">
        <v>0</v>
      </c>
      <c r="U70">
        <v>0</v>
      </c>
      <c r="V70">
        <v>-3</v>
      </c>
      <c r="W70">
        <v>4</v>
      </c>
      <c r="X70">
        <v>110000</v>
      </c>
      <c r="Y70">
        <v>70000</v>
      </c>
      <c r="Z70">
        <v>56000</v>
      </c>
      <c r="AA70">
        <v>0</v>
      </c>
      <c r="AB70">
        <v>0</v>
      </c>
      <c r="AC70">
        <v>70000</v>
      </c>
      <c r="AD70">
        <v>49000</v>
      </c>
      <c r="AG70">
        <v>6</v>
      </c>
      <c r="AH70">
        <v>6</v>
      </c>
      <c r="AI70">
        <v>-1</v>
      </c>
      <c r="AJ70">
        <v>-2</v>
      </c>
      <c r="AK70">
        <v>1</v>
      </c>
      <c r="AL70">
        <v>1</v>
      </c>
      <c r="AM70" t="s">
        <v>150</v>
      </c>
      <c r="AN70">
        <v>650</v>
      </c>
      <c r="AO70">
        <v>279</v>
      </c>
      <c r="AP70">
        <v>1324</v>
      </c>
      <c r="AQ70">
        <v>1324</v>
      </c>
      <c r="AS70">
        <v>3</v>
      </c>
      <c r="AT70">
        <v>91</v>
      </c>
      <c r="AU70" t="s">
        <v>89</v>
      </c>
      <c r="AV70">
        <v>19</v>
      </c>
      <c r="AW70" t="s">
        <v>80</v>
      </c>
      <c r="AX70">
        <v>22</v>
      </c>
      <c r="AY70" s="4">
        <f t="shared" si="16"/>
        <v>12</v>
      </c>
      <c r="AZ70" t="str">
        <f t="shared" si="17"/>
        <v>(U-village)</v>
      </c>
      <c r="BA70">
        <v>3</v>
      </c>
      <c r="BB70">
        <v>124</v>
      </c>
      <c r="BC70">
        <f t="shared" si="19"/>
        <v>2</v>
      </c>
      <c r="BD70">
        <f t="shared" si="18"/>
        <v>24000</v>
      </c>
    </row>
    <row r="71" spans="1:56" x14ac:dyDescent="0.3">
      <c r="A71">
        <v>1137</v>
      </c>
      <c r="B71" s="2">
        <v>45923.449282407411</v>
      </c>
      <c r="C71">
        <v>75000</v>
      </c>
      <c r="D71">
        <v>40000</v>
      </c>
      <c r="E71">
        <v>18650</v>
      </c>
      <c r="F71">
        <v>7000</v>
      </c>
      <c r="G71">
        <v>0</v>
      </c>
      <c r="H71">
        <v>0</v>
      </c>
      <c r="I71">
        <v>20000</v>
      </c>
      <c r="J71">
        <v>0</v>
      </c>
      <c r="K71">
        <v>0</v>
      </c>
      <c r="L71">
        <v>16000</v>
      </c>
      <c r="M71">
        <v>0</v>
      </c>
      <c r="N71">
        <v>-26650</v>
      </c>
      <c r="O71">
        <v>0</v>
      </c>
      <c r="P71">
        <v>0</v>
      </c>
      <c r="Q71">
        <v>0</v>
      </c>
      <c r="R71">
        <v>0</v>
      </c>
      <c r="S71">
        <v>5</v>
      </c>
      <c r="T71">
        <v>0</v>
      </c>
      <c r="U71">
        <v>1</v>
      </c>
      <c r="V71">
        <v>-9</v>
      </c>
      <c r="W71">
        <v>4</v>
      </c>
      <c r="X71">
        <v>110000</v>
      </c>
      <c r="Y71">
        <v>70000</v>
      </c>
      <c r="Z71">
        <v>49000</v>
      </c>
      <c r="AA71">
        <v>0</v>
      </c>
      <c r="AB71">
        <v>0</v>
      </c>
      <c r="AC71">
        <v>70000</v>
      </c>
      <c r="AD71">
        <v>42000</v>
      </c>
      <c r="AG71">
        <v>6</v>
      </c>
      <c r="AH71">
        <v>6</v>
      </c>
      <c r="AI71">
        <v>-2</v>
      </c>
      <c r="AJ71">
        <v>-1</v>
      </c>
      <c r="AK71">
        <v>0</v>
      </c>
      <c r="AL71">
        <v>0</v>
      </c>
      <c r="AM71" t="s">
        <v>150</v>
      </c>
      <c r="AN71">
        <v>650</v>
      </c>
      <c r="AO71">
        <v>283</v>
      </c>
      <c r="AP71">
        <v>1324</v>
      </c>
      <c r="AQ71">
        <v>1324</v>
      </c>
      <c r="AS71">
        <v>4</v>
      </c>
      <c r="AT71">
        <v>91</v>
      </c>
      <c r="AU71" t="s">
        <v>89</v>
      </c>
      <c r="AV71">
        <v>19</v>
      </c>
      <c r="AW71" t="s">
        <v>80</v>
      </c>
      <c r="AX71">
        <v>22</v>
      </c>
      <c r="AY71" s="4">
        <f t="shared" si="16"/>
        <v>12</v>
      </c>
      <c r="AZ71" t="str">
        <f t="shared" si="17"/>
        <v>(U-village)</v>
      </c>
      <c r="BA71">
        <v>4</v>
      </c>
      <c r="BB71">
        <v>124</v>
      </c>
      <c r="BC71">
        <f t="shared" si="19"/>
        <v>0</v>
      </c>
      <c r="BD71">
        <f t="shared" si="18"/>
        <v>16000</v>
      </c>
    </row>
    <row r="72" spans="1:56" x14ac:dyDescent="0.3">
      <c r="A72">
        <v>1048</v>
      </c>
      <c r="B72" s="2">
        <v>45923.44908564815</v>
      </c>
      <c r="C72">
        <v>110000</v>
      </c>
      <c r="D72">
        <v>60000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30000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6</v>
      </c>
      <c r="X72">
        <v>170000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103</v>
      </c>
      <c r="AN72">
        <v>651</v>
      </c>
      <c r="AO72">
        <v>268</v>
      </c>
      <c r="AS72">
        <v>0</v>
      </c>
      <c r="AT72">
        <v>91</v>
      </c>
      <c r="AU72" t="s">
        <v>89</v>
      </c>
      <c r="AV72">
        <v>19</v>
      </c>
      <c r="AW72" t="s">
        <v>80</v>
      </c>
      <c r="AX72">
        <v>22</v>
      </c>
      <c r="AY72" s="4">
        <f t="shared" si="16"/>
        <v>0</v>
      </c>
      <c r="AZ72" t="str">
        <f t="shared" si="17"/>
        <v/>
      </c>
      <c r="BA72">
        <v>0</v>
      </c>
      <c r="BB72">
        <v>126</v>
      </c>
      <c r="BD72">
        <f t="shared" si="18"/>
        <v>0</v>
      </c>
    </row>
    <row r="73" spans="1:56" x14ac:dyDescent="0.3">
      <c r="A73">
        <v>1066</v>
      </c>
      <c r="B73" s="2">
        <v>45923.44908564815</v>
      </c>
      <c r="C73">
        <v>110000</v>
      </c>
      <c r="D73">
        <v>60000</v>
      </c>
      <c r="E73">
        <v>0</v>
      </c>
      <c r="F73">
        <v>17000</v>
      </c>
      <c r="G73">
        <v>0</v>
      </c>
      <c r="H73">
        <v>30000</v>
      </c>
      <c r="I73">
        <v>20000</v>
      </c>
      <c r="J73">
        <v>9000</v>
      </c>
      <c r="K73">
        <v>4000</v>
      </c>
      <c r="L73">
        <v>0</v>
      </c>
      <c r="M73">
        <v>4000</v>
      </c>
      <c r="N73">
        <v>-4000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5</v>
      </c>
      <c r="W73">
        <v>6</v>
      </c>
      <c r="X73">
        <v>170000</v>
      </c>
      <c r="Y73">
        <v>0</v>
      </c>
      <c r="Z73">
        <v>0</v>
      </c>
      <c r="AA73">
        <v>0</v>
      </c>
      <c r="AB73">
        <v>200000</v>
      </c>
      <c r="AC73">
        <v>170000</v>
      </c>
      <c r="AD73">
        <v>153000</v>
      </c>
      <c r="AG73">
        <v>6</v>
      </c>
      <c r="AH73">
        <v>9</v>
      </c>
      <c r="AI73">
        <v>0</v>
      </c>
      <c r="AJ73">
        <v>0</v>
      </c>
      <c r="AK73">
        <v>1</v>
      </c>
      <c r="AL73">
        <v>2</v>
      </c>
      <c r="AM73" t="s">
        <v>150</v>
      </c>
      <c r="AN73">
        <v>651</v>
      </c>
      <c r="AO73">
        <v>272</v>
      </c>
      <c r="AQ73">
        <v>1311</v>
      </c>
      <c r="AS73">
        <v>1</v>
      </c>
      <c r="AT73">
        <v>91</v>
      </c>
      <c r="AU73" t="s">
        <v>89</v>
      </c>
      <c r="AV73">
        <v>19</v>
      </c>
      <c r="AW73" t="s">
        <v>80</v>
      </c>
      <c r="AX73">
        <v>22</v>
      </c>
      <c r="AY73" s="4">
        <f t="shared" si="16"/>
        <v>15</v>
      </c>
      <c r="AZ73" t="str">
        <f t="shared" si="17"/>
        <v>(Natu-city)</v>
      </c>
      <c r="BA73">
        <v>1</v>
      </c>
      <c r="BB73">
        <v>126</v>
      </c>
      <c r="BC73">
        <f t="shared" ref="BC73:BC76" si="20">AK73+AL73</f>
        <v>3</v>
      </c>
      <c r="BD73">
        <f t="shared" si="18"/>
        <v>4000</v>
      </c>
    </row>
    <row r="74" spans="1:56" x14ac:dyDescent="0.3">
      <c r="A74">
        <v>1088</v>
      </c>
      <c r="B74" s="2">
        <v>45923.44908564815</v>
      </c>
      <c r="C74">
        <v>110000</v>
      </c>
      <c r="D74">
        <v>60000</v>
      </c>
      <c r="E74">
        <v>4000</v>
      </c>
      <c r="F74">
        <v>17000</v>
      </c>
      <c r="G74">
        <v>0</v>
      </c>
      <c r="H74">
        <v>0</v>
      </c>
      <c r="I74">
        <v>20000</v>
      </c>
      <c r="J74">
        <v>0</v>
      </c>
      <c r="K74">
        <v>0</v>
      </c>
      <c r="L74">
        <v>0</v>
      </c>
      <c r="M74">
        <v>4000</v>
      </c>
      <c r="N74">
        <v>5000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3</v>
      </c>
      <c r="W74">
        <v>6</v>
      </c>
      <c r="X74">
        <v>170000</v>
      </c>
      <c r="Y74">
        <v>170000</v>
      </c>
      <c r="Z74">
        <v>153000</v>
      </c>
      <c r="AA74">
        <v>0</v>
      </c>
      <c r="AB74">
        <v>0</v>
      </c>
      <c r="AC74">
        <v>170000</v>
      </c>
      <c r="AD74">
        <v>136000</v>
      </c>
      <c r="AG74">
        <v>6</v>
      </c>
      <c r="AH74">
        <v>9</v>
      </c>
      <c r="AI74">
        <v>0</v>
      </c>
      <c r="AJ74">
        <v>0</v>
      </c>
      <c r="AK74">
        <v>0</v>
      </c>
      <c r="AL74">
        <v>0</v>
      </c>
      <c r="AM74" t="s">
        <v>150</v>
      </c>
      <c r="AN74">
        <v>651</v>
      </c>
      <c r="AO74">
        <v>275</v>
      </c>
      <c r="AP74">
        <v>1311</v>
      </c>
      <c r="AQ74">
        <v>1311</v>
      </c>
      <c r="AS74">
        <v>2</v>
      </c>
      <c r="AT74">
        <v>91</v>
      </c>
      <c r="AU74" t="s">
        <v>89</v>
      </c>
      <c r="AV74">
        <v>19</v>
      </c>
      <c r="AW74" t="s">
        <v>80</v>
      </c>
      <c r="AX74">
        <v>22</v>
      </c>
      <c r="AY74" s="4">
        <f t="shared" si="16"/>
        <v>15</v>
      </c>
      <c r="AZ74" t="str">
        <f t="shared" si="17"/>
        <v>(Natu-city)</v>
      </c>
      <c r="BA74">
        <v>2</v>
      </c>
      <c r="BB74">
        <v>126</v>
      </c>
      <c r="BC74">
        <f t="shared" si="20"/>
        <v>0</v>
      </c>
      <c r="BD74">
        <f t="shared" si="18"/>
        <v>4000</v>
      </c>
    </row>
    <row r="75" spans="1:56" x14ac:dyDescent="0.3">
      <c r="A75">
        <v>1104</v>
      </c>
      <c r="B75" s="2">
        <v>45923.44908564815</v>
      </c>
      <c r="C75">
        <v>110000</v>
      </c>
      <c r="D75">
        <v>60000</v>
      </c>
      <c r="E75">
        <v>0</v>
      </c>
      <c r="F75">
        <v>17000</v>
      </c>
      <c r="G75">
        <v>0</v>
      </c>
      <c r="H75">
        <v>0</v>
      </c>
      <c r="I75">
        <v>20000</v>
      </c>
      <c r="J75">
        <v>6000</v>
      </c>
      <c r="K75">
        <v>0</v>
      </c>
      <c r="L75">
        <v>16000</v>
      </c>
      <c r="M75">
        <v>0</v>
      </c>
      <c r="N75">
        <v>-4000</v>
      </c>
      <c r="O75">
        <v>0</v>
      </c>
      <c r="P75">
        <v>0</v>
      </c>
      <c r="Q75">
        <v>1</v>
      </c>
      <c r="R75">
        <v>0</v>
      </c>
      <c r="S75">
        <v>5</v>
      </c>
      <c r="T75">
        <v>0</v>
      </c>
      <c r="U75">
        <v>0</v>
      </c>
      <c r="V75">
        <v>-1</v>
      </c>
      <c r="W75">
        <v>6</v>
      </c>
      <c r="X75">
        <v>170000</v>
      </c>
      <c r="Y75">
        <v>170000</v>
      </c>
      <c r="Z75">
        <v>136000</v>
      </c>
      <c r="AA75">
        <v>0</v>
      </c>
      <c r="AB75">
        <v>0</v>
      </c>
      <c r="AC75">
        <v>170000</v>
      </c>
      <c r="AD75">
        <v>119000</v>
      </c>
      <c r="AG75">
        <v>6</v>
      </c>
      <c r="AH75">
        <v>9</v>
      </c>
      <c r="AI75">
        <v>-1</v>
      </c>
      <c r="AJ75">
        <v>-2</v>
      </c>
      <c r="AK75">
        <v>1</v>
      </c>
      <c r="AL75">
        <v>0</v>
      </c>
      <c r="AM75" t="s">
        <v>150</v>
      </c>
      <c r="AN75">
        <v>651</v>
      </c>
      <c r="AO75">
        <v>279</v>
      </c>
      <c r="AP75">
        <v>1311</v>
      </c>
      <c r="AQ75">
        <v>1311</v>
      </c>
      <c r="AS75">
        <v>3</v>
      </c>
      <c r="AT75">
        <v>91</v>
      </c>
      <c r="AU75" t="s">
        <v>89</v>
      </c>
      <c r="AV75">
        <v>19</v>
      </c>
      <c r="AW75" t="s">
        <v>80</v>
      </c>
      <c r="AX75">
        <v>22</v>
      </c>
      <c r="AY75" s="4">
        <f t="shared" si="16"/>
        <v>15</v>
      </c>
      <c r="AZ75" t="str">
        <f t="shared" si="17"/>
        <v>(Natu-city)</v>
      </c>
      <c r="BA75">
        <v>3</v>
      </c>
      <c r="BB75">
        <v>126</v>
      </c>
      <c r="BC75">
        <f t="shared" si="20"/>
        <v>1</v>
      </c>
      <c r="BD75">
        <f t="shared" si="18"/>
        <v>16000</v>
      </c>
    </row>
    <row r="76" spans="1:56" x14ac:dyDescent="0.3">
      <c r="A76">
        <v>1138</v>
      </c>
      <c r="B76" s="2">
        <v>45923.44908564815</v>
      </c>
      <c r="C76">
        <v>110000</v>
      </c>
      <c r="D76">
        <v>60000</v>
      </c>
      <c r="E76">
        <v>4000</v>
      </c>
      <c r="F76">
        <v>17000</v>
      </c>
      <c r="G76">
        <v>0</v>
      </c>
      <c r="H76">
        <v>0</v>
      </c>
      <c r="I76">
        <v>30000</v>
      </c>
      <c r="J76">
        <v>0</v>
      </c>
      <c r="K76">
        <v>0</v>
      </c>
      <c r="L76">
        <v>4000</v>
      </c>
      <c r="M76">
        <v>0</v>
      </c>
      <c r="N76">
        <v>-5000</v>
      </c>
      <c r="O76">
        <v>0</v>
      </c>
      <c r="P76">
        <v>0</v>
      </c>
      <c r="Q76">
        <v>0</v>
      </c>
      <c r="R76">
        <v>0</v>
      </c>
      <c r="S76">
        <v>2</v>
      </c>
      <c r="T76">
        <v>0</v>
      </c>
      <c r="U76">
        <v>1</v>
      </c>
      <c r="V76">
        <v>-4</v>
      </c>
      <c r="W76">
        <v>6</v>
      </c>
      <c r="X76">
        <v>170000</v>
      </c>
      <c r="Y76">
        <v>170000</v>
      </c>
      <c r="Z76">
        <v>119000</v>
      </c>
      <c r="AA76">
        <v>0</v>
      </c>
      <c r="AB76">
        <v>0</v>
      </c>
      <c r="AC76">
        <v>170000</v>
      </c>
      <c r="AD76">
        <v>102000</v>
      </c>
      <c r="AG76">
        <v>6</v>
      </c>
      <c r="AH76">
        <v>9</v>
      </c>
      <c r="AI76">
        <v>-2</v>
      </c>
      <c r="AJ76">
        <v>-1</v>
      </c>
      <c r="AK76">
        <v>0</v>
      </c>
      <c r="AL76">
        <v>0</v>
      </c>
      <c r="AM76" t="s">
        <v>150</v>
      </c>
      <c r="AN76">
        <v>651</v>
      </c>
      <c r="AO76">
        <v>283</v>
      </c>
      <c r="AP76">
        <v>1311</v>
      </c>
      <c r="AQ76">
        <v>1311</v>
      </c>
      <c r="AS76">
        <v>4</v>
      </c>
      <c r="AT76">
        <v>91</v>
      </c>
      <c r="AU76" t="s">
        <v>89</v>
      </c>
      <c r="AV76">
        <v>19</v>
      </c>
      <c r="AW76" t="s">
        <v>80</v>
      </c>
      <c r="AX76">
        <v>22</v>
      </c>
      <c r="AY76" s="4">
        <f t="shared" si="16"/>
        <v>15</v>
      </c>
      <c r="AZ76" t="str">
        <f t="shared" si="17"/>
        <v>(Natu-city)</v>
      </c>
      <c r="BA76">
        <v>4</v>
      </c>
      <c r="BB76">
        <v>126</v>
      </c>
      <c r="BC76">
        <f t="shared" si="20"/>
        <v>0</v>
      </c>
      <c r="BD76">
        <f t="shared" si="18"/>
        <v>4000</v>
      </c>
    </row>
    <row r="77" spans="1:56" x14ac:dyDescent="0.3">
      <c r="A77">
        <v>1041</v>
      </c>
      <c r="B77" s="2">
        <v>45923.448194444441</v>
      </c>
      <c r="C77">
        <v>60000</v>
      </c>
      <c r="D77">
        <v>30000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3</v>
      </c>
      <c r="X77">
        <v>80000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103</v>
      </c>
      <c r="AN77">
        <v>652</v>
      </c>
      <c r="AO77">
        <v>268</v>
      </c>
      <c r="AS77">
        <v>0</v>
      </c>
      <c r="AT77">
        <v>91</v>
      </c>
      <c r="AU77" t="s">
        <v>89</v>
      </c>
      <c r="AV77">
        <v>19</v>
      </c>
      <c r="AW77" t="s">
        <v>80</v>
      </c>
      <c r="AX77">
        <v>22</v>
      </c>
      <c r="AY77" s="4">
        <f t="shared" si="16"/>
        <v>0</v>
      </c>
      <c r="AZ77" t="str">
        <f t="shared" si="17"/>
        <v/>
      </c>
      <c r="BA77">
        <v>0</v>
      </c>
      <c r="BB77">
        <v>123</v>
      </c>
      <c r="BD77">
        <f t="shared" si="18"/>
        <v>0</v>
      </c>
    </row>
    <row r="78" spans="1:56" x14ac:dyDescent="0.3">
      <c r="A78">
        <v>1065</v>
      </c>
      <c r="B78" s="2">
        <v>45923.448194444441</v>
      </c>
      <c r="C78">
        <v>60000</v>
      </c>
      <c r="D78">
        <v>30000</v>
      </c>
      <c r="E78">
        <v>0</v>
      </c>
      <c r="F78">
        <v>8000</v>
      </c>
      <c r="G78">
        <v>0</v>
      </c>
      <c r="H78">
        <v>20000</v>
      </c>
      <c r="I78">
        <v>20000</v>
      </c>
      <c r="J78">
        <v>0</v>
      </c>
      <c r="K78">
        <v>0</v>
      </c>
      <c r="L78">
        <v>0</v>
      </c>
      <c r="M78">
        <v>4000</v>
      </c>
      <c r="N78">
        <v>-22000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4</v>
      </c>
      <c r="W78">
        <v>3</v>
      </c>
      <c r="X78">
        <v>80000</v>
      </c>
      <c r="Y78">
        <v>0</v>
      </c>
      <c r="Z78">
        <v>0</v>
      </c>
      <c r="AA78">
        <v>0</v>
      </c>
      <c r="AB78">
        <v>100000</v>
      </c>
      <c r="AC78">
        <v>80000</v>
      </c>
      <c r="AD78">
        <v>72000</v>
      </c>
      <c r="AG78">
        <v>6</v>
      </c>
      <c r="AH78">
        <v>9</v>
      </c>
      <c r="AI78">
        <v>0</v>
      </c>
      <c r="AJ78">
        <v>0</v>
      </c>
      <c r="AK78">
        <v>0</v>
      </c>
      <c r="AL78">
        <v>0</v>
      </c>
      <c r="AM78" t="s">
        <v>150</v>
      </c>
      <c r="AN78">
        <v>652</v>
      </c>
      <c r="AO78">
        <v>272</v>
      </c>
      <c r="AQ78">
        <v>1313</v>
      </c>
      <c r="AS78">
        <v>1</v>
      </c>
      <c r="AT78">
        <v>91</v>
      </c>
      <c r="AU78" t="s">
        <v>89</v>
      </c>
      <c r="AV78">
        <v>19</v>
      </c>
      <c r="AW78" t="s">
        <v>80</v>
      </c>
      <c r="AX78">
        <v>22</v>
      </c>
      <c r="AY78" s="4">
        <f t="shared" si="16"/>
        <v>15</v>
      </c>
      <c r="AZ78" t="str">
        <f t="shared" si="17"/>
        <v>(Natu-city)</v>
      </c>
      <c r="BA78">
        <v>1</v>
      </c>
      <c r="BB78">
        <v>123</v>
      </c>
      <c r="BC78">
        <f t="shared" ref="BC78:BC81" si="21">AK78+AL78</f>
        <v>0</v>
      </c>
      <c r="BD78">
        <f t="shared" si="18"/>
        <v>4000</v>
      </c>
    </row>
    <row r="79" spans="1:56" x14ac:dyDescent="0.3">
      <c r="A79">
        <v>1083</v>
      </c>
      <c r="B79" s="2">
        <v>45923.448194444441</v>
      </c>
      <c r="C79">
        <v>60000</v>
      </c>
      <c r="D79">
        <v>30000</v>
      </c>
      <c r="E79">
        <v>22000</v>
      </c>
      <c r="F79">
        <v>8000</v>
      </c>
      <c r="G79">
        <v>0</v>
      </c>
      <c r="H79">
        <v>0</v>
      </c>
      <c r="I79">
        <v>20000</v>
      </c>
      <c r="J79">
        <v>0</v>
      </c>
      <c r="K79">
        <v>0</v>
      </c>
      <c r="L79">
        <v>0</v>
      </c>
      <c r="M79">
        <v>4000</v>
      </c>
      <c r="N79">
        <v>-24000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2</v>
      </c>
      <c r="W79">
        <v>3</v>
      </c>
      <c r="X79">
        <v>80000</v>
      </c>
      <c r="Y79">
        <v>80000</v>
      </c>
      <c r="Z79">
        <v>72000</v>
      </c>
      <c r="AA79">
        <v>0</v>
      </c>
      <c r="AB79">
        <v>0</v>
      </c>
      <c r="AC79">
        <v>80000</v>
      </c>
      <c r="AD79">
        <v>64000</v>
      </c>
      <c r="AG79">
        <v>6</v>
      </c>
      <c r="AH79">
        <v>9</v>
      </c>
      <c r="AI79">
        <v>0</v>
      </c>
      <c r="AJ79">
        <v>0</v>
      </c>
      <c r="AK79">
        <v>0</v>
      </c>
      <c r="AL79">
        <v>0</v>
      </c>
      <c r="AM79" t="s">
        <v>150</v>
      </c>
      <c r="AN79">
        <v>652</v>
      </c>
      <c r="AO79">
        <v>275</v>
      </c>
      <c r="AP79">
        <v>1313</v>
      </c>
      <c r="AQ79">
        <v>1313</v>
      </c>
      <c r="AS79">
        <v>2</v>
      </c>
      <c r="AT79">
        <v>91</v>
      </c>
      <c r="AU79" t="s">
        <v>89</v>
      </c>
      <c r="AV79">
        <v>19</v>
      </c>
      <c r="AW79" t="s">
        <v>80</v>
      </c>
      <c r="AX79">
        <v>22</v>
      </c>
      <c r="AY79" s="4">
        <f t="shared" si="16"/>
        <v>15</v>
      </c>
      <c r="AZ79" t="str">
        <f t="shared" si="17"/>
        <v>(Natu-city)</v>
      </c>
      <c r="BA79">
        <v>2</v>
      </c>
      <c r="BB79">
        <v>123</v>
      </c>
      <c r="BC79">
        <f t="shared" si="21"/>
        <v>0</v>
      </c>
      <c r="BD79">
        <f t="shared" si="18"/>
        <v>4000</v>
      </c>
    </row>
    <row r="80" spans="1:56" x14ac:dyDescent="0.3">
      <c r="A80">
        <v>1109</v>
      </c>
      <c r="B80" s="2">
        <v>45923.448194444441</v>
      </c>
      <c r="C80">
        <v>60000</v>
      </c>
      <c r="D80">
        <v>30000</v>
      </c>
      <c r="E80">
        <v>24000</v>
      </c>
      <c r="F80">
        <v>8000</v>
      </c>
      <c r="G80">
        <v>0</v>
      </c>
      <c r="H80">
        <v>0</v>
      </c>
      <c r="I80">
        <v>20000</v>
      </c>
      <c r="J80">
        <v>0</v>
      </c>
      <c r="K80">
        <v>0</v>
      </c>
      <c r="L80">
        <v>16000</v>
      </c>
      <c r="M80">
        <v>0</v>
      </c>
      <c r="N80">
        <v>-38000</v>
      </c>
      <c r="O80">
        <v>0</v>
      </c>
      <c r="P80">
        <v>0</v>
      </c>
      <c r="Q80">
        <v>0</v>
      </c>
      <c r="R80">
        <v>0</v>
      </c>
      <c r="S80">
        <v>5</v>
      </c>
      <c r="T80">
        <v>0</v>
      </c>
      <c r="U80">
        <v>1</v>
      </c>
      <c r="V80">
        <v>-4</v>
      </c>
      <c r="W80">
        <v>3</v>
      </c>
      <c r="X80">
        <v>80000</v>
      </c>
      <c r="Y80">
        <v>80000</v>
      </c>
      <c r="Z80">
        <v>64000</v>
      </c>
      <c r="AA80">
        <v>0</v>
      </c>
      <c r="AB80">
        <v>0</v>
      </c>
      <c r="AC80">
        <v>80000</v>
      </c>
      <c r="AD80">
        <v>56000</v>
      </c>
      <c r="AG80">
        <v>6</v>
      </c>
      <c r="AH80">
        <v>9</v>
      </c>
      <c r="AI80">
        <v>-1</v>
      </c>
      <c r="AJ80">
        <v>-2</v>
      </c>
      <c r="AK80">
        <v>0</v>
      </c>
      <c r="AL80">
        <v>0</v>
      </c>
      <c r="AM80" t="s">
        <v>150</v>
      </c>
      <c r="AN80">
        <v>652</v>
      </c>
      <c r="AO80">
        <v>279</v>
      </c>
      <c r="AP80">
        <v>1313</v>
      </c>
      <c r="AQ80">
        <v>1313</v>
      </c>
      <c r="AS80">
        <v>3</v>
      </c>
      <c r="AT80">
        <v>91</v>
      </c>
      <c r="AU80" t="s">
        <v>89</v>
      </c>
      <c r="AV80">
        <v>19</v>
      </c>
      <c r="AW80" t="s">
        <v>80</v>
      </c>
      <c r="AX80">
        <v>22</v>
      </c>
      <c r="AY80" s="4">
        <f t="shared" si="16"/>
        <v>15</v>
      </c>
      <c r="AZ80" t="str">
        <f t="shared" si="17"/>
        <v>(Natu-city)</v>
      </c>
      <c r="BA80">
        <v>3</v>
      </c>
      <c r="BB80">
        <v>123</v>
      </c>
      <c r="BC80">
        <f t="shared" si="21"/>
        <v>0</v>
      </c>
      <c r="BD80">
        <f t="shared" si="18"/>
        <v>16000</v>
      </c>
    </row>
    <row r="81" spans="1:56" x14ac:dyDescent="0.3">
      <c r="A81">
        <v>1135</v>
      </c>
      <c r="B81" s="2">
        <v>45923.448194444441</v>
      </c>
      <c r="C81">
        <v>60000</v>
      </c>
      <c r="D81">
        <v>30000</v>
      </c>
      <c r="E81">
        <v>30000</v>
      </c>
      <c r="F81">
        <v>8000</v>
      </c>
      <c r="G81">
        <v>0</v>
      </c>
      <c r="H81">
        <v>0</v>
      </c>
      <c r="I81">
        <v>30000</v>
      </c>
      <c r="J81">
        <v>0</v>
      </c>
      <c r="K81">
        <v>0</v>
      </c>
      <c r="L81">
        <v>4000</v>
      </c>
      <c r="M81">
        <v>0</v>
      </c>
      <c r="N81">
        <v>-50000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1</v>
      </c>
      <c r="V81">
        <v>-7</v>
      </c>
      <c r="W81">
        <v>3</v>
      </c>
      <c r="X81">
        <v>80000</v>
      </c>
      <c r="Y81">
        <v>80000</v>
      </c>
      <c r="Z81">
        <v>56000</v>
      </c>
      <c r="AA81">
        <v>0</v>
      </c>
      <c r="AB81">
        <v>0</v>
      </c>
      <c r="AC81">
        <v>80000</v>
      </c>
      <c r="AD81">
        <v>48000</v>
      </c>
      <c r="AG81">
        <v>6</v>
      </c>
      <c r="AH81">
        <v>9</v>
      </c>
      <c r="AI81">
        <v>-2</v>
      </c>
      <c r="AJ81">
        <v>-1</v>
      </c>
      <c r="AK81">
        <v>0</v>
      </c>
      <c r="AL81">
        <v>0</v>
      </c>
      <c r="AM81" t="s">
        <v>150</v>
      </c>
      <c r="AN81">
        <v>652</v>
      </c>
      <c r="AO81">
        <v>283</v>
      </c>
      <c r="AP81">
        <v>1313</v>
      </c>
      <c r="AQ81">
        <v>1313</v>
      </c>
      <c r="AS81">
        <v>4</v>
      </c>
      <c r="AT81">
        <v>91</v>
      </c>
      <c r="AU81" t="s">
        <v>89</v>
      </c>
      <c r="AV81">
        <v>19</v>
      </c>
      <c r="AW81" t="s">
        <v>80</v>
      </c>
      <c r="AX81">
        <v>22</v>
      </c>
      <c r="AY81" s="4">
        <f t="shared" si="16"/>
        <v>15</v>
      </c>
      <c r="AZ81" t="str">
        <f t="shared" si="17"/>
        <v>(Natu-city)</v>
      </c>
      <c r="BA81">
        <v>4</v>
      </c>
      <c r="BB81">
        <v>123</v>
      </c>
      <c r="BC81">
        <f t="shared" si="21"/>
        <v>0</v>
      </c>
      <c r="BD81">
        <f t="shared" si="18"/>
        <v>4000</v>
      </c>
    </row>
    <row r="82" spans="1:56" x14ac:dyDescent="0.3">
      <c r="A82">
        <v>1044</v>
      </c>
      <c r="B82" s="2">
        <v>45923.448391203703</v>
      </c>
      <c r="C82">
        <v>90000</v>
      </c>
      <c r="D82">
        <v>50000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15000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5</v>
      </c>
      <c r="X82">
        <v>130000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103</v>
      </c>
      <c r="AN82">
        <v>653</v>
      </c>
      <c r="AO82">
        <v>268</v>
      </c>
      <c r="AS82">
        <v>0</v>
      </c>
      <c r="AT82">
        <v>91</v>
      </c>
      <c r="AU82" t="s">
        <v>89</v>
      </c>
      <c r="AV82">
        <v>19</v>
      </c>
      <c r="AW82" t="s">
        <v>80</v>
      </c>
      <c r="AX82">
        <v>22</v>
      </c>
      <c r="AY82" s="4">
        <f t="shared" si="16"/>
        <v>0</v>
      </c>
      <c r="AZ82" t="str">
        <f t="shared" si="17"/>
        <v/>
      </c>
      <c r="BA82">
        <v>0</v>
      </c>
      <c r="BB82">
        <v>125</v>
      </c>
      <c r="BD82">
        <f t="shared" si="18"/>
        <v>0</v>
      </c>
    </row>
    <row r="83" spans="1:56" x14ac:dyDescent="0.3">
      <c r="A83">
        <v>1062</v>
      </c>
      <c r="B83" s="2">
        <v>45923.448391203703</v>
      </c>
      <c r="C83">
        <v>90000</v>
      </c>
      <c r="D83">
        <v>50000</v>
      </c>
      <c r="E83">
        <v>0</v>
      </c>
      <c r="F83">
        <v>12500</v>
      </c>
      <c r="G83">
        <v>0</v>
      </c>
      <c r="H83">
        <v>0</v>
      </c>
      <c r="I83">
        <v>20000</v>
      </c>
      <c r="J83">
        <v>8000</v>
      </c>
      <c r="K83">
        <v>3125</v>
      </c>
      <c r="L83">
        <v>4000</v>
      </c>
      <c r="M83">
        <v>4000</v>
      </c>
      <c r="N83">
        <v>3375</v>
      </c>
      <c r="O83">
        <v>0</v>
      </c>
      <c r="P83">
        <v>-1</v>
      </c>
      <c r="Q83">
        <v>1</v>
      </c>
      <c r="R83">
        <v>1</v>
      </c>
      <c r="S83">
        <v>2</v>
      </c>
      <c r="T83">
        <v>1</v>
      </c>
      <c r="U83">
        <v>0</v>
      </c>
      <c r="V83">
        <v>3</v>
      </c>
      <c r="W83">
        <v>5</v>
      </c>
      <c r="X83">
        <v>130000</v>
      </c>
      <c r="Y83">
        <v>0</v>
      </c>
      <c r="Z83">
        <v>0</v>
      </c>
      <c r="AA83">
        <v>0</v>
      </c>
      <c r="AB83">
        <v>125000</v>
      </c>
      <c r="AC83">
        <v>125000</v>
      </c>
      <c r="AD83">
        <v>112500</v>
      </c>
      <c r="AG83">
        <v>6</v>
      </c>
      <c r="AH83">
        <v>6</v>
      </c>
      <c r="AI83">
        <v>0</v>
      </c>
      <c r="AJ83">
        <v>0</v>
      </c>
      <c r="AK83">
        <v>1</v>
      </c>
      <c r="AL83">
        <v>0</v>
      </c>
      <c r="AM83" t="s">
        <v>150</v>
      </c>
      <c r="AN83">
        <v>653</v>
      </c>
      <c r="AO83">
        <v>272</v>
      </c>
      <c r="AQ83">
        <v>1321</v>
      </c>
      <c r="AS83">
        <v>1</v>
      </c>
      <c r="AT83">
        <v>91</v>
      </c>
      <c r="AU83" t="s">
        <v>89</v>
      </c>
      <c r="AV83">
        <v>19</v>
      </c>
      <c r="AW83" t="s">
        <v>80</v>
      </c>
      <c r="AX83">
        <v>22</v>
      </c>
      <c r="AY83" s="4">
        <f t="shared" si="16"/>
        <v>12</v>
      </c>
      <c r="AZ83" t="str">
        <f t="shared" si="17"/>
        <v>(U-village)</v>
      </c>
      <c r="BA83">
        <v>1</v>
      </c>
      <c r="BB83">
        <v>125</v>
      </c>
      <c r="BC83">
        <f t="shared" ref="BC83:BC86" si="22">AK83+AL83</f>
        <v>1</v>
      </c>
      <c r="BD83">
        <f t="shared" si="18"/>
        <v>8000</v>
      </c>
    </row>
    <row r="84" spans="1:56" x14ac:dyDescent="0.3">
      <c r="A84">
        <v>1086</v>
      </c>
      <c r="B84" s="2">
        <v>45923.448391203703</v>
      </c>
      <c r="C84">
        <v>90000</v>
      </c>
      <c r="D84">
        <v>50000</v>
      </c>
      <c r="E84">
        <v>0</v>
      </c>
      <c r="F84">
        <v>12500</v>
      </c>
      <c r="G84">
        <v>0</v>
      </c>
      <c r="H84">
        <v>0</v>
      </c>
      <c r="I84">
        <v>20000</v>
      </c>
      <c r="J84">
        <v>8000</v>
      </c>
      <c r="K84">
        <v>0</v>
      </c>
      <c r="L84">
        <v>0</v>
      </c>
      <c r="M84">
        <v>4000</v>
      </c>
      <c r="N84">
        <v>-1125</v>
      </c>
      <c r="O84">
        <v>0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3</v>
      </c>
      <c r="W84">
        <v>5</v>
      </c>
      <c r="X84">
        <v>130000</v>
      </c>
      <c r="Y84">
        <v>125000</v>
      </c>
      <c r="Z84">
        <v>112500</v>
      </c>
      <c r="AA84">
        <v>0</v>
      </c>
      <c r="AB84">
        <v>0</v>
      </c>
      <c r="AC84">
        <v>125000</v>
      </c>
      <c r="AD84">
        <v>100000</v>
      </c>
      <c r="AG84">
        <v>6</v>
      </c>
      <c r="AH84">
        <v>6</v>
      </c>
      <c r="AI84">
        <v>0</v>
      </c>
      <c r="AJ84">
        <v>0</v>
      </c>
      <c r="AK84">
        <v>1</v>
      </c>
      <c r="AL84">
        <v>1</v>
      </c>
      <c r="AM84" t="s">
        <v>150</v>
      </c>
      <c r="AN84">
        <v>653</v>
      </c>
      <c r="AO84">
        <v>275</v>
      </c>
      <c r="AP84">
        <v>1321</v>
      </c>
      <c r="AQ84">
        <v>1321</v>
      </c>
      <c r="AS84">
        <v>2</v>
      </c>
      <c r="AT84">
        <v>91</v>
      </c>
      <c r="AU84" t="s">
        <v>89</v>
      </c>
      <c r="AV84">
        <v>19</v>
      </c>
      <c r="AW84" t="s">
        <v>80</v>
      </c>
      <c r="AX84">
        <v>22</v>
      </c>
      <c r="AY84" s="4">
        <f t="shared" si="16"/>
        <v>12</v>
      </c>
      <c r="AZ84" t="str">
        <f t="shared" si="17"/>
        <v>(U-village)</v>
      </c>
      <c r="BA84">
        <v>2</v>
      </c>
      <c r="BB84">
        <v>125</v>
      </c>
      <c r="BC84">
        <f t="shared" si="22"/>
        <v>2</v>
      </c>
      <c r="BD84">
        <f t="shared" si="18"/>
        <v>4000</v>
      </c>
    </row>
    <row r="85" spans="1:56" x14ac:dyDescent="0.3">
      <c r="A85">
        <v>1103</v>
      </c>
      <c r="B85" s="2">
        <v>45923.448391203703</v>
      </c>
      <c r="C85">
        <v>90000</v>
      </c>
      <c r="D85">
        <v>50000</v>
      </c>
      <c r="E85">
        <v>1125</v>
      </c>
      <c r="F85">
        <v>12500</v>
      </c>
      <c r="G85">
        <v>0</v>
      </c>
      <c r="H85">
        <v>0</v>
      </c>
      <c r="I85">
        <v>20000</v>
      </c>
      <c r="J85">
        <v>0</v>
      </c>
      <c r="K85">
        <v>0</v>
      </c>
      <c r="L85">
        <v>28000</v>
      </c>
      <c r="M85">
        <v>0</v>
      </c>
      <c r="N85">
        <v>-21625</v>
      </c>
      <c r="O85">
        <v>0</v>
      </c>
      <c r="P85">
        <v>0</v>
      </c>
      <c r="Q85">
        <v>0</v>
      </c>
      <c r="R85">
        <v>0</v>
      </c>
      <c r="S85">
        <v>8</v>
      </c>
      <c r="T85">
        <v>0</v>
      </c>
      <c r="U85">
        <v>1</v>
      </c>
      <c r="V85">
        <v>-6</v>
      </c>
      <c r="W85">
        <v>5</v>
      </c>
      <c r="X85">
        <v>130000</v>
      </c>
      <c r="Y85">
        <v>125000</v>
      </c>
      <c r="Z85">
        <v>100000</v>
      </c>
      <c r="AA85">
        <v>0</v>
      </c>
      <c r="AB85">
        <v>0</v>
      </c>
      <c r="AC85">
        <v>125000</v>
      </c>
      <c r="AD85">
        <v>87500</v>
      </c>
      <c r="AG85">
        <v>6</v>
      </c>
      <c r="AH85">
        <v>6</v>
      </c>
      <c r="AI85">
        <v>-1</v>
      </c>
      <c r="AJ85">
        <v>-2</v>
      </c>
      <c r="AK85">
        <v>0</v>
      </c>
      <c r="AL85">
        <v>0</v>
      </c>
      <c r="AM85" t="s">
        <v>150</v>
      </c>
      <c r="AN85">
        <v>653</v>
      </c>
      <c r="AO85">
        <v>279</v>
      </c>
      <c r="AP85">
        <v>1321</v>
      </c>
      <c r="AQ85">
        <v>1321</v>
      </c>
      <c r="AS85">
        <v>3</v>
      </c>
      <c r="AT85">
        <v>91</v>
      </c>
      <c r="AU85" t="s">
        <v>89</v>
      </c>
      <c r="AV85">
        <v>19</v>
      </c>
      <c r="AW85" t="s">
        <v>80</v>
      </c>
      <c r="AX85">
        <v>22</v>
      </c>
      <c r="AY85" s="4">
        <f t="shared" si="16"/>
        <v>12</v>
      </c>
      <c r="AZ85" t="str">
        <f t="shared" si="17"/>
        <v>(U-village)</v>
      </c>
      <c r="BA85">
        <v>3</v>
      </c>
      <c r="BB85">
        <v>125</v>
      </c>
      <c r="BC85">
        <f t="shared" si="22"/>
        <v>0</v>
      </c>
      <c r="BD85">
        <f t="shared" si="18"/>
        <v>28000</v>
      </c>
    </row>
    <row r="86" spans="1:56" x14ac:dyDescent="0.3">
      <c r="A86">
        <v>1134</v>
      </c>
      <c r="B86" s="2">
        <v>45923.448391203703</v>
      </c>
      <c r="C86">
        <v>90000</v>
      </c>
      <c r="D86">
        <v>50000</v>
      </c>
      <c r="E86">
        <v>21625</v>
      </c>
      <c r="F86">
        <v>12500</v>
      </c>
      <c r="G86">
        <v>0</v>
      </c>
      <c r="H86">
        <v>0</v>
      </c>
      <c r="I86">
        <v>20000</v>
      </c>
      <c r="J86">
        <v>0</v>
      </c>
      <c r="K86">
        <v>0</v>
      </c>
      <c r="L86">
        <v>16000</v>
      </c>
      <c r="M86">
        <v>0</v>
      </c>
      <c r="N86">
        <v>-30125</v>
      </c>
      <c r="O86">
        <v>0</v>
      </c>
      <c r="P86">
        <v>0</v>
      </c>
      <c r="Q86">
        <v>0</v>
      </c>
      <c r="R86">
        <v>0</v>
      </c>
      <c r="S86">
        <v>5</v>
      </c>
      <c r="T86">
        <v>0</v>
      </c>
      <c r="U86">
        <v>1</v>
      </c>
      <c r="V86">
        <v>-12</v>
      </c>
      <c r="W86">
        <v>5</v>
      </c>
      <c r="X86">
        <v>130000</v>
      </c>
      <c r="Y86">
        <v>125000</v>
      </c>
      <c r="Z86">
        <v>87500</v>
      </c>
      <c r="AA86">
        <v>0</v>
      </c>
      <c r="AB86">
        <v>0</v>
      </c>
      <c r="AC86">
        <v>125000</v>
      </c>
      <c r="AD86">
        <v>75000</v>
      </c>
      <c r="AG86">
        <v>6</v>
      </c>
      <c r="AH86">
        <v>6</v>
      </c>
      <c r="AI86">
        <v>-2</v>
      </c>
      <c r="AJ86">
        <v>-1</v>
      </c>
      <c r="AK86">
        <v>0</v>
      </c>
      <c r="AL86">
        <v>0</v>
      </c>
      <c r="AM86" t="s">
        <v>150</v>
      </c>
      <c r="AN86">
        <v>653</v>
      </c>
      <c r="AO86">
        <v>283</v>
      </c>
      <c r="AP86">
        <v>1321</v>
      </c>
      <c r="AQ86">
        <v>1321</v>
      </c>
      <c r="AS86">
        <v>4</v>
      </c>
      <c r="AT86">
        <v>91</v>
      </c>
      <c r="AU86" t="s">
        <v>89</v>
      </c>
      <c r="AV86">
        <v>19</v>
      </c>
      <c r="AW86" t="s">
        <v>80</v>
      </c>
      <c r="AX86">
        <v>22</v>
      </c>
      <c r="AY86" s="4">
        <f t="shared" si="16"/>
        <v>12</v>
      </c>
      <c r="AZ86" t="str">
        <f t="shared" si="17"/>
        <v>(U-village)</v>
      </c>
      <c r="BA86">
        <v>4</v>
      </c>
      <c r="BB86">
        <v>125</v>
      </c>
      <c r="BC86">
        <f t="shared" si="22"/>
        <v>0</v>
      </c>
      <c r="BD86">
        <f t="shared" si="18"/>
        <v>16000</v>
      </c>
    </row>
    <row r="87" spans="1:56" x14ac:dyDescent="0.3">
      <c r="A87">
        <v>1040</v>
      </c>
      <c r="B87" s="2">
        <v>45923.448182870372</v>
      </c>
      <c r="C87">
        <v>130000</v>
      </c>
      <c r="D87">
        <v>75000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7</v>
      </c>
      <c r="X87">
        <v>200000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103</v>
      </c>
      <c r="AN87">
        <v>654</v>
      </c>
      <c r="AO87">
        <v>268</v>
      </c>
      <c r="AS87">
        <v>0</v>
      </c>
      <c r="AT87">
        <v>91</v>
      </c>
      <c r="AU87" t="s">
        <v>89</v>
      </c>
      <c r="AV87">
        <v>19</v>
      </c>
      <c r="AW87" t="s">
        <v>80</v>
      </c>
      <c r="AX87">
        <v>22</v>
      </c>
      <c r="AY87" s="4">
        <f t="shared" si="16"/>
        <v>0</v>
      </c>
      <c r="AZ87" t="str">
        <f t="shared" si="17"/>
        <v/>
      </c>
      <c r="BA87">
        <v>0</v>
      </c>
      <c r="BB87">
        <v>127</v>
      </c>
      <c r="BD87">
        <f t="shared" si="18"/>
        <v>0</v>
      </c>
    </row>
    <row r="88" spans="1:56" x14ac:dyDescent="0.3">
      <c r="A88">
        <v>1067</v>
      </c>
      <c r="B88" s="2">
        <v>45923.448182870372</v>
      </c>
      <c r="C88">
        <v>130000</v>
      </c>
      <c r="D88">
        <v>75000</v>
      </c>
      <c r="E88">
        <v>0</v>
      </c>
      <c r="F88">
        <v>20000</v>
      </c>
      <c r="G88">
        <v>0</v>
      </c>
      <c r="H88">
        <v>100000</v>
      </c>
      <c r="I88">
        <v>20000</v>
      </c>
      <c r="J88">
        <v>0</v>
      </c>
      <c r="K88">
        <v>0</v>
      </c>
      <c r="L88">
        <v>0</v>
      </c>
      <c r="M88">
        <v>4000</v>
      </c>
      <c r="N88">
        <v>-39000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5</v>
      </c>
      <c r="W88">
        <v>7</v>
      </c>
      <c r="X88">
        <v>200000</v>
      </c>
      <c r="Y88">
        <v>0</v>
      </c>
      <c r="Z88">
        <v>0</v>
      </c>
      <c r="AA88">
        <v>0</v>
      </c>
      <c r="AB88">
        <v>300000</v>
      </c>
      <c r="AC88">
        <v>200000</v>
      </c>
      <c r="AD88">
        <v>180000</v>
      </c>
      <c r="AG88">
        <v>4</v>
      </c>
      <c r="AH88">
        <v>9</v>
      </c>
      <c r="AI88">
        <v>0</v>
      </c>
      <c r="AJ88">
        <v>0</v>
      </c>
      <c r="AK88">
        <v>0</v>
      </c>
      <c r="AL88">
        <v>0</v>
      </c>
      <c r="AM88" t="s">
        <v>150</v>
      </c>
      <c r="AN88">
        <v>654</v>
      </c>
      <c r="AO88">
        <v>272</v>
      </c>
      <c r="AQ88">
        <v>1315</v>
      </c>
      <c r="AS88">
        <v>1</v>
      </c>
      <c r="AT88">
        <v>91</v>
      </c>
      <c r="AU88" t="s">
        <v>89</v>
      </c>
      <c r="AV88">
        <v>19</v>
      </c>
      <c r="AW88" t="s">
        <v>80</v>
      </c>
      <c r="AX88">
        <v>22</v>
      </c>
      <c r="AY88" s="4">
        <f t="shared" si="16"/>
        <v>13</v>
      </c>
      <c r="AZ88" t="str">
        <f t="shared" si="17"/>
        <v>(Dike-town)</v>
      </c>
      <c r="BA88">
        <v>1</v>
      </c>
      <c r="BB88">
        <v>127</v>
      </c>
      <c r="BC88">
        <f t="shared" ref="BC88:BC91" si="23">AK88+AL88</f>
        <v>0</v>
      </c>
      <c r="BD88">
        <f t="shared" si="18"/>
        <v>4000</v>
      </c>
    </row>
    <row r="89" spans="1:56" x14ac:dyDescent="0.3">
      <c r="A89">
        <v>1084</v>
      </c>
      <c r="B89" s="2">
        <v>45923.448182870372</v>
      </c>
      <c r="C89">
        <v>130000</v>
      </c>
      <c r="D89">
        <v>75000</v>
      </c>
      <c r="E89">
        <v>39000</v>
      </c>
      <c r="F89">
        <v>20000</v>
      </c>
      <c r="G89">
        <v>0</v>
      </c>
      <c r="H89">
        <v>0</v>
      </c>
      <c r="I89">
        <v>20000</v>
      </c>
      <c r="J89">
        <v>0</v>
      </c>
      <c r="K89">
        <v>0</v>
      </c>
      <c r="L89">
        <v>0</v>
      </c>
      <c r="M89">
        <v>4000</v>
      </c>
      <c r="N89">
        <v>-28000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3</v>
      </c>
      <c r="W89">
        <v>7</v>
      </c>
      <c r="X89">
        <v>200000</v>
      </c>
      <c r="Y89">
        <v>200000</v>
      </c>
      <c r="Z89">
        <v>180000</v>
      </c>
      <c r="AA89">
        <v>0</v>
      </c>
      <c r="AB89">
        <v>0</v>
      </c>
      <c r="AC89">
        <v>200000</v>
      </c>
      <c r="AD89">
        <v>160000</v>
      </c>
      <c r="AG89">
        <v>4</v>
      </c>
      <c r="AH89">
        <v>9</v>
      </c>
      <c r="AI89">
        <v>0</v>
      </c>
      <c r="AJ89">
        <v>0</v>
      </c>
      <c r="AK89">
        <v>0</v>
      </c>
      <c r="AL89">
        <v>0</v>
      </c>
      <c r="AM89" t="s">
        <v>150</v>
      </c>
      <c r="AN89">
        <v>654</v>
      </c>
      <c r="AO89">
        <v>275</v>
      </c>
      <c r="AP89">
        <v>1315</v>
      </c>
      <c r="AQ89">
        <v>1315</v>
      </c>
      <c r="AS89">
        <v>2</v>
      </c>
      <c r="AT89">
        <v>91</v>
      </c>
      <c r="AU89" t="s">
        <v>89</v>
      </c>
      <c r="AV89">
        <v>19</v>
      </c>
      <c r="AW89" t="s">
        <v>80</v>
      </c>
      <c r="AX89">
        <v>22</v>
      </c>
      <c r="AY89" s="4">
        <f t="shared" si="16"/>
        <v>13</v>
      </c>
      <c r="AZ89" t="str">
        <f t="shared" si="17"/>
        <v>(Dike-town)</v>
      </c>
      <c r="BA89">
        <v>2</v>
      </c>
      <c r="BB89">
        <v>127</v>
      </c>
      <c r="BC89">
        <f t="shared" si="23"/>
        <v>0</v>
      </c>
      <c r="BD89">
        <f t="shared" si="18"/>
        <v>4000</v>
      </c>
    </row>
    <row r="90" spans="1:56" x14ac:dyDescent="0.3">
      <c r="A90">
        <v>1110</v>
      </c>
      <c r="B90" s="2">
        <v>45923.448182870372</v>
      </c>
      <c r="C90">
        <v>130000</v>
      </c>
      <c r="D90">
        <v>75000</v>
      </c>
      <c r="E90">
        <v>28000</v>
      </c>
      <c r="F90">
        <v>20000</v>
      </c>
      <c r="G90">
        <v>0</v>
      </c>
      <c r="H90">
        <v>0</v>
      </c>
      <c r="I90">
        <v>20000</v>
      </c>
      <c r="J90">
        <v>0</v>
      </c>
      <c r="K90">
        <v>0</v>
      </c>
      <c r="L90">
        <v>16000</v>
      </c>
      <c r="M90">
        <v>0</v>
      </c>
      <c r="N90">
        <v>-29000</v>
      </c>
      <c r="O90">
        <v>0</v>
      </c>
      <c r="P90">
        <v>0</v>
      </c>
      <c r="Q90">
        <v>0</v>
      </c>
      <c r="R90">
        <v>0</v>
      </c>
      <c r="S90">
        <v>5</v>
      </c>
      <c r="T90">
        <v>0</v>
      </c>
      <c r="U90">
        <v>1</v>
      </c>
      <c r="V90">
        <v>-3</v>
      </c>
      <c r="W90">
        <v>7</v>
      </c>
      <c r="X90">
        <v>200000</v>
      </c>
      <c r="Y90">
        <v>200000</v>
      </c>
      <c r="Z90">
        <v>160000</v>
      </c>
      <c r="AA90">
        <v>0</v>
      </c>
      <c r="AB90">
        <v>0</v>
      </c>
      <c r="AC90">
        <v>200000</v>
      </c>
      <c r="AD90">
        <v>140000</v>
      </c>
      <c r="AG90">
        <v>4</v>
      </c>
      <c r="AH90">
        <v>9</v>
      </c>
      <c r="AI90">
        <v>-1</v>
      </c>
      <c r="AJ90">
        <v>-2</v>
      </c>
      <c r="AK90">
        <v>0</v>
      </c>
      <c r="AL90">
        <v>0</v>
      </c>
      <c r="AM90" t="s">
        <v>150</v>
      </c>
      <c r="AN90">
        <v>654</v>
      </c>
      <c r="AO90">
        <v>279</v>
      </c>
      <c r="AP90">
        <v>1315</v>
      </c>
      <c r="AQ90">
        <v>1315</v>
      </c>
      <c r="AS90">
        <v>3</v>
      </c>
      <c r="AT90">
        <v>91</v>
      </c>
      <c r="AU90" t="s">
        <v>89</v>
      </c>
      <c r="AV90">
        <v>19</v>
      </c>
      <c r="AW90" t="s">
        <v>80</v>
      </c>
      <c r="AX90">
        <v>22</v>
      </c>
      <c r="AY90" s="4">
        <f t="shared" si="16"/>
        <v>13</v>
      </c>
      <c r="AZ90" t="str">
        <f t="shared" si="17"/>
        <v>(Dike-town)</v>
      </c>
      <c r="BA90">
        <v>3</v>
      </c>
      <c r="BB90">
        <v>127</v>
      </c>
      <c r="BC90">
        <f t="shared" si="23"/>
        <v>0</v>
      </c>
      <c r="BD90">
        <f t="shared" si="18"/>
        <v>16000</v>
      </c>
    </row>
    <row r="91" spans="1:56" x14ac:dyDescent="0.3">
      <c r="A91">
        <v>1139</v>
      </c>
      <c r="B91" s="2">
        <v>45923.448182870372</v>
      </c>
      <c r="C91">
        <v>130000</v>
      </c>
      <c r="D91">
        <v>75000</v>
      </c>
      <c r="E91">
        <v>29000</v>
      </c>
      <c r="F91">
        <v>20000</v>
      </c>
      <c r="G91">
        <v>160000</v>
      </c>
      <c r="H91">
        <v>0</v>
      </c>
      <c r="I91">
        <v>30000</v>
      </c>
      <c r="J91">
        <v>23000</v>
      </c>
      <c r="K91">
        <v>25500</v>
      </c>
      <c r="L91">
        <v>0</v>
      </c>
      <c r="M91">
        <v>0</v>
      </c>
      <c r="N91">
        <v>87500</v>
      </c>
      <c r="O91">
        <v>1</v>
      </c>
      <c r="P91">
        <v>-1</v>
      </c>
      <c r="Q91">
        <v>3</v>
      </c>
      <c r="R91">
        <v>4</v>
      </c>
      <c r="S91">
        <v>1</v>
      </c>
      <c r="T91">
        <v>0</v>
      </c>
      <c r="U91">
        <v>1</v>
      </c>
      <c r="V91">
        <v>0</v>
      </c>
      <c r="W91">
        <v>7</v>
      </c>
      <c r="X91">
        <v>200000</v>
      </c>
      <c r="Y91">
        <v>200000</v>
      </c>
      <c r="Z91">
        <v>140000</v>
      </c>
      <c r="AA91">
        <v>300000</v>
      </c>
      <c r="AB91">
        <v>200000</v>
      </c>
      <c r="AC91">
        <v>200000</v>
      </c>
      <c r="AD91">
        <v>180000</v>
      </c>
      <c r="AE91">
        <v>32</v>
      </c>
      <c r="AG91">
        <v>6</v>
      </c>
      <c r="AH91">
        <v>9</v>
      </c>
      <c r="AI91">
        <v>-2</v>
      </c>
      <c r="AJ91">
        <v>-1</v>
      </c>
      <c r="AK91">
        <v>4</v>
      </c>
      <c r="AL91">
        <v>3</v>
      </c>
      <c r="AM91" t="s">
        <v>150</v>
      </c>
      <c r="AN91">
        <v>654</v>
      </c>
      <c r="AO91">
        <v>283</v>
      </c>
      <c r="AP91">
        <v>1315</v>
      </c>
      <c r="AQ91">
        <v>1366</v>
      </c>
      <c r="AS91">
        <v>4</v>
      </c>
      <c r="AT91">
        <v>91</v>
      </c>
      <c r="AU91" t="s">
        <v>89</v>
      </c>
      <c r="AV91">
        <v>19</v>
      </c>
      <c r="AW91" t="s">
        <v>80</v>
      </c>
      <c r="AX91">
        <v>22</v>
      </c>
      <c r="AY91" s="4">
        <f t="shared" si="16"/>
        <v>15</v>
      </c>
      <c r="AZ91" t="str">
        <f t="shared" si="17"/>
        <v>(Natu-city)</v>
      </c>
      <c r="BA91">
        <v>4</v>
      </c>
      <c r="BB91">
        <v>127</v>
      </c>
      <c r="BC91">
        <f t="shared" si="23"/>
        <v>7</v>
      </c>
      <c r="BD91">
        <f t="shared" si="18"/>
        <v>0</v>
      </c>
    </row>
    <row r="92" spans="1:56" x14ac:dyDescent="0.3">
      <c r="A92">
        <v>1035</v>
      </c>
      <c r="B92" s="2">
        <v>45923.445833333331</v>
      </c>
      <c r="C92">
        <v>190000</v>
      </c>
      <c r="D92">
        <v>115000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80000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8</v>
      </c>
      <c r="X92">
        <v>300000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103</v>
      </c>
      <c r="AN92">
        <v>655</v>
      </c>
      <c r="AO92">
        <v>268</v>
      </c>
      <c r="AS92">
        <v>0</v>
      </c>
      <c r="AT92">
        <v>91</v>
      </c>
      <c r="AU92" t="s">
        <v>89</v>
      </c>
      <c r="AV92">
        <v>19</v>
      </c>
      <c r="AW92" t="s">
        <v>80</v>
      </c>
      <c r="AX92">
        <v>22</v>
      </c>
      <c r="AY92" s="4">
        <f t="shared" si="16"/>
        <v>0</v>
      </c>
      <c r="AZ92" t="str">
        <f t="shared" si="17"/>
        <v/>
      </c>
      <c r="BA92">
        <v>0</v>
      </c>
      <c r="BB92">
        <v>128</v>
      </c>
      <c r="BD92">
        <f t="shared" si="18"/>
        <v>0</v>
      </c>
    </row>
    <row r="93" spans="1:56" x14ac:dyDescent="0.3">
      <c r="A93">
        <v>1063</v>
      </c>
      <c r="B93" s="2">
        <v>45923.445833333331</v>
      </c>
      <c r="C93">
        <v>190000</v>
      </c>
      <c r="D93">
        <v>115000</v>
      </c>
      <c r="E93">
        <v>0</v>
      </c>
      <c r="F93">
        <v>30000</v>
      </c>
      <c r="G93">
        <v>0</v>
      </c>
      <c r="H93">
        <v>0</v>
      </c>
      <c r="I93">
        <v>20000</v>
      </c>
      <c r="J93">
        <v>10000</v>
      </c>
      <c r="K93">
        <v>21000</v>
      </c>
      <c r="L93">
        <v>0</v>
      </c>
      <c r="M93">
        <v>4000</v>
      </c>
      <c r="N93">
        <v>70000</v>
      </c>
      <c r="O93">
        <v>0</v>
      </c>
      <c r="P93">
        <v>0</v>
      </c>
      <c r="Q93">
        <v>0</v>
      </c>
      <c r="R93">
        <v>2</v>
      </c>
      <c r="S93">
        <v>0</v>
      </c>
      <c r="T93">
        <v>1</v>
      </c>
      <c r="U93">
        <v>0</v>
      </c>
      <c r="V93">
        <v>6</v>
      </c>
      <c r="W93">
        <v>8</v>
      </c>
      <c r="X93">
        <v>300000</v>
      </c>
      <c r="Y93">
        <v>0</v>
      </c>
      <c r="Z93">
        <v>0</v>
      </c>
      <c r="AA93">
        <v>0</v>
      </c>
      <c r="AB93">
        <v>300000</v>
      </c>
      <c r="AC93">
        <v>300000</v>
      </c>
      <c r="AD93">
        <v>270000</v>
      </c>
      <c r="AG93">
        <v>4</v>
      </c>
      <c r="AH93">
        <v>9</v>
      </c>
      <c r="AI93">
        <v>0</v>
      </c>
      <c r="AJ93">
        <v>0</v>
      </c>
      <c r="AK93">
        <v>1</v>
      </c>
      <c r="AL93">
        <v>1</v>
      </c>
      <c r="AM93" t="s">
        <v>150</v>
      </c>
      <c r="AN93">
        <v>655</v>
      </c>
      <c r="AO93">
        <v>272</v>
      </c>
      <c r="AQ93">
        <v>1314</v>
      </c>
      <c r="AS93">
        <v>1</v>
      </c>
      <c r="AT93">
        <v>91</v>
      </c>
      <c r="AU93" t="s">
        <v>89</v>
      </c>
      <c r="AV93">
        <v>19</v>
      </c>
      <c r="AW93" t="s">
        <v>80</v>
      </c>
      <c r="AX93">
        <v>22</v>
      </c>
      <c r="AY93" s="4">
        <f t="shared" si="16"/>
        <v>13</v>
      </c>
      <c r="AZ93" t="str">
        <f t="shared" si="17"/>
        <v>(Dike-town)</v>
      </c>
      <c r="BA93">
        <v>1</v>
      </c>
      <c r="BB93">
        <v>128</v>
      </c>
      <c r="BC93">
        <f t="shared" ref="BC93:BC96" si="24">AK93+AL93</f>
        <v>2</v>
      </c>
      <c r="BD93">
        <f t="shared" si="18"/>
        <v>4000</v>
      </c>
    </row>
    <row r="94" spans="1:56" x14ac:dyDescent="0.3">
      <c r="A94">
        <v>1085</v>
      </c>
      <c r="B94" s="2">
        <v>45923.445833333331</v>
      </c>
      <c r="C94">
        <v>190000</v>
      </c>
      <c r="D94">
        <v>115000</v>
      </c>
      <c r="E94">
        <v>0</v>
      </c>
      <c r="F94">
        <v>30000</v>
      </c>
      <c r="G94">
        <v>0</v>
      </c>
      <c r="H94">
        <v>0</v>
      </c>
      <c r="I94">
        <v>20000</v>
      </c>
      <c r="J94">
        <v>9000</v>
      </c>
      <c r="K94">
        <v>0</v>
      </c>
      <c r="L94">
        <v>0</v>
      </c>
      <c r="M94">
        <v>4000</v>
      </c>
      <c r="N94">
        <v>82000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6</v>
      </c>
      <c r="W94">
        <v>8</v>
      </c>
      <c r="X94">
        <v>300000</v>
      </c>
      <c r="Y94">
        <v>300000</v>
      </c>
      <c r="Z94">
        <v>270000</v>
      </c>
      <c r="AA94">
        <v>0</v>
      </c>
      <c r="AB94">
        <v>0</v>
      </c>
      <c r="AC94">
        <v>300000</v>
      </c>
      <c r="AD94">
        <v>240000</v>
      </c>
      <c r="AG94">
        <v>4</v>
      </c>
      <c r="AH94">
        <v>9</v>
      </c>
      <c r="AI94">
        <v>0</v>
      </c>
      <c r="AJ94">
        <v>0</v>
      </c>
      <c r="AK94">
        <v>1</v>
      </c>
      <c r="AL94">
        <v>1</v>
      </c>
      <c r="AM94" t="s">
        <v>150</v>
      </c>
      <c r="AN94">
        <v>655</v>
      </c>
      <c r="AO94">
        <v>275</v>
      </c>
      <c r="AP94">
        <v>1314</v>
      </c>
      <c r="AQ94">
        <v>1314</v>
      </c>
      <c r="AS94">
        <v>2</v>
      </c>
      <c r="AT94">
        <v>91</v>
      </c>
      <c r="AU94" t="s">
        <v>89</v>
      </c>
      <c r="AV94">
        <v>19</v>
      </c>
      <c r="AW94" t="s">
        <v>80</v>
      </c>
      <c r="AX94">
        <v>22</v>
      </c>
      <c r="AY94" s="4">
        <f t="shared" si="16"/>
        <v>13</v>
      </c>
      <c r="AZ94" t="str">
        <f t="shared" si="17"/>
        <v>(Dike-town)</v>
      </c>
      <c r="BA94">
        <v>2</v>
      </c>
      <c r="BB94">
        <v>128</v>
      </c>
      <c r="BC94">
        <f t="shared" si="24"/>
        <v>2</v>
      </c>
      <c r="BD94">
        <f t="shared" si="18"/>
        <v>4000</v>
      </c>
    </row>
    <row r="95" spans="1:56" x14ac:dyDescent="0.3">
      <c r="A95">
        <v>1106</v>
      </c>
      <c r="B95" s="2">
        <v>45923.445833333331</v>
      </c>
      <c r="C95">
        <v>190000</v>
      </c>
      <c r="D95">
        <v>115000</v>
      </c>
      <c r="E95">
        <v>0</v>
      </c>
      <c r="F95">
        <v>30000</v>
      </c>
      <c r="G95">
        <v>0</v>
      </c>
      <c r="H95">
        <v>0</v>
      </c>
      <c r="I95">
        <v>20000</v>
      </c>
      <c r="J95">
        <v>14000</v>
      </c>
      <c r="K95">
        <v>0</v>
      </c>
      <c r="L95">
        <v>12000</v>
      </c>
      <c r="M95">
        <v>0</v>
      </c>
      <c r="N95">
        <v>81000</v>
      </c>
      <c r="O95">
        <v>0</v>
      </c>
      <c r="P95">
        <v>0</v>
      </c>
      <c r="Q95">
        <v>2</v>
      </c>
      <c r="R95">
        <v>0</v>
      </c>
      <c r="S95">
        <v>4</v>
      </c>
      <c r="T95">
        <v>0</v>
      </c>
      <c r="U95">
        <v>0</v>
      </c>
      <c r="V95">
        <v>4</v>
      </c>
      <c r="W95">
        <v>8</v>
      </c>
      <c r="X95">
        <v>300000</v>
      </c>
      <c r="Y95">
        <v>300000</v>
      </c>
      <c r="Z95">
        <v>240000</v>
      </c>
      <c r="AA95">
        <v>0</v>
      </c>
      <c r="AB95">
        <v>0</v>
      </c>
      <c r="AC95">
        <v>300000</v>
      </c>
      <c r="AD95">
        <v>210000</v>
      </c>
      <c r="AG95">
        <v>4</v>
      </c>
      <c r="AH95">
        <v>9</v>
      </c>
      <c r="AI95">
        <v>-1</v>
      </c>
      <c r="AJ95">
        <v>-2</v>
      </c>
      <c r="AK95">
        <v>2</v>
      </c>
      <c r="AL95">
        <v>1</v>
      </c>
      <c r="AM95" t="s">
        <v>150</v>
      </c>
      <c r="AN95">
        <v>655</v>
      </c>
      <c r="AO95">
        <v>279</v>
      </c>
      <c r="AP95">
        <v>1314</v>
      </c>
      <c r="AQ95">
        <v>1314</v>
      </c>
      <c r="AS95">
        <v>3</v>
      </c>
      <c r="AT95">
        <v>91</v>
      </c>
      <c r="AU95" t="s">
        <v>89</v>
      </c>
      <c r="AV95">
        <v>19</v>
      </c>
      <c r="AW95" t="s">
        <v>80</v>
      </c>
      <c r="AX95">
        <v>22</v>
      </c>
      <c r="AY95" s="4">
        <f t="shared" si="16"/>
        <v>13</v>
      </c>
      <c r="AZ95" t="str">
        <f t="shared" si="17"/>
        <v>(Dike-town)</v>
      </c>
      <c r="BA95">
        <v>3</v>
      </c>
      <c r="BB95">
        <v>128</v>
      </c>
      <c r="BC95">
        <f t="shared" si="24"/>
        <v>3</v>
      </c>
      <c r="BD95">
        <f t="shared" si="18"/>
        <v>12000</v>
      </c>
    </row>
    <row r="96" spans="1:56" x14ac:dyDescent="0.3">
      <c r="A96">
        <v>1136</v>
      </c>
      <c r="B96" s="2">
        <v>45923.445833333331</v>
      </c>
      <c r="C96">
        <v>190000</v>
      </c>
      <c r="D96">
        <v>115000</v>
      </c>
      <c r="E96">
        <v>0</v>
      </c>
      <c r="F96">
        <v>30000</v>
      </c>
      <c r="G96">
        <v>90000</v>
      </c>
      <c r="H96">
        <v>125000</v>
      </c>
      <c r="I96">
        <v>30000</v>
      </c>
      <c r="J96">
        <v>15000</v>
      </c>
      <c r="K96">
        <v>20125</v>
      </c>
      <c r="L96">
        <v>0</v>
      </c>
      <c r="M96">
        <v>0</v>
      </c>
      <c r="N96">
        <v>25875</v>
      </c>
      <c r="O96">
        <v>1</v>
      </c>
      <c r="P96">
        <v>1</v>
      </c>
      <c r="Q96">
        <v>2</v>
      </c>
      <c r="R96">
        <v>2</v>
      </c>
      <c r="S96">
        <v>1</v>
      </c>
      <c r="T96">
        <v>0</v>
      </c>
      <c r="U96">
        <v>0</v>
      </c>
      <c r="V96">
        <v>7</v>
      </c>
      <c r="W96">
        <v>8</v>
      </c>
      <c r="X96">
        <v>300000</v>
      </c>
      <c r="Y96">
        <v>300000</v>
      </c>
      <c r="Z96">
        <v>210000</v>
      </c>
      <c r="AA96">
        <v>300000</v>
      </c>
      <c r="AB96">
        <v>425000</v>
      </c>
      <c r="AC96">
        <v>300000</v>
      </c>
      <c r="AD96">
        <v>270000</v>
      </c>
      <c r="AE96">
        <v>34</v>
      </c>
      <c r="AG96">
        <v>6</v>
      </c>
      <c r="AH96">
        <v>9</v>
      </c>
      <c r="AI96">
        <v>-2</v>
      </c>
      <c r="AJ96">
        <v>-1</v>
      </c>
      <c r="AK96">
        <v>4</v>
      </c>
      <c r="AL96">
        <v>3</v>
      </c>
      <c r="AM96" t="s">
        <v>150</v>
      </c>
      <c r="AN96">
        <v>655</v>
      </c>
      <c r="AO96">
        <v>283</v>
      </c>
      <c r="AP96">
        <v>1314</v>
      </c>
      <c r="AQ96">
        <v>1367</v>
      </c>
      <c r="AS96">
        <v>4</v>
      </c>
      <c r="AT96">
        <v>91</v>
      </c>
      <c r="AU96" t="s">
        <v>89</v>
      </c>
      <c r="AV96">
        <v>19</v>
      </c>
      <c r="AW96" t="s">
        <v>80</v>
      </c>
      <c r="AX96">
        <v>22</v>
      </c>
      <c r="AY96" s="4">
        <f t="shared" si="16"/>
        <v>15</v>
      </c>
      <c r="AZ96" t="str">
        <f t="shared" si="17"/>
        <v>(Natu-city)</v>
      </c>
      <c r="BA96">
        <v>4</v>
      </c>
      <c r="BB96">
        <v>128</v>
      </c>
      <c r="BC96">
        <f t="shared" si="24"/>
        <v>7</v>
      </c>
      <c r="BD96">
        <f t="shared" si="18"/>
        <v>0</v>
      </c>
    </row>
    <row r="97" spans="1:56" x14ac:dyDescent="0.3">
      <c r="A97">
        <v>1069</v>
      </c>
      <c r="B97" s="2">
        <v>45923.450312499997</v>
      </c>
      <c r="C97">
        <v>75000</v>
      </c>
      <c r="D97">
        <v>40000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4</v>
      </c>
      <c r="X97">
        <v>110000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103</v>
      </c>
      <c r="AN97">
        <v>658</v>
      </c>
      <c r="AO97">
        <v>266</v>
      </c>
      <c r="AS97">
        <v>0</v>
      </c>
      <c r="AT97">
        <v>92</v>
      </c>
      <c r="AU97" t="s">
        <v>90</v>
      </c>
      <c r="AV97">
        <v>19</v>
      </c>
      <c r="AW97" t="s">
        <v>80</v>
      </c>
      <c r="AX97">
        <v>22</v>
      </c>
      <c r="AY97" s="4">
        <f t="shared" si="16"/>
        <v>0</v>
      </c>
      <c r="AZ97" t="str">
        <f t="shared" si="17"/>
        <v/>
      </c>
      <c r="BA97">
        <v>0</v>
      </c>
      <c r="BB97">
        <v>124</v>
      </c>
      <c r="BD97">
        <f t="shared" si="18"/>
        <v>0</v>
      </c>
    </row>
    <row r="98" spans="1:56" x14ac:dyDescent="0.3">
      <c r="A98">
        <v>1073</v>
      </c>
      <c r="B98" s="2">
        <v>45923.450312499997</v>
      </c>
      <c r="C98">
        <v>75000</v>
      </c>
      <c r="D98">
        <v>40000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40000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</v>
      </c>
      <c r="W98">
        <v>4</v>
      </c>
      <c r="X98">
        <v>110000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153</v>
      </c>
      <c r="AN98">
        <v>658</v>
      </c>
      <c r="AO98">
        <v>273</v>
      </c>
      <c r="AS98">
        <v>1</v>
      </c>
      <c r="AT98">
        <v>92</v>
      </c>
      <c r="AU98" t="s">
        <v>90</v>
      </c>
      <c r="AV98">
        <v>19</v>
      </c>
      <c r="AW98" t="s">
        <v>80</v>
      </c>
      <c r="AX98">
        <v>22</v>
      </c>
      <c r="AY98" s="4">
        <f t="shared" si="16"/>
        <v>0</v>
      </c>
      <c r="AZ98" t="str">
        <f t="shared" si="17"/>
        <v/>
      </c>
      <c r="BA98">
        <v>1</v>
      </c>
      <c r="BB98">
        <v>124</v>
      </c>
      <c r="BC98">
        <f>AK98+AL98</f>
        <v>0</v>
      </c>
      <c r="BD98">
        <f t="shared" si="18"/>
        <v>0</v>
      </c>
    </row>
    <row r="99" spans="1:56" x14ac:dyDescent="0.3">
      <c r="A99">
        <v>1057</v>
      </c>
      <c r="B99" s="2">
        <v>45923.449594907397</v>
      </c>
      <c r="C99">
        <v>110000</v>
      </c>
      <c r="D99">
        <v>60000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30000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</v>
      </c>
      <c r="W99">
        <v>6</v>
      </c>
      <c r="X99">
        <v>170000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103</v>
      </c>
      <c r="AN99">
        <v>659</v>
      </c>
      <c r="AO99">
        <v>266</v>
      </c>
      <c r="AS99">
        <v>0</v>
      </c>
      <c r="AT99">
        <v>92</v>
      </c>
      <c r="AU99" t="s">
        <v>90</v>
      </c>
      <c r="AV99">
        <v>19</v>
      </c>
      <c r="AW99" t="s">
        <v>80</v>
      </c>
      <c r="AX99">
        <v>22</v>
      </c>
      <c r="AY99" s="4">
        <f t="shared" si="16"/>
        <v>0</v>
      </c>
      <c r="AZ99" t="str">
        <f t="shared" si="17"/>
        <v/>
      </c>
      <c r="BA99">
        <v>0</v>
      </c>
      <c r="BB99">
        <v>126</v>
      </c>
      <c r="BD99">
        <f t="shared" si="18"/>
        <v>0</v>
      </c>
    </row>
    <row r="100" spans="1:56" x14ac:dyDescent="0.3">
      <c r="A100">
        <v>1074</v>
      </c>
      <c r="B100" s="2">
        <v>45923.449594907397</v>
      </c>
      <c r="C100">
        <v>110000</v>
      </c>
      <c r="D100">
        <v>60000</v>
      </c>
      <c r="E100">
        <v>0</v>
      </c>
      <c r="F100">
        <v>16000</v>
      </c>
      <c r="G100">
        <v>0</v>
      </c>
      <c r="H100">
        <v>0</v>
      </c>
      <c r="I100">
        <v>15000</v>
      </c>
      <c r="J100">
        <v>18000</v>
      </c>
      <c r="K100">
        <v>8000</v>
      </c>
      <c r="L100">
        <v>0</v>
      </c>
      <c r="M100">
        <v>0</v>
      </c>
      <c r="N100">
        <v>23000</v>
      </c>
      <c r="O100">
        <v>0</v>
      </c>
      <c r="P100">
        <v>-1</v>
      </c>
      <c r="Q100">
        <v>1</v>
      </c>
      <c r="R100">
        <v>2</v>
      </c>
      <c r="S100">
        <v>0</v>
      </c>
      <c r="T100">
        <v>0</v>
      </c>
      <c r="U100">
        <v>0</v>
      </c>
      <c r="V100">
        <v>7</v>
      </c>
      <c r="W100">
        <v>6</v>
      </c>
      <c r="X100">
        <v>170000</v>
      </c>
      <c r="Y100">
        <v>0</v>
      </c>
      <c r="Z100">
        <v>0</v>
      </c>
      <c r="AA100">
        <v>0</v>
      </c>
      <c r="AB100">
        <v>160000</v>
      </c>
      <c r="AC100">
        <v>160000</v>
      </c>
      <c r="AD100">
        <v>144000</v>
      </c>
      <c r="AG100">
        <v>4</v>
      </c>
      <c r="AH100">
        <v>9</v>
      </c>
      <c r="AI100">
        <v>0</v>
      </c>
      <c r="AJ100">
        <v>0</v>
      </c>
      <c r="AK100">
        <v>2</v>
      </c>
      <c r="AL100">
        <v>2</v>
      </c>
      <c r="AM100" t="s">
        <v>150</v>
      </c>
      <c r="AN100">
        <v>659</v>
      </c>
      <c r="AO100">
        <v>273</v>
      </c>
      <c r="AQ100">
        <v>1331</v>
      </c>
      <c r="AS100">
        <v>1</v>
      </c>
      <c r="AT100">
        <v>92</v>
      </c>
      <c r="AU100" t="s">
        <v>90</v>
      </c>
      <c r="AV100">
        <v>19</v>
      </c>
      <c r="AW100" t="s">
        <v>80</v>
      </c>
      <c r="AX100">
        <v>22</v>
      </c>
      <c r="AY100" s="4">
        <f t="shared" si="16"/>
        <v>13</v>
      </c>
      <c r="AZ100" t="str">
        <f t="shared" si="17"/>
        <v>(Dike-town)</v>
      </c>
      <c r="BA100">
        <v>1</v>
      </c>
      <c r="BB100">
        <v>126</v>
      </c>
      <c r="BC100">
        <f t="shared" ref="BC100:BC103" si="25">AK100+AL100</f>
        <v>4</v>
      </c>
      <c r="BD100">
        <f t="shared" si="18"/>
        <v>0</v>
      </c>
    </row>
    <row r="101" spans="1:56" x14ac:dyDescent="0.3">
      <c r="A101">
        <v>1117</v>
      </c>
      <c r="B101" s="2">
        <v>45923.449594907397</v>
      </c>
      <c r="C101">
        <v>110000</v>
      </c>
      <c r="D101">
        <v>60000</v>
      </c>
      <c r="E101">
        <v>0</v>
      </c>
      <c r="F101">
        <v>16000</v>
      </c>
      <c r="G101">
        <v>0</v>
      </c>
      <c r="H101">
        <v>0</v>
      </c>
      <c r="I101">
        <v>15000</v>
      </c>
      <c r="J101">
        <v>15000</v>
      </c>
      <c r="K101">
        <v>9500</v>
      </c>
      <c r="L101">
        <v>0</v>
      </c>
      <c r="M101">
        <v>0</v>
      </c>
      <c r="N101">
        <v>17500</v>
      </c>
      <c r="O101">
        <v>0</v>
      </c>
      <c r="P101">
        <v>0</v>
      </c>
      <c r="Q101">
        <v>2</v>
      </c>
      <c r="R101">
        <v>2</v>
      </c>
      <c r="S101">
        <v>0</v>
      </c>
      <c r="T101">
        <v>0</v>
      </c>
      <c r="U101">
        <v>0</v>
      </c>
      <c r="V101">
        <v>11</v>
      </c>
      <c r="W101">
        <v>6</v>
      </c>
      <c r="X101">
        <v>170000</v>
      </c>
      <c r="Y101">
        <v>160000</v>
      </c>
      <c r="Z101">
        <v>144000</v>
      </c>
      <c r="AA101">
        <v>0</v>
      </c>
      <c r="AB101">
        <v>0</v>
      </c>
      <c r="AC101">
        <v>160000</v>
      </c>
      <c r="AD101">
        <v>128000</v>
      </c>
      <c r="AG101">
        <v>4</v>
      </c>
      <c r="AH101">
        <v>9</v>
      </c>
      <c r="AI101">
        <v>0</v>
      </c>
      <c r="AJ101">
        <v>0</v>
      </c>
      <c r="AK101">
        <v>2</v>
      </c>
      <c r="AL101">
        <v>1</v>
      </c>
      <c r="AM101" t="s">
        <v>150</v>
      </c>
      <c r="AN101">
        <v>659</v>
      </c>
      <c r="AO101">
        <v>280</v>
      </c>
      <c r="AP101">
        <v>1331</v>
      </c>
      <c r="AQ101">
        <v>1331</v>
      </c>
      <c r="AS101">
        <v>2</v>
      </c>
      <c r="AT101">
        <v>92</v>
      </c>
      <c r="AU101" t="s">
        <v>90</v>
      </c>
      <c r="AV101">
        <v>19</v>
      </c>
      <c r="AW101" t="s">
        <v>80</v>
      </c>
      <c r="AX101">
        <v>22</v>
      </c>
      <c r="AY101" s="4">
        <f t="shared" si="16"/>
        <v>13</v>
      </c>
      <c r="AZ101" t="str">
        <f t="shared" si="17"/>
        <v>(Dike-town)</v>
      </c>
      <c r="BA101">
        <v>2</v>
      </c>
      <c r="BB101">
        <v>126</v>
      </c>
      <c r="BC101">
        <f t="shared" si="25"/>
        <v>3</v>
      </c>
      <c r="BD101">
        <f t="shared" si="18"/>
        <v>0</v>
      </c>
    </row>
    <row r="102" spans="1:56" x14ac:dyDescent="0.3">
      <c r="A102">
        <v>1142</v>
      </c>
      <c r="B102" s="2">
        <v>45923.449594907397</v>
      </c>
      <c r="C102">
        <v>110000</v>
      </c>
      <c r="D102">
        <v>60000</v>
      </c>
      <c r="E102">
        <v>0</v>
      </c>
      <c r="F102">
        <v>16000</v>
      </c>
      <c r="G102">
        <v>0</v>
      </c>
      <c r="H102">
        <v>0</v>
      </c>
      <c r="I102">
        <v>15000</v>
      </c>
      <c r="J102">
        <v>0</v>
      </c>
      <c r="K102">
        <v>3200</v>
      </c>
      <c r="L102">
        <v>0</v>
      </c>
      <c r="M102">
        <v>4000</v>
      </c>
      <c r="N102">
        <v>29300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10</v>
      </c>
      <c r="W102">
        <v>6</v>
      </c>
      <c r="X102">
        <v>170000</v>
      </c>
      <c r="Y102">
        <v>160000</v>
      </c>
      <c r="Z102">
        <v>128000</v>
      </c>
      <c r="AA102">
        <v>0</v>
      </c>
      <c r="AB102">
        <v>0</v>
      </c>
      <c r="AC102">
        <v>160000</v>
      </c>
      <c r="AD102">
        <v>112000</v>
      </c>
      <c r="AG102">
        <v>4</v>
      </c>
      <c r="AH102">
        <v>9</v>
      </c>
      <c r="AI102">
        <v>-2</v>
      </c>
      <c r="AJ102">
        <v>-1</v>
      </c>
      <c r="AK102">
        <v>0</v>
      </c>
      <c r="AL102">
        <v>0</v>
      </c>
      <c r="AM102" t="s">
        <v>150</v>
      </c>
      <c r="AN102">
        <v>659</v>
      </c>
      <c r="AO102">
        <v>284</v>
      </c>
      <c r="AP102">
        <v>1331</v>
      </c>
      <c r="AQ102">
        <v>1331</v>
      </c>
      <c r="AS102">
        <v>3</v>
      </c>
      <c r="AT102">
        <v>92</v>
      </c>
      <c r="AU102" t="s">
        <v>90</v>
      </c>
      <c r="AV102">
        <v>19</v>
      </c>
      <c r="AW102" t="s">
        <v>80</v>
      </c>
      <c r="AX102">
        <v>22</v>
      </c>
      <c r="AY102" s="4">
        <f t="shared" si="16"/>
        <v>13</v>
      </c>
      <c r="AZ102" t="str">
        <f t="shared" si="17"/>
        <v>(Dike-town)</v>
      </c>
      <c r="BA102">
        <v>3</v>
      </c>
      <c r="BB102">
        <v>126</v>
      </c>
      <c r="BC102">
        <f t="shared" si="25"/>
        <v>0</v>
      </c>
      <c r="BD102">
        <f t="shared" si="18"/>
        <v>4000</v>
      </c>
    </row>
    <row r="103" spans="1:56" x14ac:dyDescent="0.3">
      <c r="A103">
        <v>1150</v>
      </c>
      <c r="B103" s="2">
        <v>45923.449594907397</v>
      </c>
      <c r="C103">
        <v>110000</v>
      </c>
      <c r="D103">
        <v>60000</v>
      </c>
      <c r="E103">
        <v>0</v>
      </c>
      <c r="F103">
        <v>17000</v>
      </c>
      <c r="G103">
        <v>88000</v>
      </c>
      <c r="H103">
        <v>30000</v>
      </c>
      <c r="I103">
        <v>30000</v>
      </c>
      <c r="J103">
        <v>0</v>
      </c>
      <c r="K103">
        <v>0</v>
      </c>
      <c r="L103">
        <v>0</v>
      </c>
      <c r="M103">
        <v>0</v>
      </c>
      <c r="N103">
        <v>90300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9</v>
      </c>
      <c r="W103">
        <v>6</v>
      </c>
      <c r="X103">
        <v>170000</v>
      </c>
      <c r="Y103">
        <v>160000</v>
      </c>
      <c r="Z103">
        <v>112000</v>
      </c>
      <c r="AA103">
        <v>200000</v>
      </c>
      <c r="AB103">
        <v>200000</v>
      </c>
      <c r="AC103">
        <v>170000</v>
      </c>
      <c r="AD103">
        <v>153000</v>
      </c>
      <c r="AE103">
        <v>35</v>
      </c>
      <c r="AG103">
        <v>6</v>
      </c>
      <c r="AH103">
        <v>9</v>
      </c>
      <c r="AI103">
        <v>-2</v>
      </c>
      <c r="AJ103">
        <v>-1</v>
      </c>
      <c r="AK103">
        <v>4</v>
      </c>
      <c r="AL103">
        <v>3</v>
      </c>
      <c r="AM103" t="s">
        <v>150</v>
      </c>
      <c r="AN103">
        <v>659</v>
      </c>
      <c r="AO103">
        <v>285</v>
      </c>
      <c r="AP103">
        <v>1331</v>
      </c>
      <c r="AQ103">
        <v>1378</v>
      </c>
      <c r="AS103">
        <v>4</v>
      </c>
      <c r="AT103">
        <v>92</v>
      </c>
      <c r="AU103" t="s">
        <v>90</v>
      </c>
      <c r="AV103">
        <v>19</v>
      </c>
      <c r="AW103" t="s">
        <v>80</v>
      </c>
      <c r="AX103">
        <v>22</v>
      </c>
      <c r="AY103" s="4">
        <f t="shared" si="16"/>
        <v>15</v>
      </c>
      <c r="AZ103" t="str">
        <f t="shared" si="17"/>
        <v>(Natu-city)</v>
      </c>
      <c r="BA103">
        <v>4</v>
      </c>
      <c r="BB103">
        <v>126</v>
      </c>
      <c r="BC103">
        <f t="shared" si="25"/>
        <v>7</v>
      </c>
      <c r="BD103">
        <f t="shared" si="18"/>
        <v>0</v>
      </c>
    </row>
    <row r="104" spans="1:56" x14ac:dyDescent="0.3">
      <c r="A104">
        <v>1058</v>
      </c>
      <c r="B104" s="2">
        <v>45923.449641203697</v>
      </c>
      <c r="C104">
        <v>60000</v>
      </c>
      <c r="D104">
        <v>30000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</v>
      </c>
      <c r="W104">
        <v>3</v>
      </c>
      <c r="X104">
        <v>80000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t="s">
        <v>103</v>
      </c>
      <c r="AN104">
        <v>660</v>
      </c>
      <c r="AO104">
        <v>266</v>
      </c>
      <c r="AS104">
        <v>0</v>
      </c>
      <c r="AT104">
        <v>92</v>
      </c>
      <c r="AU104" t="s">
        <v>90</v>
      </c>
      <c r="AV104">
        <v>19</v>
      </c>
      <c r="AW104" t="s">
        <v>80</v>
      </c>
      <c r="AX104">
        <v>22</v>
      </c>
      <c r="AY104" s="4">
        <f t="shared" si="16"/>
        <v>0</v>
      </c>
      <c r="AZ104" t="str">
        <f t="shared" si="17"/>
        <v/>
      </c>
      <c r="BA104">
        <v>0</v>
      </c>
      <c r="BB104">
        <v>123</v>
      </c>
      <c r="BD104">
        <f t="shared" si="18"/>
        <v>0</v>
      </c>
    </row>
    <row r="105" spans="1:56" x14ac:dyDescent="0.3">
      <c r="A105">
        <v>1072</v>
      </c>
      <c r="B105" s="2">
        <v>45923.449641203697</v>
      </c>
      <c r="C105">
        <v>60000</v>
      </c>
      <c r="D105">
        <v>30000</v>
      </c>
      <c r="E105">
        <v>0</v>
      </c>
      <c r="F105">
        <v>8000</v>
      </c>
      <c r="G105">
        <v>0</v>
      </c>
      <c r="H105">
        <v>0</v>
      </c>
      <c r="I105">
        <v>15000</v>
      </c>
      <c r="J105">
        <v>0</v>
      </c>
      <c r="K105">
        <v>1600</v>
      </c>
      <c r="L105">
        <v>0</v>
      </c>
      <c r="M105">
        <v>0</v>
      </c>
      <c r="N105">
        <v>5400</v>
      </c>
      <c r="O105">
        <v>0</v>
      </c>
      <c r="P105">
        <v>-1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</v>
      </c>
      <c r="W105">
        <v>3</v>
      </c>
      <c r="X105">
        <v>80000</v>
      </c>
      <c r="Y105">
        <v>0</v>
      </c>
      <c r="Z105">
        <v>0</v>
      </c>
      <c r="AA105">
        <v>0</v>
      </c>
      <c r="AB105">
        <v>80000</v>
      </c>
      <c r="AC105">
        <v>80000</v>
      </c>
      <c r="AD105">
        <v>72000</v>
      </c>
      <c r="AG105">
        <v>4</v>
      </c>
      <c r="AH105">
        <v>9</v>
      </c>
      <c r="AI105">
        <v>0</v>
      </c>
      <c r="AJ105">
        <v>0</v>
      </c>
      <c r="AK105">
        <v>0</v>
      </c>
      <c r="AL105">
        <v>0</v>
      </c>
      <c r="AM105" t="s">
        <v>150</v>
      </c>
      <c r="AN105">
        <v>660</v>
      </c>
      <c r="AO105">
        <v>273</v>
      </c>
      <c r="AQ105">
        <v>1334</v>
      </c>
      <c r="AS105">
        <v>1</v>
      </c>
      <c r="AT105">
        <v>92</v>
      </c>
      <c r="AU105" t="s">
        <v>90</v>
      </c>
      <c r="AV105">
        <v>19</v>
      </c>
      <c r="AW105" t="s">
        <v>80</v>
      </c>
      <c r="AX105">
        <v>22</v>
      </c>
      <c r="AY105" s="4">
        <f t="shared" si="16"/>
        <v>13</v>
      </c>
      <c r="AZ105" t="str">
        <f t="shared" si="17"/>
        <v>(Dike-town)</v>
      </c>
      <c r="BA105">
        <v>1</v>
      </c>
      <c r="BB105">
        <v>123</v>
      </c>
      <c r="BC105">
        <f t="shared" ref="BC105:BC108" si="26">AK105+AL105</f>
        <v>0</v>
      </c>
      <c r="BD105">
        <f t="shared" si="18"/>
        <v>0</v>
      </c>
    </row>
    <row r="106" spans="1:56" x14ac:dyDescent="0.3">
      <c r="A106">
        <v>1120</v>
      </c>
      <c r="B106" s="2">
        <v>45923.449641203697</v>
      </c>
      <c r="C106">
        <v>60000</v>
      </c>
      <c r="D106">
        <v>30000</v>
      </c>
      <c r="E106">
        <v>0</v>
      </c>
      <c r="F106">
        <v>8000</v>
      </c>
      <c r="G106">
        <v>0</v>
      </c>
      <c r="H106">
        <v>0</v>
      </c>
      <c r="I106">
        <v>15000</v>
      </c>
      <c r="J106">
        <v>8000</v>
      </c>
      <c r="K106">
        <v>0</v>
      </c>
      <c r="L106">
        <v>0</v>
      </c>
      <c r="M106">
        <v>0</v>
      </c>
      <c r="N106">
        <v>4400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5</v>
      </c>
      <c r="W106">
        <v>3</v>
      </c>
      <c r="X106">
        <v>80000</v>
      </c>
      <c r="Y106">
        <v>80000</v>
      </c>
      <c r="Z106">
        <v>72000</v>
      </c>
      <c r="AA106">
        <v>0</v>
      </c>
      <c r="AB106">
        <v>0</v>
      </c>
      <c r="AC106">
        <v>80000</v>
      </c>
      <c r="AD106">
        <v>64000</v>
      </c>
      <c r="AG106">
        <v>4</v>
      </c>
      <c r="AH106">
        <v>9</v>
      </c>
      <c r="AI106">
        <v>0</v>
      </c>
      <c r="AJ106">
        <v>0</v>
      </c>
      <c r="AK106">
        <v>1</v>
      </c>
      <c r="AL106">
        <v>1</v>
      </c>
      <c r="AM106" t="s">
        <v>150</v>
      </c>
      <c r="AN106">
        <v>660</v>
      </c>
      <c r="AO106">
        <v>280</v>
      </c>
      <c r="AP106">
        <v>1334</v>
      </c>
      <c r="AQ106">
        <v>1334</v>
      </c>
      <c r="AS106">
        <v>2</v>
      </c>
      <c r="AT106">
        <v>92</v>
      </c>
      <c r="AU106" t="s">
        <v>90</v>
      </c>
      <c r="AV106">
        <v>19</v>
      </c>
      <c r="AW106" t="s">
        <v>80</v>
      </c>
      <c r="AX106">
        <v>22</v>
      </c>
      <c r="AY106" s="4">
        <f t="shared" si="16"/>
        <v>13</v>
      </c>
      <c r="AZ106" t="str">
        <f t="shared" si="17"/>
        <v>(Dike-town)</v>
      </c>
      <c r="BA106">
        <v>2</v>
      </c>
      <c r="BB106">
        <v>123</v>
      </c>
      <c r="BC106">
        <f t="shared" si="26"/>
        <v>2</v>
      </c>
      <c r="BD106">
        <f t="shared" si="18"/>
        <v>0</v>
      </c>
    </row>
    <row r="107" spans="1:56" x14ac:dyDescent="0.3">
      <c r="A107">
        <v>1144</v>
      </c>
      <c r="B107" s="2">
        <v>45923.449641203697</v>
      </c>
      <c r="C107">
        <v>60000</v>
      </c>
      <c r="D107">
        <v>30000</v>
      </c>
      <c r="E107">
        <v>0</v>
      </c>
      <c r="F107">
        <v>8000</v>
      </c>
      <c r="G107">
        <v>0</v>
      </c>
      <c r="H107">
        <v>0</v>
      </c>
      <c r="I107">
        <v>15000</v>
      </c>
      <c r="J107">
        <v>6000</v>
      </c>
      <c r="K107">
        <v>0</v>
      </c>
      <c r="L107">
        <v>0</v>
      </c>
      <c r="M107">
        <v>4000</v>
      </c>
      <c r="N107">
        <v>1400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5</v>
      </c>
      <c r="W107">
        <v>3</v>
      </c>
      <c r="X107">
        <v>80000</v>
      </c>
      <c r="Y107">
        <v>80000</v>
      </c>
      <c r="Z107">
        <v>64000</v>
      </c>
      <c r="AA107">
        <v>0</v>
      </c>
      <c r="AB107">
        <v>0</v>
      </c>
      <c r="AC107">
        <v>80000</v>
      </c>
      <c r="AD107">
        <v>56000</v>
      </c>
      <c r="AG107">
        <v>4</v>
      </c>
      <c r="AH107">
        <v>9</v>
      </c>
      <c r="AI107">
        <v>-2</v>
      </c>
      <c r="AJ107">
        <v>-1</v>
      </c>
      <c r="AK107">
        <v>1</v>
      </c>
      <c r="AL107">
        <v>0</v>
      </c>
      <c r="AM107" t="s">
        <v>150</v>
      </c>
      <c r="AN107">
        <v>660</v>
      </c>
      <c r="AO107">
        <v>284</v>
      </c>
      <c r="AP107">
        <v>1334</v>
      </c>
      <c r="AQ107">
        <v>1334</v>
      </c>
      <c r="AS107">
        <v>3</v>
      </c>
      <c r="AT107">
        <v>92</v>
      </c>
      <c r="AU107" t="s">
        <v>90</v>
      </c>
      <c r="AV107">
        <v>19</v>
      </c>
      <c r="AW107" t="s">
        <v>80</v>
      </c>
      <c r="AX107">
        <v>22</v>
      </c>
      <c r="AY107" s="4">
        <f t="shared" si="16"/>
        <v>13</v>
      </c>
      <c r="AZ107" t="str">
        <f t="shared" si="17"/>
        <v>(Dike-town)</v>
      </c>
      <c r="BA107">
        <v>3</v>
      </c>
      <c r="BB107">
        <v>123</v>
      </c>
      <c r="BC107">
        <f t="shared" si="26"/>
        <v>1</v>
      </c>
      <c r="BD107">
        <f t="shared" si="18"/>
        <v>4000</v>
      </c>
    </row>
    <row r="108" spans="1:56" x14ac:dyDescent="0.3">
      <c r="A108">
        <v>1151</v>
      </c>
      <c r="B108" s="2">
        <v>45923.449641203697</v>
      </c>
      <c r="C108">
        <v>60000</v>
      </c>
      <c r="D108">
        <v>30000</v>
      </c>
      <c r="E108">
        <v>0</v>
      </c>
      <c r="F108">
        <v>8000</v>
      </c>
      <c r="G108">
        <v>0</v>
      </c>
      <c r="H108">
        <v>0</v>
      </c>
      <c r="I108">
        <v>20000</v>
      </c>
      <c r="J108">
        <v>0</v>
      </c>
      <c r="K108">
        <v>2000</v>
      </c>
      <c r="L108">
        <v>0</v>
      </c>
      <c r="M108">
        <v>4000</v>
      </c>
      <c r="N108">
        <v>-2600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5</v>
      </c>
      <c r="W108">
        <v>3</v>
      </c>
      <c r="X108">
        <v>80000</v>
      </c>
      <c r="Y108">
        <v>80000</v>
      </c>
      <c r="Z108">
        <v>56000</v>
      </c>
      <c r="AA108">
        <v>0</v>
      </c>
      <c r="AB108">
        <v>0</v>
      </c>
      <c r="AC108">
        <v>80000</v>
      </c>
      <c r="AD108">
        <v>48000</v>
      </c>
      <c r="AG108">
        <v>4</v>
      </c>
      <c r="AH108">
        <v>9</v>
      </c>
      <c r="AI108">
        <v>-2</v>
      </c>
      <c r="AJ108">
        <v>-1</v>
      </c>
      <c r="AK108">
        <v>0</v>
      </c>
      <c r="AL108">
        <v>0</v>
      </c>
      <c r="AM108" t="s">
        <v>150</v>
      </c>
      <c r="AN108">
        <v>660</v>
      </c>
      <c r="AO108">
        <v>285</v>
      </c>
      <c r="AP108">
        <v>1334</v>
      </c>
      <c r="AQ108">
        <v>1334</v>
      </c>
      <c r="AS108">
        <v>4</v>
      </c>
      <c r="AT108">
        <v>92</v>
      </c>
      <c r="AU108" t="s">
        <v>90</v>
      </c>
      <c r="AV108">
        <v>19</v>
      </c>
      <c r="AW108" t="s">
        <v>80</v>
      </c>
      <c r="AX108">
        <v>22</v>
      </c>
      <c r="AY108" s="4">
        <f t="shared" si="16"/>
        <v>13</v>
      </c>
      <c r="AZ108" t="str">
        <f t="shared" si="17"/>
        <v>(Dike-town)</v>
      </c>
      <c r="BA108">
        <v>4</v>
      </c>
      <c r="BB108">
        <v>123</v>
      </c>
      <c r="BC108">
        <f t="shared" si="26"/>
        <v>0</v>
      </c>
      <c r="BD108">
        <f t="shared" si="18"/>
        <v>4000</v>
      </c>
    </row>
    <row r="109" spans="1:56" x14ac:dyDescent="0.3">
      <c r="A109">
        <v>1059</v>
      </c>
      <c r="B109" s="2">
        <v>45923.449699074074</v>
      </c>
      <c r="C109">
        <v>90000</v>
      </c>
      <c r="D109">
        <v>50000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15000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</v>
      </c>
      <c r="W109">
        <v>5</v>
      </c>
      <c r="X109">
        <v>130000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t="s">
        <v>103</v>
      </c>
      <c r="AN109">
        <v>661</v>
      </c>
      <c r="AO109">
        <v>266</v>
      </c>
      <c r="AS109">
        <v>0</v>
      </c>
      <c r="AT109">
        <v>92</v>
      </c>
      <c r="AU109" t="s">
        <v>90</v>
      </c>
      <c r="AV109">
        <v>19</v>
      </c>
      <c r="AW109" t="s">
        <v>80</v>
      </c>
      <c r="AX109">
        <v>22</v>
      </c>
      <c r="AY109" s="4">
        <f t="shared" si="16"/>
        <v>0</v>
      </c>
      <c r="AZ109" t="str">
        <f t="shared" si="17"/>
        <v/>
      </c>
      <c r="BA109">
        <v>0</v>
      </c>
      <c r="BB109">
        <v>125</v>
      </c>
      <c r="BD109">
        <f t="shared" si="18"/>
        <v>0</v>
      </c>
    </row>
    <row r="110" spans="1:56" x14ac:dyDescent="0.3">
      <c r="A110">
        <v>1076</v>
      </c>
      <c r="B110" s="2">
        <v>45923.449699074074</v>
      </c>
      <c r="C110">
        <v>90000</v>
      </c>
      <c r="D110">
        <v>50000</v>
      </c>
      <c r="E110">
        <v>0</v>
      </c>
      <c r="F110">
        <v>10000</v>
      </c>
      <c r="G110">
        <v>0</v>
      </c>
      <c r="H110">
        <v>0</v>
      </c>
      <c r="I110">
        <v>15000</v>
      </c>
      <c r="J110">
        <v>6000</v>
      </c>
      <c r="K110">
        <v>7000</v>
      </c>
      <c r="L110">
        <v>0</v>
      </c>
      <c r="M110">
        <v>0</v>
      </c>
      <c r="N110">
        <v>17000</v>
      </c>
      <c r="O110">
        <v>0</v>
      </c>
      <c r="P110">
        <v>-2</v>
      </c>
      <c r="Q110">
        <v>1</v>
      </c>
      <c r="R110">
        <v>2</v>
      </c>
      <c r="S110">
        <v>0</v>
      </c>
      <c r="T110">
        <v>0</v>
      </c>
      <c r="U110">
        <v>0</v>
      </c>
      <c r="V110">
        <v>6</v>
      </c>
      <c r="W110">
        <v>5</v>
      </c>
      <c r="X110">
        <v>130000</v>
      </c>
      <c r="Y110">
        <v>0</v>
      </c>
      <c r="Z110">
        <v>0</v>
      </c>
      <c r="AA110">
        <v>0</v>
      </c>
      <c r="AB110">
        <v>100000</v>
      </c>
      <c r="AC110">
        <v>100000</v>
      </c>
      <c r="AD110">
        <v>90000</v>
      </c>
      <c r="AG110">
        <v>6</v>
      </c>
      <c r="AH110">
        <v>9</v>
      </c>
      <c r="AI110">
        <v>0</v>
      </c>
      <c r="AJ110">
        <v>0</v>
      </c>
      <c r="AK110">
        <v>1</v>
      </c>
      <c r="AL110">
        <v>0</v>
      </c>
      <c r="AM110" t="s">
        <v>150</v>
      </c>
      <c r="AN110">
        <v>661</v>
      </c>
      <c r="AO110">
        <v>273</v>
      </c>
      <c r="AQ110">
        <v>1328</v>
      </c>
      <c r="AS110">
        <v>1</v>
      </c>
      <c r="AT110">
        <v>92</v>
      </c>
      <c r="AU110" t="s">
        <v>90</v>
      </c>
      <c r="AV110">
        <v>19</v>
      </c>
      <c r="AW110" t="s">
        <v>80</v>
      </c>
      <c r="AX110">
        <v>22</v>
      </c>
      <c r="AY110" s="4">
        <f t="shared" si="16"/>
        <v>15</v>
      </c>
      <c r="AZ110" t="str">
        <f t="shared" si="17"/>
        <v>(Natu-city)</v>
      </c>
      <c r="BA110">
        <v>1</v>
      </c>
      <c r="BB110">
        <v>125</v>
      </c>
      <c r="BC110">
        <f t="shared" ref="BC110:BC113" si="27">AK110+AL110</f>
        <v>1</v>
      </c>
      <c r="BD110">
        <f t="shared" si="18"/>
        <v>0</v>
      </c>
    </row>
    <row r="111" spans="1:56" x14ac:dyDescent="0.3">
      <c r="A111">
        <v>1118</v>
      </c>
      <c r="B111" s="2">
        <v>45923.449699074074</v>
      </c>
      <c r="C111">
        <v>90000</v>
      </c>
      <c r="D111">
        <v>50000</v>
      </c>
      <c r="E111">
        <v>0</v>
      </c>
      <c r="F111">
        <v>10000</v>
      </c>
      <c r="G111">
        <v>0</v>
      </c>
      <c r="H111">
        <v>0</v>
      </c>
      <c r="I111">
        <v>15000</v>
      </c>
      <c r="J111">
        <v>8000</v>
      </c>
      <c r="K111">
        <v>7000</v>
      </c>
      <c r="L111">
        <v>0</v>
      </c>
      <c r="M111">
        <v>0</v>
      </c>
      <c r="N111">
        <v>17000</v>
      </c>
      <c r="O111">
        <v>0</v>
      </c>
      <c r="P111">
        <v>0</v>
      </c>
      <c r="Q111">
        <v>1</v>
      </c>
      <c r="R111">
        <v>2</v>
      </c>
      <c r="S111">
        <v>0</v>
      </c>
      <c r="T111">
        <v>0</v>
      </c>
      <c r="U111">
        <v>0</v>
      </c>
      <c r="V111">
        <v>9</v>
      </c>
      <c r="W111">
        <v>5</v>
      </c>
      <c r="X111">
        <v>130000</v>
      </c>
      <c r="Y111">
        <v>100000</v>
      </c>
      <c r="Z111">
        <v>90000</v>
      </c>
      <c r="AA111">
        <v>0</v>
      </c>
      <c r="AB111">
        <v>0</v>
      </c>
      <c r="AC111">
        <v>100000</v>
      </c>
      <c r="AD111">
        <v>80000</v>
      </c>
      <c r="AG111">
        <v>6</v>
      </c>
      <c r="AH111">
        <v>9</v>
      </c>
      <c r="AI111">
        <v>0</v>
      </c>
      <c r="AJ111">
        <v>0</v>
      </c>
      <c r="AK111">
        <v>1</v>
      </c>
      <c r="AL111">
        <v>1</v>
      </c>
      <c r="AM111" t="s">
        <v>150</v>
      </c>
      <c r="AN111">
        <v>661</v>
      </c>
      <c r="AO111">
        <v>280</v>
      </c>
      <c r="AP111">
        <v>1328</v>
      </c>
      <c r="AQ111">
        <v>1328</v>
      </c>
      <c r="AS111">
        <v>2</v>
      </c>
      <c r="AT111">
        <v>92</v>
      </c>
      <c r="AU111" t="s">
        <v>90</v>
      </c>
      <c r="AV111">
        <v>19</v>
      </c>
      <c r="AW111" t="s">
        <v>80</v>
      </c>
      <c r="AX111">
        <v>22</v>
      </c>
      <c r="AY111" s="4">
        <f t="shared" si="16"/>
        <v>15</v>
      </c>
      <c r="AZ111" t="str">
        <f t="shared" si="17"/>
        <v>(Natu-city)</v>
      </c>
      <c r="BA111">
        <v>2</v>
      </c>
      <c r="BB111">
        <v>125</v>
      </c>
      <c r="BC111">
        <f t="shared" si="27"/>
        <v>2</v>
      </c>
      <c r="BD111">
        <f t="shared" si="18"/>
        <v>0</v>
      </c>
    </row>
    <row r="112" spans="1:56" x14ac:dyDescent="0.3">
      <c r="A112">
        <v>1141</v>
      </c>
      <c r="B112" s="2">
        <v>45923.449699074074</v>
      </c>
      <c r="C112">
        <v>90000</v>
      </c>
      <c r="D112">
        <v>50000</v>
      </c>
      <c r="E112">
        <v>0</v>
      </c>
      <c r="F112">
        <v>10000</v>
      </c>
      <c r="G112">
        <v>0</v>
      </c>
      <c r="H112">
        <v>0</v>
      </c>
      <c r="I112">
        <v>15000</v>
      </c>
      <c r="J112">
        <v>0</v>
      </c>
      <c r="K112">
        <v>0</v>
      </c>
      <c r="L112">
        <v>0</v>
      </c>
      <c r="M112">
        <v>4000</v>
      </c>
      <c r="N112">
        <v>28000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8</v>
      </c>
      <c r="W112">
        <v>5</v>
      </c>
      <c r="X112">
        <v>130000</v>
      </c>
      <c r="Y112">
        <v>100000</v>
      </c>
      <c r="Z112">
        <v>80000</v>
      </c>
      <c r="AA112">
        <v>0</v>
      </c>
      <c r="AB112">
        <v>0</v>
      </c>
      <c r="AC112">
        <v>100000</v>
      </c>
      <c r="AD112">
        <v>70000</v>
      </c>
      <c r="AG112">
        <v>6</v>
      </c>
      <c r="AH112">
        <v>9</v>
      </c>
      <c r="AI112">
        <v>-2</v>
      </c>
      <c r="AJ112">
        <v>-1</v>
      </c>
      <c r="AK112">
        <v>0</v>
      </c>
      <c r="AL112">
        <v>0</v>
      </c>
      <c r="AM112" t="s">
        <v>150</v>
      </c>
      <c r="AN112">
        <v>661</v>
      </c>
      <c r="AO112">
        <v>284</v>
      </c>
      <c r="AP112">
        <v>1328</v>
      </c>
      <c r="AQ112">
        <v>1328</v>
      </c>
      <c r="AS112">
        <v>3</v>
      </c>
      <c r="AT112">
        <v>92</v>
      </c>
      <c r="AU112" t="s">
        <v>90</v>
      </c>
      <c r="AV112">
        <v>19</v>
      </c>
      <c r="AW112" t="s">
        <v>80</v>
      </c>
      <c r="AX112">
        <v>22</v>
      </c>
      <c r="AY112" s="4">
        <f t="shared" si="16"/>
        <v>15</v>
      </c>
      <c r="AZ112" t="str">
        <f t="shared" si="17"/>
        <v>(Natu-city)</v>
      </c>
      <c r="BA112">
        <v>3</v>
      </c>
      <c r="BB112">
        <v>125</v>
      </c>
      <c r="BC112">
        <f t="shared" si="27"/>
        <v>0</v>
      </c>
      <c r="BD112">
        <f t="shared" si="18"/>
        <v>4000</v>
      </c>
    </row>
    <row r="113" spans="1:56" x14ac:dyDescent="0.3">
      <c r="A113">
        <v>1148</v>
      </c>
      <c r="B113" s="2">
        <v>45923.449699074074</v>
      </c>
      <c r="C113">
        <v>90000</v>
      </c>
      <c r="D113">
        <v>50000</v>
      </c>
      <c r="E113">
        <v>0</v>
      </c>
      <c r="F113">
        <v>10000</v>
      </c>
      <c r="G113">
        <v>0</v>
      </c>
      <c r="H113">
        <v>0</v>
      </c>
      <c r="I113">
        <v>30000</v>
      </c>
      <c r="J113">
        <v>8000</v>
      </c>
      <c r="K113">
        <v>0</v>
      </c>
      <c r="L113">
        <v>0</v>
      </c>
      <c r="M113">
        <v>0</v>
      </c>
      <c r="N113">
        <v>20000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9</v>
      </c>
      <c r="W113">
        <v>5</v>
      </c>
      <c r="X113">
        <v>130000</v>
      </c>
      <c r="Y113">
        <v>100000</v>
      </c>
      <c r="Z113">
        <v>70000</v>
      </c>
      <c r="AA113">
        <v>0</v>
      </c>
      <c r="AB113">
        <v>0</v>
      </c>
      <c r="AC113">
        <v>100000</v>
      </c>
      <c r="AD113">
        <v>60000</v>
      </c>
      <c r="AG113">
        <v>6</v>
      </c>
      <c r="AH113">
        <v>9</v>
      </c>
      <c r="AI113">
        <v>-2</v>
      </c>
      <c r="AJ113">
        <v>-1</v>
      </c>
      <c r="AK113">
        <v>1</v>
      </c>
      <c r="AL113">
        <v>0</v>
      </c>
      <c r="AM113" t="s">
        <v>150</v>
      </c>
      <c r="AN113">
        <v>661</v>
      </c>
      <c r="AO113">
        <v>285</v>
      </c>
      <c r="AP113">
        <v>1328</v>
      </c>
      <c r="AQ113">
        <v>1328</v>
      </c>
      <c r="AS113">
        <v>4</v>
      </c>
      <c r="AT113">
        <v>92</v>
      </c>
      <c r="AU113" t="s">
        <v>90</v>
      </c>
      <c r="AV113">
        <v>19</v>
      </c>
      <c r="AW113" t="s">
        <v>80</v>
      </c>
      <c r="AX113">
        <v>22</v>
      </c>
      <c r="AY113" s="4">
        <f t="shared" si="16"/>
        <v>15</v>
      </c>
      <c r="AZ113" t="str">
        <f t="shared" si="17"/>
        <v>(Natu-city)</v>
      </c>
      <c r="BA113">
        <v>4</v>
      </c>
      <c r="BB113">
        <v>125</v>
      </c>
      <c r="BC113">
        <f t="shared" si="27"/>
        <v>1</v>
      </c>
      <c r="BD113">
        <f t="shared" si="18"/>
        <v>0</v>
      </c>
    </row>
    <row r="114" spans="1:56" x14ac:dyDescent="0.3">
      <c r="A114">
        <v>1068</v>
      </c>
      <c r="B114" s="2">
        <v>45923.450057870366</v>
      </c>
      <c r="C114">
        <v>130000</v>
      </c>
      <c r="D114">
        <v>75000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50000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</v>
      </c>
      <c r="W114">
        <v>7</v>
      </c>
      <c r="X114">
        <v>200000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t="s">
        <v>103</v>
      </c>
      <c r="AN114">
        <v>662</v>
      </c>
      <c r="AO114">
        <v>266</v>
      </c>
      <c r="AS114">
        <v>0</v>
      </c>
      <c r="AT114">
        <v>92</v>
      </c>
      <c r="AU114" t="s">
        <v>90</v>
      </c>
      <c r="AV114">
        <v>19</v>
      </c>
      <c r="AW114" t="s">
        <v>80</v>
      </c>
      <c r="AX114">
        <v>22</v>
      </c>
      <c r="AY114" s="4">
        <f t="shared" si="16"/>
        <v>0</v>
      </c>
      <c r="AZ114" t="str">
        <f t="shared" si="17"/>
        <v/>
      </c>
      <c r="BA114">
        <v>0</v>
      </c>
      <c r="BB114">
        <v>127</v>
      </c>
      <c r="BD114">
        <f t="shared" si="18"/>
        <v>0</v>
      </c>
    </row>
    <row r="115" spans="1:56" x14ac:dyDescent="0.3">
      <c r="A115">
        <v>1075</v>
      </c>
      <c r="B115" s="2">
        <v>45923.450057870366</v>
      </c>
      <c r="C115">
        <v>130000</v>
      </c>
      <c r="D115">
        <v>75000</v>
      </c>
      <c r="E115">
        <v>0</v>
      </c>
      <c r="F115">
        <v>20000</v>
      </c>
      <c r="G115">
        <v>0</v>
      </c>
      <c r="H115">
        <v>0</v>
      </c>
      <c r="I115">
        <v>15000</v>
      </c>
      <c r="J115">
        <v>24000</v>
      </c>
      <c r="K115">
        <v>0</v>
      </c>
      <c r="L115">
        <v>0</v>
      </c>
      <c r="M115">
        <v>0</v>
      </c>
      <c r="N115">
        <v>46000</v>
      </c>
      <c r="O115">
        <v>0</v>
      </c>
      <c r="P115">
        <v>-1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6</v>
      </c>
      <c r="W115">
        <v>7</v>
      </c>
      <c r="X115">
        <v>200000</v>
      </c>
      <c r="Y115">
        <v>0</v>
      </c>
      <c r="Z115">
        <v>0</v>
      </c>
      <c r="AA115">
        <v>0</v>
      </c>
      <c r="AB115">
        <v>200000</v>
      </c>
      <c r="AC115">
        <v>200000</v>
      </c>
      <c r="AD115">
        <v>180000</v>
      </c>
      <c r="AG115">
        <v>6</v>
      </c>
      <c r="AH115">
        <v>9</v>
      </c>
      <c r="AI115">
        <v>0</v>
      </c>
      <c r="AJ115">
        <v>0</v>
      </c>
      <c r="AK115">
        <v>3</v>
      </c>
      <c r="AL115">
        <v>2</v>
      </c>
      <c r="AM115" t="s">
        <v>150</v>
      </c>
      <c r="AN115">
        <v>662</v>
      </c>
      <c r="AO115">
        <v>273</v>
      </c>
      <c r="AQ115">
        <v>1326</v>
      </c>
      <c r="AS115">
        <v>1</v>
      </c>
      <c r="AT115">
        <v>92</v>
      </c>
      <c r="AU115" t="s">
        <v>90</v>
      </c>
      <c r="AV115">
        <v>19</v>
      </c>
      <c r="AW115" t="s">
        <v>80</v>
      </c>
      <c r="AX115">
        <v>22</v>
      </c>
      <c r="AY115" s="4">
        <f t="shared" si="16"/>
        <v>15</v>
      </c>
      <c r="AZ115" t="str">
        <f t="shared" si="17"/>
        <v>(Natu-city)</v>
      </c>
      <c r="BA115">
        <v>1</v>
      </c>
      <c r="BB115">
        <v>127</v>
      </c>
      <c r="BC115">
        <f t="shared" ref="BC115:BC118" si="28">AK115+AL115</f>
        <v>5</v>
      </c>
      <c r="BD115">
        <f t="shared" si="18"/>
        <v>0</v>
      </c>
    </row>
    <row r="116" spans="1:56" x14ac:dyDescent="0.3">
      <c r="A116">
        <v>1116</v>
      </c>
      <c r="B116" s="2">
        <v>45923.450057870366</v>
      </c>
      <c r="C116">
        <v>130000</v>
      </c>
      <c r="D116">
        <v>75000</v>
      </c>
      <c r="E116">
        <v>0</v>
      </c>
      <c r="F116">
        <v>20000</v>
      </c>
      <c r="G116">
        <v>0</v>
      </c>
      <c r="H116">
        <v>0</v>
      </c>
      <c r="I116">
        <v>15000</v>
      </c>
      <c r="J116">
        <v>8000</v>
      </c>
      <c r="K116">
        <v>10000</v>
      </c>
      <c r="L116">
        <v>0</v>
      </c>
      <c r="M116">
        <v>0</v>
      </c>
      <c r="N116">
        <v>48000</v>
      </c>
      <c r="O116">
        <v>0</v>
      </c>
      <c r="P116">
        <v>0</v>
      </c>
      <c r="Q116">
        <v>1</v>
      </c>
      <c r="R116">
        <v>2</v>
      </c>
      <c r="S116">
        <v>0</v>
      </c>
      <c r="T116">
        <v>0</v>
      </c>
      <c r="U116">
        <v>0</v>
      </c>
      <c r="V116">
        <v>9</v>
      </c>
      <c r="W116">
        <v>7</v>
      </c>
      <c r="X116">
        <v>200000</v>
      </c>
      <c r="Y116">
        <v>200000</v>
      </c>
      <c r="Z116">
        <v>180000</v>
      </c>
      <c r="AA116">
        <v>0</v>
      </c>
      <c r="AB116">
        <v>0</v>
      </c>
      <c r="AC116">
        <v>200000</v>
      </c>
      <c r="AD116">
        <v>160000</v>
      </c>
      <c r="AG116">
        <v>6</v>
      </c>
      <c r="AH116">
        <v>9</v>
      </c>
      <c r="AI116">
        <v>0</v>
      </c>
      <c r="AJ116">
        <v>0</v>
      </c>
      <c r="AK116">
        <v>1</v>
      </c>
      <c r="AL116">
        <v>0</v>
      </c>
      <c r="AM116" t="s">
        <v>150</v>
      </c>
      <c r="AN116">
        <v>662</v>
      </c>
      <c r="AO116">
        <v>280</v>
      </c>
      <c r="AP116">
        <v>1326</v>
      </c>
      <c r="AQ116">
        <v>1326</v>
      </c>
      <c r="AS116">
        <v>2</v>
      </c>
      <c r="AT116">
        <v>92</v>
      </c>
      <c r="AU116" t="s">
        <v>90</v>
      </c>
      <c r="AV116">
        <v>19</v>
      </c>
      <c r="AW116" t="s">
        <v>80</v>
      </c>
      <c r="AX116">
        <v>22</v>
      </c>
      <c r="AY116" s="4">
        <f t="shared" si="16"/>
        <v>15</v>
      </c>
      <c r="AZ116" t="str">
        <f t="shared" si="17"/>
        <v>(Natu-city)</v>
      </c>
      <c r="BA116">
        <v>2</v>
      </c>
      <c r="BB116">
        <v>127</v>
      </c>
      <c r="BC116">
        <f t="shared" si="28"/>
        <v>1</v>
      </c>
      <c r="BD116">
        <f t="shared" si="18"/>
        <v>0</v>
      </c>
    </row>
    <row r="117" spans="1:56" x14ac:dyDescent="0.3">
      <c r="A117">
        <v>1145</v>
      </c>
      <c r="B117" s="2">
        <v>45923.450057870366</v>
      </c>
      <c r="C117">
        <v>130000</v>
      </c>
      <c r="D117">
        <v>75000</v>
      </c>
      <c r="E117">
        <v>0</v>
      </c>
      <c r="F117">
        <v>20000</v>
      </c>
      <c r="G117">
        <v>0</v>
      </c>
      <c r="H117">
        <v>0</v>
      </c>
      <c r="I117">
        <v>15000</v>
      </c>
      <c r="J117">
        <v>1000</v>
      </c>
      <c r="K117">
        <v>0</v>
      </c>
      <c r="L117">
        <v>0</v>
      </c>
      <c r="M117">
        <v>4000</v>
      </c>
      <c r="N117">
        <v>63000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8</v>
      </c>
      <c r="W117">
        <v>7</v>
      </c>
      <c r="X117">
        <v>200000</v>
      </c>
      <c r="Y117">
        <v>200000</v>
      </c>
      <c r="Z117">
        <v>160000</v>
      </c>
      <c r="AA117">
        <v>0</v>
      </c>
      <c r="AB117">
        <v>0</v>
      </c>
      <c r="AC117">
        <v>200000</v>
      </c>
      <c r="AD117">
        <v>140000</v>
      </c>
      <c r="AG117">
        <v>6</v>
      </c>
      <c r="AH117">
        <v>9</v>
      </c>
      <c r="AI117">
        <v>-2</v>
      </c>
      <c r="AJ117">
        <v>-1</v>
      </c>
      <c r="AK117">
        <v>0</v>
      </c>
      <c r="AL117">
        <v>1</v>
      </c>
      <c r="AM117" t="s">
        <v>150</v>
      </c>
      <c r="AN117">
        <v>662</v>
      </c>
      <c r="AO117">
        <v>284</v>
      </c>
      <c r="AP117">
        <v>1326</v>
      </c>
      <c r="AQ117">
        <v>1326</v>
      </c>
      <c r="AS117">
        <v>3</v>
      </c>
      <c r="AT117">
        <v>92</v>
      </c>
      <c r="AU117" t="s">
        <v>90</v>
      </c>
      <c r="AV117">
        <v>19</v>
      </c>
      <c r="AW117" t="s">
        <v>80</v>
      </c>
      <c r="AX117">
        <v>22</v>
      </c>
      <c r="AY117" s="4">
        <f t="shared" si="16"/>
        <v>15</v>
      </c>
      <c r="AZ117" t="str">
        <f t="shared" si="17"/>
        <v>(Natu-city)</v>
      </c>
      <c r="BA117">
        <v>3</v>
      </c>
      <c r="BB117">
        <v>127</v>
      </c>
      <c r="BC117">
        <f t="shared" si="28"/>
        <v>1</v>
      </c>
      <c r="BD117">
        <f t="shared" si="18"/>
        <v>4000</v>
      </c>
    </row>
    <row r="118" spans="1:56" x14ac:dyDescent="0.3">
      <c r="A118">
        <v>1149</v>
      </c>
      <c r="B118" s="2">
        <v>45923.450057870366</v>
      </c>
      <c r="C118">
        <v>130000</v>
      </c>
      <c r="D118">
        <v>75000</v>
      </c>
      <c r="E118">
        <v>0</v>
      </c>
      <c r="F118">
        <v>20000</v>
      </c>
      <c r="G118">
        <v>0</v>
      </c>
      <c r="H118">
        <v>0</v>
      </c>
      <c r="I118">
        <v>30000</v>
      </c>
      <c r="J118">
        <v>0</v>
      </c>
      <c r="K118">
        <v>15500</v>
      </c>
      <c r="L118">
        <v>0</v>
      </c>
      <c r="M118">
        <v>0</v>
      </c>
      <c r="N118">
        <v>52500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10</v>
      </c>
      <c r="W118">
        <v>7</v>
      </c>
      <c r="X118">
        <v>200000</v>
      </c>
      <c r="Y118">
        <v>200000</v>
      </c>
      <c r="Z118">
        <v>140000</v>
      </c>
      <c r="AA118">
        <v>0</v>
      </c>
      <c r="AB118">
        <v>0</v>
      </c>
      <c r="AC118">
        <v>200000</v>
      </c>
      <c r="AD118">
        <v>120000</v>
      </c>
      <c r="AG118">
        <v>6</v>
      </c>
      <c r="AH118">
        <v>9</v>
      </c>
      <c r="AI118">
        <v>-2</v>
      </c>
      <c r="AJ118">
        <v>-1</v>
      </c>
      <c r="AK118">
        <v>0</v>
      </c>
      <c r="AL118">
        <v>0</v>
      </c>
      <c r="AM118" t="s">
        <v>150</v>
      </c>
      <c r="AN118">
        <v>662</v>
      </c>
      <c r="AO118">
        <v>285</v>
      </c>
      <c r="AP118">
        <v>1326</v>
      </c>
      <c r="AQ118">
        <v>1326</v>
      </c>
      <c r="AS118">
        <v>4</v>
      </c>
      <c r="AT118">
        <v>92</v>
      </c>
      <c r="AU118" t="s">
        <v>90</v>
      </c>
      <c r="AV118">
        <v>19</v>
      </c>
      <c r="AW118" t="s">
        <v>80</v>
      </c>
      <c r="AX118">
        <v>22</v>
      </c>
      <c r="AY118" s="4">
        <f t="shared" si="16"/>
        <v>15</v>
      </c>
      <c r="AZ118" t="str">
        <f t="shared" si="17"/>
        <v>(Natu-city)</v>
      </c>
      <c r="BA118">
        <v>4</v>
      </c>
      <c r="BB118">
        <v>127</v>
      </c>
      <c r="BC118">
        <f t="shared" si="28"/>
        <v>0</v>
      </c>
      <c r="BD118">
        <f t="shared" si="18"/>
        <v>0</v>
      </c>
    </row>
    <row r="119" spans="1:56" x14ac:dyDescent="0.3">
      <c r="A119">
        <v>1060</v>
      </c>
      <c r="B119" s="2">
        <v>45923.449699074074</v>
      </c>
      <c r="C119">
        <v>190000</v>
      </c>
      <c r="D119">
        <v>115000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80000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</v>
      </c>
      <c r="W119">
        <v>8</v>
      </c>
      <c r="X119">
        <v>300000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s">
        <v>103</v>
      </c>
      <c r="AN119">
        <v>663</v>
      </c>
      <c r="AO119">
        <v>266</v>
      </c>
      <c r="AS119">
        <v>0</v>
      </c>
      <c r="AT119">
        <v>92</v>
      </c>
      <c r="AU119" t="s">
        <v>90</v>
      </c>
      <c r="AV119">
        <v>19</v>
      </c>
      <c r="AW119" t="s">
        <v>80</v>
      </c>
      <c r="AX119">
        <v>22</v>
      </c>
      <c r="AY119" s="4">
        <f t="shared" si="16"/>
        <v>0</v>
      </c>
      <c r="AZ119" t="str">
        <f t="shared" si="17"/>
        <v/>
      </c>
      <c r="BA119">
        <v>0</v>
      </c>
      <c r="BB119">
        <v>128</v>
      </c>
      <c r="BD119">
        <f t="shared" si="18"/>
        <v>0</v>
      </c>
    </row>
    <row r="120" spans="1:56" x14ac:dyDescent="0.3">
      <c r="A120">
        <v>1071</v>
      </c>
      <c r="B120" s="2">
        <v>45923.449699074074</v>
      </c>
      <c r="C120">
        <v>190000</v>
      </c>
      <c r="D120">
        <v>115000</v>
      </c>
      <c r="E120">
        <v>0</v>
      </c>
      <c r="F120">
        <v>30000</v>
      </c>
      <c r="G120">
        <v>0</v>
      </c>
      <c r="H120">
        <v>0</v>
      </c>
      <c r="I120">
        <v>15000</v>
      </c>
      <c r="J120">
        <v>24000</v>
      </c>
      <c r="K120">
        <v>21000</v>
      </c>
      <c r="L120">
        <v>0</v>
      </c>
      <c r="M120">
        <v>0</v>
      </c>
      <c r="N120">
        <v>65000</v>
      </c>
      <c r="O120">
        <v>0</v>
      </c>
      <c r="P120">
        <v>0</v>
      </c>
      <c r="Q120">
        <v>2</v>
      </c>
      <c r="R120">
        <v>2</v>
      </c>
      <c r="S120">
        <v>0</v>
      </c>
      <c r="T120">
        <v>0</v>
      </c>
      <c r="U120">
        <v>0</v>
      </c>
      <c r="V120">
        <v>9</v>
      </c>
      <c r="W120">
        <v>8</v>
      </c>
      <c r="X120">
        <v>300000</v>
      </c>
      <c r="Y120">
        <v>0</v>
      </c>
      <c r="Z120">
        <v>0</v>
      </c>
      <c r="AA120">
        <v>0</v>
      </c>
      <c r="AB120">
        <v>300000</v>
      </c>
      <c r="AC120">
        <v>300000</v>
      </c>
      <c r="AD120">
        <v>270000</v>
      </c>
      <c r="AG120">
        <v>4</v>
      </c>
      <c r="AH120">
        <v>9</v>
      </c>
      <c r="AI120">
        <v>0</v>
      </c>
      <c r="AJ120">
        <v>0</v>
      </c>
      <c r="AK120">
        <v>4</v>
      </c>
      <c r="AL120">
        <v>2</v>
      </c>
      <c r="AM120" t="s">
        <v>150</v>
      </c>
      <c r="AN120">
        <v>663</v>
      </c>
      <c r="AO120">
        <v>273</v>
      </c>
      <c r="AQ120">
        <v>1329</v>
      </c>
      <c r="AS120">
        <v>1</v>
      </c>
      <c r="AT120">
        <v>92</v>
      </c>
      <c r="AU120" t="s">
        <v>90</v>
      </c>
      <c r="AV120">
        <v>19</v>
      </c>
      <c r="AW120" t="s">
        <v>80</v>
      </c>
      <c r="AX120">
        <v>22</v>
      </c>
      <c r="AY120" s="4">
        <f t="shared" si="16"/>
        <v>13</v>
      </c>
      <c r="AZ120" t="str">
        <f t="shared" si="17"/>
        <v>(Dike-town)</v>
      </c>
      <c r="BA120">
        <v>1</v>
      </c>
      <c r="BB120">
        <v>128</v>
      </c>
      <c r="BC120">
        <f t="shared" ref="BC120:BC123" si="29">AK120+AL120</f>
        <v>6</v>
      </c>
      <c r="BD120">
        <f t="shared" si="18"/>
        <v>0</v>
      </c>
    </row>
    <row r="121" spans="1:56" x14ac:dyDescent="0.3">
      <c r="A121">
        <v>1119</v>
      </c>
      <c r="B121" s="2">
        <v>45923.449699074074</v>
      </c>
      <c r="C121">
        <v>190000</v>
      </c>
      <c r="D121">
        <v>115000</v>
      </c>
      <c r="E121">
        <v>0</v>
      </c>
      <c r="F121">
        <v>30000</v>
      </c>
      <c r="G121">
        <v>0</v>
      </c>
      <c r="H121">
        <v>0</v>
      </c>
      <c r="I121">
        <v>15000</v>
      </c>
      <c r="J121">
        <v>1000</v>
      </c>
      <c r="K121">
        <v>17000</v>
      </c>
      <c r="L121">
        <v>0</v>
      </c>
      <c r="M121">
        <v>4000</v>
      </c>
      <c r="N121">
        <v>73000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1</v>
      </c>
      <c r="U121">
        <v>0</v>
      </c>
      <c r="V121">
        <v>10</v>
      </c>
      <c r="W121">
        <v>8</v>
      </c>
      <c r="X121">
        <v>300000</v>
      </c>
      <c r="Y121">
        <v>300000</v>
      </c>
      <c r="Z121">
        <v>270000</v>
      </c>
      <c r="AA121">
        <v>0</v>
      </c>
      <c r="AB121">
        <v>0</v>
      </c>
      <c r="AC121">
        <v>300000</v>
      </c>
      <c r="AD121">
        <v>240000</v>
      </c>
      <c r="AG121">
        <v>4</v>
      </c>
      <c r="AH121">
        <v>9</v>
      </c>
      <c r="AI121">
        <v>0</v>
      </c>
      <c r="AJ121">
        <v>0</v>
      </c>
      <c r="AK121">
        <v>0</v>
      </c>
      <c r="AL121">
        <v>1</v>
      </c>
      <c r="AM121" t="s">
        <v>150</v>
      </c>
      <c r="AN121">
        <v>663</v>
      </c>
      <c r="AO121">
        <v>280</v>
      </c>
      <c r="AP121">
        <v>1329</v>
      </c>
      <c r="AQ121">
        <v>1329</v>
      </c>
      <c r="AS121">
        <v>2</v>
      </c>
      <c r="AT121">
        <v>92</v>
      </c>
      <c r="AU121" t="s">
        <v>90</v>
      </c>
      <c r="AV121">
        <v>19</v>
      </c>
      <c r="AW121" t="s">
        <v>80</v>
      </c>
      <c r="AX121">
        <v>22</v>
      </c>
      <c r="AY121" s="4">
        <f t="shared" si="16"/>
        <v>13</v>
      </c>
      <c r="AZ121" t="str">
        <f t="shared" si="17"/>
        <v>(Dike-town)</v>
      </c>
      <c r="BA121">
        <v>2</v>
      </c>
      <c r="BB121">
        <v>128</v>
      </c>
      <c r="BC121">
        <f t="shared" si="29"/>
        <v>1</v>
      </c>
      <c r="BD121">
        <f t="shared" si="18"/>
        <v>4000</v>
      </c>
    </row>
    <row r="122" spans="1:56" x14ac:dyDescent="0.3">
      <c r="A122">
        <v>1143</v>
      </c>
      <c r="B122" s="2">
        <v>45923.449699074074</v>
      </c>
      <c r="C122">
        <v>190000</v>
      </c>
      <c r="D122">
        <v>115000</v>
      </c>
      <c r="E122">
        <v>0</v>
      </c>
      <c r="F122">
        <v>30000</v>
      </c>
      <c r="G122">
        <v>0</v>
      </c>
      <c r="H122">
        <v>0</v>
      </c>
      <c r="I122">
        <v>15000</v>
      </c>
      <c r="J122">
        <v>0</v>
      </c>
      <c r="K122">
        <v>0</v>
      </c>
      <c r="L122">
        <v>0</v>
      </c>
      <c r="M122">
        <v>4000</v>
      </c>
      <c r="N122">
        <v>99000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9</v>
      </c>
      <c r="W122">
        <v>8</v>
      </c>
      <c r="X122">
        <v>300000</v>
      </c>
      <c r="Y122">
        <v>300000</v>
      </c>
      <c r="Z122">
        <v>240000</v>
      </c>
      <c r="AA122">
        <v>0</v>
      </c>
      <c r="AB122">
        <v>0</v>
      </c>
      <c r="AC122">
        <v>300000</v>
      </c>
      <c r="AD122">
        <v>210000</v>
      </c>
      <c r="AG122">
        <v>4</v>
      </c>
      <c r="AH122">
        <v>9</v>
      </c>
      <c r="AI122">
        <v>-2</v>
      </c>
      <c r="AJ122">
        <v>-1</v>
      </c>
      <c r="AK122">
        <v>0</v>
      </c>
      <c r="AL122">
        <v>0</v>
      </c>
      <c r="AM122" t="s">
        <v>150</v>
      </c>
      <c r="AN122">
        <v>663</v>
      </c>
      <c r="AO122">
        <v>284</v>
      </c>
      <c r="AP122">
        <v>1329</v>
      </c>
      <c r="AQ122">
        <v>1329</v>
      </c>
      <c r="AS122">
        <v>3</v>
      </c>
      <c r="AT122">
        <v>92</v>
      </c>
      <c r="AU122" t="s">
        <v>90</v>
      </c>
      <c r="AV122">
        <v>19</v>
      </c>
      <c r="AW122" t="s">
        <v>80</v>
      </c>
      <c r="AX122">
        <v>22</v>
      </c>
      <c r="AY122" s="4">
        <f t="shared" si="16"/>
        <v>13</v>
      </c>
      <c r="AZ122" t="str">
        <f t="shared" si="17"/>
        <v>(Dike-town)</v>
      </c>
      <c r="BA122">
        <v>3</v>
      </c>
      <c r="BB122">
        <v>128</v>
      </c>
      <c r="BC122">
        <f t="shared" si="29"/>
        <v>0</v>
      </c>
      <c r="BD122">
        <f t="shared" si="18"/>
        <v>4000</v>
      </c>
    </row>
    <row r="123" spans="1:56" x14ac:dyDescent="0.3">
      <c r="A123">
        <v>1147</v>
      </c>
      <c r="B123" s="2">
        <v>45923.449699074074</v>
      </c>
      <c r="C123">
        <v>190000</v>
      </c>
      <c r="D123">
        <v>115000</v>
      </c>
      <c r="E123">
        <v>0</v>
      </c>
      <c r="F123">
        <v>30000</v>
      </c>
      <c r="G123">
        <v>90000</v>
      </c>
      <c r="H123">
        <v>125000</v>
      </c>
      <c r="I123">
        <v>30000</v>
      </c>
      <c r="J123">
        <v>0</v>
      </c>
      <c r="K123">
        <v>0</v>
      </c>
      <c r="L123">
        <v>0</v>
      </c>
      <c r="M123">
        <v>0</v>
      </c>
      <c r="N123">
        <v>79000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</v>
      </c>
      <c r="W123">
        <v>8</v>
      </c>
      <c r="X123">
        <v>300000</v>
      </c>
      <c r="Y123">
        <v>300000</v>
      </c>
      <c r="Z123">
        <v>210000</v>
      </c>
      <c r="AA123">
        <v>300000</v>
      </c>
      <c r="AB123">
        <v>425000</v>
      </c>
      <c r="AC123">
        <v>300000</v>
      </c>
      <c r="AD123">
        <v>270000</v>
      </c>
      <c r="AE123">
        <v>33</v>
      </c>
      <c r="AG123">
        <v>6</v>
      </c>
      <c r="AH123">
        <v>9</v>
      </c>
      <c r="AI123">
        <v>-2</v>
      </c>
      <c r="AJ123">
        <v>-1</v>
      </c>
      <c r="AK123">
        <v>4</v>
      </c>
      <c r="AL123">
        <v>2</v>
      </c>
      <c r="AM123" t="s">
        <v>151</v>
      </c>
      <c r="AN123">
        <v>663</v>
      </c>
      <c r="AO123">
        <v>285</v>
      </c>
      <c r="AP123">
        <v>1329</v>
      </c>
      <c r="AQ123">
        <v>1379</v>
      </c>
      <c r="AS123">
        <v>4</v>
      </c>
      <c r="AT123">
        <v>92</v>
      </c>
      <c r="AU123" t="s">
        <v>90</v>
      </c>
      <c r="AV123">
        <v>19</v>
      </c>
      <c r="AW123" t="s">
        <v>80</v>
      </c>
      <c r="AX123">
        <v>22</v>
      </c>
      <c r="AY123" s="4">
        <f t="shared" si="16"/>
        <v>15</v>
      </c>
      <c r="AZ123" t="str">
        <f t="shared" si="17"/>
        <v>(Natu-city)</v>
      </c>
      <c r="BA123">
        <v>4</v>
      </c>
      <c r="BB123">
        <v>128</v>
      </c>
      <c r="BC123">
        <f t="shared" si="29"/>
        <v>6</v>
      </c>
      <c r="BD123">
        <f t="shared" si="18"/>
        <v>0</v>
      </c>
    </row>
    <row r="124" spans="1:56" x14ac:dyDescent="0.3">
      <c r="A124">
        <v>1056</v>
      </c>
      <c r="B124" s="2">
        <v>45923.449583333328</v>
      </c>
      <c r="C124">
        <v>110000</v>
      </c>
      <c r="D124">
        <v>60000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30000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</v>
      </c>
      <c r="W124">
        <v>6</v>
      </c>
      <c r="X124">
        <v>170000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t="s">
        <v>103</v>
      </c>
      <c r="AN124">
        <v>664</v>
      </c>
      <c r="AO124">
        <v>266</v>
      </c>
      <c r="AS124">
        <v>0</v>
      </c>
      <c r="AT124">
        <v>92</v>
      </c>
      <c r="AU124" t="s">
        <v>90</v>
      </c>
      <c r="AV124">
        <v>19</v>
      </c>
      <c r="AW124" t="s">
        <v>80</v>
      </c>
      <c r="AX124">
        <v>22</v>
      </c>
      <c r="AY124" s="4">
        <f t="shared" si="16"/>
        <v>0</v>
      </c>
      <c r="AZ124" t="str">
        <f t="shared" si="17"/>
        <v/>
      </c>
      <c r="BA124">
        <v>0</v>
      </c>
      <c r="BB124">
        <v>126</v>
      </c>
      <c r="BD124">
        <f t="shared" si="18"/>
        <v>0</v>
      </c>
    </row>
    <row r="125" spans="1:56" x14ac:dyDescent="0.3">
      <c r="A125">
        <v>1070</v>
      </c>
      <c r="B125" s="2">
        <v>45923.449583333328</v>
      </c>
      <c r="C125">
        <v>110000</v>
      </c>
      <c r="D125">
        <v>60000</v>
      </c>
      <c r="E125">
        <v>0</v>
      </c>
      <c r="F125">
        <v>17000</v>
      </c>
      <c r="G125">
        <v>0</v>
      </c>
      <c r="H125">
        <v>30000</v>
      </c>
      <c r="I125">
        <v>15000</v>
      </c>
      <c r="J125">
        <v>0</v>
      </c>
      <c r="K125">
        <v>0</v>
      </c>
      <c r="L125">
        <v>0</v>
      </c>
      <c r="M125">
        <v>0</v>
      </c>
      <c r="N125">
        <v>18000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</v>
      </c>
      <c r="W125">
        <v>6</v>
      </c>
      <c r="X125">
        <v>170000</v>
      </c>
      <c r="Y125">
        <v>0</v>
      </c>
      <c r="Z125">
        <v>0</v>
      </c>
      <c r="AA125">
        <v>0</v>
      </c>
      <c r="AB125">
        <v>200000</v>
      </c>
      <c r="AC125">
        <v>170000</v>
      </c>
      <c r="AD125">
        <v>153000</v>
      </c>
      <c r="AG125">
        <v>6</v>
      </c>
      <c r="AH125">
        <v>9</v>
      </c>
      <c r="AI125">
        <v>0</v>
      </c>
      <c r="AJ125">
        <v>0</v>
      </c>
      <c r="AK125">
        <v>1</v>
      </c>
      <c r="AL125">
        <v>1</v>
      </c>
      <c r="AM125" t="s">
        <v>150</v>
      </c>
      <c r="AN125">
        <v>664</v>
      </c>
      <c r="AO125">
        <v>273</v>
      </c>
      <c r="AQ125">
        <v>1327</v>
      </c>
      <c r="AS125">
        <v>1</v>
      </c>
      <c r="AT125">
        <v>92</v>
      </c>
      <c r="AU125" t="s">
        <v>90</v>
      </c>
      <c r="AV125">
        <v>19</v>
      </c>
      <c r="AW125" t="s">
        <v>80</v>
      </c>
      <c r="AX125">
        <v>22</v>
      </c>
      <c r="AY125" s="4">
        <f t="shared" si="16"/>
        <v>15</v>
      </c>
      <c r="AZ125" t="str">
        <f t="shared" si="17"/>
        <v>(Natu-city)</v>
      </c>
      <c r="BA125">
        <v>1</v>
      </c>
      <c r="BB125">
        <v>126</v>
      </c>
      <c r="BC125">
        <f t="shared" ref="BC125:BC128" si="30">AK125+AL125</f>
        <v>2</v>
      </c>
      <c r="BD125">
        <f t="shared" si="18"/>
        <v>0</v>
      </c>
    </row>
    <row r="126" spans="1:56" x14ac:dyDescent="0.3">
      <c r="A126">
        <v>1115</v>
      </c>
      <c r="B126" s="2">
        <v>45923.449583333328</v>
      </c>
      <c r="C126">
        <v>110000</v>
      </c>
      <c r="D126">
        <v>60000</v>
      </c>
      <c r="E126">
        <v>0</v>
      </c>
      <c r="F126">
        <v>17000</v>
      </c>
      <c r="G126">
        <v>0</v>
      </c>
      <c r="H126">
        <v>0</v>
      </c>
      <c r="I126">
        <v>15000</v>
      </c>
      <c r="J126">
        <v>24000</v>
      </c>
      <c r="K126">
        <v>0</v>
      </c>
      <c r="L126">
        <v>0</v>
      </c>
      <c r="M126">
        <v>0</v>
      </c>
      <c r="N126">
        <v>12000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7</v>
      </c>
      <c r="W126">
        <v>6</v>
      </c>
      <c r="X126">
        <v>170000</v>
      </c>
      <c r="Y126">
        <v>170000</v>
      </c>
      <c r="Z126">
        <v>153000</v>
      </c>
      <c r="AA126">
        <v>0</v>
      </c>
      <c r="AB126">
        <v>0</v>
      </c>
      <c r="AC126">
        <v>170000</v>
      </c>
      <c r="AD126">
        <v>136000</v>
      </c>
      <c r="AG126">
        <v>6</v>
      </c>
      <c r="AH126">
        <v>9</v>
      </c>
      <c r="AI126">
        <v>0</v>
      </c>
      <c r="AJ126">
        <v>0</v>
      </c>
      <c r="AK126">
        <v>3</v>
      </c>
      <c r="AL126">
        <v>1</v>
      </c>
      <c r="AM126" t="s">
        <v>150</v>
      </c>
      <c r="AN126">
        <v>664</v>
      </c>
      <c r="AO126">
        <v>280</v>
      </c>
      <c r="AP126">
        <v>1327</v>
      </c>
      <c r="AQ126">
        <v>1327</v>
      </c>
      <c r="AS126">
        <v>2</v>
      </c>
      <c r="AT126">
        <v>92</v>
      </c>
      <c r="AU126" t="s">
        <v>90</v>
      </c>
      <c r="AV126">
        <v>19</v>
      </c>
      <c r="AW126" t="s">
        <v>80</v>
      </c>
      <c r="AX126">
        <v>22</v>
      </c>
      <c r="AY126" s="4">
        <f t="shared" si="16"/>
        <v>15</v>
      </c>
      <c r="AZ126" t="str">
        <f t="shared" si="17"/>
        <v>(Natu-city)</v>
      </c>
      <c r="BA126">
        <v>2</v>
      </c>
      <c r="BB126">
        <v>126</v>
      </c>
      <c r="BC126">
        <f t="shared" si="30"/>
        <v>4</v>
      </c>
      <c r="BD126">
        <f t="shared" si="18"/>
        <v>0</v>
      </c>
    </row>
    <row r="127" spans="1:56" x14ac:dyDescent="0.3">
      <c r="A127">
        <v>1140</v>
      </c>
      <c r="B127" s="2">
        <v>45923.449583333328</v>
      </c>
      <c r="C127">
        <v>110000</v>
      </c>
      <c r="D127">
        <v>60000</v>
      </c>
      <c r="E127">
        <v>0</v>
      </c>
      <c r="F127">
        <v>17000</v>
      </c>
      <c r="G127">
        <v>0</v>
      </c>
      <c r="H127">
        <v>0</v>
      </c>
      <c r="I127">
        <v>15000</v>
      </c>
      <c r="J127">
        <v>1000</v>
      </c>
      <c r="K127">
        <v>5000</v>
      </c>
      <c r="L127">
        <v>0</v>
      </c>
      <c r="M127">
        <v>4000</v>
      </c>
      <c r="N127">
        <v>20000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7</v>
      </c>
      <c r="W127">
        <v>6</v>
      </c>
      <c r="X127">
        <v>170000</v>
      </c>
      <c r="Y127">
        <v>170000</v>
      </c>
      <c r="Z127">
        <v>136000</v>
      </c>
      <c r="AA127">
        <v>0</v>
      </c>
      <c r="AB127">
        <v>0</v>
      </c>
      <c r="AC127">
        <v>170000</v>
      </c>
      <c r="AD127">
        <v>119000</v>
      </c>
      <c r="AG127">
        <v>6</v>
      </c>
      <c r="AH127">
        <v>9</v>
      </c>
      <c r="AI127">
        <v>-2</v>
      </c>
      <c r="AJ127">
        <v>-1</v>
      </c>
      <c r="AK127">
        <v>0</v>
      </c>
      <c r="AL127">
        <v>1</v>
      </c>
      <c r="AM127" t="s">
        <v>150</v>
      </c>
      <c r="AN127">
        <v>664</v>
      </c>
      <c r="AO127">
        <v>284</v>
      </c>
      <c r="AP127">
        <v>1327</v>
      </c>
      <c r="AQ127">
        <v>1327</v>
      </c>
      <c r="AS127">
        <v>3</v>
      </c>
      <c r="AT127">
        <v>92</v>
      </c>
      <c r="AU127" t="s">
        <v>90</v>
      </c>
      <c r="AV127">
        <v>19</v>
      </c>
      <c r="AW127" t="s">
        <v>80</v>
      </c>
      <c r="AX127">
        <v>22</v>
      </c>
      <c r="AY127" s="4">
        <f t="shared" si="16"/>
        <v>15</v>
      </c>
      <c r="AZ127" t="str">
        <f t="shared" si="17"/>
        <v>(Natu-city)</v>
      </c>
      <c r="BA127">
        <v>3</v>
      </c>
      <c r="BB127">
        <v>126</v>
      </c>
      <c r="BC127">
        <f t="shared" si="30"/>
        <v>1</v>
      </c>
      <c r="BD127">
        <f t="shared" si="18"/>
        <v>4000</v>
      </c>
    </row>
    <row r="128" spans="1:56" x14ac:dyDescent="0.3">
      <c r="A128">
        <v>1146</v>
      </c>
      <c r="B128" s="2">
        <v>45923.449583333328</v>
      </c>
      <c r="C128">
        <v>110000</v>
      </c>
      <c r="D128">
        <v>60000</v>
      </c>
      <c r="E128">
        <v>0</v>
      </c>
      <c r="F128">
        <v>17000</v>
      </c>
      <c r="G128">
        <v>121000</v>
      </c>
      <c r="H128">
        <v>130000</v>
      </c>
      <c r="I128">
        <v>20000</v>
      </c>
      <c r="J128">
        <v>0</v>
      </c>
      <c r="K128">
        <v>5500</v>
      </c>
      <c r="L128">
        <v>0</v>
      </c>
      <c r="M128">
        <v>4000</v>
      </c>
      <c r="N128">
        <v>14500</v>
      </c>
      <c r="O128">
        <v>3</v>
      </c>
      <c r="P128">
        <v>2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6</v>
      </c>
      <c r="W128">
        <v>6</v>
      </c>
      <c r="X128">
        <v>170000</v>
      </c>
      <c r="Y128">
        <v>170000</v>
      </c>
      <c r="Z128">
        <v>119000</v>
      </c>
      <c r="AA128">
        <v>240000</v>
      </c>
      <c r="AB128">
        <v>300000</v>
      </c>
      <c r="AC128">
        <v>170000</v>
      </c>
      <c r="AD128">
        <v>153000</v>
      </c>
      <c r="AE128">
        <v>36</v>
      </c>
      <c r="AG128">
        <v>4</v>
      </c>
      <c r="AH128">
        <v>9</v>
      </c>
      <c r="AI128">
        <v>-2</v>
      </c>
      <c r="AJ128">
        <v>-1</v>
      </c>
      <c r="AK128">
        <v>0</v>
      </c>
      <c r="AL128">
        <v>0</v>
      </c>
      <c r="AM128" t="s">
        <v>150</v>
      </c>
      <c r="AN128">
        <v>664</v>
      </c>
      <c r="AO128">
        <v>285</v>
      </c>
      <c r="AP128">
        <v>1327</v>
      </c>
      <c r="AQ128">
        <v>1329</v>
      </c>
      <c r="AS128">
        <v>4</v>
      </c>
      <c r="AT128">
        <v>92</v>
      </c>
      <c r="AU128" t="s">
        <v>90</v>
      </c>
      <c r="AV128">
        <v>19</v>
      </c>
      <c r="AW128" t="s">
        <v>80</v>
      </c>
      <c r="AX128">
        <v>22</v>
      </c>
      <c r="AY128" s="4">
        <f t="shared" si="16"/>
        <v>13</v>
      </c>
      <c r="AZ128" t="str">
        <f t="shared" si="17"/>
        <v>(Dike-town)</v>
      </c>
      <c r="BA128">
        <v>4</v>
      </c>
      <c r="BB128">
        <v>126</v>
      </c>
      <c r="BC128">
        <f t="shared" si="30"/>
        <v>0</v>
      </c>
      <c r="BD128">
        <f t="shared" si="18"/>
        <v>4000</v>
      </c>
    </row>
    <row r="129" spans="1:56" x14ac:dyDescent="0.3">
      <c r="A129">
        <v>1153</v>
      </c>
      <c r="B129" s="2">
        <v>45923.588761574079</v>
      </c>
      <c r="C129">
        <v>75000</v>
      </c>
      <c r="D129">
        <v>40000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5000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</v>
      </c>
      <c r="W129">
        <v>4</v>
      </c>
      <c r="X129">
        <v>110000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103</v>
      </c>
      <c r="AN129">
        <v>666</v>
      </c>
      <c r="AO129">
        <v>289</v>
      </c>
      <c r="AS129">
        <v>0</v>
      </c>
      <c r="AT129">
        <v>93</v>
      </c>
      <c r="AU129" t="s">
        <v>91</v>
      </c>
      <c r="AV129">
        <v>19</v>
      </c>
      <c r="AW129" t="s">
        <v>80</v>
      </c>
      <c r="AX129">
        <v>22</v>
      </c>
      <c r="AY129" s="4">
        <f t="shared" si="16"/>
        <v>0</v>
      </c>
      <c r="AZ129" t="str">
        <f t="shared" si="17"/>
        <v/>
      </c>
      <c r="BA129">
        <v>0</v>
      </c>
      <c r="BB129">
        <v>124</v>
      </c>
      <c r="BD129">
        <f t="shared" si="18"/>
        <v>0</v>
      </c>
    </row>
    <row r="130" spans="1:56" x14ac:dyDescent="0.3">
      <c r="A130">
        <v>1182</v>
      </c>
      <c r="B130" s="2">
        <v>45923.588761574079</v>
      </c>
      <c r="C130">
        <v>75000</v>
      </c>
      <c r="D130">
        <v>40000</v>
      </c>
      <c r="E130">
        <v>0</v>
      </c>
      <c r="F130">
        <v>7000</v>
      </c>
      <c r="G130">
        <v>0</v>
      </c>
      <c r="H130">
        <v>0</v>
      </c>
      <c r="I130">
        <v>20000</v>
      </c>
      <c r="J130">
        <v>1000</v>
      </c>
      <c r="K130">
        <v>3500</v>
      </c>
      <c r="L130">
        <v>12000</v>
      </c>
      <c r="M130">
        <v>4000</v>
      </c>
      <c r="N130">
        <v>-7500</v>
      </c>
      <c r="O130">
        <v>0</v>
      </c>
      <c r="P130">
        <v>-2</v>
      </c>
      <c r="Q130">
        <v>0</v>
      </c>
      <c r="R130">
        <v>2</v>
      </c>
      <c r="S130">
        <v>4</v>
      </c>
      <c r="T130">
        <v>1</v>
      </c>
      <c r="U130">
        <v>0</v>
      </c>
      <c r="V130">
        <v>0</v>
      </c>
      <c r="W130">
        <v>4</v>
      </c>
      <c r="X130">
        <v>110000</v>
      </c>
      <c r="Y130">
        <v>0</v>
      </c>
      <c r="Z130">
        <v>0</v>
      </c>
      <c r="AA130">
        <v>0</v>
      </c>
      <c r="AB130">
        <v>70000</v>
      </c>
      <c r="AC130">
        <v>70000</v>
      </c>
      <c r="AD130">
        <v>63000</v>
      </c>
      <c r="AG130">
        <v>6</v>
      </c>
      <c r="AH130">
        <v>6</v>
      </c>
      <c r="AI130">
        <v>0</v>
      </c>
      <c r="AJ130">
        <v>0</v>
      </c>
      <c r="AK130">
        <v>0</v>
      </c>
      <c r="AL130">
        <v>1</v>
      </c>
      <c r="AM130" t="s">
        <v>150</v>
      </c>
      <c r="AN130">
        <v>666</v>
      </c>
      <c r="AO130">
        <v>291</v>
      </c>
      <c r="AQ130">
        <v>1417</v>
      </c>
      <c r="AS130">
        <v>1</v>
      </c>
      <c r="AT130">
        <v>93</v>
      </c>
      <c r="AU130" t="s">
        <v>91</v>
      </c>
      <c r="AV130">
        <v>19</v>
      </c>
      <c r="AW130" t="s">
        <v>80</v>
      </c>
      <c r="AX130">
        <v>22</v>
      </c>
      <c r="AY130" s="4">
        <f t="shared" si="16"/>
        <v>12</v>
      </c>
      <c r="AZ130" t="str">
        <f t="shared" si="17"/>
        <v>(U-village)</v>
      </c>
      <c r="BA130">
        <v>1</v>
      </c>
      <c r="BB130">
        <v>124</v>
      </c>
      <c r="BC130">
        <f t="shared" ref="BC130:BC133" si="31">AK130+AL130</f>
        <v>1</v>
      </c>
      <c r="BD130">
        <f t="shared" si="18"/>
        <v>16000</v>
      </c>
    </row>
    <row r="131" spans="1:56" x14ac:dyDescent="0.3">
      <c r="A131">
        <v>1225</v>
      </c>
      <c r="B131" s="2">
        <v>45923.588761574079</v>
      </c>
      <c r="C131">
        <v>75000</v>
      </c>
      <c r="D131">
        <v>40000</v>
      </c>
      <c r="E131">
        <v>7500</v>
      </c>
      <c r="F131">
        <v>7000</v>
      </c>
      <c r="G131">
        <v>0</v>
      </c>
      <c r="H131">
        <v>0</v>
      </c>
      <c r="I131">
        <v>20000</v>
      </c>
      <c r="J131">
        <v>0</v>
      </c>
      <c r="K131">
        <v>0</v>
      </c>
      <c r="L131">
        <v>24000</v>
      </c>
      <c r="M131">
        <v>4000</v>
      </c>
      <c r="N131">
        <v>-27500</v>
      </c>
      <c r="O131">
        <v>0</v>
      </c>
      <c r="P131">
        <v>0</v>
      </c>
      <c r="Q131">
        <v>0</v>
      </c>
      <c r="R131">
        <v>0</v>
      </c>
      <c r="S131">
        <v>7</v>
      </c>
      <c r="T131">
        <v>1</v>
      </c>
      <c r="U131">
        <v>1</v>
      </c>
      <c r="V131">
        <v>-9</v>
      </c>
      <c r="W131">
        <v>4</v>
      </c>
      <c r="X131">
        <v>110000</v>
      </c>
      <c r="Y131">
        <v>70000</v>
      </c>
      <c r="Z131">
        <v>63000</v>
      </c>
      <c r="AA131">
        <v>0</v>
      </c>
      <c r="AB131">
        <v>0</v>
      </c>
      <c r="AC131">
        <v>70000</v>
      </c>
      <c r="AD131">
        <v>56000</v>
      </c>
      <c r="AG131">
        <v>6</v>
      </c>
      <c r="AH131">
        <v>6</v>
      </c>
      <c r="AI131">
        <v>0</v>
      </c>
      <c r="AJ131">
        <v>0</v>
      </c>
      <c r="AK131">
        <v>0</v>
      </c>
      <c r="AL131">
        <v>0</v>
      </c>
      <c r="AM131" t="s">
        <v>150</v>
      </c>
      <c r="AN131">
        <v>666</v>
      </c>
      <c r="AO131">
        <v>297</v>
      </c>
      <c r="AP131">
        <v>1417</v>
      </c>
      <c r="AQ131">
        <v>1417</v>
      </c>
      <c r="AS131">
        <v>2</v>
      </c>
      <c r="AT131">
        <v>93</v>
      </c>
      <c r="AU131" t="s">
        <v>91</v>
      </c>
      <c r="AV131">
        <v>19</v>
      </c>
      <c r="AW131" t="s">
        <v>80</v>
      </c>
      <c r="AX131">
        <v>22</v>
      </c>
      <c r="AY131" s="4">
        <f t="shared" ref="AY131:AY194" si="32">AG131+AH131</f>
        <v>12</v>
      </c>
      <c r="AZ131" t="str">
        <f t="shared" ref="AZ131:AZ194" si="33">IF(AY131=12,"(U-village)",IF(AY131=13,"(Dike-town)",IF(AY131=15,"(Natu-city)","")))</f>
        <v>(U-village)</v>
      </c>
      <c r="BA131">
        <v>2</v>
      </c>
      <c r="BB131">
        <v>124</v>
      </c>
      <c r="BC131">
        <f t="shared" si="31"/>
        <v>0</v>
      </c>
      <c r="BD131">
        <f t="shared" ref="BD131:BD194" si="34">L131+M131</f>
        <v>28000</v>
      </c>
    </row>
    <row r="132" spans="1:56" x14ac:dyDescent="0.3">
      <c r="A132">
        <v>1246</v>
      </c>
      <c r="B132" s="2">
        <v>45923.588761574079</v>
      </c>
      <c r="C132">
        <v>75000</v>
      </c>
      <c r="D132">
        <v>40000</v>
      </c>
      <c r="E132">
        <v>27500</v>
      </c>
      <c r="F132">
        <v>7000</v>
      </c>
      <c r="G132">
        <v>0</v>
      </c>
      <c r="H132">
        <v>0</v>
      </c>
      <c r="I132">
        <v>20000</v>
      </c>
      <c r="J132">
        <v>0</v>
      </c>
      <c r="K132">
        <v>0</v>
      </c>
      <c r="L132">
        <v>12000</v>
      </c>
      <c r="M132">
        <v>4000</v>
      </c>
      <c r="N132">
        <v>-35500</v>
      </c>
      <c r="O132">
        <v>0</v>
      </c>
      <c r="P132">
        <v>0</v>
      </c>
      <c r="Q132">
        <v>0</v>
      </c>
      <c r="R132">
        <v>0</v>
      </c>
      <c r="S132">
        <v>4</v>
      </c>
      <c r="T132">
        <v>1</v>
      </c>
      <c r="U132">
        <v>1</v>
      </c>
      <c r="V132">
        <v>-15</v>
      </c>
      <c r="W132">
        <v>4</v>
      </c>
      <c r="X132">
        <v>110000</v>
      </c>
      <c r="Y132">
        <v>70000</v>
      </c>
      <c r="Z132">
        <v>56000</v>
      </c>
      <c r="AA132">
        <v>0</v>
      </c>
      <c r="AB132">
        <v>0</v>
      </c>
      <c r="AC132">
        <v>70000</v>
      </c>
      <c r="AD132">
        <v>49000</v>
      </c>
      <c r="AG132">
        <v>6</v>
      </c>
      <c r="AH132">
        <v>6</v>
      </c>
      <c r="AI132">
        <v>-2</v>
      </c>
      <c r="AJ132">
        <v>-1</v>
      </c>
      <c r="AK132">
        <v>0</v>
      </c>
      <c r="AL132">
        <v>0</v>
      </c>
      <c r="AM132" t="s">
        <v>150</v>
      </c>
      <c r="AN132">
        <v>666</v>
      </c>
      <c r="AO132">
        <v>301</v>
      </c>
      <c r="AP132">
        <v>1417</v>
      </c>
      <c r="AQ132">
        <v>1417</v>
      </c>
      <c r="AS132">
        <v>3</v>
      </c>
      <c r="AT132">
        <v>93</v>
      </c>
      <c r="AU132" t="s">
        <v>91</v>
      </c>
      <c r="AV132">
        <v>19</v>
      </c>
      <c r="AW132" t="s">
        <v>80</v>
      </c>
      <c r="AX132">
        <v>22</v>
      </c>
      <c r="AY132" s="4">
        <f t="shared" si="32"/>
        <v>12</v>
      </c>
      <c r="AZ132" t="str">
        <f t="shared" si="33"/>
        <v>(U-village)</v>
      </c>
      <c r="BA132">
        <v>3</v>
      </c>
      <c r="BB132">
        <v>124</v>
      </c>
      <c r="BC132">
        <f t="shared" si="31"/>
        <v>0</v>
      </c>
      <c r="BD132">
        <f t="shared" si="34"/>
        <v>16000</v>
      </c>
    </row>
    <row r="133" spans="1:56" x14ac:dyDescent="0.3">
      <c r="A133">
        <v>1268</v>
      </c>
      <c r="B133" s="2">
        <v>45923.588761574079</v>
      </c>
      <c r="C133">
        <v>75000</v>
      </c>
      <c r="D133">
        <v>40000</v>
      </c>
      <c r="E133">
        <v>35000</v>
      </c>
      <c r="F133">
        <v>7000</v>
      </c>
      <c r="G133">
        <v>0</v>
      </c>
      <c r="H133">
        <v>0</v>
      </c>
      <c r="I133">
        <v>20000</v>
      </c>
      <c r="J133">
        <v>0</v>
      </c>
      <c r="K133">
        <v>0</v>
      </c>
      <c r="L133">
        <v>8000</v>
      </c>
      <c r="M133">
        <v>4000</v>
      </c>
      <c r="N133">
        <v>-39500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1</v>
      </c>
      <c r="U133">
        <v>1</v>
      </c>
      <c r="V133">
        <v>-20</v>
      </c>
      <c r="W133">
        <v>4</v>
      </c>
      <c r="X133">
        <v>110000</v>
      </c>
      <c r="Y133">
        <v>70000</v>
      </c>
      <c r="Z133">
        <v>49000</v>
      </c>
      <c r="AA133">
        <v>0</v>
      </c>
      <c r="AB133">
        <v>0</v>
      </c>
      <c r="AC133">
        <v>70000</v>
      </c>
      <c r="AD133">
        <v>42000</v>
      </c>
      <c r="AG133">
        <v>6</v>
      </c>
      <c r="AH133">
        <v>6</v>
      </c>
      <c r="AI133">
        <v>-2</v>
      </c>
      <c r="AJ133">
        <v>-1</v>
      </c>
      <c r="AK133">
        <v>0</v>
      </c>
      <c r="AL133">
        <v>0</v>
      </c>
      <c r="AM133" t="s">
        <v>154</v>
      </c>
      <c r="AN133">
        <v>666</v>
      </c>
      <c r="AO133">
        <v>304</v>
      </c>
      <c r="AP133">
        <v>1417</v>
      </c>
      <c r="AQ133">
        <v>1417</v>
      </c>
      <c r="AS133">
        <v>4</v>
      </c>
      <c r="AT133">
        <v>93</v>
      </c>
      <c r="AU133" t="s">
        <v>91</v>
      </c>
      <c r="AV133">
        <v>19</v>
      </c>
      <c r="AW133" t="s">
        <v>80</v>
      </c>
      <c r="AX133">
        <v>22</v>
      </c>
      <c r="AY133" s="4">
        <f t="shared" si="32"/>
        <v>12</v>
      </c>
      <c r="AZ133" t="str">
        <f t="shared" si="33"/>
        <v>(U-village)</v>
      </c>
      <c r="BA133">
        <v>4</v>
      </c>
      <c r="BB133">
        <v>124</v>
      </c>
      <c r="BC133">
        <f t="shared" si="31"/>
        <v>0</v>
      </c>
      <c r="BD133">
        <f t="shared" si="34"/>
        <v>12000</v>
      </c>
    </row>
    <row r="134" spans="1:56" x14ac:dyDescent="0.3">
      <c r="A134">
        <v>1152</v>
      </c>
      <c r="B134" s="2">
        <v>45923.588333333333</v>
      </c>
      <c r="C134">
        <v>110000</v>
      </c>
      <c r="D134">
        <v>60000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30000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6</v>
      </c>
      <c r="X134">
        <v>170000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t="s">
        <v>103</v>
      </c>
      <c r="AN134">
        <v>667</v>
      </c>
      <c r="AO134">
        <v>289</v>
      </c>
      <c r="AS134">
        <v>0</v>
      </c>
      <c r="AT134">
        <v>93</v>
      </c>
      <c r="AU134" t="s">
        <v>91</v>
      </c>
      <c r="AV134">
        <v>19</v>
      </c>
      <c r="AW134" t="s">
        <v>80</v>
      </c>
      <c r="AX134">
        <v>22</v>
      </c>
      <c r="AY134" s="4">
        <f t="shared" si="32"/>
        <v>0</v>
      </c>
      <c r="AZ134" t="str">
        <f t="shared" si="33"/>
        <v/>
      </c>
      <c r="BA134">
        <v>0</v>
      </c>
      <c r="BB134">
        <v>126</v>
      </c>
      <c r="BD134">
        <f t="shared" si="34"/>
        <v>0</v>
      </c>
    </row>
    <row r="135" spans="1:56" x14ac:dyDescent="0.3">
      <c r="A135">
        <v>1201</v>
      </c>
      <c r="B135" s="2">
        <v>45923.588333333333</v>
      </c>
      <c r="C135">
        <v>110000</v>
      </c>
      <c r="D135">
        <v>60000</v>
      </c>
      <c r="E135">
        <v>0</v>
      </c>
      <c r="F135">
        <v>17000</v>
      </c>
      <c r="G135">
        <v>0</v>
      </c>
      <c r="H135">
        <v>30000</v>
      </c>
      <c r="I135">
        <v>15000</v>
      </c>
      <c r="J135">
        <v>0</v>
      </c>
      <c r="K135">
        <v>10000</v>
      </c>
      <c r="L135">
        <v>4000</v>
      </c>
      <c r="M135">
        <v>4000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2</v>
      </c>
      <c r="T135">
        <v>1</v>
      </c>
      <c r="U135">
        <v>0</v>
      </c>
      <c r="V135">
        <v>4</v>
      </c>
      <c r="W135">
        <v>6</v>
      </c>
      <c r="X135">
        <v>170000</v>
      </c>
      <c r="Y135">
        <v>0</v>
      </c>
      <c r="Z135">
        <v>0</v>
      </c>
      <c r="AA135">
        <v>0</v>
      </c>
      <c r="AB135">
        <v>200000</v>
      </c>
      <c r="AC135">
        <v>170000</v>
      </c>
      <c r="AD135">
        <v>153000</v>
      </c>
      <c r="AG135">
        <v>6</v>
      </c>
      <c r="AH135">
        <v>9</v>
      </c>
      <c r="AI135">
        <v>0</v>
      </c>
      <c r="AJ135">
        <v>0</v>
      </c>
      <c r="AK135">
        <v>0</v>
      </c>
      <c r="AL135">
        <v>0</v>
      </c>
      <c r="AM135" t="s">
        <v>150</v>
      </c>
      <c r="AN135">
        <v>667</v>
      </c>
      <c r="AO135">
        <v>291</v>
      </c>
      <c r="AQ135">
        <v>1404</v>
      </c>
      <c r="AS135">
        <v>1</v>
      </c>
      <c r="AT135">
        <v>93</v>
      </c>
      <c r="AU135" t="s">
        <v>91</v>
      </c>
      <c r="AV135">
        <v>19</v>
      </c>
      <c r="AW135" t="s">
        <v>80</v>
      </c>
      <c r="AX135">
        <v>22</v>
      </c>
      <c r="AY135" s="4">
        <f t="shared" si="32"/>
        <v>15</v>
      </c>
      <c r="AZ135" t="str">
        <f t="shared" si="33"/>
        <v>(Natu-city)</v>
      </c>
      <c r="BA135">
        <v>1</v>
      </c>
      <c r="BB135">
        <v>126</v>
      </c>
      <c r="BC135">
        <f t="shared" ref="BC135:BC138" si="35">AK135+AL135</f>
        <v>0</v>
      </c>
      <c r="BD135">
        <f t="shared" si="34"/>
        <v>8000</v>
      </c>
    </row>
    <row r="136" spans="1:56" x14ac:dyDescent="0.3">
      <c r="A136">
        <v>1226</v>
      </c>
      <c r="B136" s="2">
        <v>45923.588333333333</v>
      </c>
      <c r="C136">
        <v>110000</v>
      </c>
      <c r="D136">
        <v>60000</v>
      </c>
      <c r="E136">
        <v>0</v>
      </c>
      <c r="F136">
        <v>17000</v>
      </c>
      <c r="G136">
        <v>0</v>
      </c>
      <c r="H136">
        <v>0</v>
      </c>
      <c r="I136">
        <v>15000</v>
      </c>
      <c r="J136">
        <v>8000</v>
      </c>
      <c r="K136">
        <v>0</v>
      </c>
      <c r="L136">
        <v>8000</v>
      </c>
      <c r="M136">
        <v>4000</v>
      </c>
      <c r="N136">
        <v>-2000</v>
      </c>
      <c r="O136">
        <v>0</v>
      </c>
      <c r="P136">
        <v>0</v>
      </c>
      <c r="Q136">
        <v>1</v>
      </c>
      <c r="R136">
        <v>0</v>
      </c>
      <c r="S136">
        <v>3</v>
      </c>
      <c r="T136">
        <v>1</v>
      </c>
      <c r="U136">
        <v>0</v>
      </c>
      <c r="V136">
        <v>1</v>
      </c>
      <c r="W136">
        <v>6</v>
      </c>
      <c r="X136">
        <v>170000</v>
      </c>
      <c r="Y136">
        <v>170000</v>
      </c>
      <c r="Z136">
        <v>153000</v>
      </c>
      <c r="AA136">
        <v>0</v>
      </c>
      <c r="AB136">
        <v>0</v>
      </c>
      <c r="AC136">
        <v>170000</v>
      </c>
      <c r="AD136">
        <v>136000</v>
      </c>
      <c r="AG136">
        <v>6</v>
      </c>
      <c r="AH136">
        <v>9</v>
      </c>
      <c r="AI136">
        <v>0</v>
      </c>
      <c r="AJ136">
        <v>0</v>
      </c>
      <c r="AK136">
        <v>1</v>
      </c>
      <c r="AL136">
        <v>1</v>
      </c>
      <c r="AM136" t="s">
        <v>150</v>
      </c>
      <c r="AN136">
        <v>667</v>
      </c>
      <c r="AO136">
        <v>297</v>
      </c>
      <c r="AP136">
        <v>1404</v>
      </c>
      <c r="AQ136">
        <v>1404</v>
      </c>
      <c r="AS136">
        <v>2</v>
      </c>
      <c r="AT136">
        <v>93</v>
      </c>
      <c r="AU136" t="s">
        <v>91</v>
      </c>
      <c r="AV136">
        <v>19</v>
      </c>
      <c r="AW136" t="s">
        <v>80</v>
      </c>
      <c r="AX136">
        <v>22</v>
      </c>
      <c r="AY136" s="4">
        <f t="shared" si="32"/>
        <v>15</v>
      </c>
      <c r="AZ136" t="str">
        <f t="shared" si="33"/>
        <v>(Natu-city)</v>
      </c>
      <c r="BA136">
        <v>2</v>
      </c>
      <c r="BB136">
        <v>126</v>
      </c>
      <c r="BC136">
        <f t="shared" si="35"/>
        <v>2</v>
      </c>
      <c r="BD136">
        <f t="shared" si="34"/>
        <v>12000</v>
      </c>
    </row>
    <row r="137" spans="1:56" x14ac:dyDescent="0.3">
      <c r="A137">
        <v>1251</v>
      </c>
      <c r="B137" s="2">
        <v>45923.588333333333</v>
      </c>
      <c r="C137">
        <v>110000</v>
      </c>
      <c r="D137">
        <v>60000</v>
      </c>
      <c r="E137">
        <v>2000</v>
      </c>
      <c r="F137">
        <v>17000</v>
      </c>
      <c r="G137">
        <v>0</v>
      </c>
      <c r="H137">
        <v>0</v>
      </c>
      <c r="I137">
        <v>15000</v>
      </c>
      <c r="J137">
        <v>7000</v>
      </c>
      <c r="K137">
        <v>0</v>
      </c>
      <c r="L137">
        <v>0</v>
      </c>
      <c r="M137">
        <v>4000</v>
      </c>
      <c r="N137">
        <v>5000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6</v>
      </c>
      <c r="X137">
        <v>170000</v>
      </c>
      <c r="Y137">
        <v>170000</v>
      </c>
      <c r="Z137">
        <v>136000</v>
      </c>
      <c r="AA137">
        <v>0</v>
      </c>
      <c r="AB137">
        <v>0</v>
      </c>
      <c r="AC137">
        <v>170000</v>
      </c>
      <c r="AD137">
        <v>119000</v>
      </c>
      <c r="AG137">
        <v>6</v>
      </c>
      <c r="AH137">
        <v>9</v>
      </c>
      <c r="AI137">
        <v>-2</v>
      </c>
      <c r="AJ137">
        <v>-1</v>
      </c>
      <c r="AK137">
        <v>1</v>
      </c>
      <c r="AL137">
        <v>1</v>
      </c>
      <c r="AM137" t="s">
        <v>150</v>
      </c>
      <c r="AN137">
        <v>667</v>
      </c>
      <c r="AO137">
        <v>301</v>
      </c>
      <c r="AP137">
        <v>1404</v>
      </c>
      <c r="AQ137">
        <v>1404</v>
      </c>
      <c r="AS137">
        <v>3</v>
      </c>
      <c r="AT137">
        <v>93</v>
      </c>
      <c r="AU137" t="s">
        <v>91</v>
      </c>
      <c r="AV137">
        <v>19</v>
      </c>
      <c r="AW137" t="s">
        <v>80</v>
      </c>
      <c r="AX137">
        <v>22</v>
      </c>
      <c r="AY137" s="4">
        <f t="shared" si="32"/>
        <v>15</v>
      </c>
      <c r="AZ137" t="str">
        <f t="shared" si="33"/>
        <v>(Natu-city)</v>
      </c>
      <c r="BA137">
        <v>3</v>
      </c>
      <c r="BB137">
        <v>126</v>
      </c>
      <c r="BC137">
        <f t="shared" si="35"/>
        <v>2</v>
      </c>
      <c r="BD137">
        <f t="shared" si="34"/>
        <v>4000</v>
      </c>
    </row>
    <row r="138" spans="1:56" x14ac:dyDescent="0.3">
      <c r="A138">
        <v>1272</v>
      </c>
      <c r="B138" s="2">
        <v>45923.588333333333</v>
      </c>
      <c r="C138">
        <v>110000</v>
      </c>
      <c r="D138">
        <v>60000</v>
      </c>
      <c r="E138">
        <v>0</v>
      </c>
      <c r="F138">
        <v>17000</v>
      </c>
      <c r="G138">
        <v>0</v>
      </c>
      <c r="H138">
        <v>0</v>
      </c>
      <c r="I138">
        <v>30000</v>
      </c>
      <c r="J138">
        <v>0</v>
      </c>
      <c r="K138">
        <v>0</v>
      </c>
      <c r="L138">
        <v>0</v>
      </c>
      <c r="M138">
        <v>4000</v>
      </c>
      <c r="N138">
        <v>4000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-1</v>
      </c>
      <c r="W138">
        <v>6</v>
      </c>
      <c r="X138">
        <v>170000</v>
      </c>
      <c r="Y138">
        <v>170000</v>
      </c>
      <c r="Z138">
        <v>119000</v>
      </c>
      <c r="AA138">
        <v>0</v>
      </c>
      <c r="AB138">
        <v>0</v>
      </c>
      <c r="AC138">
        <v>170000</v>
      </c>
      <c r="AD138">
        <v>102000</v>
      </c>
      <c r="AG138">
        <v>6</v>
      </c>
      <c r="AH138">
        <v>9</v>
      </c>
      <c r="AI138">
        <v>-2</v>
      </c>
      <c r="AJ138">
        <v>-1</v>
      </c>
      <c r="AK138">
        <v>0</v>
      </c>
      <c r="AL138">
        <v>0</v>
      </c>
      <c r="AM138" t="s">
        <v>154</v>
      </c>
      <c r="AN138">
        <v>667</v>
      </c>
      <c r="AO138">
        <v>304</v>
      </c>
      <c r="AP138">
        <v>1404</v>
      </c>
      <c r="AQ138">
        <v>1404</v>
      </c>
      <c r="AS138">
        <v>4</v>
      </c>
      <c r="AT138">
        <v>93</v>
      </c>
      <c r="AU138" t="s">
        <v>91</v>
      </c>
      <c r="AV138">
        <v>19</v>
      </c>
      <c r="AW138" t="s">
        <v>80</v>
      </c>
      <c r="AX138">
        <v>22</v>
      </c>
      <c r="AY138" s="4">
        <f t="shared" si="32"/>
        <v>15</v>
      </c>
      <c r="AZ138" t="str">
        <f t="shared" si="33"/>
        <v>(Natu-city)</v>
      </c>
      <c r="BA138">
        <v>4</v>
      </c>
      <c r="BB138">
        <v>126</v>
      </c>
      <c r="BC138">
        <f t="shared" si="35"/>
        <v>0</v>
      </c>
      <c r="BD138">
        <f t="shared" si="34"/>
        <v>4000</v>
      </c>
    </row>
    <row r="139" spans="1:56" x14ac:dyDescent="0.3">
      <c r="A139">
        <v>1186</v>
      </c>
      <c r="B139" s="2">
        <v>45923.602164351847</v>
      </c>
      <c r="C139">
        <v>60000</v>
      </c>
      <c r="D139">
        <v>30000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3</v>
      </c>
      <c r="X139">
        <v>80000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s">
        <v>103</v>
      </c>
      <c r="AN139">
        <v>668</v>
      </c>
      <c r="AO139">
        <v>289</v>
      </c>
      <c r="AS139">
        <v>0</v>
      </c>
      <c r="AT139">
        <v>93</v>
      </c>
      <c r="AU139" t="s">
        <v>91</v>
      </c>
      <c r="AV139">
        <v>19</v>
      </c>
      <c r="AW139" t="s">
        <v>80</v>
      </c>
      <c r="AX139">
        <v>22</v>
      </c>
      <c r="AY139" s="4">
        <f t="shared" si="32"/>
        <v>0</v>
      </c>
      <c r="AZ139" t="str">
        <f t="shared" si="33"/>
        <v/>
      </c>
      <c r="BA139">
        <v>0</v>
      </c>
      <c r="BB139">
        <v>123</v>
      </c>
      <c r="BD139">
        <f t="shared" si="34"/>
        <v>0</v>
      </c>
    </row>
    <row r="140" spans="1:56" x14ac:dyDescent="0.3">
      <c r="A140">
        <v>1187</v>
      </c>
      <c r="B140" s="2">
        <v>45923.602164351847</v>
      </c>
      <c r="C140">
        <v>60000</v>
      </c>
      <c r="D140">
        <v>30000</v>
      </c>
      <c r="E140">
        <v>0</v>
      </c>
      <c r="F140">
        <v>7000</v>
      </c>
      <c r="G140">
        <v>0</v>
      </c>
      <c r="H140">
        <v>0</v>
      </c>
      <c r="I140">
        <v>20000</v>
      </c>
      <c r="J140">
        <v>0</v>
      </c>
      <c r="K140">
        <v>0</v>
      </c>
      <c r="L140">
        <v>16000</v>
      </c>
      <c r="M140">
        <v>4000</v>
      </c>
      <c r="N140">
        <v>-17000</v>
      </c>
      <c r="O140">
        <v>0</v>
      </c>
      <c r="P140">
        <v>-1</v>
      </c>
      <c r="Q140">
        <v>0</v>
      </c>
      <c r="R140">
        <v>0</v>
      </c>
      <c r="S140">
        <v>5</v>
      </c>
      <c r="T140">
        <v>1</v>
      </c>
      <c r="U140">
        <v>0</v>
      </c>
      <c r="V140">
        <v>-2</v>
      </c>
      <c r="W140">
        <v>3</v>
      </c>
      <c r="X140">
        <v>80000</v>
      </c>
      <c r="Y140">
        <v>0</v>
      </c>
      <c r="Z140">
        <v>0</v>
      </c>
      <c r="AA140">
        <v>0</v>
      </c>
      <c r="AB140">
        <v>70000</v>
      </c>
      <c r="AC140">
        <v>70000</v>
      </c>
      <c r="AD140">
        <v>63000</v>
      </c>
      <c r="AG140">
        <v>6</v>
      </c>
      <c r="AH140">
        <v>6</v>
      </c>
      <c r="AI140">
        <v>0</v>
      </c>
      <c r="AJ140">
        <v>0</v>
      </c>
      <c r="AK140">
        <v>0</v>
      </c>
      <c r="AL140">
        <v>0</v>
      </c>
      <c r="AM140" t="s">
        <v>150</v>
      </c>
      <c r="AN140">
        <v>668</v>
      </c>
      <c r="AO140">
        <v>291</v>
      </c>
      <c r="AQ140">
        <v>1416</v>
      </c>
      <c r="AS140">
        <v>1</v>
      </c>
      <c r="AT140">
        <v>93</v>
      </c>
      <c r="AU140" t="s">
        <v>91</v>
      </c>
      <c r="AV140">
        <v>19</v>
      </c>
      <c r="AW140" t="s">
        <v>80</v>
      </c>
      <c r="AX140">
        <v>22</v>
      </c>
      <c r="AY140" s="4">
        <f t="shared" si="32"/>
        <v>12</v>
      </c>
      <c r="AZ140" t="str">
        <f t="shared" si="33"/>
        <v>(U-village)</v>
      </c>
      <c r="BA140">
        <v>1</v>
      </c>
      <c r="BB140">
        <v>123</v>
      </c>
      <c r="BC140">
        <f t="shared" ref="BC140:BC143" si="36">AK140+AL140</f>
        <v>0</v>
      </c>
      <c r="BD140">
        <f t="shared" si="34"/>
        <v>20000</v>
      </c>
    </row>
    <row r="141" spans="1:56" x14ac:dyDescent="0.3">
      <c r="A141">
        <v>1220</v>
      </c>
      <c r="B141" s="2">
        <v>45923.602164351847</v>
      </c>
      <c r="C141">
        <v>60000</v>
      </c>
      <c r="D141">
        <v>30000</v>
      </c>
      <c r="E141">
        <v>17000</v>
      </c>
      <c r="F141">
        <v>7000</v>
      </c>
      <c r="G141">
        <v>0</v>
      </c>
      <c r="H141">
        <v>0</v>
      </c>
      <c r="I141">
        <v>20000</v>
      </c>
      <c r="J141">
        <v>0</v>
      </c>
      <c r="K141">
        <v>0</v>
      </c>
      <c r="L141">
        <v>24000</v>
      </c>
      <c r="M141">
        <v>4000</v>
      </c>
      <c r="N141">
        <v>-42000</v>
      </c>
      <c r="O141">
        <v>0</v>
      </c>
      <c r="P141">
        <v>0</v>
      </c>
      <c r="Q141">
        <v>0</v>
      </c>
      <c r="R141">
        <v>0</v>
      </c>
      <c r="S141">
        <v>7</v>
      </c>
      <c r="T141">
        <v>1</v>
      </c>
      <c r="U141">
        <v>1</v>
      </c>
      <c r="V141">
        <v>-11</v>
      </c>
      <c r="W141">
        <v>3</v>
      </c>
      <c r="X141">
        <v>80000</v>
      </c>
      <c r="Y141">
        <v>70000</v>
      </c>
      <c r="Z141">
        <v>63000</v>
      </c>
      <c r="AA141">
        <v>0</v>
      </c>
      <c r="AB141">
        <v>0</v>
      </c>
      <c r="AC141">
        <v>70000</v>
      </c>
      <c r="AD141">
        <v>56000</v>
      </c>
      <c r="AG141">
        <v>6</v>
      </c>
      <c r="AH141">
        <v>6</v>
      </c>
      <c r="AI141">
        <v>0</v>
      </c>
      <c r="AJ141">
        <v>0</v>
      </c>
      <c r="AK141">
        <v>0</v>
      </c>
      <c r="AL141">
        <v>0</v>
      </c>
      <c r="AM141" t="s">
        <v>150</v>
      </c>
      <c r="AN141">
        <v>668</v>
      </c>
      <c r="AO141">
        <v>297</v>
      </c>
      <c r="AP141">
        <v>1416</v>
      </c>
      <c r="AQ141">
        <v>1416</v>
      </c>
      <c r="AS141">
        <v>2</v>
      </c>
      <c r="AT141">
        <v>93</v>
      </c>
      <c r="AU141" t="s">
        <v>91</v>
      </c>
      <c r="AV141">
        <v>19</v>
      </c>
      <c r="AW141" t="s">
        <v>80</v>
      </c>
      <c r="AX141">
        <v>22</v>
      </c>
      <c r="AY141" s="4">
        <f t="shared" si="32"/>
        <v>12</v>
      </c>
      <c r="AZ141" t="str">
        <f t="shared" si="33"/>
        <v>(U-village)</v>
      </c>
      <c r="BA141">
        <v>2</v>
      </c>
      <c r="BB141">
        <v>123</v>
      </c>
      <c r="BC141">
        <f t="shared" si="36"/>
        <v>0</v>
      </c>
      <c r="BD141">
        <f t="shared" si="34"/>
        <v>28000</v>
      </c>
    </row>
    <row r="142" spans="1:56" x14ac:dyDescent="0.3">
      <c r="A142">
        <v>1250</v>
      </c>
      <c r="B142" s="2">
        <v>45923.602164351847</v>
      </c>
      <c r="C142">
        <v>60000</v>
      </c>
      <c r="D142">
        <v>30000</v>
      </c>
      <c r="E142">
        <v>30000</v>
      </c>
      <c r="F142">
        <v>7000</v>
      </c>
      <c r="G142">
        <v>0</v>
      </c>
      <c r="H142">
        <v>0</v>
      </c>
      <c r="I142">
        <v>20000</v>
      </c>
      <c r="J142">
        <v>0</v>
      </c>
      <c r="K142">
        <v>0</v>
      </c>
      <c r="L142">
        <v>12000</v>
      </c>
      <c r="M142">
        <v>4000</v>
      </c>
      <c r="N142">
        <v>-55000</v>
      </c>
      <c r="O142">
        <v>0</v>
      </c>
      <c r="P142">
        <v>0</v>
      </c>
      <c r="Q142">
        <v>0</v>
      </c>
      <c r="R142">
        <v>0</v>
      </c>
      <c r="S142">
        <v>4</v>
      </c>
      <c r="T142">
        <v>1</v>
      </c>
      <c r="U142">
        <v>1</v>
      </c>
      <c r="V142">
        <v>-17</v>
      </c>
      <c r="W142">
        <v>3</v>
      </c>
      <c r="X142">
        <v>80000</v>
      </c>
      <c r="Y142">
        <v>70000</v>
      </c>
      <c r="Z142">
        <v>56000</v>
      </c>
      <c r="AA142">
        <v>0</v>
      </c>
      <c r="AB142">
        <v>0</v>
      </c>
      <c r="AC142">
        <v>70000</v>
      </c>
      <c r="AD142">
        <v>49000</v>
      </c>
      <c r="AG142">
        <v>6</v>
      </c>
      <c r="AH142">
        <v>6</v>
      </c>
      <c r="AI142">
        <v>-2</v>
      </c>
      <c r="AJ142">
        <v>-1</v>
      </c>
      <c r="AK142">
        <v>0</v>
      </c>
      <c r="AL142">
        <v>0</v>
      </c>
      <c r="AM142" t="s">
        <v>150</v>
      </c>
      <c r="AN142">
        <v>668</v>
      </c>
      <c r="AO142">
        <v>301</v>
      </c>
      <c r="AP142">
        <v>1416</v>
      </c>
      <c r="AQ142">
        <v>1416</v>
      </c>
      <c r="AS142">
        <v>3</v>
      </c>
      <c r="AT142">
        <v>93</v>
      </c>
      <c r="AU142" t="s">
        <v>91</v>
      </c>
      <c r="AV142">
        <v>19</v>
      </c>
      <c r="AW142" t="s">
        <v>80</v>
      </c>
      <c r="AX142">
        <v>22</v>
      </c>
      <c r="AY142" s="4">
        <f t="shared" si="32"/>
        <v>12</v>
      </c>
      <c r="AZ142" t="str">
        <f t="shared" si="33"/>
        <v>(U-village)</v>
      </c>
      <c r="BA142">
        <v>3</v>
      </c>
      <c r="BB142">
        <v>123</v>
      </c>
      <c r="BC142">
        <f t="shared" si="36"/>
        <v>0</v>
      </c>
      <c r="BD142">
        <f t="shared" si="34"/>
        <v>16000</v>
      </c>
    </row>
    <row r="143" spans="1:56" x14ac:dyDescent="0.3">
      <c r="A143">
        <v>1276</v>
      </c>
      <c r="B143" s="2">
        <v>45923.602164351847</v>
      </c>
      <c r="C143">
        <v>60000</v>
      </c>
      <c r="D143">
        <v>30000</v>
      </c>
      <c r="E143">
        <v>30000</v>
      </c>
      <c r="F143">
        <v>7000</v>
      </c>
      <c r="G143">
        <v>0</v>
      </c>
      <c r="H143">
        <v>0</v>
      </c>
      <c r="I143">
        <v>20000</v>
      </c>
      <c r="J143">
        <v>0</v>
      </c>
      <c r="K143">
        <v>0</v>
      </c>
      <c r="L143">
        <v>8000</v>
      </c>
      <c r="M143">
        <v>4000</v>
      </c>
      <c r="N143">
        <v>-64000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1</v>
      </c>
      <c r="U143">
        <v>1</v>
      </c>
      <c r="V143">
        <v>-22</v>
      </c>
      <c r="W143">
        <v>3</v>
      </c>
      <c r="X143">
        <v>80000</v>
      </c>
      <c r="Y143">
        <v>70000</v>
      </c>
      <c r="Z143">
        <v>49000</v>
      </c>
      <c r="AA143">
        <v>0</v>
      </c>
      <c r="AB143">
        <v>0</v>
      </c>
      <c r="AC143">
        <v>70000</v>
      </c>
      <c r="AD143">
        <v>42000</v>
      </c>
      <c r="AG143">
        <v>6</v>
      </c>
      <c r="AH143">
        <v>6</v>
      </c>
      <c r="AI143">
        <v>-2</v>
      </c>
      <c r="AJ143">
        <v>-1</v>
      </c>
      <c r="AK143">
        <v>0</v>
      </c>
      <c r="AL143">
        <v>0</v>
      </c>
      <c r="AM143" t="s">
        <v>154</v>
      </c>
      <c r="AN143">
        <v>668</v>
      </c>
      <c r="AO143">
        <v>304</v>
      </c>
      <c r="AP143">
        <v>1416</v>
      </c>
      <c r="AQ143">
        <v>1416</v>
      </c>
      <c r="AS143">
        <v>4</v>
      </c>
      <c r="AT143">
        <v>93</v>
      </c>
      <c r="AU143" t="s">
        <v>91</v>
      </c>
      <c r="AV143">
        <v>19</v>
      </c>
      <c r="AW143" t="s">
        <v>80</v>
      </c>
      <c r="AX143">
        <v>22</v>
      </c>
      <c r="AY143" s="4">
        <f t="shared" si="32"/>
        <v>12</v>
      </c>
      <c r="AZ143" t="str">
        <f t="shared" si="33"/>
        <v>(U-village)</v>
      </c>
      <c r="BA143">
        <v>4</v>
      </c>
      <c r="BB143">
        <v>123</v>
      </c>
      <c r="BC143">
        <f t="shared" si="36"/>
        <v>0</v>
      </c>
      <c r="BD143">
        <f t="shared" si="34"/>
        <v>12000</v>
      </c>
    </row>
    <row r="144" spans="1:56" x14ac:dyDescent="0.3">
      <c r="A144">
        <v>1159</v>
      </c>
      <c r="B144" s="2">
        <v>45923.593888888892</v>
      </c>
      <c r="C144">
        <v>90000</v>
      </c>
      <c r="D144">
        <v>50000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15000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</v>
      </c>
      <c r="W144">
        <v>5</v>
      </c>
      <c r="X144">
        <v>130000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t="s">
        <v>103</v>
      </c>
      <c r="AN144">
        <v>669</v>
      </c>
      <c r="AO144">
        <v>289</v>
      </c>
      <c r="AS144">
        <v>0</v>
      </c>
      <c r="AT144">
        <v>93</v>
      </c>
      <c r="AU144" t="s">
        <v>91</v>
      </c>
      <c r="AV144">
        <v>19</v>
      </c>
      <c r="AW144" t="s">
        <v>80</v>
      </c>
      <c r="AX144">
        <v>22</v>
      </c>
      <c r="AY144" s="4">
        <f t="shared" si="32"/>
        <v>0</v>
      </c>
      <c r="AZ144" t="str">
        <f t="shared" si="33"/>
        <v/>
      </c>
      <c r="BA144">
        <v>0</v>
      </c>
      <c r="BB144">
        <v>125</v>
      </c>
      <c r="BD144">
        <f t="shared" si="34"/>
        <v>0</v>
      </c>
    </row>
    <row r="145" spans="1:56" x14ac:dyDescent="0.3">
      <c r="A145">
        <v>1188</v>
      </c>
      <c r="B145" s="2">
        <v>45923.593888888892</v>
      </c>
      <c r="C145">
        <v>90000</v>
      </c>
      <c r="D145">
        <v>50000</v>
      </c>
      <c r="E145">
        <v>0</v>
      </c>
      <c r="F145">
        <v>10000</v>
      </c>
      <c r="G145">
        <v>0</v>
      </c>
      <c r="H145">
        <v>0</v>
      </c>
      <c r="I145">
        <v>15000</v>
      </c>
      <c r="J145">
        <v>6000</v>
      </c>
      <c r="K145">
        <v>4500</v>
      </c>
      <c r="L145">
        <v>4000</v>
      </c>
      <c r="M145">
        <v>4000</v>
      </c>
      <c r="N145">
        <v>11500</v>
      </c>
      <c r="O145">
        <v>0</v>
      </c>
      <c r="P145">
        <v>-2</v>
      </c>
      <c r="Q145">
        <v>1</v>
      </c>
      <c r="R145">
        <v>1</v>
      </c>
      <c r="S145">
        <v>2</v>
      </c>
      <c r="T145">
        <v>1</v>
      </c>
      <c r="U145">
        <v>0</v>
      </c>
      <c r="V145">
        <v>2</v>
      </c>
      <c r="W145">
        <v>5</v>
      </c>
      <c r="X145">
        <v>130000</v>
      </c>
      <c r="Y145">
        <v>0</v>
      </c>
      <c r="Z145">
        <v>0</v>
      </c>
      <c r="AA145">
        <v>0</v>
      </c>
      <c r="AB145">
        <v>100000</v>
      </c>
      <c r="AC145">
        <v>100000</v>
      </c>
      <c r="AD145">
        <v>90000</v>
      </c>
      <c r="AG145">
        <v>6</v>
      </c>
      <c r="AH145">
        <v>9</v>
      </c>
      <c r="AI145">
        <v>0</v>
      </c>
      <c r="AJ145">
        <v>0</v>
      </c>
      <c r="AK145">
        <v>1</v>
      </c>
      <c r="AL145">
        <v>0</v>
      </c>
      <c r="AM145" t="s">
        <v>150</v>
      </c>
      <c r="AN145">
        <v>669</v>
      </c>
      <c r="AO145">
        <v>291</v>
      </c>
      <c r="AQ145">
        <v>1406</v>
      </c>
      <c r="AS145">
        <v>1</v>
      </c>
      <c r="AT145">
        <v>93</v>
      </c>
      <c r="AU145" t="s">
        <v>91</v>
      </c>
      <c r="AV145">
        <v>19</v>
      </c>
      <c r="AW145" t="s">
        <v>80</v>
      </c>
      <c r="AX145">
        <v>22</v>
      </c>
      <c r="AY145" s="4">
        <f t="shared" si="32"/>
        <v>15</v>
      </c>
      <c r="AZ145" t="str">
        <f t="shared" si="33"/>
        <v>(Natu-city)</v>
      </c>
      <c r="BA145">
        <v>1</v>
      </c>
      <c r="BB145">
        <v>125</v>
      </c>
      <c r="BC145">
        <f t="shared" ref="BC145:BC148" si="37">AK145+AL145</f>
        <v>1</v>
      </c>
      <c r="BD145">
        <f t="shared" si="34"/>
        <v>8000</v>
      </c>
    </row>
    <row r="146" spans="1:56" x14ac:dyDescent="0.3">
      <c r="A146">
        <v>1224</v>
      </c>
      <c r="B146" s="2">
        <v>45923.593888888892</v>
      </c>
      <c r="C146">
        <v>90000</v>
      </c>
      <c r="D146">
        <v>50000</v>
      </c>
      <c r="E146">
        <v>0</v>
      </c>
      <c r="F146">
        <v>10000</v>
      </c>
      <c r="G146">
        <v>0</v>
      </c>
      <c r="H146">
        <v>0</v>
      </c>
      <c r="I146">
        <v>15000</v>
      </c>
      <c r="J146">
        <v>8000</v>
      </c>
      <c r="K146">
        <v>0</v>
      </c>
      <c r="L146">
        <v>12000</v>
      </c>
      <c r="M146">
        <v>4000</v>
      </c>
      <c r="N146">
        <v>2500</v>
      </c>
      <c r="O146">
        <v>0</v>
      </c>
      <c r="P146">
        <v>0</v>
      </c>
      <c r="Q146">
        <v>1</v>
      </c>
      <c r="R146">
        <v>0</v>
      </c>
      <c r="S146">
        <v>4</v>
      </c>
      <c r="T146">
        <v>1</v>
      </c>
      <c r="U146">
        <v>0</v>
      </c>
      <c r="V146">
        <v>-2</v>
      </c>
      <c r="W146">
        <v>5</v>
      </c>
      <c r="X146">
        <v>130000</v>
      </c>
      <c r="Y146">
        <v>100000</v>
      </c>
      <c r="Z146">
        <v>90000</v>
      </c>
      <c r="AA146">
        <v>0</v>
      </c>
      <c r="AB146">
        <v>0</v>
      </c>
      <c r="AC146">
        <v>100000</v>
      </c>
      <c r="AD146">
        <v>80000</v>
      </c>
      <c r="AG146">
        <v>6</v>
      </c>
      <c r="AH146">
        <v>9</v>
      </c>
      <c r="AI146">
        <v>0</v>
      </c>
      <c r="AJ146">
        <v>0</v>
      </c>
      <c r="AK146">
        <v>1</v>
      </c>
      <c r="AL146">
        <v>0</v>
      </c>
      <c r="AM146" t="s">
        <v>150</v>
      </c>
      <c r="AN146">
        <v>669</v>
      </c>
      <c r="AO146">
        <v>297</v>
      </c>
      <c r="AP146">
        <v>1406</v>
      </c>
      <c r="AQ146">
        <v>1406</v>
      </c>
      <c r="AS146">
        <v>2</v>
      </c>
      <c r="AT146">
        <v>93</v>
      </c>
      <c r="AU146" t="s">
        <v>91</v>
      </c>
      <c r="AV146">
        <v>19</v>
      </c>
      <c r="AW146" t="s">
        <v>80</v>
      </c>
      <c r="AX146">
        <v>22</v>
      </c>
      <c r="AY146" s="4">
        <f t="shared" si="32"/>
        <v>15</v>
      </c>
      <c r="AZ146" t="str">
        <f t="shared" si="33"/>
        <v>(Natu-city)</v>
      </c>
      <c r="BA146">
        <v>2</v>
      </c>
      <c r="BB146">
        <v>125</v>
      </c>
      <c r="BC146">
        <f t="shared" si="37"/>
        <v>1</v>
      </c>
      <c r="BD146">
        <f t="shared" si="34"/>
        <v>16000</v>
      </c>
    </row>
    <row r="147" spans="1:56" x14ac:dyDescent="0.3">
      <c r="A147">
        <v>1247</v>
      </c>
      <c r="B147" s="2">
        <v>45923.593888888892</v>
      </c>
      <c r="C147">
        <v>90000</v>
      </c>
      <c r="D147">
        <v>50000</v>
      </c>
      <c r="E147">
        <v>0</v>
      </c>
      <c r="F147">
        <v>10000</v>
      </c>
      <c r="G147">
        <v>0</v>
      </c>
      <c r="H147">
        <v>0</v>
      </c>
      <c r="I147">
        <v>15000</v>
      </c>
      <c r="J147">
        <v>8000</v>
      </c>
      <c r="K147">
        <v>0</v>
      </c>
      <c r="L147">
        <v>0</v>
      </c>
      <c r="M147">
        <v>4000</v>
      </c>
      <c r="N147">
        <v>5500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-2</v>
      </c>
      <c r="W147">
        <v>5</v>
      </c>
      <c r="X147">
        <v>130000</v>
      </c>
      <c r="Y147">
        <v>100000</v>
      </c>
      <c r="Z147">
        <v>80000</v>
      </c>
      <c r="AA147">
        <v>0</v>
      </c>
      <c r="AB147">
        <v>0</v>
      </c>
      <c r="AC147">
        <v>100000</v>
      </c>
      <c r="AD147">
        <v>70000</v>
      </c>
      <c r="AG147">
        <v>6</v>
      </c>
      <c r="AH147">
        <v>9</v>
      </c>
      <c r="AI147">
        <v>-2</v>
      </c>
      <c r="AJ147">
        <v>-1</v>
      </c>
      <c r="AK147">
        <v>1</v>
      </c>
      <c r="AL147">
        <v>1</v>
      </c>
      <c r="AM147" t="s">
        <v>150</v>
      </c>
      <c r="AN147">
        <v>669</v>
      </c>
      <c r="AO147">
        <v>301</v>
      </c>
      <c r="AP147">
        <v>1406</v>
      </c>
      <c r="AQ147">
        <v>1406</v>
      </c>
      <c r="AS147">
        <v>3</v>
      </c>
      <c r="AT147">
        <v>93</v>
      </c>
      <c r="AU147" t="s">
        <v>91</v>
      </c>
      <c r="AV147">
        <v>19</v>
      </c>
      <c r="AW147" t="s">
        <v>80</v>
      </c>
      <c r="AX147">
        <v>22</v>
      </c>
      <c r="AY147" s="4">
        <f t="shared" si="32"/>
        <v>15</v>
      </c>
      <c r="AZ147" t="str">
        <f t="shared" si="33"/>
        <v>(Natu-city)</v>
      </c>
      <c r="BA147">
        <v>3</v>
      </c>
      <c r="BB147">
        <v>125</v>
      </c>
      <c r="BC147">
        <f t="shared" si="37"/>
        <v>2</v>
      </c>
      <c r="BD147">
        <f t="shared" si="34"/>
        <v>4000</v>
      </c>
    </row>
    <row r="148" spans="1:56" x14ac:dyDescent="0.3">
      <c r="A148">
        <v>1265</v>
      </c>
      <c r="B148" s="2">
        <v>45923.593888888892</v>
      </c>
      <c r="C148">
        <v>90000</v>
      </c>
      <c r="D148">
        <v>50000</v>
      </c>
      <c r="E148">
        <v>0</v>
      </c>
      <c r="F148">
        <v>10000</v>
      </c>
      <c r="G148">
        <v>0</v>
      </c>
      <c r="H148">
        <v>0</v>
      </c>
      <c r="I148">
        <v>30000</v>
      </c>
      <c r="J148">
        <v>0</v>
      </c>
      <c r="K148">
        <v>0</v>
      </c>
      <c r="L148">
        <v>0</v>
      </c>
      <c r="M148">
        <v>4000</v>
      </c>
      <c r="N148">
        <v>1500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-3</v>
      </c>
      <c r="W148">
        <v>5</v>
      </c>
      <c r="X148">
        <v>130000</v>
      </c>
      <c r="Y148">
        <v>100000</v>
      </c>
      <c r="Z148">
        <v>70000</v>
      </c>
      <c r="AA148">
        <v>0</v>
      </c>
      <c r="AB148">
        <v>0</v>
      </c>
      <c r="AC148">
        <v>100000</v>
      </c>
      <c r="AD148">
        <v>60000</v>
      </c>
      <c r="AG148">
        <v>6</v>
      </c>
      <c r="AH148">
        <v>9</v>
      </c>
      <c r="AI148">
        <v>-2</v>
      </c>
      <c r="AJ148">
        <v>-1</v>
      </c>
      <c r="AK148">
        <v>0</v>
      </c>
      <c r="AL148">
        <v>0</v>
      </c>
      <c r="AM148" t="s">
        <v>151</v>
      </c>
      <c r="AN148">
        <v>669</v>
      </c>
      <c r="AO148">
        <v>304</v>
      </c>
      <c r="AP148">
        <v>1406</v>
      </c>
      <c r="AQ148">
        <v>1406</v>
      </c>
      <c r="AS148">
        <v>4</v>
      </c>
      <c r="AT148">
        <v>93</v>
      </c>
      <c r="AU148" t="s">
        <v>91</v>
      </c>
      <c r="AV148">
        <v>19</v>
      </c>
      <c r="AW148" t="s">
        <v>80</v>
      </c>
      <c r="AX148">
        <v>22</v>
      </c>
      <c r="AY148" s="4">
        <f t="shared" si="32"/>
        <v>15</v>
      </c>
      <c r="AZ148" t="str">
        <f t="shared" si="33"/>
        <v>(Natu-city)</v>
      </c>
      <c r="BA148">
        <v>4</v>
      </c>
      <c r="BB148">
        <v>125</v>
      </c>
      <c r="BC148">
        <f t="shared" si="37"/>
        <v>0</v>
      </c>
      <c r="BD148">
        <f t="shared" si="34"/>
        <v>4000</v>
      </c>
    </row>
    <row r="149" spans="1:56" x14ac:dyDescent="0.3">
      <c r="A149">
        <v>1155</v>
      </c>
      <c r="B149" s="2">
        <v>45923.593344907407</v>
      </c>
      <c r="C149">
        <v>130000</v>
      </c>
      <c r="D149">
        <v>75000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50000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5</v>
      </c>
      <c r="W149">
        <v>7</v>
      </c>
      <c r="X149">
        <v>200000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t="s">
        <v>103</v>
      </c>
      <c r="AN149">
        <v>670</v>
      </c>
      <c r="AO149">
        <v>289</v>
      </c>
      <c r="AS149">
        <v>0</v>
      </c>
      <c r="AT149">
        <v>93</v>
      </c>
      <c r="AU149" t="s">
        <v>91</v>
      </c>
      <c r="AV149">
        <v>19</v>
      </c>
      <c r="AW149" t="s">
        <v>80</v>
      </c>
      <c r="AX149">
        <v>22</v>
      </c>
      <c r="AY149" s="4">
        <f t="shared" si="32"/>
        <v>0</v>
      </c>
      <c r="AZ149" t="str">
        <f t="shared" si="33"/>
        <v/>
      </c>
      <c r="BA149">
        <v>0</v>
      </c>
      <c r="BB149">
        <v>127</v>
      </c>
      <c r="BD149">
        <f t="shared" si="34"/>
        <v>0</v>
      </c>
    </row>
    <row r="150" spans="1:56" x14ac:dyDescent="0.3">
      <c r="A150">
        <v>1185</v>
      </c>
      <c r="B150" s="2">
        <v>45923.593344907407</v>
      </c>
      <c r="C150">
        <v>130000</v>
      </c>
      <c r="D150">
        <v>75000</v>
      </c>
      <c r="E150">
        <v>0</v>
      </c>
      <c r="F150">
        <v>16000</v>
      </c>
      <c r="G150">
        <v>0</v>
      </c>
      <c r="H150">
        <v>0</v>
      </c>
      <c r="I150">
        <v>20000</v>
      </c>
      <c r="J150">
        <v>8000</v>
      </c>
      <c r="K150">
        <v>8000</v>
      </c>
      <c r="L150">
        <v>0</v>
      </c>
      <c r="M150">
        <v>4000</v>
      </c>
      <c r="N150">
        <v>49000</v>
      </c>
      <c r="O150">
        <v>0</v>
      </c>
      <c r="P150">
        <v>-2</v>
      </c>
      <c r="Q150">
        <v>1</v>
      </c>
      <c r="R150">
        <v>2</v>
      </c>
      <c r="S150">
        <v>1</v>
      </c>
      <c r="T150">
        <v>1</v>
      </c>
      <c r="U150">
        <v>0</v>
      </c>
      <c r="V150">
        <v>4</v>
      </c>
      <c r="W150">
        <v>7</v>
      </c>
      <c r="X150">
        <v>200000</v>
      </c>
      <c r="Y150">
        <v>0</v>
      </c>
      <c r="Z150">
        <v>0</v>
      </c>
      <c r="AA150">
        <v>0</v>
      </c>
      <c r="AB150">
        <v>160000</v>
      </c>
      <c r="AC150">
        <v>160000</v>
      </c>
      <c r="AD150">
        <v>144000</v>
      </c>
      <c r="AG150">
        <v>4</v>
      </c>
      <c r="AH150">
        <v>9</v>
      </c>
      <c r="AI150">
        <v>0</v>
      </c>
      <c r="AJ150">
        <v>0</v>
      </c>
      <c r="AK150">
        <v>1</v>
      </c>
      <c r="AL150">
        <v>1</v>
      </c>
      <c r="AM150" t="s">
        <v>150</v>
      </c>
      <c r="AN150">
        <v>670</v>
      </c>
      <c r="AO150">
        <v>291</v>
      </c>
      <c r="AQ150">
        <v>1410</v>
      </c>
      <c r="AS150">
        <v>1</v>
      </c>
      <c r="AT150">
        <v>93</v>
      </c>
      <c r="AU150" t="s">
        <v>91</v>
      </c>
      <c r="AV150">
        <v>19</v>
      </c>
      <c r="AW150" t="s">
        <v>80</v>
      </c>
      <c r="AX150">
        <v>22</v>
      </c>
      <c r="AY150" s="4">
        <f t="shared" si="32"/>
        <v>13</v>
      </c>
      <c r="AZ150" t="str">
        <f t="shared" si="33"/>
        <v>(Dike-town)</v>
      </c>
      <c r="BA150">
        <v>1</v>
      </c>
      <c r="BB150">
        <v>127</v>
      </c>
      <c r="BC150">
        <f t="shared" ref="BC150:BC153" si="38">AK150+AL150</f>
        <v>2</v>
      </c>
      <c r="BD150">
        <f t="shared" si="34"/>
        <v>4000</v>
      </c>
    </row>
    <row r="151" spans="1:56" x14ac:dyDescent="0.3">
      <c r="A151">
        <v>1221</v>
      </c>
      <c r="B151" s="2">
        <v>45923.593344907407</v>
      </c>
      <c r="C151">
        <v>130000</v>
      </c>
      <c r="D151">
        <v>75000</v>
      </c>
      <c r="E151">
        <v>0</v>
      </c>
      <c r="F151">
        <v>16000</v>
      </c>
      <c r="G151">
        <v>0</v>
      </c>
      <c r="H151">
        <v>0</v>
      </c>
      <c r="I151">
        <v>20000</v>
      </c>
      <c r="J151">
        <v>14000</v>
      </c>
      <c r="K151">
        <v>7200</v>
      </c>
      <c r="L151">
        <v>12000</v>
      </c>
      <c r="M151">
        <v>4000</v>
      </c>
      <c r="N151">
        <v>30800</v>
      </c>
      <c r="O151">
        <v>0</v>
      </c>
      <c r="P151">
        <v>0</v>
      </c>
      <c r="Q151">
        <v>2</v>
      </c>
      <c r="R151">
        <v>1</v>
      </c>
      <c r="S151">
        <v>4</v>
      </c>
      <c r="T151">
        <v>1</v>
      </c>
      <c r="U151">
        <v>0</v>
      </c>
      <c r="V151">
        <v>2</v>
      </c>
      <c r="W151">
        <v>7</v>
      </c>
      <c r="X151">
        <v>200000</v>
      </c>
      <c r="Y151">
        <v>160000</v>
      </c>
      <c r="Z151">
        <v>144000</v>
      </c>
      <c r="AA151">
        <v>0</v>
      </c>
      <c r="AB151">
        <v>0</v>
      </c>
      <c r="AC151">
        <v>160000</v>
      </c>
      <c r="AD151">
        <v>128000</v>
      </c>
      <c r="AG151">
        <v>4</v>
      </c>
      <c r="AH151">
        <v>9</v>
      </c>
      <c r="AI151">
        <v>0</v>
      </c>
      <c r="AJ151">
        <v>0</v>
      </c>
      <c r="AK151">
        <v>2</v>
      </c>
      <c r="AL151">
        <v>0</v>
      </c>
      <c r="AM151" t="s">
        <v>150</v>
      </c>
      <c r="AN151">
        <v>670</v>
      </c>
      <c r="AO151">
        <v>297</v>
      </c>
      <c r="AP151">
        <v>1410</v>
      </c>
      <c r="AQ151">
        <v>1410</v>
      </c>
      <c r="AS151">
        <v>2</v>
      </c>
      <c r="AT151">
        <v>93</v>
      </c>
      <c r="AU151" t="s">
        <v>91</v>
      </c>
      <c r="AV151">
        <v>19</v>
      </c>
      <c r="AW151" t="s">
        <v>80</v>
      </c>
      <c r="AX151">
        <v>22</v>
      </c>
      <c r="AY151" s="4">
        <f t="shared" si="32"/>
        <v>13</v>
      </c>
      <c r="AZ151" t="str">
        <f t="shared" si="33"/>
        <v>(Dike-town)</v>
      </c>
      <c r="BA151">
        <v>2</v>
      </c>
      <c r="BB151">
        <v>127</v>
      </c>
      <c r="BC151">
        <f t="shared" si="38"/>
        <v>2</v>
      </c>
      <c r="BD151">
        <f t="shared" si="34"/>
        <v>16000</v>
      </c>
    </row>
    <row r="152" spans="1:56" x14ac:dyDescent="0.3">
      <c r="A152">
        <v>1248</v>
      </c>
      <c r="B152" s="2">
        <v>45923.593344907407</v>
      </c>
      <c r="C152">
        <v>130000</v>
      </c>
      <c r="D152">
        <v>75000</v>
      </c>
      <c r="E152">
        <v>0</v>
      </c>
      <c r="F152">
        <v>16000</v>
      </c>
      <c r="G152">
        <v>0</v>
      </c>
      <c r="H152">
        <v>0</v>
      </c>
      <c r="I152">
        <v>20000</v>
      </c>
      <c r="J152">
        <v>11000</v>
      </c>
      <c r="K152">
        <v>6500</v>
      </c>
      <c r="L152">
        <v>0</v>
      </c>
      <c r="M152">
        <v>4000</v>
      </c>
      <c r="N152">
        <v>28300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2</v>
      </c>
      <c r="W152">
        <v>7</v>
      </c>
      <c r="X152">
        <v>200000</v>
      </c>
      <c r="Y152">
        <v>160000</v>
      </c>
      <c r="Z152">
        <v>128000</v>
      </c>
      <c r="AA152">
        <v>0</v>
      </c>
      <c r="AB152">
        <v>0</v>
      </c>
      <c r="AC152">
        <v>160000</v>
      </c>
      <c r="AD152">
        <v>112000</v>
      </c>
      <c r="AG152">
        <v>4</v>
      </c>
      <c r="AH152">
        <v>9</v>
      </c>
      <c r="AI152">
        <v>-2</v>
      </c>
      <c r="AJ152">
        <v>-1</v>
      </c>
      <c r="AK152">
        <v>1</v>
      </c>
      <c r="AL152">
        <v>2</v>
      </c>
      <c r="AM152" t="s">
        <v>150</v>
      </c>
      <c r="AN152">
        <v>670</v>
      </c>
      <c r="AO152">
        <v>301</v>
      </c>
      <c r="AP152">
        <v>1410</v>
      </c>
      <c r="AQ152">
        <v>1410</v>
      </c>
      <c r="AS152">
        <v>3</v>
      </c>
      <c r="AT152">
        <v>93</v>
      </c>
      <c r="AU152" t="s">
        <v>91</v>
      </c>
      <c r="AV152">
        <v>19</v>
      </c>
      <c r="AW152" t="s">
        <v>80</v>
      </c>
      <c r="AX152">
        <v>22</v>
      </c>
      <c r="AY152" s="4">
        <f t="shared" si="32"/>
        <v>13</v>
      </c>
      <c r="AZ152" t="str">
        <f t="shared" si="33"/>
        <v>(Dike-town)</v>
      </c>
      <c r="BA152">
        <v>3</v>
      </c>
      <c r="BB152">
        <v>127</v>
      </c>
      <c r="BC152">
        <f t="shared" si="38"/>
        <v>3</v>
      </c>
      <c r="BD152">
        <f t="shared" si="34"/>
        <v>4000</v>
      </c>
    </row>
    <row r="153" spans="1:56" x14ac:dyDescent="0.3">
      <c r="A153">
        <v>1267</v>
      </c>
      <c r="B153" s="2">
        <v>45923.593344907407</v>
      </c>
      <c r="C153">
        <v>130000</v>
      </c>
      <c r="D153">
        <v>75000</v>
      </c>
      <c r="E153">
        <v>0</v>
      </c>
      <c r="F153">
        <v>16000</v>
      </c>
      <c r="G153">
        <v>0</v>
      </c>
      <c r="H153">
        <v>0</v>
      </c>
      <c r="I153">
        <v>20000</v>
      </c>
      <c r="J153">
        <v>0</v>
      </c>
      <c r="K153">
        <v>0</v>
      </c>
      <c r="L153">
        <v>0</v>
      </c>
      <c r="M153">
        <v>4000</v>
      </c>
      <c r="N153">
        <v>43300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7</v>
      </c>
      <c r="X153">
        <v>200000</v>
      </c>
      <c r="Y153">
        <v>160000</v>
      </c>
      <c r="Z153">
        <v>112000</v>
      </c>
      <c r="AA153">
        <v>0</v>
      </c>
      <c r="AB153">
        <v>0</v>
      </c>
      <c r="AC153">
        <v>160000</v>
      </c>
      <c r="AD153">
        <v>96000</v>
      </c>
      <c r="AG153">
        <v>4</v>
      </c>
      <c r="AH153">
        <v>9</v>
      </c>
      <c r="AI153">
        <v>-2</v>
      </c>
      <c r="AJ153">
        <v>-1</v>
      </c>
      <c r="AK153">
        <v>0</v>
      </c>
      <c r="AL153">
        <v>0</v>
      </c>
      <c r="AM153" t="s">
        <v>154</v>
      </c>
      <c r="AN153">
        <v>670</v>
      </c>
      <c r="AO153">
        <v>304</v>
      </c>
      <c r="AP153">
        <v>1410</v>
      </c>
      <c r="AQ153">
        <v>1410</v>
      </c>
      <c r="AS153">
        <v>4</v>
      </c>
      <c r="AT153">
        <v>93</v>
      </c>
      <c r="AU153" t="s">
        <v>91</v>
      </c>
      <c r="AV153">
        <v>19</v>
      </c>
      <c r="AW153" t="s">
        <v>80</v>
      </c>
      <c r="AX153">
        <v>22</v>
      </c>
      <c r="AY153" s="4">
        <f t="shared" si="32"/>
        <v>13</v>
      </c>
      <c r="AZ153" t="str">
        <f t="shared" si="33"/>
        <v>(Dike-town)</v>
      </c>
      <c r="BA153">
        <v>4</v>
      </c>
      <c r="BB153">
        <v>127</v>
      </c>
      <c r="BC153">
        <f t="shared" si="38"/>
        <v>0</v>
      </c>
      <c r="BD153">
        <f t="shared" si="34"/>
        <v>4000</v>
      </c>
    </row>
    <row r="154" spans="1:56" x14ac:dyDescent="0.3">
      <c r="A154">
        <v>1171</v>
      </c>
      <c r="B154" s="2">
        <v>45923.600844907407</v>
      </c>
      <c r="C154">
        <v>190000</v>
      </c>
      <c r="D154">
        <v>115000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80000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</v>
      </c>
      <c r="W154">
        <v>8</v>
      </c>
      <c r="X154">
        <v>300000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t="s">
        <v>103</v>
      </c>
      <c r="AN154">
        <v>671</v>
      </c>
      <c r="AO154">
        <v>289</v>
      </c>
      <c r="AS154">
        <v>0</v>
      </c>
      <c r="AT154">
        <v>93</v>
      </c>
      <c r="AU154" t="s">
        <v>91</v>
      </c>
      <c r="AV154">
        <v>19</v>
      </c>
      <c r="AW154" t="s">
        <v>80</v>
      </c>
      <c r="AX154">
        <v>22</v>
      </c>
      <c r="AY154" s="4">
        <f t="shared" si="32"/>
        <v>0</v>
      </c>
      <c r="AZ154" t="str">
        <f t="shared" si="33"/>
        <v/>
      </c>
      <c r="BA154">
        <v>0</v>
      </c>
      <c r="BB154">
        <v>128</v>
      </c>
      <c r="BD154">
        <f t="shared" si="34"/>
        <v>0</v>
      </c>
    </row>
    <row r="155" spans="1:56" x14ac:dyDescent="0.3">
      <c r="A155">
        <v>1181</v>
      </c>
      <c r="B155" s="2">
        <v>45923.600844907407</v>
      </c>
      <c r="C155">
        <v>190000</v>
      </c>
      <c r="D155">
        <v>115000</v>
      </c>
      <c r="E155">
        <v>0</v>
      </c>
      <c r="F155">
        <v>30000</v>
      </c>
      <c r="G155">
        <v>0</v>
      </c>
      <c r="H155">
        <v>0</v>
      </c>
      <c r="I155">
        <v>20000</v>
      </c>
      <c r="J155">
        <v>32000</v>
      </c>
      <c r="K155">
        <v>15500</v>
      </c>
      <c r="L155">
        <v>0</v>
      </c>
      <c r="M155">
        <v>4000</v>
      </c>
      <c r="N155">
        <v>53500</v>
      </c>
      <c r="O155">
        <v>0</v>
      </c>
      <c r="P155">
        <v>0</v>
      </c>
      <c r="Q155">
        <v>3</v>
      </c>
      <c r="R155">
        <v>1</v>
      </c>
      <c r="S155">
        <v>1</v>
      </c>
      <c r="T155">
        <v>1</v>
      </c>
      <c r="U155">
        <v>0</v>
      </c>
      <c r="V155">
        <v>7</v>
      </c>
      <c r="W155">
        <v>8</v>
      </c>
      <c r="X155">
        <v>300000</v>
      </c>
      <c r="Y155">
        <v>0</v>
      </c>
      <c r="Z155">
        <v>0</v>
      </c>
      <c r="AA155">
        <v>0</v>
      </c>
      <c r="AB155">
        <v>300000</v>
      </c>
      <c r="AC155">
        <v>300000</v>
      </c>
      <c r="AD155">
        <v>270000</v>
      </c>
      <c r="AG155">
        <v>4</v>
      </c>
      <c r="AH155">
        <v>9</v>
      </c>
      <c r="AI155">
        <v>0</v>
      </c>
      <c r="AJ155">
        <v>0</v>
      </c>
      <c r="AK155">
        <v>4</v>
      </c>
      <c r="AL155">
        <v>2</v>
      </c>
      <c r="AM155" t="s">
        <v>150</v>
      </c>
      <c r="AN155">
        <v>671</v>
      </c>
      <c r="AO155">
        <v>291</v>
      </c>
      <c r="AQ155">
        <v>1407</v>
      </c>
      <c r="AS155">
        <v>1</v>
      </c>
      <c r="AT155">
        <v>93</v>
      </c>
      <c r="AU155" t="s">
        <v>91</v>
      </c>
      <c r="AV155">
        <v>19</v>
      </c>
      <c r="AW155" t="s">
        <v>80</v>
      </c>
      <c r="AX155">
        <v>22</v>
      </c>
      <c r="AY155" s="4">
        <f t="shared" si="32"/>
        <v>13</v>
      </c>
      <c r="AZ155" t="str">
        <f t="shared" si="33"/>
        <v>(Dike-town)</v>
      </c>
      <c r="BA155">
        <v>1</v>
      </c>
      <c r="BB155">
        <v>128</v>
      </c>
      <c r="BC155">
        <f t="shared" ref="BC155:BC158" si="39">AK155+AL155</f>
        <v>6</v>
      </c>
      <c r="BD155">
        <f t="shared" si="34"/>
        <v>4000</v>
      </c>
    </row>
    <row r="156" spans="1:56" x14ac:dyDescent="0.3">
      <c r="A156">
        <v>1223</v>
      </c>
      <c r="B156" s="2">
        <v>45923.600844907407</v>
      </c>
      <c r="C156">
        <v>190000</v>
      </c>
      <c r="D156">
        <v>115000</v>
      </c>
      <c r="E156">
        <v>0</v>
      </c>
      <c r="F156">
        <v>30000</v>
      </c>
      <c r="G156">
        <v>0</v>
      </c>
      <c r="H156">
        <v>0</v>
      </c>
      <c r="I156">
        <v>20000</v>
      </c>
      <c r="J156">
        <v>0</v>
      </c>
      <c r="K156">
        <v>15000</v>
      </c>
      <c r="L156">
        <v>12000</v>
      </c>
      <c r="M156">
        <v>4000</v>
      </c>
      <c r="N156">
        <v>47500</v>
      </c>
      <c r="O156">
        <v>0</v>
      </c>
      <c r="P156">
        <v>0</v>
      </c>
      <c r="Q156">
        <v>0</v>
      </c>
      <c r="R156">
        <v>2</v>
      </c>
      <c r="S156">
        <v>4</v>
      </c>
      <c r="T156">
        <v>1</v>
      </c>
      <c r="U156">
        <v>0</v>
      </c>
      <c r="V156">
        <v>4</v>
      </c>
      <c r="W156">
        <v>8</v>
      </c>
      <c r="X156">
        <v>300000</v>
      </c>
      <c r="Y156">
        <v>300000</v>
      </c>
      <c r="Z156">
        <v>270000</v>
      </c>
      <c r="AA156">
        <v>0</v>
      </c>
      <c r="AB156">
        <v>0</v>
      </c>
      <c r="AC156">
        <v>300000</v>
      </c>
      <c r="AD156">
        <v>240000</v>
      </c>
      <c r="AG156">
        <v>4</v>
      </c>
      <c r="AH156">
        <v>9</v>
      </c>
      <c r="AI156">
        <v>0</v>
      </c>
      <c r="AJ156">
        <v>0</v>
      </c>
      <c r="AK156">
        <v>0</v>
      </c>
      <c r="AL156">
        <v>0</v>
      </c>
      <c r="AM156" t="s">
        <v>150</v>
      </c>
      <c r="AN156">
        <v>671</v>
      </c>
      <c r="AO156">
        <v>297</v>
      </c>
      <c r="AP156">
        <v>1407</v>
      </c>
      <c r="AQ156">
        <v>1407</v>
      </c>
      <c r="AS156">
        <v>2</v>
      </c>
      <c r="AT156">
        <v>93</v>
      </c>
      <c r="AU156" t="s">
        <v>91</v>
      </c>
      <c r="AV156">
        <v>19</v>
      </c>
      <c r="AW156" t="s">
        <v>80</v>
      </c>
      <c r="AX156">
        <v>22</v>
      </c>
      <c r="AY156" s="4">
        <f t="shared" si="32"/>
        <v>13</v>
      </c>
      <c r="AZ156" t="str">
        <f t="shared" si="33"/>
        <v>(Dike-town)</v>
      </c>
      <c r="BA156">
        <v>2</v>
      </c>
      <c r="BB156">
        <v>128</v>
      </c>
      <c r="BC156">
        <f t="shared" si="39"/>
        <v>0</v>
      </c>
      <c r="BD156">
        <f t="shared" si="34"/>
        <v>16000</v>
      </c>
    </row>
    <row r="157" spans="1:56" x14ac:dyDescent="0.3">
      <c r="A157">
        <v>1245</v>
      </c>
      <c r="B157" s="2">
        <v>45923.600844907407</v>
      </c>
      <c r="C157">
        <v>190000</v>
      </c>
      <c r="D157">
        <v>115000</v>
      </c>
      <c r="E157">
        <v>0</v>
      </c>
      <c r="F157">
        <v>30000</v>
      </c>
      <c r="G157">
        <v>0</v>
      </c>
      <c r="H157">
        <v>0</v>
      </c>
      <c r="I157">
        <v>20000</v>
      </c>
      <c r="J157">
        <v>1000</v>
      </c>
      <c r="K157">
        <v>7500</v>
      </c>
      <c r="L157">
        <v>0</v>
      </c>
      <c r="M157">
        <v>4000</v>
      </c>
      <c r="N157">
        <v>60000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4</v>
      </c>
      <c r="W157">
        <v>8</v>
      </c>
      <c r="X157">
        <v>300000</v>
      </c>
      <c r="Y157">
        <v>300000</v>
      </c>
      <c r="Z157">
        <v>240000</v>
      </c>
      <c r="AA157">
        <v>0</v>
      </c>
      <c r="AB157">
        <v>0</v>
      </c>
      <c r="AC157">
        <v>300000</v>
      </c>
      <c r="AD157">
        <v>210000</v>
      </c>
      <c r="AG157">
        <v>4</v>
      </c>
      <c r="AH157">
        <v>9</v>
      </c>
      <c r="AI157">
        <v>-2</v>
      </c>
      <c r="AJ157">
        <v>-1</v>
      </c>
      <c r="AK157">
        <v>0</v>
      </c>
      <c r="AL157">
        <v>1</v>
      </c>
      <c r="AM157" t="s">
        <v>150</v>
      </c>
      <c r="AN157">
        <v>671</v>
      </c>
      <c r="AO157">
        <v>301</v>
      </c>
      <c r="AP157">
        <v>1407</v>
      </c>
      <c r="AQ157">
        <v>1407</v>
      </c>
      <c r="AS157">
        <v>3</v>
      </c>
      <c r="AT157">
        <v>93</v>
      </c>
      <c r="AU157" t="s">
        <v>91</v>
      </c>
      <c r="AV157">
        <v>19</v>
      </c>
      <c r="AW157" t="s">
        <v>80</v>
      </c>
      <c r="AX157">
        <v>22</v>
      </c>
      <c r="AY157" s="4">
        <f t="shared" si="32"/>
        <v>13</v>
      </c>
      <c r="AZ157" t="str">
        <f t="shared" si="33"/>
        <v>(Dike-town)</v>
      </c>
      <c r="BA157">
        <v>3</v>
      </c>
      <c r="BB157">
        <v>128</v>
      </c>
      <c r="BC157">
        <f t="shared" si="39"/>
        <v>1</v>
      </c>
      <c r="BD157">
        <f t="shared" si="34"/>
        <v>4000</v>
      </c>
    </row>
    <row r="158" spans="1:56" x14ac:dyDescent="0.3">
      <c r="A158">
        <v>1266</v>
      </c>
      <c r="B158" s="2">
        <v>45923.600844907407</v>
      </c>
      <c r="C158">
        <v>190000</v>
      </c>
      <c r="D158">
        <v>115000</v>
      </c>
      <c r="E158">
        <v>0</v>
      </c>
      <c r="F158">
        <v>30000</v>
      </c>
      <c r="G158">
        <v>90000</v>
      </c>
      <c r="H158">
        <v>125000</v>
      </c>
      <c r="I158">
        <v>30000</v>
      </c>
      <c r="J158">
        <v>14000</v>
      </c>
      <c r="K158">
        <v>0</v>
      </c>
      <c r="L158">
        <v>0</v>
      </c>
      <c r="M158">
        <v>0</v>
      </c>
      <c r="N158">
        <v>26000</v>
      </c>
      <c r="O158">
        <v>1</v>
      </c>
      <c r="P158">
        <v>1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6</v>
      </c>
      <c r="W158">
        <v>8</v>
      </c>
      <c r="X158">
        <v>300000</v>
      </c>
      <c r="Y158">
        <v>300000</v>
      </c>
      <c r="Z158">
        <v>210000</v>
      </c>
      <c r="AA158">
        <v>300000</v>
      </c>
      <c r="AB158">
        <v>425000</v>
      </c>
      <c r="AC158">
        <v>300000</v>
      </c>
      <c r="AD158">
        <v>270000</v>
      </c>
      <c r="AE158">
        <v>33</v>
      </c>
      <c r="AG158">
        <v>6</v>
      </c>
      <c r="AH158">
        <v>9</v>
      </c>
      <c r="AI158">
        <v>-2</v>
      </c>
      <c r="AJ158">
        <v>-1</v>
      </c>
      <c r="AK158">
        <v>4</v>
      </c>
      <c r="AL158">
        <v>2</v>
      </c>
      <c r="AM158" t="s">
        <v>154</v>
      </c>
      <c r="AN158">
        <v>671</v>
      </c>
      <c r="AO158">
        <v>304</v>
      </c>
      <c r="AP158">
        <v>1407</v>
      </c>
      <c r="AQ158">
        <v>1477</v>
      </c>
      <c r="AS158">
        <v>4</v>
      </c>
      <c r="AT158">
        <v>93</v>
      </c>
      <c r="AU158" t="s">
        <v>91</v>
      </c>
      <c r="AV158">
        <v>19</v>
      </c>
      <c r="AW158" t="s">
        <v>80</v>
      </c>
      <c r="AX158">
        <v>22</v>
      </c>
      <c r="AY158" s="4">
        <f t="shared" si="32"/>
        <v>15</v>
      </c>
      <c r="AZ158" t="str">
        <f t="shared" si="33"/>
        <v>(Natu-city)</v>
      </c>
      <c r="BA158">
        <v>4</v>
      </c>
      <c r="BB158">
        <v>128</v>
      </c>
      <c r="BC158">
        <f t="shared" si="39"/>
        <v>6</v>
      </c>
      <c r="BD158">
        <f t="shared" si="34"/>
        <v>0</v>
      </c>
    </row>
    <row r="159" spans="1:56" x14ac:dyDescent="0.3">
      <c r="A159">
        <v>1156</v>
      </c>
      <c r="B159" s="2">
        <v>45923.593356481477</v>
      </c>
      <c r="C159">
        <v>110000</v>
      </c>
      <c r="D159">
        <v>60000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30000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6</v>
      </c>
      <c r="X159">
        <v>170000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103</v>
      </c>
      <c r="AN159">
        <v>672</v>
      </c>
      <c r="AO159">
        <v>289</v>
      </c>
      <c r="AS159">
        <v>0</v>
      </c>
      <c r="AT159">
        <v>93</v>
      </c>
      <c r="AU159" t="s">
        <v>91</v>
      </c>
      <c r="AV159">
        <v>19</v>
      </c>
      <c r="AW159" t="s">
        <v>80</v>
      </c>
      <c r="AX159">
        <v>22</v>
      </c>
      <c r="AY159" s="4">
        <f t="shared" si="32"/>
        <v>0</v>
      </c>
      <c r="AZ159" t="str">
        <f t="shared" si="33"/>
        <v/>
      </c>
      <c r="BA159">
        <v>0</v>
      </c>
      <c r="BB159">
        <v>126</v>
      </c>
      <c r="BD159">
        <f t="shared" si="34"/>
        <v>0</v>
      </c>
    </row>
    <row r="160" spans="1:56" x14ac:dyDescent="0.3">
      <c r="A160">
        <v>1183</v>
      </c>
      <c r="B160" s="2">
        <v>45923.593356481477</v>
      </c>
      <c r="C160">
        <v>110000</v>
      </c>
      <c r="D160">
        <v>60000</v>
      </c>
      <c r="E160">
        <v>0</v>
      </c>
      <c r="F160">
        <v>17000</v>
      </c>
      <c r="G160">
        <v>0</v>
      </c>
      <c r="H160">
        <v>100000</v>
      </c>
      <c r="I160">
        <v>15000</v>
      </c>
      <c r="J160">
        <v>0</v>
      </c>
      <c r="K160">
        <v>0</v>
      </c>
      <c r="L160">
        <v>4000</v>
      </c>
      <c r="M160">
        <v>4000</v>
      </c>
      <c r="N160">
        <v>-60000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1</v>
      </c>
      <c r="U160">
        <v>0</v>
      </c>
      <c r="V160">
        <v>2</v>
      </c>
      <c r="W160">
        <v>6</v>
      </c>
      <c r="X160">
        <v>170000</v>
      </c>
      <c r="Y160">
        <v>0</v>
      </c>
      <c r="Z160">
        <v>0</v>
      </c>
      <c r="AA160">
        <v>0</v>
      </c>
      <c r="AB160">
        <v>270000</v>
      </c>
      <c r="AC160">
        <v>170000</v>
      </c>
      <c r="AD160">
        <v>153000</v>
      </c>
      <c r="AG160">
        <v>6</v>
      </c>
      <c r="AH160">
        <v>9</v>
      </c>
      <c r="AI160">
        <v>0</v>
      </c>
      <c r="AJ160">
        <v>0</v>
      </c>
      <c r="AK160">
        <v>0</v>
      </c>
      <c r="AL160">
        <v>0</v>
      </c>
      <c r="AM160" t="s">
        <v>150</v>
      </c>
      <c r="AN160">
        <v>672</v>
      </c>
      <c r="AO160">
        <v>291</v>
      </c>
      <c r="AQ160">
        <v>1405</v>
      </c>
      <c r="AS160">
        <v>1</v>
      </c>
      <c r="AT160">
        <v>93</v>
      </c>
      <c r="AU160" t="s">
        <v>91</v>
      </c>
      <c r="AV160">
        <v>19</v>
      </c>
      <c r="AW160" t="s">
        <v>80</v>
      </c>
      <c r="AX160">
        <v>22</v>
      </c>
      <c r="AY160" s="4">
        <f t="shared" si="32"/>
        <v>15</v>
      </c>
      <c r="AZ160" t="str">
        <f t="shared" si="33"/>
        <v>(Natu-city)</v>
      </c>
      <c r="BA160">
        <v>1</v>
      </c>
      <c r="BB160">
        <v>126</v>
      </c>
      <c r="BC160">
        <f t="shared" ref="BC160:BC163" si="40">AK160+AL160</f>
        <v>0</v>
      </c>
      <c r="BD160">
        <f t="shared" si="34"/>
        <v>8000</v>
      </c>
    </row>
    <row r="161" spans="1:56" x14ac:dyDescent="0.3">
      <c r="A161">
        <v>1222</v>
      </c>
      <c r="B161" s="2">
        <v>45923.593356481477</v>
      </c>
      <c r="C161">
        <v>110000</v>
      </c>
      <c r="D161">
        <v>60000</v>
      </c>
      <c r="E161">
        <v>50000</v>
      </c>
      <c r="F161">
        <v>17000</v>
      </c>
      <c r="G161">
        <v>0</v>
      </c>
      <c r="H161">
        <v>0</v>
      </c>
      <c r="I161">
        <v>15000</v>
      </c>
      <c r="J161">
        <v>0</v>
      </c>
      <c r="K161">
        <v>0</v>
      </c>
      <c r="L161">
        <v>12000</v>
      </c>
      <c r="M161">
        <v>4000</v>
      </c>
      <c r="N161">
        <v>-58000</v>
      </c>
      <c r="O161">
        <v>0</v>
      </c>
      <c r="P161">
        <v>0</v>
      </c>
      <c r="Q161">
        <v>0</v>
      </c>
      <c r="R161">
        <v>0</v>
      </c>
      <c r="S161">
        <v>4</v>
      </c>
      <c r="T161">
        <v>1</v>
      </c>
      <c r="U161">
        <v>1</v>
      </c>
      <c r="V161">
        <v>-4</v>
      </c>
      <c r="W161">
        <v>6</v>
      </c>
      <c r="X161">
        <v>170000</v>
      </c>
      <c r="Y161">
        <v>170000</v>
      </c>
      <c r="Z161">
        <v>153000</v>
      </c>
      <c r="AA161">
        <v>0</v>
      </c>
      <c r="AB161">
        <v>0</v>
      </c>
      <c r="AC161">
        <v>170000</v>
      </c>
      <c r="AD161">
        <v>136000</v>
      </c>
      <c r="AG161">
        <v>6</v>
      </c>
      <c r="AH161">
        <v>9</v>
      </c>
      <c r="AI161">
        <v>0</v>
      </c>
      <c r="AJ161">
        <v>0</v>
      </c>
      <c r="AK161">
        <v>0</v>
      </c>
      <c r="AL161">
        <v>0</v>
      </c>
      <c r="AM161" t="s">
        <v>150</v>
      </c>
      <c r="AN161">
        <v>672</v>
      </c>
      <c r="AO161">
        <v>297</v>
      </c>
      <c r="AP161">
        <v>1405</v>
      </c>
      <c r="AQ161">
        <v>1405</v>
      </c>
      <c r="AS161">
        <v>2</v>
      </c>
      <c r="AT161">
        <v>93</v>
      </c>
      <c r="AU161" t="s">
        <v>91</v>
      </c>
      <c r="AV161">
        <v>19</v>
      </c>
      <c r="AW161" t="s">
        <v>80</v>
      </c>
      <c r="AX161">
        <v>22</v>
      </c>
      <c r="AY161" s="4">
        <f t="shared" si="32"/>
        <v>15</v>
      </c>
      <c r="AZ161" t="str">
        <f t="shared" si="33"/>
        <v>(Natu-city)</v>
      </c>
      <c r="BA161">
        <v>2</v>
      </c>
      <c r="BB161">
        <v>126</v>
      </c>
      <c r="BC161">
        <f t="shared" si="40"/>
        <v>0</v>
      </c>
      <c r="BD161">
        <f t="shared" si="34"/>
        <v>16000</v>
      </c>
    </row>
    <row r="162" spans="1:56" x14ac:dyDescent="0.3">
      <c r="A162">
        <v>1249</v>
      </c>
      <c r="B162" s="2">
        <v>45923.593356481477</v>
      </c>
      <c r="C162">
        <v>110000</v>
      </c>
      <c r="D162">
        <v>60000</v>
      </c>
      <c r="E162">
        <v>50000</v>
      </c>
      <c r="F162">
        <v>17000</v>
      </c>
      <c r="G162">
        <v>0</v>
      </c>
      <c r="H162">
        <v>0</v>
      </c>
      <c r="I162">
        <v>15000</v>
      </c>
      <c r="J162">
        <v>0</v>
      </c>
      <c r="K162">
        <v>0</v>
      </c>
      <c r="L162">
        <v>0</v>
      </c>
      <c r="M162">
        <v>4000</v>
      </c>
      <c r="N162">
        <v>-44000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-6</v>
      </c>
      <c r="W162">
        <v>6</v>
      </c>
      <c r="X162">
        <v>170000</v>
      </c>
      <c r="Y162">
        <v>170000</v>
      </c>
      <c r="Z162">
        <v>136000</v>
      </c>
      <c r="AA162">
        <v>0</v>
      </c>
      <c r="AB162">
        <v>0</v>
      </c>
      <c r="AC162">
        <v>170000</v>
      </c>
      <c r="AD162">
        <v>119000</v>
      </c>
      <c r="AG162">
        <v>6</v>
      </c>
      <c r="AH162">
        <v>9</v>
      </c>
      <c r="AI162">
        <v>-2</v>
      </c>
      <c r="AJ162">
        <v>-1</v>
      </c>
      <c r="AK162">
        <v>0</v>
      </c>
      <c r="AL162">
        <v>0</v>
      </c>
      <c r="AM162" t="s">
        <v>150</v>
      </c>
      <c r="AN162">
        <v>672</v>
      </c>
      <c r="AO162">
        <v>301</v>
      </c>
      <c r="AP162">
        <v>1405</v>
      </c>
      <c r="AQ162">
        <v>1405</v>
      </c>
      <c r="AS162">
        <v>3</v>
      </c>
      <c r="AT162">
        <v>93</v>
      </c>
      <c r="AU162" t="s">
        <v>91</v>
      </c>
      <c r="AV162">
        <v>19</v>
      </c>
      <c r="AW162" t="s">
        <v>80</v>
      </c>
      <c r="AX162">
        <v>22</v>
      </c>
      <c r="AY162" s="4">
        <f t="shared" si="32"/>
        <v>15</v>
      </c>
      <c r="AZ162" t="str">
        <f t="shared" si="33"/>
        <v>(Natu-city)</v>
      </c>
      <c r="BA162">
        <v>3</v>
      </c>
      <c r="BB162">
        <v>126</v>
      </c>
      <c r="BC162">
        <f t="shared" si="40"/>
        <v>0</v>
      </c>
      <c r="BD162">
        <f t="shared" si="34"/>
        <v>4000</v>
      </c>
    </row>
    <row r="163" spans="1:56" x14ac:dyDescent="0.3">
      <c r="A163">
        <v>1264</v>
      </c>
      <c r="B163" s="2">
        <v>45923.593356481477</v>
      </c>
      <c r="C163">
        <v>110000</v>
      </c>
      <c r="D163">
        <v>60000</v>
      </c>
      <c r="E163">
        <v>44000</v>
      </c>
      <c r="F163">
        <v>17000</v>
      </c>
      <c r="G163">
        <v>0</v>
      </c>
      <c r="H163">
        <v>0</v>
      </c>
      <c r="I163">
        <v>30000</v>
      </c>
      <c r="J163">
        <v>0</v>
      </c>
      <c r="K163">
        <v>0</v>
      </c>
      <c r="L163">
        <v>0</v>
      </c>
      <c r="M163">
        <v>4000</v>
      </c>
      <c r="N163">
        <v>-45000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-8</v>
      </c>
      <c r="W163">
        <v>6</v>
      </c>
      <c r="X163">
        <v>170000</v>
      </c>
      <c r="Y163">
        <v>170000</v>
      </c>
      <c r="Z163">
        <v>119000</v>
      </c>
      <c r="AA163">
        <v>0</v>
      </c>
      <c r="AB163">
        <v>0</v>
      </c>
      <c r="AC163">
        <v>170000</v>
      </c>
      <c r="AD163">
        <v>85000</v>
      </c>
      <c r="AG163">
        <v>6</v>
      </c>
      <c r="AH163">
        <v>9</v>
      </c>
      <c r="AI163">
        <v>-2</v>
      </c>
      <c r="AJ163">
        <v>-1</v>
      </c>
      <c r="AK163">
        <v>0</v>
      </c>
      <c r="AL163">
        <v>0</v>
      </c>
      <c r="AM163" t="s">
        <v>154</v>
      </c>
      <c r="AN163">
        <v>672</v>
      </c>
      <c r="AO163">
        <v>304</v>
      </c>
      <c r="AP163">
        <v>1405</v>
      </c>
      <c r="AQ163">
        <v>1405</v>
      </c>
      <c r="AS163">
        <v>4</v>
      </c>
      <c r="AT163">
        <v>93</v>
      </c>
      <c r="AU163" t="s">
        <v>91</v>
      </c>
      <c r="AV163">
        <v>19</v>
      </c>
      <c r="AW163" t="s">
        <v>80</v>
      </c>
      <c r="AX163">
        <v>22</v>
      </c>
      <c r="AY163" s="4">
        <f t="shared" si="32"/>
        <v>15</v>
      </c>
      <c r="AZ163" t="str">
        <f t="shared" si="33"/>
        <v>(Natu-city)</v>
      </c>
      <c r="BA163">
        <v>4</v>
      </c>
      <c r="BB163">
        <v>126</v>
      </c>
      <c r="BC163">
        <f t="shared" si="40"/>
        <v>0</v>
      </c>
      <c r="BD163">
        <f t="shared" si="34"/>
        <v>4000</v>
      </c>
    </row>
    <row r="164" spans="1:56" x14ac:dyDescent="0.3">
      <c r="A164">
        <v>1162</v>
      </c>
      <c r="B164" s="2">
        <v>45923.594652777778</v>
      </c>
      <c r="C164">
        <v>75000</v>
      </c>
      <c r="D164">
        <v>40000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5000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5</v>
      </c>
      <c r="W164">
        <v>4</v>
      </c>
      <c r="X164">
        <v>110000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t="s">
        <v>103</v>
      </c>
      <c r="AN164">
        <v>674</v>
      </c>
      <c r="AO164">
        <v>288</v>
      </c>
      <c r="AS164">
        <v>0</v>
      </c>
      <c r="AT164">
        <v>94</v>
      </c>
      <c r="AU164" t="s">
        <v>92</v>
      </c>
      <c r="AV164">
        <v>19</v>
      </c>
      <c r="AW164" t="s">
        <v>80</v>
      </c>
      <c r="AX164">
        <v>22</v>
      </c>
      <c r="AY164" s="4">
        <f t="shared" si="32"/>
        <v>0</v>
      </c>
      <c r="AZ164" t="str">
        <f t="shared" si="33"/>
        <v/>
      </c>
      <c r="BA164">
        <v>0</v>
      </c>
      <c r="BB164">
        <v>124</v>
      </c>
      <c r="BD164">
        <f t="shared" si="34"/>
        <v>0</v>
      </c>
    </row>
    <row r="165" spans="1:56" x14ac:dyDescent="0.3">
      <c r="A165">
        <v>1190</v>
      </c>
      <c r="B165" s="2">
        <v>45923.594652777778</v>
      </c>
      <c r="C165">
        <v>75000</v>
      </c>
      <c r="D165">
        <v>40000</v>
      </c>
      <c r="E165">
        <v>0</v>
      </c>
      <c r="F165">
        <v>10000</v>
      </c>
      <c r="G165">
        <v>0</v>
      </c>
      <c r="H165">
        <v>0</v>
      </c>
      <c r="I165">
        <v>15000</v>
      </c>
      <c r="J165">
        <v>0</v>
      </c>
      <c r="K165">
        <v>7000</v>
      </c>
      <c r="L165">
        <v>0</v>
      </c>
      <c r="M165">
        <v>4000</v>
      </c>
      <c r="N165">
        <v>4000</v>
      </c>
      <c r="O165">
        <v>0</v>
      </c>
      <c r="P165">
        <v>-1</v>
      </c>
      <c r="Q165">
        <v>0</v>
      </c>
      <c r="R165">
        <v>2</v>
      </c>
      <c r="S165">
        <v>0</v>
      </c>
      <c r="T165">
        <v>1</v>
      </c>
      <c r="U165">
        <v>0</v>
      </c>
      <c r="V165">
        <v>5</v>
      </c>
      <c r="W165">
        <v>4</v>
      </c>
      <c r="X165">
        <v>110000</v>
      </c>
      <c r="Y165">
        <v>0</v>
      </c>
      <c r="Z165">
        <v>0</v>
      </c>
      <c r="AA165">
        <v>0</v>
      </c>
      <c r="AB165">
        <v>100000</v>
      </c>
      <c r="AC165">
        <v>100000</v>
      </c>
      <c r="AD165">
        <v>90000</v>
      </c>
      <c r="AG165">
        <v>6</v>
      </c>
      <c r="AH165">
        <v>9</v>
      </c>
      <c r="AI165">
        <v>0</v>
      </c>
      <c r="AJ165">
        <v>0</v>
      </c>
      <c r="AK165">
        <v>0</v>
      </c>
      <c r="AL165">
        <v>0</v>
      </c>
      <c r="AM165" t="s">
        <v>150</v>
      </c>
      <c r="AN165">
        <v>674</v>
      </c>
      <c r="AO165">
        <v>292</v>
      </c>
      <c r="AQ165">
        <v>1421</v>
      </c>
      <c r="AS165">
        <v>1</v>
      </c>
      <c r="AT165">
        <v>94</v>
      </c>
      <c r="AU165" t="s">
        <v>92</v>
      </c>
      <c r="AV165">
        <v>19</v>
      </c>
      <c r="AW165" t="s">
        <v>80</v>
      </c>
      <c r="AX165">
        <v>22</v>
      </c>
      <c r="AY165" s="4">
        <f t="shared" si="32"/>
        <v>15</v>
      </c>
      <c r="AZ165" t="str">
        <f t="shared" si="33"/>
        <v>(Natu-city)</v>
      </c>
      <c r="BA165">
        <v>1</v>
      </c>
      <c r="BB165">
        <v>124</v>
      </c>
      <c r="BC165">
        <f t="shared" ref="BC165:BC168" si="41">AK165+AL165</f>
        <v>0</v>
      </c>
      <c r="BD165">
        <f t="shared" si="34"/>
        <v>4000</v>
      </c>
    </row>
    <row r="166" spans="1:56" x14ac:dyDescent="0.3">
      <c r="A166">
        <v>1206</v>
      </c>
      <c r="B166" s="2">
        <v>45923.594652777778</v>
      </c>
      <c r="C166">
        <v>75000</v>
      </c>
      <c r="D166">
        <v>40000</v>
      </c>
      <c r="E166">
        <v>0</v>
      </c>
      <c r="F166">
        <v>10000</v>
      </c>
      <c r="G166">
        <v>0</v>
      </c>
      <c r="H166">
        <v>0</v>
      </c>
      <c r="I166">
        <v>15000</v>
      </c>
      <c r="J166">
        <v>1000</v>
      </c>
      <c r="K166">
        <v>0</v>
      </c>
      <c r="L166">
        <v>0</v>
      </c>
      <c r="M166">
        <v>0</v>
      </c>
      <c r="N166">
        <v>13000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</v>
      </c>
      <c r="W166">
        <v>4</v>
      </c>
      <c r="X166">
        <v>110000</v>
      </c>
      <c r="Y166">
        <v>100000</v>
      </c>
      <c r="Z166">
        <v>90000</v>
      </c>
      <c r="AA166">
        <v>0</v>
      </c>
      <c r="AB166">
        <v>0</v>
      </c>
      <c r="AC166">
        <v>100000</v>
      </c>
      <c r="AD166">
        <v>80000</v>
      </c>
      <c r="AG166">
        <v>6</v>
      </c>
      <c r="AH166">
        <v>9</v>
      </c>
      <c r="AI166">
        <v>0</v>
      </c>
      <c r="AJ166">
        <v>0</v>
      </c>
      <c r="AK166">
        <v>0</v>
      </c>
      <c r="AL166">
        <v>1</v>
      </c>
      <c r="AM166" t="s">
        <v>150</v>
      </c>
      <c r="AN166">
        <v>674</v>
      </c>
      <c r="AO166">
        <v>294</v>
      </c>
      <c r="AP166">
        <v>1421</v>
      </c>
      <c r="AQ166">
        <v>1421</v>
      </c>
      <c r="AS166">
        <v>2</v>
      </c>
      <c r="AT166">
        <v>94</v>
      </c>
      <c r="AU166" t="s">
        <v>92</v>
      </c>
      <c r="AV166">
        <v>19</v>
      </c>
      <c r="AW166" t="s">
        <v>80</v>
      </c>
      <c r="AX166">
        <v>22</v>
      </c>
      <c r="AY166" s="4">
        <f t="shared" si="32"/>
        <v>15</v>
      </c>
      <c r="AZ166" t="str">
        <f t="shared" si="33"/>
        <v>(Natu-city)</v>
      </c>
      <c r="BA166">
        <v>2</v>
      </c>
      <c r="BB166">
        <v>124</v>
      </c>
      <c r="BC166">
        <f t="shared" si="41"/>
        <v>1</v>
      </c>
      <c r="BD166">
        <f t="shared" si="34"/>
        <v>0</v>
      </c>
    </row>
    <row r="167" spans="1:56" x14ac:dyDescent="0.3">
      <c r="A167">
        <v>1229</v>
      </c>
      <c r="B167" s="2">
        <v>45923.594652777778</v>
      </c>
      <c r="C167">
        <v>75000</v>
      </c>
      <c r="D167">
        <v>40000</v>
      </c>
      <c r="E167">
        <v>0</v>
      </c>
      <c r="F167">
        <v>10000</v>
      </c>
      <c r="G167">
        <v>0</v>
      </c>
      <c r="H167">
        <v>0</v>
      </c>
      <c r="I167">
        <v>15000</v>
      </c>
      <c r="J167">
        <v>14000</v>
      </c>
      <c r="K167">
        <v>0</v>
      </c>
      <c r="L167">
        <v>8000</v>
      </c>
      <c r="M167">
        <v>0</v>
      </c>
      <c r="N167">
        <v>1000</v>
      </c>
      <c r="O167">
        <v>0</v>
      </c>
      <c r="P167">
        <v>0</v>
      </c>
      <c r="Q167">
        <v>2</v>
      </c>
      <c r="R167">
        <v>0</v>
      </c>
      <c r="S167">
        <v>3</v>
      </c>
      <c r="T167">
        <v>0</v>
      </c>
      <c r="U167">
        <v>0</v>
      </c>
      <c r="V167">
        <v>4</v>
      </c>
      <c r="W167">
        <v>4</v>
      </c>
      <c r="X167">
        <v>110000</v>
      </c>
      <c r="Y167">
        <v>100000</v>
      </c>
      <c r="Z167">
        <v>80000</v>
      </c>
      <c r="AA167">
        <v>0</v>
      </c>
      <c r="AB167">
        <v>0</v>
      </c>
      <c r="AC167">
        <v>100000</v>
      </c>
      <c r="AD167">
        <v>70000</v>
      </c>
      <c r="AG167">
        <v>6</v>
      </c>
      <c r="AH167">
        <v>9</v>
      </c>
      <c r="AI167">
        <v>-2</v>
      </c>
      <c r="AJ167">
        <v>-1</v>
      </c>
      <c r="AK167">
        <v>2</v>
      </c>
      <c r="AL167">
        <v>0</v>
      </c>
      <c r="AM167" t="s">
        <v>150</v>
      </c>
      <c r="AN167">
        <v>674</v>
      </c>
      <c r="AO167">
        <v>298</v>
      </c>
      <c r="AP167">
        <v>1421</v>
      </c>
      <c r="AQ167">
        <v>1421</v>
      </c>
      <c r="AS167">
        <v>3</v>
      </c>
      <c r="AT167">
        <v>94</v>
      </c>
      <c r="AU167" t="s">
        <v>92</v>
      </c>
      <c r="AV167">
        <v>19</v>
      </c>
      <c r="AW167" t="s">
        <v>80</v>
      </c>
      <c r="AX167">
        <v>22</v>
      </c>
      <c r="AY167" s="4">
        <f t="shared" si="32"/>
        <v>15</v>
      </c>
      <c r="AZ167" t="str">
        <f t="shared" si="33"/>
        <v>(Natu-city)</v>
      </c>
      <c r="BA167">
        <v>3</v>
      </c>
      <c r="BB167">
        <v>124</v>
      </c>
      <c r="BC167">
        <f t="shared" si="41"/>
        <v>2</v>
      </c>
      <c r="BD167">
        <f t="shared" si="34"/>
        <v>8000</v>
      </c>
    </row>
    <row r="168" spans="1:56" x14ac:dyDescent="0.3">
      <c r="A168">
        <v>1270</v>
      </c>
      <c r="B168" s="2">
        <v>45923.594652777778</v>
      </c>
      <c r="C168">
        <v>75000</v>
      </c>
      <c r="D168">
        <v>40000</v>
      </c>
      <c r="E168">
        <v>0</v>
      </c>
      <c r="F168">
        <v>10000</v>
      </c>
      <c r="G168">
        <v>0</v>
      </c>
      <c r="H168">
        <v>0</v>
      </c>
      <c r="I168">
        <v>30000</v>
      </c>
      <c r="J168">
        <v>0</v>
      </c>
      <c r="K168">
        <v>0</v>
      </c>
      <c r="L168">
        <v>0</v>
      </c>
      <c r="M168">
        <v>0</v>
      </c>
      <c r="N168">
        <v>-4000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4</v>
      </c>
      <c r="W168">
        <v>4</v>
      </c>
      <c r="X168">
        <v>110000</v>
      </c>
      <c r="Y168">
        <v>100000</v>
      </c>
      <c r="Z168">
        <v>70000</v>
      </c>
      <c r="AA168">
        <v>0</v>
      </c>
      <c r="AB168">
        <v>0</v>
      </c>
      <c r="AC168">
        <v>100000</v>
      </c>
      <c r="AD168">
        <v>60000</v>
      </c>
      <c r="AG168">
        <v>6</v>
      </c>
      <c r="AH168">
        <v>9</v>
      </c>
      <c r="AI168">
        <v>-2</v>
      </c>
      <c r="AJ168">
        <v>-1</v>
      </c>
      <c r="AK168">
        <v>0</v>
      </c>
      <c r="AL168">
        <v>0</v>
      </c>
      <c r="AM168" t="s">
        <v>150</v>
      </c>
      <c r="AN168">
        <v>674</v>
      </c>
      <c r="AO168">
        <v>305</v>
      </c>
      <c r="AP168">
        <v>1421</v>
      </c>
      <c r="AQ168">
        <v>1421</v>
      </c>
      <c r="AS168">
        <v>4</v>
      </c>
      <c r="AT168">
        <v>94</v>
      </c>
      <c r="AU168" t="s">
        <v>92</v>
      </c>
      <c r="AV168">
        <v>19</v>
      </c>
      <c r="AW168" t="s">
        <v>80</v>
      </c>
      <c r="AX168">
        <v>22</v>
      </c>
      <c r="AY168" s="4">
        <f t="shared" si="32"/>
        <v>15</v>
      </c>
      <c r="AZ168" t="str">
        <f t="shared" si="33"/>
        <v>(Natu-city)</v>
      </c>
      <c r="BA168">
        <v>4</v>
      </c>
      <c r="BB168">
        <v>124</v>
      </c>
      <c r="BC168">
        <f t="shared" si="41"/>
        <v>0</v>
      </c>
      <c r="BD168">
        <f t="shared" si="34"/>
        <v>0</v>
      </c>
    </row>
    <row r="169" spans="1:56" x14ac:dyDescent="0.3">
      <c r="A169">
        <v>1163</v>
      </c>
      <c r="B169" s="2">
        <v>45923.600312499999</v>
      </c>
      <c r="C169">
        <v>110000</v>
      </c>
      <c r="D169">
        <v>60000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30000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</v>
      </c>
      <c r="W169">
        <v>6</v>
      </c>
      <c r="X169">
        <v>170000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t="s">
        <v>103</v>
      </c>
      <c r="AN169">
        <v>675</v>
      </c>
      <c r="AO169">
        <v>288</v>
      </c>
      <c r="AS169">
        <v>0</v>
      </c>
      <c r="AT169">
        <v>94</v>
      </c>
      <c r="AU169" t="s">
        <v>92</v>
      </c>
      <c r="AV169">
        <v>19</v>
      </c>
      <c r="AW169" t="s">
        <v>80</v>
      </c>
      <c r="AX169">
        <v>22</v>
      </c>
      <c r="AY169" s="4">
        <f t="shared" si="32"/>
        <v>0</v>
      </c>
      <c r="AZ169" t="str">
        <f t="shared" si="33"/>
        <v/>
      </c>
      <c r="BA169">
        <v>0</v>
      </c>
      <c r="BB169">
        <v>126</v>
      </c>
      <c r="BD169">
        <f t="shared" si="34"/>
        <v>0</v>
      </c>
    </row>
    <row r="170" spans="1:56" x14ac:dyDescent="0.3">
      <c r="A170">
        <v>1193</v>
      </c>
      <c r="B170" s="2">
        <v>45923.600312499999</v>
      </c>
      <c r="C170">
        <v>110000</v>
      </c>
      <c r="D170">
        <v>60000</v>
      </c>
      <c r="E170">
        <v>0</v>
      </c>
      <c r="F170">
        <v>17000</v>
      </c>
      <c r="G170">
        <v>0</v>
      </c>
      <c r="H170">
        <v>30000</v>
      </c>
      <c r="I170">
        <v>15000</v>
      </c>
      <c r="J170">
        <v>8000</v>
      </c>
      <c r="K170">
        <v>4000</v>
      </c>
      <c r="L170">
        <v>0</v>
      </c>
      <c r="M170">
        <v>0</v>
      </c>
      <c r="N170">
        <v>6000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6</v>
      </c>
      <c r="W170">
        <v>6</v>
      </c>
      <c r="X170">
        <v>170000</v>
      </c>
      <c r="Y170">
        <v>0</v>
      </c>
      <c r="Z170">
        <v>0</v>
      </c>
      <c r="AA170">
        <v>0</v>
      </c>
      <c r="AB170">
        <v>200000</v>
      </c>
      <c r="AC170">
        <v>170000</v>
      </c>
      <c r="AD170">
        <v>153000</v>
      </c>
      <c r="AG170">
        <v>6</v>
      </c>
      <c r="AH170">
        <v>9</v>
      </c>
      <c r="AI170">
        <v>0</v>
      </c>
      <c r="AJ170">
        <v>0</v>
      </c>
      <c r="AK170">
        <v>1</v>
      </c>
      <c r="AL170">
        <v>1</v>
      </c>
      <c r="AM170" t="s">
        <v>150</v>
      </c>
      <c r="AN170">
        <v>675</v>
      </c>
      <c r="AO170">
        <v>292</v>
      </c>
      <c r="AQ170">
        <v>1419</v>
      </c>
      <c r="AS170">
        <v>1</v>
      </c>
      <c r="AT170">
        <v>94</v>
      </c>
      <c r="AU170" t="s">
        <v>92</v>
      </c>
      <c r="AV170">
        <v>19</v>
      </c>
      <c r="AW170" t="s">
        <v>80</v>
      </c>
      <c r="AX170">
        <v>22</v>
      </c>
      <c r="AY170" s="4">
        <f t="shared" si="32"/>
        <v>15</v>
      </c>
      <c r="AZ170" t="str">
        <f t="shared" si="33"/>
        <v>(Natu-city)</v>
      </c>
      <c r="BA170">
        <v>1</v>
      </c>
      <c r="BB170">
        <v>126</v>
      </c>
      <c r="BC170">
        <f t="shared" ref="BC170:BC173" si="42">AK170+AL170</f>
        <v>2</v>
      </c>
      <c r="BD170">
        <f t="shared" si="34"/>
        <v>0</v>
      </c>
    </row>
    <row r="171" spans="1:56" x14ac:dyDescent="0.3">
      <c r="A171">
        <v>1205</v>
      </c>
      <c r="B171" s="2">
        <v>45923.600312499999</v>
      </c>
      <c r="C171">
        <v>110000</v>
      </c>
      <c r="D171">
        <v>60000</v>
      </c>
      <c r="E171">
        <v>0</v>
      </c>
      <c r="F171">
        <v>17000</v>
      </c>
      <c r="G171">
        <v>0</v>
      </c>
      <c r="H171">
        <v>0</v>
      </c>
      <c r="I171">
        <v>15000</v>
      </c>
      <c r="J171">
        <v>7000</v>
      </c>
      <c r="K171">
        <v>0</v>
      </c>
      <c r="L171">
        <v>0</v>
      </c>
      <c r="M171">
        <v>0</v>
      </c>
      <c r="N171">
        <v>17000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7</v>
      </c>
      <c r="W171">
        <v>6</v>
      </c>
      <c r="X171">
        <v>170000</v>
      </c>
      <c r="Y171">
        <v>170000</v>
      </c>
      <c r="Z171">
        <v>153000</v>
      </c>
      <c r="AA171">
        <v>0</v>
      </c>
      <c r="AB171">
        <v>0</v>
      </c>
      <c r="AC171">
        <v>170000</v>
      </c>
      <c r="AD171">
        <v>136000</v>
      </c>
      <c r="AG171">
        <v>6</v>
      </c>
      <c r="AH171">
        <v>9</v>
      </c>
      <c r="AI171">
        <v>0</v>
      </c>
      <c r="AJ171">
        <v>0</v>
      </c>
      <c r="AK171">
        <v>1</v>
      </c>
      <c r="AL171">
        <v>1</v>
      </c>
      <c r="AM171" t="s">
        <v>150</v>
      </c>
      <c r="AN171">
        <v>675</v>
      </c>
      <c r="AO171">
        <v>294</v>
      </c>
      <c r="AP171">
        <v>1419</v>
      </c>
      <c r="AQ171">
        <v>1419</v>
      </c>
      <c r="AS171">
        <v>2</v>
      </c>
      <c r="AT171">
        <v>94</v>
      </c>
      <c r="AU171" t="s">
        <v>92</v>
      </c>
      <c r="AV171">
        <v>19</v>
      </c>
      <c r="AW171" t="s">
        <v>80</v>
      </c>
      <c r="AX171">
        <v>22</v>
      </c>
      <c r="AY171" s="4">
        <f t="shared" si="32"/>
        <v>15</v>
      </c>
      <c r="AZ171" t="str">
        <f t="shared" si="33"/>
        <v>(Natu-city)</v>
      </c>
      <c r="BA171">
        <v>2</v>
      </c>
      <c r="BB171">
        <v>126</v>
      </c>
      <c r="BC171">
        <f t="shared" si="42"/>
        <v>2</v>
      </c>
      <c r="BD171">
        <f t="shared" si="34"/>
        <v>0</v>
      </c>
    </row>
    <row r="172" spans="1:56" x14ac:dyDescent="0.3">
      <c r="A172">
        <v>1230</v>
      </c>
      <c r="B172" s="2">
        <v>45923.600312499999</v>
      </c>
      <c r="C172">
        <v>110000</v>
      </c>
      <c r="D172">
        <v>60000</v>
      </c>
      <c r="E172">
        <v>0</v>
      </c>
      <c r="F172">
        <v>17000</v>
      </c>
      <c r="G172">
        <v>0</v>
      </c>
      <c r="H172">
        <v>0</v>
      </c>
      <c r="I172">
        <v>15000</v>
      </c>
      <c r="J172">
        <v>18000</v>
      </c>
      <c r="K172">
        <v>0</v>
      </c>
      <c r="L172">
        <v>4000</v>
      </c>
      <c r="M172">
        <v>0</v>
      </c>
      <c r="N172">
        <v>13000</v>
      </c>
      <c r="O172">
        <v>0</v>
      </c>
      <c r="P172">
        <v>0</v>
      </c>
      <c r="Q172">
        <v>1</v>
      </c>
      <c r="R172">
        <v>0</v>
      </c>
      <c r="S172">
        <v>2</v>
      </c>
      <c r="T172">
        <v>0</v>
      </c>
      <c r="U172">
        <v>0</v>
      </c>
      <c r="V172">
        <v>6</v>
      </c>
      <c r="W172">
        <v>6</v>
      </c>
      <c r="X172">
        <v>170000</v>
      </c>
      <c r="Y172">
        <v>170000</v>
      </c>
      <c r="Z172">
        <v>136000</v>
      </c>
      <c r="AA172">
        <v>0</v>
      </c>
      <c r="AB172">
        <v>0</v>
      </c>
      <c r="AC172">
        <v>170000</v>
      </c>
      <c r="AD172">
        <v>119000</v>
      </c>
      <c r="AG172">
        <v>6</v>
      </c>
      <c r="AH172">
        <v>9</v>
      </c>
      <c r="AI172">
        <v>-2</v>
      </c>
      <c r="AJ172">
        <v>-1</v>
      </c>
      <c r="AK172">
        <v>2</v>
      </c>
      <c r="AL172">
        <v>1</v>
      </c>
      <c r="AM172" t="s">
        <v>150</v>
      </c>
      <c r="AN172">
        <v>675</v>
      </c>
      <c r="AO172">
        <v>298</v>
      </c>
      <c r="AP172">
        <v>1419</v>
      </c>
      <c r="AQ172">
        <v>1419</v>
      </c>
      <c r="AS172">
        <v>3</v>
      </c>
      <c r="AT172">
        <v>94</v>
      </c>
      <c r="AU172" t="s">
        <v>92</v>
      </c>
      <c r="AV172">
        <v>19</v>
      </c>
      <c r="AW172" t="s">
        <v>80</v>
      </c>
      <c r="AX172">
        <v>22</v>
      </c>
      <c r="AY172" s="4">
        <f t="shared" si="32"/>
        <v>15</v>
      </c>
      <c r="AZ172" t="str">
        <f t="shared" si="33"/>
        <v>(Natu-city)</v>
      </c>
      <c r="BA172">
        <v>3</v>
      </c>
      <c r="BB172">
        <v>126</v>
      </c>
      <c r="BC172">
        <f t="shared" si="42"/>
        <v>3</v>
      </c>
      <c r="BD172">
        <f t="shared" si="34"/>
        <v>4000</v>
      </c>
    </row>
    <row r="173" spans="1:56" x14ac:dyDescent="0.3">
      <c r="A173">
        <v>1271</v>
      </c>
      <c r="B173" s="2">
        <v>45923.600312499999</v>
      </c>
      <c r="C173">
        <v>110000</v>
      </c>
      <c r="D173">
        <v>60000</v>
      </c>
      <c r="E173">
        <v>0</v>
      </c>
      <c r="F173">
        <v>17000</v>
      </c>
      <c r="G173">
        <v>0</v>
      </c>
      <c r="H173">
        <v>0</v>
      </c>
      <c r="I173">
        <v>30000</v>
      </c>
      <c r="J173">
        <v>0</v>
      </c>
      <c r="K173">
        <v>10000</v>
      </c>
      <c r="L173">
        <v>0</v>
      </c>
      <c r="M173">
        <v>0</v>
      </c>
      <c r="N173">
        <v>6000</v>
      </c>
      <c r="O173">
        <v>0</v>
      </c>
      <c r="P173">
        <v>0</v>
      </c>
      <c r="Q173">
        <v>0</v>
      </c>
      <c r="R173">
        <v>2</v>
      </c>
      <c r="S173">
        <v>0</v>
      </c>
      <c r="T173">
        <v>0</v>
      </c>
      <c r="U173">
        <v>0</v>
      </c>
      <c r="V173">
        <v>8</v>
      </c>
      <c r="W173">
        <v>6</v>
      </c>
      <c r="X173">
        <v>170000</v>
      </c>
      <c r="Y173">
        <v>170000</v>
      </c>
      <c r="Z173">
        <v>119000</v>
      </c>
      <c r="AA173">
        <v>0</v>
      </c>
      <c r="AB173">
        <v>0</v>
      </c>
      <c r="AC173">
        <v>170000</v>
      </c>
      <c r="AD173">
        <v>102000</v>
      </c>
      <c r="AG173">
        <v>6</v>
      </c>
      <c r="AH173">
        <v>9</v>
      </c>
      <c r="AI173">
        <v>-2</v>
      </c>
      <c r="AJ173">
        <v>-1</v>
      </c>
      <c r="AK173">
        <v>0</v>
      </c>
      <c r="AL173">
        <v>0</v>
      </c>
      <c r="AM173" t="s">
        <v>150</v>
      </c>
      <c r="AN173">
        <v>675</v>
      </c>
      <c r="AO173">
        <v>305</v>
      </c>
      <c r="AP173">
        <v>1419</v>
      </c>
      <c r="AQ173">
        <v>1419</v>
      </c>
      <c r="AS173">
        <v>4</v>
      </c>
      <c r="AT173">
        <v>94</v>
      </c>
      <c r="AU173" t="s">
        <v>92</v>
      </c>
      <c r="AV173">
        <v>19</v>
      </c>
      <c r="AW173" t="s">
        <v>80</v>
      </c>
      <c r="AX173">
        <v>22</v>
      </c>
      <c r="AY173" s="4">
        <f t="shared" si="32"/>
        <v>15</v>
      </c>
      <c r="AZ173" t="str">
        <f t="shared" si="33"/>
        <v>(Natu-city)</v>
      </c>
      <c r="BA173">
        <v>4</v>
      </c>
      <c r="BB173">
        <v>126</v>
      </c>
      <c r="BC173">
        <f t="shared" si="42"/>
        <v>0</v>
      </c>
      <c r="BD173">
        <f t="shared" si="34"/>
        <v>0</v>
      </c>
    </row>
    <row r="174" spans="1:56" x14ac:dyDescent="0.3">
      <c r="A174">
        <v>1160</v>
      </c>
      <c r="B174" s="2">
        <v>45923.594305555547</v>
      </c>
      <c r="C174">
        <v>60000</v>
      </c>
      <c r="D174">
        <v>30000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</v>
      </c>
      <c r="W174">
        <v>3</v>
      </c>
      <c r="X174">
        <v>80000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t="s">
        <v>103</v>
      </c>
      <c r="AN174">
        <v>676</v>
      </c>
      <c r="AO174">
        <v>288</v>
      </c>
      <c r="AS174">
        <v>0</v>
      </c>
      <c r="AT174">
        <v>94</v>
      </c>
      <c r="AU174" t="s">
        <v>92</v>
      </c>
      <c r="AV174">
        <v>19</v>
      </c>
      <c r="AW174" t="s">
        <v>80</v>
      </c>
      <c r="AX174">
        <v>22</v>
      </c>
      <c r="AY174" s="4">
        <f t="shared" si="32"/>
        <v>0</v>
      </c>
      <c r="AZ174" t="str">
        <f t="shared" si="33"/>
        <v/>
      </c>
      <c r="BA174">
        <v>0</v>
      </c>
      <c r="BB174">
        <v>123</v>
      </c>
      <c r="BD174">
        <f t="shared" si="34"/>
        <v>0</v>
      </c>
    </row>
    <row r="175" spans="1:56" x14ac:dyDescent="0.3">
      <c r="A175">
        <v>1184</v>
      </c>
      <c r="B175" s="2">
        <v>45923.594305555547</v>
      </c>
      <c r="C175">
        <v>60000</v>
      </c>
      <c r="D175">
        <v>30000</v>
      </c>
      <c r="E175">
        <v>0</v>
      </c>
      <c r="F175">
        <v>8000</v>
      </c>
      <c r="G175">
        <v>0</v>
      </c>
      <c r="H175">
        <v>0</v>
      </c>
      <c r="I175">
        <v>20000</v>
      </c>
      <c r="J175">
        <v>0</v>
      </c>
      <c r="K175">
        <v>1600</v>
      </c>
      <c r="L175">
        <v>0</v>
      </c>
      <c r="M175">
        <v>4000</v>
      </c>
      <c r="N175">
        <v>-3600</v>
      </c>
      <c r="O175">
        <v>0</v>
      </c>
      <c r="P175">
        <v>-1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3</v>
      </c>
      <c r="W175">
        <v>3</v>
      </c>
      <c r="X175">
        <v>80000</v>
      </c>
      <c r="Y175">
        <v>0</v>
      </c>
      <c r="Z175">
        <v>0</v>
      </c>
      <c r="AA175">
        <v>0</v>
      </c>
      <c r="AB175">
        <v>80000</v>
      </c>
      <c r="AC175">
        <v>80000</v>
      </c>
      <c r="AD175">
        <v>72000</v>
      </c>
      <c r="AG175">
        <v>4</v>
      </c>
      <c r="AH175">
        <v>9</v>
      </c>
      <c r="AI175">
        <v>0</v>
      </c>
      <c r="AJ175">
        <v>0</v>
      </c>
      <c r="AK175">
        <v>0</v>
      </c>
      <c r="AL175">
        <v>0</v>
      </c>
      <c r="AM175" t="s">
        <v>150</v>
      </c>
      <c r="AN175">
        <v>676</v>
      </c>
      <c r="AO175">
        <v>292</v>
      </c>
      <c r="AQ175">
        <v>1427</v>
      </c>
      <c r="AS175">
        <v>1</v>
      </c>
      <c r="AT175">
        <v>94</v>
      </c>
      <c r="AU175" t="s">
        <v>92</v>
      </c>
      <c r="AV175">
        <v>19</v>
      </c>
      <c r="AW175" t="s">
        <v>80</v>
      </c>
      <c r="AX175">
        <v>22</v>
      </c>
      <c r="AY175" s="4">
        <f t="shared" si="32"/>
        <v>13</v>
      </c>
      <c r="AZ175" t="str">
        <f t="shared" si="33"/>
        <v>(Dike-town)</v>
      </c>
      <c r="BA175">
        <v>1</v>
      </c>
      <c r="BB175">
        <v>123</v>
      </c>
      <c r="BC175">
        <f t="shared" ref="BC175:BC178" si="43">AK175+AL175</f>
        <v>0</v>
      </c>
      <c r="BD175">
        <f t="shared" si="34"/>
        <v>4000</v>
      </c>
    </row>
    <row r="176" spans="1:56" x14ac:dyDescent="0.3">
      <c r="A176">
        <v>1207</v>
      </c>
      <c r="B176" s="2">
        <v>45923.594305555547</v>
      </c>
      <c r="C176">
        <v>60000</v>
      </c>
      <c r="D176">
        <v>30000</v>
      </c>
      <c r="E176">
        <v>3600</v>
      </c>
      <c r="F176">
        <v>8000</v>
      </c>
      <c r="G176">
        <v>0</v>
      </c>
      <c r="H176">
        <v>0</v>
      </c>
      <c r="I176">
        <v>20000</v>
      </c>
      <c r="J176">
        <v>0</v>
      </c>
      <c r="K176">
        <v>0</v>
      </c>
      <c r="L176">
        <v>0</v>
      </c>
      <c r="M176">
        <v>4000</v>
      </c>
      <c r="N176">
        <v>-5600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1</v>
      </c>
      <c r="W176">
        <v>3</v>
      </c>
      <c r="X176">
        <v>80000</v>
      </c>
      <c r="Y176">
        <v>80000</v>
      </c>
      <c r="Z176">
        <v>72000</v>
      </c>
      <c r="AA176">
        <v>0</v>
      </c>
      <c r="AB176">
        <v>0</v>
      </c>
      <c r="AC176">
        <v>80000</v>
      </c>
      <c r="AD176">
        <v>64000</v>
      </c>
      <c r="AG176">
        <v>4</v>
      </c>
      <c r="AH176">
        <v>9</v>
      </c>
      <c r="AI176">
        <v>0</v>
      </c>
      <c r="AJ176">
        <v>0</v>
      </c>
      <c r="AK176">
        <v>0</v>
      </c>
      <c r="AL176">
        <v>0</v>
      </c>
      <c r="AM176" t="s">
        <v>150</v>
      </c>
      <c r="AN176">
        <v>676</v>
      </c>
      <c r="AO176">
        <v>294</v>
      </c>
      <c r="AP176">
        <v>1427</v>
      </c>
      <c r="AQ176">
        <v>1427</v>
      </c>
      <c r="AS176">
        <v>2</v>
      </c>
      <c r="AT176">
        <v>94</v>
      </c>
      <c r="AU176" t="s">
        <v>92</v>
      </c>
      <c r="AV176">
        <v>19</v>
      </c>
      <c r="AW176" t="s">
        <v>80</v>
      </c>
      <c r="AX176">
        <v>22</v>
      </c>
      <c r="AY176" s="4">
        <f t="shared" si="32"/>
        <v>13</v>
      </c>
      <c r="AZ176" t="str">
        <f t="shared" si="33"/>
        <v>(Dike-town)</v>
      </c>
      <c r="BA176">
        <v>2</v>
      </c>
      <c r="BB176">
        <v>123</v>
      </c>
      <c r="BC176">
        <f t="shared" si="43"/>
        <v>0</v>
      </c>
      <c r="BD176">
        <f t="shared" si="34"/>
        <v>4000</v>
      </c>
    </row>
    <row r="177" spans="1:56" x14ac:dyDescent="0.3">
      <c r="A177">
        <v>1227</v>
      </c>
      <c r="B177" s="2">
        <v>45923.594305555547</v>
      </c>
      <c r="C177">
        <v>60000</v>
      </c>
      <c r="D177">
        <v>30000</v>
      </c>
      <c r="E177">
        <v>5600</v>
      </c>
      <c r="F177">
        <v>8000</v>
      </c>
      <c r="G177">
        <v>16000</v>
      </c>
      <c r="H177">
        <v>0</v>
      </c>
      <c r="I177">
        <v>20000</v>
      </c>
      <c r="J177">
        <v>6000</v>
      </c>
      <c r="K177">
        <v>2000</v>
      </c>
      <c r="L177">
        <v>8000</v>
      </c>
      <c r="M177">
        <v>4000</v>
      </c>
      <c r="N177">
        <v>-7600</v>
      </c>
      <c r="O177">
        <v>1</v>
      </c>
      <c r="P177">
        <v>-1</v>
      </c>
      <c r="Q177">
        <v>1</v>
      </c>
      <c r="R177">
        <v>1</v>
      </c>
      <c r="S177">
        <v>3</v>
      </c>
      <c r="T177">
        <v>1</v>
      </c>
      <c r="U177">
        <v>1</v>
      </c>
      <c r="V177">
        <v>-4</v>
      </c>
      <c r="W177">
        <v>3</v>
      </c>
      <c r="X177">
        <v>80000</v>
      </c>
      <c r="Y177">
        <v>80000</v>
      </c>
      <c r="Z177">
        <v>64000</v>
      </c>
      <c r="AA177">
        <v>80000</v>
      </c>
      <c r="AB177">
        <v>80000</v>
      </c>
      <c r="AC177">
        <v>80000</v>
      </c>
      <c r="AD177">
        <v>72000</v>
      </c>
      <c r="AE177">
        <v>34</v>
      </c>
      <c r="AG177">
        <v>4</v>
      </c>
      <c r="AH177">
        <v>9</v>
      </c>
      <c r="AI177">
        <v>-2</v>
      </c>
      <c r="AJ177">
        <v>-1</v>
      </c>
      <c r="AK177">
        <v>1</v>
      </c>
      <c r="AL177">
        <v>0</v>
      </c>
      <c r="AM177" t="s">
        <v>150</v>
      </c>
      <c r="AN177">
        <v>676</v>
      </c>
      <c r="AO177">
        <v>298</v>
      </c>
      <c r="AP177">
        <v>1427</v>
      </c>
      <c r="AQ177">
        <v>1427</v>
      </c>
      <c r="AS177">
        <v>3</v>
      </c>
      <c r="AT177">
        <v>94</v>
      </c>
      <c r="AU177" t="s">
        <v>92</v>
      </c>
      <c r="AV177">
        <v>19</v>
      </c>
      <c r="AW177" t="s">
        <v>80</v>
      </c>
      <c r="AX177">
        <v>22</v>
      </c>
      <c r="AY177" s="4">
        <f t="shared" si="32"/>
        <v>13</v>
      </c>
      <c r="AZ177" t="str">
        <f t="shared" si="33"/>
        <v>(Dike-town)</v>
      </c>
      <c r="BA177">
        <v>3</v>
      </c>
      <c r="BB177">
        <v>123</v>
      </c>
      <c r="BC177">
        <f t="shared" si="43"/>
        <v>1</v>
      </c>
      <c r="BD177">
        <f t="shared" si="34"/>
        <v>12000</v>
      </c>
    </row>
    <row r="178" spans="1:56" x14ac:dyDescent="0.3">
      <c r="A178">
        <v>1275</v>
      </c>
      <c r="B178" s="2">
        <v>45923.594305555547</v>
      </c>
      <c r="C178">
        <v>60000</v>
      </c>
      <c r="D178">
        <v>30000</v>
      </c>
      <c r="E178">
        <v>7600</v>
      </c>
      <c r="F178">
        <v>8000</v>
      </c>
      <c r="G178">
        <v>20000</v>
      </c>
      <c r="H178">
        <v>0</v>
      </c>
      <c r="I178">
        <v>20000</v>
      </c>
      <c r="J178">
        <v>9000</v>
      </c>
      <c r="K178">
        <v>0</v>
      </c>
      <c r="L178">
        <v>0</v>
      </c>
      <c r="M178">
        <v>0</v>
      </c>
      <c r="N178">
        <v>5400</v>
      </c>
      <c r="O178">
        <v>1</v>
      </c>
      <c r="P178">
        <v>-1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-6</v>
      </c>
      <c r="W178">
        <v>3</v>
      </c>
      <c r="X178">
        <v>80000</v>
      </c>
      <c r="Y178">
        <v>80000</v>
      </c>
      <c r="Z178">
        <v>72000</v>
      </c>
      <c r="AA178">
        <v>92000</v>
      </c>
      <c r="AB178">
        <v>80000</v>
      </c>
      <c r="AC178">
        <v>80000</v>
      </c>
      <c r="AD178">
        <v>72000</v>
      </c>
      <c r="AE178">
        <v>34</v>
      </c>
      <c r="AG178">
        <v>4</v>
      </c>
      <c r="AH178">
        <v>9</v>
      </c>
      <c r="AI178">
        <v>-2</v>
      </c>
      <c r="AJ178">
        <v>-1</v>
      </c>
      <c r="AK178">
        <v>1</v>
      </c>
      <c r="AL178">
        <v>1</v>
      </c>
      <c r="AM178" t="s">
        <v>150</v>
      </c>
      <c r="AN178">
        <v>676</v>
      </c>
      <c r="AO178">
        <v>305</v>
      </c>
      <c r="AP178">
        <v>1427</v>
      </c>
      <c r="AQ178">
        <v>1427</v>
      </c>
      <c r="AS178">
        <v>4</v>
      </c>
      <c r="AT178">
        <v>94</v>
      </c>
      <c r="AU178" t="s">
        <v>92</v>
      </c>
      <c r="AV178">
        <v>19</v>
      </c>
      <c r="AW178" t="s">
        <v>80</v>
      </c>
      <c r="AX178">
        <v>22</v>
      </c>
      <c r="AY178" s="4">
        <f t="shared" si="32"/>
        <v>13</v>
      </c>
      <c r="AZ178" t="str">
        <f t="shared" si="33"/>
        <v>(Dike-town)</v>
      </c>
      <c r="BA178">
        <v>4</v>
      </c>
      <c r="BB178">
        <v>123</v>
      </c>
      <c r="BC178">
        <f t="shared" si="43"/>
        <v>2</v>
      </c>
      <c r="BD178">
        <f t="shared" si="34"/>
        <v>0</v>
      </c>
    </row>
    <row r="179" spans="1:56" x14ac:dyDescent="0.3">
      <c r="A179">
        <v>1161</v>
      </c>
      <c r="B179" s="2">
        <v>45923.594548611123</v>
      </c>
      <c r="C179">
        <v>90000</v>
      </c>
      <c r="D179">
        <v>50000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15000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</v>
      </c>
      <c r="W179">
        <v>5</v>
      </c>
      <c r="X179">
        <v>130000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s">
        <v>103</v>
      </c>
      <c r="AN179">
        <v>677</v>
      </c>
      <c r="AO179">
        <v>288</v>
      </c>
      <c r="AS179">
        <v>0</v>
      </c>
      <c r="AT179">
        <v>94</v>
      </c>
      <c r="AU179" t="s">
        <v>92</v>
      </c>
      <c r="AV179">
        <v>19</v>
      </c>
      <c r="AW179" t="s">
        <v>80</v>
      </c>
      <c r="AX179">
        <v>22</v>
      </c>
      <c r="AY179" s="4">
        <f t="shared" si="32"/>
        <v>0</v>
      </c>
      <c r="AZ179" t="str">
        <f t="shared" si="33"/>
        <v/>
      </c>
      <c r="BA179">
        <v>0</v>
      </c>
      <c r="BB179">
        <v>125</v>
      </c>
      <c r="BD179">
        <f t="shared" si="34"/>
        <v>0</v>
      </c>
    </row>
    <row r="180" spans="1:56" x14ac:dyDescent="0.3">
      <c r="A180">
        <v>1192</v>
      </c>
      <c r="B180" s="2">
        <v>45923.594548611123</v>
      </c>
      <c r="C180">
        <v>90000</v>
      </c>
      <c r="D180">
        <v>50000</v>
      </c>
      <c r="E180">
        <v>0</v>
      </c>
      <c r="F180">
        <v>12500</v>
      </c>
      <c r="G180">
        <v>0</v>
      </c>
      <c r="H180">
        <v>0</v>
      </c>
      <c r="I180">
        <v>20000</v>
      </c>
      <c r="J180">
        <v>9000</v>
      </c>
      <c r="K180">
        <v>2500</v>
      </c>
      <c r="L180">
        <v>0</v>
      </c>
      <c r="M180">
        <v>0</v>
      </c>
      <c r="N180">
        <v>11000</v>
      </c>
      <c r="O180">
        <v>0</v>
      </c>
      <c r="P180">
        <v>-1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4</v>
      </c>
      <c r="W180">
        <v>5</v>
      </c>
      <c r="X180">
        <v>130000</v>
      </c>
      <c r="Y180">
        <v>0</v>
      </c>
      <c r="Z180">
        <v>0</v>
      </c>
      <c r="AA180">
        <v>0</v>
      </c>
      <c r="AB180">
        <v>125000</v>
      </c>
      <c r="AC180">
        <v>125000</v>
      </c>
      <c r="AD180">
        <v>112500</v>
      </c>
      <c r="AG180">
        <v>6</v>
      </c>
      <c r="AH180">
        <v>6</v>
      </c>
      <c r="AI180">
        <v>0</v>
      </c>
      <c r="AJ180">
        <v>0</v>
      </c>
      <c r="AK180">
        <v>1</v>
      </c>
      <c r="AL180">
        <v>2</v>
      </c>
      <c r="AM180" t="s">
        <v>150</v>
      </c>
      <c r="AN180">
        <v>677</v>
      </c>
      <c r="AO180">
        <v>292</v>
      </c>
      <c r="AQ180">
        <v>1429</v>
      </c>
      <c r="AS180">
        <v>1</v>
      </c>
      <c r="AT180">
        <v>94</v>
      </c>
      <c r="AU180" t="s">
        <v>92</v>
      </c>
      <c r="AV180">
        <v>19</v>
      </c>
      <c r="AW180" t="s">
        <v>80</v>
      </c>
      <c r="AX180">
        <v>22</v>
      </c>
      <c r="AY180" s="4">
        <f t="shared" si="32"/>
        <v>12</v>
      </c>
      <c r="AZ180" t="str">
        <f t="shared" si="33"/>
        <v>(U-village)</v>
      </c>
      <c r="BA180">
        <v>1</v>
      </c>
      <c r="BB180">
        <v>125</v>
      </c>
      <c r="BC180">
        <f t="shared" ref="BC180:BC183" si="44">AK180+AL180</f>
        <v>3</v>
      </c>
      <c r="BD180">
        <f t="shared" si="34"/>
        <v>0</v>
      </c>
    </row>
    <row r="181" spans="1:56" x14ac:dyDescent="0.3">
      <c r="A181">
        <v>1203</v>
      </c>
      <c r="B181" s="2">
        <v>45923.594548611123</v>
      </c>
      <c r="C181">
        <v>90000</v>
      </c>
      <c r="D181">
        <v>50000</v>
      </c>
      <c r="E181">
        <v>0</v>
      </c>
      <c r="F181">
        <v>12500</v>
      </c>
      <c r="G181">
        <v>0</v>
      </c>
      <c r="H181">
        <v>0</v>
      </c>
      <c r="I181">
        <v>20000</v>
      </c>
      <c r="J181">
        <v>0</v>
      </c>
      <c r="K181">
        <v>4500</v>
      </c>
      <c r="L181">
        <v>12000</v>
      </c>
      <c r="M181">
        <v>0</v>
      </c>
      <c r="N181">
        <v>2000</v>
      </c>
      <c r="O181">
        <v>0</v>
      </c>
      <c r="P181">
        <v>0</v>
      </c>
      <c r="Q181">
        <v>0</v>
      </c>
      <c r="R181">
        <v>1</v>
      </c>
      <c r="S181">
        <v>4</v>
      </c>
      <c r="T181">
        <v>0</v>
      </c>
      <c r="U181">
        <v>0</v>
      </c>
      <c r="V181">
        <v>1</v>
      </c>
      <c r="W181">
        <v>5</v>
      </c>
      <c r="X181">
        <v>130000</v>
      </c>
      <c r="Y181">
        <v>125000</v>
      </c>
      <c r="Z181">
        <v>112500</v>
      </c>
      <c r="AA181">
        <v>0</v>
      </c>
      <c r="AB181">
        <v>0</v>
      </c>
      <c r="AC181">
        <v>125000</v>
      </c>
      <c r="AD181">
        <v>100000</v>
      </c>
      <c r="AG181">
        <v>6</v>
      </c>
      <c r="AH181">
        <v>6</v>
      </c>
      <c r="AI181">
        <v>0</v>
      </c>
      <c r="AJ181">
        <v>0</v>
      </c>
      <c r="AK181">
        <v>0</v>
      </c>
      <c r="AL181">
        <v>0</v>
      </c>
      <c r="AM181" t="s">
        <v>150</v>
      </c>
      <c r="AN181">
        <v>677</v>
      </c>
      <c r="AO181">
        <v>294</v>
      </c>
      <c r="AP181">
        <v>1429</v>
      </c>
      <c r="AQ181">
        <v>1429</v>
      </c>
      <c r="AS181">
        <v>2</v>
      </c>
      <c r="AT181">
        <v>94</v>
      </c>
      <c r="AU181" t="s">
        <v>92</v>
      </c>
      <c r="AV181">
        <v>19</v>
      </c>
      <c r="AW181" t="s">
        <v>80</v>
      </c>
      <c r="AX181">
        <v>22</v>
      </c>
      <c r="AY181" s="4">
        <f t="shared" si="32"/>
        <v>12</v>
      </c>
      <c r="AZ181" t="str">
        <f t="shared" si="33"/>
        <v>(U-village)</v>
      </c>
      <c r="BA181">
        <v>2</v>
      </c>
      <c r="BB181">
        <v>125</v>
      </c>
      <c r="BC181">
        <f t="shared" si="44"/>
        <v>0</v>
      </c>
      <c r="BD181">
        <f t="shared" si="34"/>
        <v>12000</v>
      </c>
    </row>
    <row r="182" spans="1:56" x14ac:dyDescent="0.3">
      <c r="A182">
        <v>1232</v>
      </c>
      <c r="B182" s="2">
        <v>45923.594548611123</v>
      </c>
      <c r="C182">
        <v>90000</v>
      </c>
      <c r="D182">
        <v>50000</v>
      </c>
      <c r="E182">
        <v>0</v>
      </c>
      <c r="F182">
        <v>12500</v>
      </c>
      <c r="G182">
        <v>0</v>
      </c>
      <c r="H182">
        <v>0</v>
      </c>
      <c r="I182">
        <v>20000</v>
      </c>
      <c r="J182">
        <v>0</v>
      </c>
      <c r="K182">
        <v>0</v>
      </c>
      <c r="L182">
        <v>20000</v>
      </c>
      <c r="M182">
        <v>4000</v>
      </c>
      <c r="N182">
        <v>-14500</v>
      </c>
      <c r="O182">
        <v>0</v>
      </c>
      <c r="P182">
        <v>0</v>
      </c>
      <c r="Q182">
        <v>0</v>
      </c>
      <c r="R182">
        <v>0</v>
      </c>
      <c r="S182">
        <v>6</v>
      </c>
      <c r="T182">
        <v>1</v>
      </c>
      <c r="U182">
        <v>0</v>
      </c>
      <c r="V182">
        <v>-6</v>
      </c>
      <c r="W182">
        <v>5</v>
      </c>
      <c r="X182">
        <v>130000</v>
      </c>
      <c r="Y182">
        <v>125000</v>
      </c>
      <c r="Z182">
        <v>100000</v>
      </c>
      <c r="AA182">
        <v>0</v>
      </c>
      <c r="AB182">
        <v>0</v>
      </c>
      <c r="AC182">
        <v>125000</v>
      </c>
      <c r="AD182">
        <v>87500</v>
      </c>
      <c r="AG182">
        <v>6</v>
      </c>
      <c r="AH182">
        <v>6</v>
      </c>
      <c r="AI182">
        <v>-2</v>
      </c>
      <c r="AJ182">
        <v>-1</v>
      </c>
      <c r="AK182">
        <v>0</v>
      </c>
      <c r="AL182">
        <v>0</v>
      </c>
      <c r="AM182" t="s">
        <v>150</v>
      </c>
      <c r="AN182">
        <v>677</v>
      </c>
      <c r="AO182">
        <v>298</v>
      </c>
      <c r="AP182">
        <v>1429</v>
      </c>
      <c r="AQ182">
        <v>1429</v>
      </c>
      <c r="AS182">
        <v>3</v>
      </c>
      <c r="AT182">
        <v>94</v>
      </c>
      <c r="AU182" t="s">
        <v>92</v>
      </c>
      <c r="AV182">
        <v>19</v>
      </c>
      <c r="AW182" t="s">
        <v>80</v>
      </c>
      <c r="AX182">
        <v>22</v>
      </c>
      <c r="AY182" s="4">
        <f t="shared" si="32"/>
        <v>12</v>
      </c>
      <c r="AZ182" t="str">
        <f t="shared" si="33"/>
        <v>(U-village)</v>
      </c>
      <c r="BA182">
        <v>3</v>
      </c>
      <c r="BB182">
        <v>125</v>
      </c>
      <c r="BC182">
        <f t="shared" si="44"/>
        <v>0</v>
      </c>
      <c r="BD182">
        <f t="shared" si="34"/>
        <v>24000</v>
      </c>
    </row>
    <row r="183" spans="1:56" x14ac:dyDescent="0.3">
      <c r="A183">
        <v>1274</v>
      </c>
      <c r="B183" s="2">
        <v>45923.594548611123</v>
      </c>
      <c r="C183">
        <v>90000</v>
      </c>
      <c r="D183">
        <v>50000</v>
      </c>
      <c r="E183">
        <v>14500</v>
      </c>
      <c r="F183">
        <v>11100</v>
      </c>
      <c r="G183">
        <v>37500</v>
      </c>
      <c r="H183">
        <v>0</v>
      </c>
      <c r="I183">
        <v>30000</v>
      </c>
      <c r="J183">
        <v>14000</v>
      </c>
      <c r="K183">
        <v>2500</v>
      </c>
      <c r="L183">
        <v>0</v>
      </c>
      <c r="M183">
        <v>0</v>
      </c>
      <c r="N183">
        <v>5400</v>
      </c>
      <c r="O183">
        <v>1</v>
      </c>
      <c r="P183">
        <v>-2</v>
      </c>
      <c r="Q183">
        <v>2</v>
      </c>
      <c r="R183">
        <v>1</v>
      </c>
      <c r="S183">
        <v>0</v>
      </c>
      <c r="T183">
        <v>0</v>
      </c>
      <c r="U183">
        <v>1</v>
      </c>
      <c r="V183">
        <v>-7</v>
      </c>
      <c r="W183">
        <v>5</v>
      </c>
      <c r="X183">
        <v>130000</v>
      </c>
      <c r="Y183">
        <v>125000</v>
      </c>
      <c r="Z183">
        <v>87500</v>
      </c>
      <c r="AA183">
        <v>125000</v>
      </c>
      <c r="AB183">
        <v>111000</v>
      </c>
      <c r="AC183">
        <v>111000</v>
      </c>
      <c r="AD183">
        <v>99900</v>
      </c>
      <c r="AE183">
        <v>34</v>
      </c>
      <c r="AG183">
        <v>6</v>
      </c>
      <c r="AH183">
        <v>9</v>
      </c>
      <c r="AI183">
        <v>-2</v>
      </c>
      <c r="AJ183">
        <v>-1</v>
      </c>
      <c r="AK183">
        <v>2</v>
      </c>
      <c r="AL183">
        <v>2</v>
      </c>
      <c r="AM183" t="s">
        <v>150</v>
      </c>
      <c r="AN183">
        <v>677</v>
      </c>
      <c r="AO183">
        <v>305</v>
      </c>
      <c r="AP183">
        <v>1429</v>
      </c>
      <c r="AQ183">
        <v>1488</v>
      </c>
      <c r="AS183">
        <v>4</v>
      </c>
      <c r="AT183">
        <v>94</v>
      </c>
      <c r="AU183" t="s">
        <v>92</v>
      </c>
      <c r="AV183">
        <v>19</v>
      </c>
      <c r="AW183" t="s">
        <v>80</v>
      </c>
      <c r="AX183">
        <v>22</v>
      </c>
      <c r="AY183" s="4">
        <f t="shared" si="32"/>
        <v>15</v>
      </c>
      <c r="AZ183" t="str">
        <f t="shared" si="33"/>
        <v>(Natu-city)</v>
      </c>
      <c r="BA183">
        <v>4</v>
      </c>
      <c r="BB183">
        <v>125</v>
      </c>
      <c r="BC183">
        <f t="shared" si="44"/>
        <v>4</v>
      </c>
      <c r="BD183">
        <f t="shared" si="34"/>
        <v>0</v>
      </c>
    </row>
    <row r="184" spans="1:56" x14ac:dyDescent="0.3">
      <c r="A184">
        <v>1157</v>
      </c>
      <c r="B184" s="2">
        <v>45923.593495370369</v>
      </c>
      <c r="C184">
        <v>130000</v>
      </c>
      <c r="D184">
        <v>75000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50000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5</v>
      </c>
      <c r="W184">
        <v>7</v>
      </c>
      <c r="X184">
        <v>200000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t="s">
        <v>103</v>
      </c>
      <c r="AN184">
        <v>678</v>
      </c>
      <c r="AO184">
        <v>288</v>
      </c>
      <c r="AS184">
        <v>0</v>
      </c>
      <c r="AT184">
        <v>94</v>
      </c>
      <c r="AU184" t="s">
        <v>92</v>
      </c>
      <c r="AV184">
        <v>19</v>
      </c>
      <c r="AW184" t="s">
        <v>80</v>
      </c>
      <c r="AX184">
        <v>22</v>
      </c>
      <c r="AY184" s="4">
        <f t="shared" si="32"/>
        <v>0</v>
      </c>
      <c r="AZ184" t="str">
        <f t="shared" si="33"/>
        <v/>
      </c>
      <c r="BA184">
        <v>0</v>
      </c>
      <c r="BB184">
        <v>127</v>
      </c>
      <c r="BD184">
        <f t="shared" si="34"/>
        <v>0</v>
      </c>
    </row>
    <row r="185" spans="1:56" x14ac:dyDescent="0.3">
      <c r="A185">
        <v>1191</v>
      </c>
      <c r="B185" s="2">
        <v>45923.593495370369</v>
      </c>
      <c r="C185">
        <v>130000</v>
      </c>
      <c r="D185">
        <v>75000</v>
      </c>
      <c r="E185">
        <v>0</v>
      </c>
      <c r="F185">
        <v>20000</v>
      </c>
      <c r="G185">
        <v>0</v>
      </c>
      <c r="H185">
        <v>0</v>
      </c>
      <c r="I185">
        <v>15000</v>
      </c>
      <c r="J185">
        <v>33000</v>
      </c>
      <c r="K185">
        <v>25500</v>
      </c>
      <c r="L185">
        <v>0</v>
      </c>
      <c r="M185">
        <v>0</v>
      </c>
      <c r="N185">
        <v>11500</v>
      </c>
      <c r="O185">
        <v>0</v>
      </c>
      <c r="P185">
        <v>-1</v>
      </c>
      <c r="Q185">
        <v>3</v>
      </c>
      <c r="R185">
        <v>4</v>
      </c>
      <c r="S185">
        <v>0</v>
      </c>
      <c r="T185">
        <v>0</v>
      </c>
      <c r="U185">
        <v>0</v>
      </c>
      <c r="V185">
        <v>11</v>
      </c>
      <c r="W185">
        <v>7</v>
      </c>
      <c r="X185">
        <v>200000</v>
      </c>
      <c r="Y185">
        <v>0</v>
      </c>
      <c r="Z185">
        <v>0</v>
      </c>
      <c r="AA185">
        <v>0</v>
      </c>
      <c r="AB185">
        <v>200000</v>
      </c>
      <c r="AC185">
        <v>200000</v>
      </c>
      <c r="AD185">
        <v>180000</v>
      </c>
      <c r="AG185">
        <v>6</v>
      </c>
      <c r="AH185">
        <v>9</v>
      </c>
      <c r="AI185">
        <v>0</v>
      </c>
      <c r="AJ185">
        <v>0</v>
      </c>
      <c r="AK185">
        <v>4</v>
      </c>
      <c r="AL185">
        <v>3</v>
      </c>
      <c r="AM185" t="s">
        <v>150</v>
      </c>
      <c r="AN185">
        <v>678</v>
      </c>
      <c r="AO185">
        <v>292</v>
      </c>
      <c r="AQ185">
        <v>1420</v>
      </c>
      <c r="AS185">
        <v>1</v>
      </c>
      <c r="AT185">
        <v>94</v>
      </c>
      <c r="AU185" t="s">
        <v>92</v>
      </c>
      <c r="AV185">
        <v>19</v>
      </c>
      <c r="AW185" t="s">
        <v>80</v>
      </c>
      <c r="AX185">
        <v>22</v>
      </c>
      <c r="AY185" s="4">
        <f t="shared" si="32"/>
        <v>15</v>
      </c>
      <c r="AZ185" t="str">
        <f t="shared" si="33"/>
        <v>(Natu-city)</v>
      </c>
      <c r="BA185">
        <v>1</v>
      </c>
      <c r="BB185">
        <v>127</v>
      </c>
      <c r="BC185">
        <f t="shared" ref="BC185:BC188" si="45">AK185+AL185</f>
        <v>7</v>
      </c>
      <c r="BD185">
        <f t="shared" si="34"/>
        <v>0</v>
      </c>
    </row>
    <row r="186" spans="1:56" x14ac:dyDescent="0.3">
      <c r="A186">
        <v>1204</v>
      </c>
      <c r="B186" s="2">
        <v>45923.593495370369</v>
      </c>
      <c r="C186">
        <v>130000</v>
      </c>
      <c r="D186">
        <v>75000</v>
      </c>
      <c r="E186">
        <v>0</v>
      </c>
      <c r="F186">
        <v>20000</v>
      </c>
      <c r="G186">
        <v>0</v>
      </c>
      <c r="H186">
        <v>0</v>
      </c>
      <c r="I186">
        <v>15000</v>
      </c>
      <c r="J186">
        <v>0</v>
      </c>
      <c r="K186">
        <v>0</v>
      </c>
      <c r="L186">
        <v>0</v>
      </c>
      <c r="M186">
        <v>0</v>
      </c>
      <c r="N186">
        <v>31500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11</v>
      </c>
      <c r="W186">
        <v>7</v>
      </c>
      <c r="X186">
        <v>200000</v>
      </c>
      <c r="Y186">
        <v>200000</v>
      </c>
      <c r="Z186">
        <v>180000</v>
      </c>
      <c r="AA186">
        <v>0</v>
      </c>
      <c r="AB186">
        <v>0</v>
      </c>
      <c r="AC186">
        <v>200000</v>
      </c>
      <c r="AD186">
        <v>160000</v>
      </c>
      <c r="AG186">
        <v>6</v>
      </c>
      <c r="AH186">
        <v>9</v>
      </c>
      <c r="AI186">
        <v>0</v>
      </c>
      <c r="AJ186">
        <v>0</v>
      </c>
      <c r="AK186">
        <v>0</v>
      </c>
      <c r="AL186">
        <v>0</v>
      </c>
      <c r="AM186" t="s">
        <v>150</v>
      </c>
      <c r="AN186">
        <v>678</v>
      </c>
      <c r="AO186">
        <v>294</v>
      </c>
      <c r="AP186">
        <v>1420</v>
      </c>
      <c r="AQ186">
        <v>1420</v>
      </c>
      <c r="AS186">
        <v>2</v>
      </c>
      <c r="AT186">
        <v>94</v>
      </c>
      <c r="AU186" t="s">
        <v>92</v>
      </c>
      <c r="AV186">
        <v>19</v>
      </c>
      <c r="AW186" t="s">
        <v>80</v>
      </c>
      <c r="AX186">
        <v>22</v>
      </c>
      <c r="AY186" s="4">
        <f t="shared" si="32"/>
        <v>15</v>
      </c>
      <c r="AZ186" t="str">
        <f t="shared" si="33"/>
        <v>(Natu-city)</v>
      </c>
      <c r="BA186">
        <v>2</v>
      </c>
      <c r="BB186">
        <v>127</v>
      </c>
      <c r="BC186">
        <f t="shared" si="45"/>
        <v>0</v>
      </c>
      <c r="BD186">
        <f t="shared" si="34"/>
        <v>0</v>
      </c>
    </row>
    <row r="187" spans="1:56" x14ac:dyDescent="0.3">
      <c r="A187">
        <v>1231</v>
      </c>
      <c r="B187" s="2">
        <v>45923.593495370369</v>
      </c>
      <c r="C187">
        <v>130000</v>
      </c>
      <c r="D187">
        <v>75000</v>
      </c>
      <c r="E187">
        <v>0</v>
      </c>
      <c r="F187">
        <v>20000</v>
      </c>
      <c r="G187">
        <v>0</v>
      </c>
      <c r="H187">
        <v>0</v>
      </c>
      <c r="I187">
        <v>15000</v>
      </c>
      <c r="J187">
        <v>0</v>
      </c>
      <c r="K187">
        <v>0</v>
      </c>
      <c r="L187">
        <v>8000</v>
      </c>
      <c r="M187">
        <v>4000</v>
      </c>
      <c r="N187">
        <v>39500</v>
      </c>
      <c r="O187">
        <v>0</v>
      </c>
      <c r="P187">
        <v>0</v>
      </c>
      <c r="Q187">
        <v>0</v>
      </c>
      <c r="R187">
        <v>0</v>
      </c>
      <c r="S187">
        <v>3</v>
      </c>
      <c r="T187">
        <v>1</v>
      </c>
      <c r="U187">
        <v>0</v>
      </c>
      <c r="V187">
        <v>7</v>
      </c>
      <c r="W187">
        <v>7</v>
      </c>
      <c r="X187">
        <v>200000</v>
      </c>
      <c r="Y187">
        <v>200000</v>
      </c>
      <c r="Z187">
        <v>160000</v>
      </c>
      <c r="AA187">
        <v>0</v>
      </c>
      <c r="AB187">
        <v>0</v>
      </c>
      <c r="AC187">
        <v>200000</v>
      </c>
      <c r="AD187">
        <v>140000</v>
      </c>
      <c r="AG187">
        <v>6</v>
      </c>
      <c r="AH187">
        <v>9</v>
      </c>
      <c r="AI187">
        <v>-2</v>
      </c>
      <c r="AJ187">
        <v>-1</v>
      </c>
      <c r="AK187">
        <v>0</v>
      </c>
      <c r="AL187">
        <v>0</v>
      </c>
      <c r="AM187" t="s">
        <v>150</v>
      </c>
      <c r="AN187">
        <v>678</v>
      </c>
      <c r="AO187">
        <v>298</v>
      </c>
      <c r="AP187">
        <v>1420</v>
      </c>
      <c r="AQ187">
        <v>1420</v>
      </c>
      <c r="AS187">
        <v>3</v>
      </c>
      <c r="AT187">
        <v>94</v>
      </c>
      <c r="AU187" t="s">
        <v>92</v>
      </c>
      <c r="AV187">
        <v>19</v>
      </c>
      <c r="AW187" t="s">
        <v>80</v>
      </c>
      <c r="AX187">
        <v>22</v>
      </c>
      <c r="AY187" s="4">
        <f t="shared" si="32"/>
        <v>15</v>
      </c>
      <c r="AZ187" t="str">
        <f t="shared" si="33"/>
        <v>(Natu-city)</v>
      </c>
      <c r="BA187">
        <v>3</v>
      </c>
      <c r="BB187">
        <v>127</v>
      </c>
      <c r="BC187">
        <f t="shared" si="45"/>
        <v>0</v>
      </c>
      <c r="BD187">
        <f t="shared" si="34"/>
        <v>12000</v>
      </c>
    </row>
    <row r="188" spans="1:56" x14ac:dyDescent="0.3">
      <c r="A188">
        <v>1273</v>
      </c>
      <c r="B188" s="2">
        <v>45923.593495370369</v>
      </c>
      <c r="C188">
        <v>130000</v>
      </c>
      <c r="D188">
        <v>75000</v>
      </c>
      <c r="E188">
        <v>0</v>
      </c>
      <c r="F188">
        <v>20000</v>
      </c>
      <c r="G188">
        <v>0</v>
      </c>
      <c r="H188">
        <v>0</v>
      </c>
      <c r="I188">
        <v>30000</v>
      </c>
      <c r="J188">
        <v>0</v>
      </c>
      <c r="K188">
        <v>0</v>
      </c>
      <c r="L188">
        <v>0</v>
      </c>
      <c r="M188">
        <v>0</v>
      </c>
      <c r="N188">
        <v>44500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7</v>
      </c>
      <c r="W188">
        <v>7</v>
      </c>
      <c r="X188">
        <v>200000</v>
      </c>
      <c r="Y188">
        <v>200000</v>
      </c>
      <c r="Z188">
        <v>140000</v>
      </c>
      <c r="AA188">
        <v>0</v>
      </c>
      <c r="AB188">
        <v>0</v>
      </c>
      <c r="AC188">
        <v>200000</v>
      </c>
      <c r="AD188">
        <v>120000</v>
      </c>
      <c r="AG188">
        <v>6</v>
      </c>
      <c r="AH188">
        <v>9</v>
      </c>
      <c r="AI188">
        <v>-2</v>
      </c>
      <c r="AJ188">
        <v>-1</v>
      </c>
      <c r="AK188">
        <v>0</v>
      </c>
      <c r="AL188">
        <v>0</v>
      </c>
      <c r="AM188" t="s">
        <v>150</v>
      </c>
      <c r="AN188">
        <v>678</v>
      </c>
      <c r="AO188">
        <v>305</v>
      </c>
      <c r="AP188">
        <v>1420</v>
      </c>
      <c r="AQ188">
        <v>1420</v>
      </c>
      <c r="AS188">
        <v>4</v>
      </c>
      <c r="AT188">
        <v>94</v>
      </c>
      <c r="AU188" t="s">
        <v>92</v>
      </c>
      <c r="AV188">
        <v>19</v>
      </c>
      <c r="AW188" t="s">
        <v>80</v>
      </c>
      <c r="AX188">
        <v>22</v>
      </c>
      <c r="AY188" s="4">
        <f t="shared" si="32"/>
        <v>15</v>
      </c>
      <c r="AZ188" t="str">
        <f t="shared" si="33"/>
        <v>(Natu-city)</v>
      </c>
      <c r="BA188">
        <v>4</v>
      </c>
      <c r="BB188">
        <v>127</v>
      </c>
      <c r="BC188">
        <f t="shared" si="45"/>
        <v>0</v>
      </c>
      <c r="BD188">
        <f t="shared" si="34"/>
        <v>0</v>
      </c>
    </row>
    <row r="189" spans="1:56" x14ac:dyDescent="0.3">
      <c r="A189">
        <v>1178</v>
      </c>
      <c r="B189" s="2">
        <v>45923.601261574076</v>
      </c>
      <c r="C189">
        <v>190000</v>
      </c>
      <c r="D189">
        <v>115000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80000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</v>
      </c>
      <c r="W189">
        <v>8</v>
      </c>
      <c r="X189">
        <v>300000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t="s">
        <v>103</v>
      </c>
      <c r="AN189">
        <v>679</v>
      </c>
      <c r="AO189">
        <v>288</v>
      </c>
      <c r="AS189">
        <v>0</v>
      </c>
      <c r="AT189">
        <v>94</v>
      </c>
      <c r="AU189" t="s">
        <v>92</v>
      </c>
      <c r="AV189">
        <v>19</v>
      </c>
      <c r="AW189" t="s">
        <v>80</v>
      </c>
      <c r="AX189">
        <v>22</v>
      </c>
      <c r="AY189" s="4">
        <f t="shared" si="32"/>
        <v>0</v>
      </c>
      <c r="AZ189" t="str">
        <f t="shared" si="33"/>
        <v/>
      </c>
      <c r="BA189">
        <v>0</v>
      </c>
      <c r="BB189">
        <v>128</v>
      </c>
      <c r="BD189">
        <f t="shared" si="34"/>
        <v>0</v>
      </c>
    </row>
    <row r="190" spans="1:56" x14ac:dyDescent="0.3">
      <c r="A190">
        <v>1189</v>
      </c>
      <c r="B190" s="2">
        <v>45923.601261574076</v>
      </c>
      <c r="C190">
        <v>190000</v>
      </c>
      <c r="D190">
        <v>115000</v>
      </c>
      <c r="E190">
        <v>0</v>
      </c>
      <c r="F190">
        <v>30000</v>
      </c>
      <c r="G190">
        <v>0</v>
      </c>
      <c r="H190">
        <v>0</v>
      </c>
      <c r="I190">
        <v>20000</v>
      </c>
      <c r="J190">
        <v>33000</v>
      </c>
      <c r="K190">
        <v>38000</v>
      </c>
      <c r="L190">
        <v>0</v>
      </c>
      <c r="M190">
        <v>0</v>
      </c>
      <c r="N190">
        <v>34000</v>
      </c>
      <c r="O190">
        <v>0</v>
      </c>
      <c r="P190">
        <v>0</v>
      </c>
      <c r="Q190">
        <v>3</v>
      </c>
      <c r="R190">
        <v>4</v>
      </c>
      <c r="S190">
        <v>0</v>
      </c>
      <c r="T190">
        <v>0</v>
      </c>
      <c r="U190">
        <v>0</v>
      </c>
      <c r="V190">
        <v>12</v>
      </c>
      <c r="W190">
        <v>8</v>
      </c>
      <c r="X190">
        <v>300000</v>
      </c>
      <c r="Y190">
        <v>0</v>
      </c>
      <c r="Z190">
        <v>0</v>
      </c>
      <c r="AA190">
        <v>0</v>
      </c>
      <c r="AB190">
        <v>300000</v>
      </c>
      <c r="AC190">
        <v>300000</v>
      </c>
      <c r="AD190">
        <v>270000</v>
      </c>
      <c r="AG190">
        <v>4</v>
      </c>
      <c r="AH190">
        <v>9</v>
      </c>
      <c r="AI190">
        <v>0</v>
      </c>
      <c r="AJ190">
        <v>0</v>
      </c>
      <c r="AK190">
        <v>4</v>
      </c>
      <c r="AL190">
        <v>3</v>
      </c>
      <c r="AM190" t="s">
        <v>150</v>
      </c>
      <c r="AN190">
        <v>679</v>
      </c>
      <c r="AO190">
        <v>292</v>
      </c>
      <c r="AQ190">
        <v>1423</v>
      </c>
      <c r="AS190">
        <v>1</v>
      </c>
      <c r="AT190">
        <v>94</v>
      </c>
      <c r="AU190" t="s">
        <v>92</v>
      </c>
      <c r="AV190">
        <v>19</v>
      </c>
      <c r="AW190" t="s">
        <v>80</v>
      </c>
      <c r="AX190">
        <v>22</v>
      </c>
      <c r="AY190" s="4">
        <f t="shared" si="32"/>
        <v>13</v>
      </c>
      <c r="AZ190" t="str">
        <f t="shared" si="33"/>
        <v>(Dike-town)</v>
      </c>
      <c r="BA190">
        <v>1</v>
      </c>
      <c r="BB190">
        <v>128</v>
      </c>
      <c r="BC190">
        <f t="shared" ref="BC190:BC193" si="46">AK190+AL190</f>
        <v>7</v>
      </c>
      <c r="BD190">
        <f t="shared" si="34"/>
        <v>0</v>
      </c>
    </row>
    <row r="191" spans="1:56" x14ac:dyDescent="0.3">
      <c r="A191">
        <v>1202</v>
      </c>
      <c r="B191" s="2">
        <v>45923.601261574076</v>
      </c>
      <c r="C191">
        <v>190000</v>
      </c>
      <c r="D191">
        <v>115000</v>
      </c>
      <c r="E191">
        <v>0</v>
      </c>
      <c r="F191">
        <v>30000</v>
      </c>
      <c r="G191">
        <v>0</v>
      </c>
      <c r="H191">
        <v>0</v>
      </c>
      <c r="I191">
        <v>20000</v>
      </c>
      <c r="J191">
        <v>0</v>
      </c>
      <c r="K191">
        <v>0</v>
      </c>
      <c r="L191">
        <v>0</v>
      </c>
      <c r="M191">
        <v>4000</v>
      </c>
      <c r="N191">
        <v>55000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11</v>
      </c>
      <c r="W191">
        <v>8</v>
      </c>
      <c r="X191">
        <v>300000</v>
      </c>
      <c r="Y191">
        <v>300000</v>
      </c>
      <c r="Z191">
        <v>270000</v>
      </c>
      <c r="AA191">
        <v>0</v>
      </c>
      <c r="AB191">
        <v>0</v>
      </c>
      <c r="AC191">
        <v>300000</v>
      </c>
      <c r="AD191">
        <v>240000</v>
      </c>
      <c r="AG191">
        <v>4</v>
      </c>
      <c r="AH191">
        <v>9</v>
      </c>
      <c r="AI191">
        <v>0</v>
      </c>
      <c r="AJ191">
        <v>0</v>
      </c>
      <c r="AK191">
        <v>0</v>
      </c>
      <c r="AL191">
        <v>0</v>
      </c>
      <c r="AM191" t="s">
        <v>150</v>
      </c>
      <c r="AN191">
        <v>679</v>
      </c>
      <c r="AO191">
        <v>294</v>
      </c>
      <c r="AP191">
        <v>1423</v>
      </c>
      <c r="AQ191">
        <v>1423</v>
      </c>
      <c r="AS191">
        <v>2</v>
      </c>
      <c r="AT191">
        <v>94</v>
      </c>
      <c r="AU191" t="s">
        <v>92</v>
      </c>
      <c r="AV191">
        <v>19</v>
      </c>
      <c r="AW191" t="s">
        <v>80</v>
      </c>
      <c r="AX191">
        <v>22</v>
      </c>
      <c r="AY191" s="4">
        <f t="shared" si="32"/>
        <v>13</v>
      </c>
      <c r="AZ191" t="str">
        <f t="shared" si="33"/>
        <v>(Dike-town)</v>
      </c>
      <c r="BA191">
        <v>2</v>
      </c>
      <c r="BB191">
        <v>128</v>
      </c>
      <c r="BC191">
        <f t="shared" si="46"/>
        <v>0</v>
      </c>
      <c r="BD191">
        <f t="shared" si="34"/>
        <v>4000</v>
      </c>
    </row>
    <row r="192" spans="1:56" x14ac:dyDescent="0.3">
      <c r="A192">
        <v>1228</v>
      </c>
      <c r="B192" s="2">
        <v>45923.601261574076</v>
      </c>
      <c r="C192">
        <v>190000</v>
      </c>
      <c r="D192">
        <v>115000</v>
      </c>
      <c r="E192">
        <v>0</v>
      </c>
      <c r="F192">
        <v>30000</v>
      </c>
      <c r="G192">
        <v>0</v>
      </c>
      <c r="H192">
        <v>0</v>
      </c>
      <c r="I192">
        <v>20000</v>
      </c>
      <c r="J192">
        <v>0</v>
      </c>
      <c r="K192">
        <v>0</v>
      </c>
      <c r="L192">
        <v>8000</v>
      </c>
      <c r="M192">
        <v>4000</v>
      </c>
      <c r="N192">
        <v>68000</v>
      </c>
      <c r="O192">
        <v>0</v>
      </c>
      <c r="P192">
        <v>0</v>
      </c>
      <c r="Q192">
        <v>0</v>
      </c>
      <c r="R192">
        <v>0</v>
      </c>
      <c r="S192">
        <v>3</v>
      </c>
      <c r="T192">
        <v>1</v>
      </c>
      <c r="U192">
        <v>0</v>
      </c>
      <c r="V192">
        <v>7</v>
      </c>
      <c r="W192">
        <v>8</v>
      </c>
      <c r="X192">
        <v>300000</v>
      </c>
      <c r="Y192">
        <v>300000</v>
      </c>
      <c r="Z192">
        <v>240000</v>
      </c>
      <c r="AA192">
        <v>0</v>
      </c>
      <c r="AB192">
        <v>0</v>
      </c>
      <c r="AC192">
        <v>300000</v>
      </c>
      <c r="AD192">
        <v>210000</v>
      </c>
      <c r="AG192">
        <v>4</v>
      </c>
      <c r="AH192">
        <v>9</v>
      </c>
      <c r="AI192">
        <v>-2</v>
      </c>
      <c r="AJ192">
        <v>-1</v>
      </c>
      <c r="AK192">
        <v>0</v>
      </c>
      <c r="AL192">
        <v>0</v>
      </c>
      <c r="AM192" t="s">
        <v>150</v>
      </c>
      <c r="AN192">
        <v>679</v>
      </c>
      <c r="AO192">
        <v>298</v>
      </c>
      <c r="AP192">
        <v>1423</v>
      </c>
      <c r="AQ192">
        <v>1423</v>
      </c>
      <c r="AS192">
        <v>3</v>
      </c>
      <c r="AT192">
        <v>94</v>
      </c>
      <c r="AU192" t="s">
        <v>92</v>
      </c>
      <c r="AV192">
        <v>19</v>
      </c>
      <c r="AW192" t="s">
        <v>80</v>
      </c>
      <c r="AX192">
        <v>22</v>
      </c>
      <c r="AY192" s="4">
        <f t="shared" si="32"/>
        <v>13</v>
      </c>
      <c r="AZ192" t="str">
        <f t="shared" si="33"/>
        <v>(Dike-town)</v>
      </c>
      <c r="BA192">
        <v>3</v>
      </c>
      <c r="BB192">
        <v>128</v>
      </c>
      <c r="BC192">
        <f t="shared" si="46"/>
        <v>0</v>
      </c>
      <c r="BD192">
        <f t="shared" si="34"/>
        <v>12000</v>
      </c>
    </row>
    <row r="193" spans="1:56" x14ac:dyDescent="0.3">
      <c r="A193">
        <v>1269</v>
      </c>
      <c r="B193" s="2">
        <v>45923.601261574076</v>
      </c>
      <c r="C193">
        <v>190000</v>
      </c>
      <c r="D193">
        <v>115000</v>
      </c>
      <c r="E193">
        <v>0</v>
      </c>
      <c r="F193">
        <v>30000</v>
      </c>
      <c r="G193">
        <v>140000</v>
      </c>
      <c r="H193">
        <v>125000</v>
      </c>
      <c r="I193">
        <v>30000</v>
      </c>
      <c r="J193">
        <v>15000</v>
      </c>
      <c r="K193">
        <v>0</v>
      </c>
      <c r="L193">
        <v>0</v>
      </c>
      <c r="M193">
        <v>0</v>
      </c>
      <c r="N193">
        <v>83000</v>
      </c>
      <c r="O193">
        <v>1</v>
      </c>
      <c r="P193">
        <v>1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9</v>
      </c>
      <c r="W193">
        <v>8</v>
      </c>
      <c r="X193">
        <v>300000</v>
      </c>
      <c r="Y193">
        <v>300000</v>
      </c>
      <c r="Z193">
        <v>210000</v>
      </c>
      <c r="AA193">
        <v>350000</v>
      </c>
      <c r="AB193">
        <v>425000</v>
      </c>
      <c r="AC193">
        <v>300000</v>
      </c>
      <c r="AD193">
        <v>270000</v>
      </c>
      <c r="AE193">
        <v>34</v>
      </c>
      <c r="AG193">
        <v>6</v>
      </c>
      <c r="AH193">
        <v>9</v>
      </c>
      <c r="AI193">
        <v>-2</v>
      </c>
      <c r="AJ193">
        <v>-1</v>
      </c>
      <c r="AK193">
        <v>4</v>
      </c>
      <c r="AL193">
        <v>3</v>
      </c>
      <c r="AM193" t="s">
        <v>150</v>
      </c>
      <c r="AN193">
        <v>679</v>
      </c>
      <c r="AO193">
        <v>305</v>
      </c>
      <c r="AP193">
        <v>1423</v>
      </c>
      <c r="AQ193">
        <v>1487</v>
      </c>
      <c r="AS193">
        <v>4</v>
      </c>
      <c r="AT193">
        <v>94</v>
      </c>
      <c r="AU193" t="s">
        <v>92</v>
      </c>
      <c r="AV193">
        <v>19</v>
      </c>
      <c r="AW193" t="s">
        <v>80</v>
      </c>
      <c r="AX193">
        <v>22</v>
      </c>
      <c r="AY193" s="4">
        <f t="shared" si="32"/>
        <v>15</v>
      </c>
      <c r="AZ193" t="str">
        <f t="shared" si="33"/>
        <v>(Natu-city)</v>
      </c>
      <c r="BA193">
        <v>4</v>
      </c>
      <c r="BB193">
        <v>128</v>
      </c>
      <c r="BC193">
        <f t="shared" si="46"/>
        <v>7</v>
      </c>
      <c r="BD193">
        <f t="shared" si="34"/>
        <v>0</v>
      </c>
    </row>
    <row r="194" spans="1:56" x14ac:dyDescent="0.3">
      <c r="A194">
        <v>1164</v>
      </c>
      <c r="B194" s="2">
        <v>45923.600659722222</v>
      </c>
      <c r="C194">
        <v>75000</v>
      </c>
      <c r="D194">
        <v>40000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5000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</v>
      </c>
      <c r="W194">
        <v>4</v>
      </c>
      <c r="X194">
        <v>110000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t="s">
        <v>103</v>
      </c>
      <c r="AN194">
        <v>682</v>
      </c>
      <c r="AO194">
        <v>286</v>
      </c>
      <c r="AS194">
        <v>0</v>
      </c>
      <c r="AT194">
        <v>95</v>
      </c>
      <c r="AU194" t="s">
        <v>93</v>
      </c>
      <c r="AV194">
        <v>19</v>
      </c>
      <c r="AW194" t="s">
        <v>80</v>
      </c>
      <c r="AX194">
        <v>22</v>
      </c>
      <c r="AY194" s="4">
        <f t="shared" si="32"/>
        <v>0</v>
      </c>
      <c r="AZ194" t="str">
        <f t="shared" si="33"/>
        <v/>
      </c>
      <c r="BA194">
        <v>0</v>
      </c>
      <c r="BB194">
        <v>124</v>
      </c>
      <c r="BD194">
        <f t="shared" si="34"/>
        <v>0</v>
      </c>
    </row>
    <row r="195" spans="1:56" x14ac:dyDescent="0.3">
      <c r="A195">
        <v>1176</v>
      </c>
      <c r="B195" s="2">
        <v>45923.600659722222</v>
      </c>
      <c r="C195">
        <v>75000</v>
      </c>
      <c r="D195">
        <v>40000</v>
      </c>
      <c r="E195">
        <v>0</v>
      </c>
      <c r="F195">
        <v>11000</v>
      </c>
      <c r="G195">
        <v>0</v>
      </c>
      <c r="H195">
        <v>15000</v>
      </c>
      <c r="I195">
        <v>15000</v>
      </c>
      <c r="J195">
        <v>0</v>
      </c>
      <c r="K195">
        <v>0</v>
      </c>
      <c r="L195">
        <v>8000</v>
      </c>
      <c r="M195">
        <v>0</v>
      </c>
      <c r="N195">
        <v>-9000</v>
      </c>
      <c r="O195">
        <v>0</v>
      </c>
      <c r="P195">
        <v>0</v>
      </c>
      <c r="Q195">
        <v>0</v>
      </c>
      <c r="R195">
        <v>0</v>
      </c>
      <c r="S195">
        <v>3</v>
      </c>
      <c r="T195">
        <v>0</v>
      </c>
      <c r="U195">
        <v>0</v>
      </c>
      <c r="V195">
        <v>2</v>
      </c>
      <c r="W195">
        <v>4</v>
      </c>
      <c r="X195">
        <v>110000</v>
      </c>
      <c r="Y195">
        <v>0</v>
      </c>
      <c r="Z195">
        <v>0</v>
      </c>
      <c r="AA195">
        <v>0</v>
      </c>
      <c r="AB195">
        <v>125000</v>
      </c>
      <c r="AC195">
        <v>110000</v>
      </c>
      <c r="AD195">
        <v>99000</v>
      </c>
      <c r="AG195">
        <v>6</v>
      </c>
      <c r="AH195">
        <v>6</v>
      </c>
      <c r="AI195">
        <v>0</v>
      </c>
      <c r="AJ195">
        <v>0</v>
      </c>
      <c r="AK195">
        <v>0</v>
      </c>
      <c r="AL195">
        <v>0</v>
      </c>
      <c r="AM195" t="s">
        <v>150</v>
      </c>
      <c r="AN195">
        <v>682</v>
      </c>
      <c r="AO195">
        <v>290</v>
      </c>
      <c r="AQ195">
        <v>1399</v>
      </c>
      <c r="AS195">
        <v>1</v>
      </c>
      <c r="AT195">
        <v>95</v>
      </c>
      <c r="AU195" t="s">
        <v>93</v>
      </c>
      <c r="AV195">
        <v>19</v>
      </c>
      <c r="AW195" t="s">
        <v>80</v>
      </c>
      <c r="AX195">
        <v>22</v>
      </c>
      <c r="AY195" s="4">
        <f t="shared" ref="AY195:AY253" si="47">AG195+AH195</f>
        <v>12</v>
      </c>
      <c r="AZ195" t="str">
        <f t="shared" ref="AZ195:AZ253" si="48">IF(AY195=12,"(U-village)",IF(AY195=13,"(Dike-town)",IF(AY195=15,"(Natu-city)","")))</f>
        <v>(U-village)</v>
      </c>
      <c r="BA195">
        <v>1</v>
      </c>
      <c r="BB195">
        <v>124</v>
      </c>
      <c r="BC195">
        <f t="shared" ref="BC195:BC198" si="49">AK195+AL195</f>
        <v>0</v>
      </c>
      <c r="BD195">
        <f t="shared" ref="BD195:BD253" si="50">L195+M195</f>
        <v>8000</v>
      </c>
    </row>
    <row r="196" spans="1:56" x14ac:dyDescent="0.3">
      <c r="A196">
        <v>1215</v>
      </c>
      <c r="B196" s="2">
        <v>45923.600659722222</v>
      </c>
      <c r="C196">
        <v>75000</v>
      </c>
      <c r="D196">
        <v>40000</v>
      </c>
      <c r="E196">
        <v>9000</v>
      </c>
      <c r="F196">
        <v>11000</v>
      </c>
      <c r="G196">
        <v>0</v>
      </c>
      <c r="H196">
        <v>0</v>
      </c>
      <c r="I196">
        <v>15000</v>
      </c>
      <c r="J196">
        <v>0</v>
      </c>
      <c r="K196">
        <v>0</v>
      </c>
      <c r="L196">
        <v>0</v>
      </c>
      <c r="M196">
        <v>4000</v>
      </c>
      <c r="N196">
        <v>-4000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4</v>
      </c>
      <c r="X196">
        <v>110000</v>
      </c>
      <c r="Y196">
        <v>110000</v>
      </c>
      <c r="Z196">
        <v>99000</v>
      </c>
      <c r="AA196">
        <v>0</v>
      </c>
      <c r="AB196">
        <v>0</v>
      </c>
      <c r="AC196">
        <v>110000</v>
      </c>
      <c r="AD196">
        <v>88000</v>
      </c>
      <c r="AG196">
        <v>6</v>
      </c>
      <c r="AH196">
        <v>6</v>
      </c>
      <c r="AI196">
        <v>0</v>
      </c>
      <c r="AJ196">
        <v>0</v>
      </c>
      <c r="AK196">
        <v>0</v>
      </c>
      <c r="AL196">
        <v>0</v>
      </c>
      <c r="AM196" t="s">
        <v>150</v>
      </c>
      <c r="AN196">
        <v>682</v>
      </c>
      <c r="AO196">
        <v>296</v>
      </c>
      <c r="AP196">
        <v>1399</v>
      </c>
      <c r="AQ196">
        <v>1399</v>
      </c>
      <c r="AS196">
        <v>2</v>
      </c>
      <c r="AT196">
        <v>95</v>
      </c>
      <c r="AU196" t="s">
        <v>93</v>
      </c>
      <c r="AV196">
        <v>19</v>
      </c>
      <c r="AW196" t="s">
        <v>80</v>
      </c>
      <c r="AX196">
        <v>22</v>
      </c>
      <c r="AY196" s="4">
        <f t="shared" si="47"/>
        <v>12</v>
      </c>
      <c r="AZ196" t="str">
        <f t="shared" si="48"/>
        <v>(U-village)</v>
      </c>
      <c r="BA196">
        <v>2</v>
      </c>
      <c r="BB196">
        <v>124</v>
      </c>
      <c r="BC196">
        <f t="shared" si="49"/>
        <v>0</v>
      </c>
      <c r="BD196">
        <f t="shared" si="50"/>
        <v>4000</v>
      </c>
    </row>
    <row r="197" spans="1:56" x14ac:dyDescent="0.3">
      <c r="A197">
        <v>1233</v>
      </c>
      <c r="B197" s="2">
        <v>45923.600659722222</v>
      </c>
      <c r="C197">
        <v>75000</v>
      </c>
      <c r="D197">
        <v>40000</v>
      </c>
      <c r="E197">
        <v>4000</v>
      </c>
      <c r="F197">
        <v>11000</v>
      </c>
      <c r="G197">
        <v>0</v>
      </c>
      <c r="H197">
        <v>0</v>
      </c>
      <c r="I197">
        <v>15000</v>
      </c>
      <c r="J197">
        <v>1000</v>
      </c>
      <c r="K197">
        <v>3750</v>
      </c>
      <c r="L197">
        <v>20000</v>
      </c>
      <c r="M197">
        <v>0</v>
      </c>
      <c r="N197">
        <v>-19750</v>
      </c>
      <c r="O197">
        <v>0</v>
      </c>
      <c r="P197">
        <v>0</v>
      </c>
      <c r="Q197">
        <v>0</v>
      </c>
      <c r="R197">
        <v>1</v>
      </c>
      <c r="S197">
        <v>6</v>
      </c>
      <c r="T197">
        <v>0</v>
      </c>
      <c r="U197">
        <v>1</v>
      </c>
      <c r="V197">
        <v>-6</v>
      </c>
      <c r="W197">
        <v>4</v>
      </c>
      <c r="X197">
        <v>110000</v>
      </c>
      <c r="Y197">
        <v>110000</v>
      </c>
      <c r="Z197">
        <v>88000</v>
      </c>
      <c r="AA197">
        <v>0</v>
      </c>
      <c r="AB197">
        <v>0</v>
      </c>
      <c r="AC197">
        <v>110000</v>
      </c>
      <c r="AD197">
        <v>77000</v>
      </c>
      <c r="AG197">
        <v>6</v>
      </c>
      <c r="AH197">
        <v>6</v>
      </c>
      <c r="AI197">
        <v>-2</v>
      </c>
      <c r="AJ197">
        <v>-1</v>
      </c>
      <c r="AK197">
        <v>0</v>
      </c>
      <c r="AL197">
        <v>1</v>
      </c>
      <c r="AM197" t="s">
        <v>150</v>
      </c>
      <c r="AN197">
        <v>682</v>
      </c>
      <c r="AO197">
        <v>299</v>
      </c>
      <c r="AP197">
        <v>1399</v>
      </c>
      <c r="AQ197">
        <v>1399</v>
      </c>
      <c r="AS197">
        <v>3</v>
      </c>
      <c r="AT197">
        <v>95</v>
      </c>
      <c r="AU197" t="s">
        <v>93</v>
      </c>
      <c r="AV197">
        <v>19</v>
      </c>
      <c r="AW197" t="s">
        <v>80</v>
      </c>
      <c r="AX197">
        <v>22</v>
      </c>
      <c r="AY197" s="4">
        <f t="shared" si="47"/>
        <v>12</v>
      </c>
      <c r="AZ197" t="str">
        <f t="shared" si="48"/>
        <v>(U-village)</v>
      </c>
      <c r="BA197">
        <v>3</v>
      </c>
      <c r="BB197">
        <v>124</v>
      </c>
      <c r="BC197">
        <f t="shared" si="49"/>
        <v>1</v>
      </c>
      <c r="BD197">
        <f t="shared" si="50"/>
        <v>20000</v>
      </c>
    </row>
    <row r="198" spans="1:56" x14ac:dyDescent="0.3">
      <c r="A198">
        <v>1252</v>
      </c>
      <c r="B198" s="2">
        <v>45923.600659722222</v>
      </c>
      <c r="C198">
        <v>75000</v>
      </c>
      <c r="D198">
        <v>40000</v>
      </c>
      <c r="E198">
        <v>19750</v>
      </c>
      <c r="F198">
        <v>11000</v>
      </c>
      <c r="G198">
        <v>0</v>
      </c>
      <c r="H198">
        <v>0</v>
      </c>
      <c r="I198">
        <v>15000</v>
      </c>
      <c r="J198">
        <v>0</v>
      </c>
      <c r="K198">
        <v>0</v>
      </c>
      <c r="L198">
        <v>16000</v>
      </c>
      <c r="M198">
        <v>4000</v>
      </c>
      <c r="N198">
        <v>-30750</v>
      </c>
      <c r="O198">
        <v>0</v>
      </c>
      <c r="P198">
        <v>0</v>
      </c>
      <c r="Q198">
        <v>0</v>
      </c>
      <c r="R198">
        <v>0</v>
      </c>
      <c r="S198">
        <v>5</v>
      </c>
      <c r="T198">
        <v>1</v>
      </c>
      <c r="U198">
        <v>1</v>
      </c>
      <c r="V198">
        <v>-13</v>
      </c>
      <c r="W198">
        <v>4</v>
      </c>
      <c r="X198">
        <v>110000</v>
      </c>
      <c r="Y198">
        <v>110000</v>
      </c>
      <c r="Z198">
        <v>77000</v>
      </c>
      <c r="AA198">
        <v>0</v>
      </c>
      <c r="AB198">
        <v>0</v>
      </c>
      <c r="AC198">
        <v>110000</v>
      </c>
      <c r="AD198">
        <v>66000</v>
      </c>
      <c r="AG198">
        <v>6</v>
      </c>
      <c r="AH198">
        <v>6</v>
      </c>
      <c r="AI198">
        <v>-2</v>
      </c>
      <c r="AJ198">
        <v>-1</v>
      </c>
      <c r="AK198">
        <v>0</v>
      </c>
      <c r="AL198">
        <v>0</v>
      </c>
      <c r="AM198" t="s">
        <v>154</v>
      </c>
      <c r="AN198">
        <v>682</v>
      </c>
      <c r="AO198">
        <v>302</v>
      </c>
      <c r="AP198">
        <v>1399</v>
      </c>
      <c r="AQ198">
        <v>1399</v>
      </c>
      <c r="AS198">
        <v>4</v>
      </c>
      <c r="AT198">
        <v>95</v>
      </c>
      <c r="AU198" t="s">
        <v>93</v>
      </c>
      <c r="AV198">
        <v>19</v>
      </c>
      <c r="AW198" t="s">
        <v>80</v>
      </c>
      <c r="AX198">
        <v>22</v>
      </c>
      <c r="AY198" s="4">
        <f t="shared" si="47"/>
        <v>12</v>
      </c>
      <c r="AZ198" t="str">
        <f t="shared" si="48"/>
        <v>(U-village)</v>
      </c>
      <c r="BA198">
        <v>4</v>
      </c>
      <c r="BB198">
        <v>124</v>
      </c>
      <c r="BC198">
        <f t="shared" si="49"/>
        <v>0</v>
      </c>
      <c r="BD198">
        <f t="shared" si="50"/>
        <v>20000</v>
      </c>
    </row>
    <row r="199" spans="1:56" x14ac:dyDescent="0.3">
      <c r="A199">
        <v>1167</v>
      </c>
      <c r="B199" s="2">
        <v>45923.600682870368</v>
      </c>
      <c r="C199">
        <v>110000</v>
      </c>
      <c r="D199">
        <v>60000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30000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6</v>
      </c>
      <c r="X199">
        <v>170000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t="s">
        <v>103</v>
      </c>
      <c r="AN199">
        <v>683</v>
      </c>
      <c r="AO199">
        <v>286</v>
      </c>
      <c r="AS199">
        <v>0</v>
      </c>
      <c r="AT199">
        <v>95</v>
      </c>
      <c r="AU199" t="s">
        <v>93</v>
      </c>
      <c r="AV199">
        <v>19</v>
      </c>
      <c r="AW199" t="s">
        <v>80</v>
      </c>
      <c r="AX199">
        <v>22</v>
      </c>
      <c r="AY199" s="4">
        <f t="shared" si="47"/>
        <v>0</v>
      </c>
      <c r="AZ199" t="str">
        <f t="shared" si="48"/>
        <v/>
      </c>
      <c r="BA199">
        <v>0</v>
      </c>
      <c r="BB199">
        <v>126</v>
      </c>
      <c r="BD199">
        <f t="shared" si="50"/>
        <v>0</v>
      </c>
    </row>
    <row r="200" spans="1:56" x14ac:dyDescent="0.3">
      <c r="A200">
        <v>1179</v>
      </c>
      <c r="B200" s="2">
        <v>45923.600682870368</v>
      </c>
      <c r="C200">
        <v>110000</v>
      </c>
      <c r="D200">
        <v>60000</v>
      </c>
      <c r="E200">
        <v>0</v>
      </c>
      <c r="F200">
        <v>12500</v>
      </c>
      <c r="G200">
        <v>0</v>
      </c>
      <c r="H200">
        <v>0</v>
      </c>
      <c r="I200">
        <v>15000</v>
      </c>
      <c r="J200">
        <v>8000</v>
      </c>
      <c r="K200">
        <v>8000</v>
      </c>
      <c r="L200">
        <v>4000</v>
      </c>
      <c r="M200">
        <v>0</v>
      </c>
      <c r="N200">
        <v>32500</v>
      </c>
      <c r="O200">
        <v>0</v>
      </c>
      <c r="P200">
        <v>-2</v>
      </c>
      <c r="Q200">
        <v>1</v>
      </c>
      <c r="R200">
        <v>1</v>
      </c>
      <c r="S200">
        <v>2</v>
      </c>
      <c r="T200">
        <v>0</v>
      </c>
      <c r="U200">
        <v>0</v>
      </c>
      <c r="V200">
        <v>3</v>
      </c>
      <c r="W200">
        <v>6</v>
      </c>
      <c r="X200">
        <v>170000</v>
      </c>
      <c r="Y200">
        <v>0</v>
      </c>
      <c r="Z200">
        <v>0</v>
      </c>
      <c r="AA200">
        <v>0</v>
      </c>
      <c r="AB200">
        <v>125000</v>
      </c>
      <c r="AC200">
        <v>125000</v>
      </c>
      <c r="AD200">
        <v>112500</v>
      </c>
      <c r="AG200">
        <v>6</v>
      </c>
      <c r="AH200">
        <v>6</v>
      </c>
      <c r="AI200">
        <v>0</v>
      </c>
      <c r="AJ200">
        <v>0</v>
      </c>
      <c r="AK200">
        <v>1</v>
      </c>
      <c r="AL200">
        <v>1</v>
      </c>
      <c r="AM200" t="s">
        <v>150</v>
      </c>
      <c r="AN200">
        <v>683</v>
      </c>
      <c r="AO200">
        <v>290</v>
      </c>
      <c r="AQ200">
        <v>1400</v>
      </c>
      <c r="AS200">
        <v>1</v>
      </c>
      <c r="AT200">
        <v>95</v>
      </c>
      <c r="AU200" t="s">
        <v>93</v>
      </c>
      <c r="AV200">
        <v>19</v>
      </c>
      <c r="AW200" t="s">
        <v>80</v>
      </c>
      <c r="AX200">
        <v>22</v>
      </c>
      <c r="AY200" s="4">
        <f t="shared" si="47"/>
        <v>12</v>
      </c>
      <c r="AZ200" t="str">
        <f t="shared" si="48"/>
        <v>(U-village)</v>
      </c>
      <c r="BA200">
        <v>1</v>
      </c>
      <c r="BB200">
        <v>126</v>
      </c>
      <c r="BC200">
        <f t="shared" ref="BC200:BC203" si="51">AK200+AL200</f>
        <v>2</v>
      </c>
      <c r="BD200">
        <f t="shared" si="50"/>
        <v>4000</v>
      </c>
    </row>
    <row r="201" spans="1:56" x14ac:dyDescent="0.3">
      <c r="A201">
        <v>1219</v>
      </c>
      <c r="B201" s="2">
        <v>45923.600682870368</v>
      </c>
      <c r="C201">
        <v>110000</v>
      </c>
      <c r="D201">
        <v>60000</v>
      </c>
      <c r="E201">
        <v>0</v>
      </c>
      <c r="F201">
        <v>12500</v>
      </c>
      <c r="G201">
        <v>0</v>
      </c>
      <c r="H201">
        <v>0</v>
      </c>
      <c r="I201">
        <v>15000</v>
      </c>
      <c r="J201">
        <v>10000</v>
      </c>
      <c r="K201">
        <v>0</v>
      </c>
      <c r="L201">
        <v>0</v>
      </c>
      <c r="M201">
        <v>4000</v>
      </c>
      <c r="N201">
        <v>41000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2</v>
      </c>
      <c r="W201">
        <v>6</v>
      </c>
      <c r="X201">
        <v>170000</v>
      </c>
      <c r="Y201">
        <v>125000</v>
      </c>
      <c r="Z201">
        <v>112500</v>
      </c>
      <c r="AA201">
        <v>0</v>
      </c>
      <c r="AB201">
        <v>0</v>
      </c>
      <c r="AC201">
        <v>125000</v>
      </c>
      <c r="AD201">
        <v>100000</v>
      </c>
      <c r="AG201">
        <v>6</v>
      </c>
      <c r="AH201">
        <v>6</v>
      </c>
      <c r="AI201">
        <v>0</v>
      </c>
      <c r="AJ201">
        <v>0</v>
      </c>
      <c r="AK201">
        <v>1</v>
      </c>
      <c r="AL201">
        <v>1</v>
      </c>
      <c r="AM201" t="s">
        <v>150</v>
      </c>
      <c r="AN201">
        <v>683</v>
      </c>
      <c r="AO201">
        <v>296</v>
      </c>
      <c r="AP201">
        <v>1400</v>
      </c>
      <c r="AQ201">
        <v>1400</v>
      </c>
      <c r="AS201">
        <v>2</v>
      </c>
      <c r="AT201">
        <v>95</v>
      </c>
      <c r="AU201" t="s">
        <v>93</v>
      </c>
      <c r="AV201">
        <v>19</v>
      </c>
      <c r="AW201" t="s">
        <v>80</v>
      </c>
      <c r="AX201">
        <v>22</v>
      </c>
      <c r="AY201" s="4">
        <f t="shared" si="47"/>
        <v>12</v>
      </c>
      <c r="AZ201" t="str">
        <f t="shared" si="48"/>
        <v>(U-village)</v>
      </c>
      <c r="BA201">
        <v>2</v>
      </c>
      <c r="BB201">
        <v>126</v>
      </c>
      <c r="BC201">
        <f t="shared" si="51"/>
        <v>2</v>
      </c>
      <c r="BD201">
        <f t="shared" si="50"/>
        <v>4000</v>
      </c>
    </row>
    <row r="202" spans="1:56" x14ac:dyDescent="0.3">
      <c r="A202">
        <v>1238</v>
      </c>
      <c r="B202" s="2">
        <v>45923.600682870368</v>
      </c>
      <c r="C202">
        <v>110000</v>
      </c>
      <c r="D202">
        <v>60000</v>
      </c>
      <c r="E202">
        <v>0</v>
      </c>
      <c r="F202">
        <v>12500</v>
      </c>
      <c r="G202">
        <v>0</v>
      </c>
      <c r="H202">
        <v>0</v>
      </c>
      <c r="I202">
        <v>15000</v>
      </c>
      <c r="J202">
        <v>8000</v>
      </c>
      <c r="K202">
        <v>6250</v>
      </c>
      <c r="L202">
        <v>24000</v>
      </c>
      <c r="M202">
        <v>0</v>
      </c>
      <c r="N202">
        <v>25250</v>
      </c>
      <c r="O202">
        <v>0</v>
      </c>
      <c r="P202">
        <v>0</v>
      </c>
      <c r="Q202">
        <v>1</v>
      </c>
      <c r="R202">
        <v>2</v>
      </c>
      <c r="S202">
        <v>7</v>
      </c>
      <c r="T202">
        <v>0</v>
      </c>
      <c r="U202">
        <v>0</v>
      </c>
      <c r="V202">
        <v>-2</v>
      </c>
      <c r="W202">
        <v>6</v>
      </c>
      <c r="X202">
        <v>170000</v>
      </c>
      <c r="Y202">
        <v>125000</v>
      </c>
      <c r="Z202">
        <v>100000</v>
      </c>
      <c r="AA202">
        <v>0</v>
      </c>
      <c r="AB202">
        <v>0</v>
      </c>
      <c r="AC202">
        <v>125000</v>
      </c>
      <c r="AD202">
        <v>87500</v>
      </c>
      <c r="AG202">
        <v>6</v>
      </c>
      <c r="AH202">
        <v>6</v>
      </c>
      <c r="AI202">
        <v>-2</v>
      </c>
      <c r="AJ202">
        <v>-1</v>
      </c>
      <c r="AK202">
        <v>1</v>
      </c>
      <c r="AL202">
        <v>0</v>
      </c>
      <c r="AM202" t="s">
        <v>150</v>
      </c>
      <c r="AN202">
        <v>683</v>
      </c>
      <c r="AO202">
        <v>299</v>
      </c>
      <c r="AP202">
        <v>1400</v>
      </c>
      <c r="AQ202">
        <v>1400</v>
      </c>
      <c r="AS202">
        <v>3</v>
      </c>
      <c r="AT202">
        <v>95</v>
      </c>
      <c r="AU202" t="s">
        <v>93</v>
      </c>
      <c r="AV202">
        <v>19</v>
      </c>
      <c r="AW202" t="s">
        <v>80</v>
      </c>
      <c r="AX202">
        <v>22</v>
      </c>
      <c r="AY202" s="4">
        <f t="shared" si="47"/>
        <v>12</v>
      </c>
      <c r="AZ202" t="str">
        <f t="shared" si="48"/>
        <v>(U-village)</v>
      </c>
      <c r="BA202">
        <v>3</v>
      </c>
      <c r="BB202">
        <v>126</v>
      </c>
      <c r="BC202">
        <f t="shared" si="51"/>
        <v>1</v>
      </c>
      <c r="BD202">
        <f t="shared" si="50"/>
        <v>24000</v>
      </c>
    </row>
    <row r="203" spans="1:56" x14ac:dyDescent="0.3">
      <c r="A203">
        <v>1257</v>
      </c>
      <c r="B203" s="2">
        <v>45923.600682870368</v>
      </c>
      <c r="C203">
        <v>110000</v>
      </c>
      <c r="D203">
        <v>60000</v>
      </c>
      <c r="E203">
        <v>0</v>
      </c>
      <c r="F203">
        <v>12500</v>
      </c>
      <c r="G203">
        <v>0</v>
      </c>
      <c r="H203">
        <v>0</v>
      </c>
      <c r="I203">
        <v>15000</v>
      </c>
      <c r="J203">
        <v>6000</v>
      </c>
      <c r="K203">
        <v>0</v>
      </c>
      <c r="L203">
        <v>16000</v>
      </c>
      <c r="M203">
        <v>4000</v>
      </c>
      <c r="N203">
        <v>21750</v>
      </c>
      <c r="O203">
        <v>0</v>
      </c>
      <c r="P203">
        <v>0</v>
      </c>
      <c r="Q203">
        <v>1</v>
      </c>
      <c r="R203">
        <v>0</v>
      </c>
      <c r="S203">
        <v>5</v>
      </c>
      <c r="T203">
        <v>1</v>
      </c>
      <c r="U203">
        <v>0</v>
      </c>
      <c r="V203">
        <v>-7</v>
      </c>
      <c r="W203">
        <v>6</v>
      </c>
      <c r="X203">
        <v>170000</v>
      </c>
      <c r="Y203">
        <v>125000</v>
      </c>
      <c r="Z203">
        <v>87500</v>
      </c>
      <c r="AA203">
        <v>0</v>
      </c>
      <c r="AB203">
        <v>0</v>
      </c>
      <c r="AC203">
        <v>125000</v>
      </c>
      <c r="AD203">
        <v>75000</v>
      </c>
      <c r="AG203">
        <v>6</v>
      </c>
      <c r="AH203">
        <v>6</v>
      </c>
      <c r="AI203">
        <v>-2</v>
      </c>
      <c r="AJ203">
        <v>-1</v>
      </c>
      <c r="AK203">
        <v>1</v>
      </c>
      <c r="AL203">
        <v>0</v>
      </c>
      <c r="AM203" t="s">
        <v>150</v>
      </c>
      <c r="AN203">
        <v>683</v>
      </c>
      <c r="AO203">
        <v>302</v>
      </c>
      <c r="AP203">
        <v>1400</v>
      </c>
      <c r="AQ203">
        <v>1400</v>
      </c>
      <c r="AS203">
        <v>4</v>
      </c>
      <c r="AT203">
        <v>95</v>
      </c>
      <c r="AU203" t="s">
        <v>93</v>
      </c>
      <c r="AV203">
        <v>19</v>
      </c>
      <c r="AW203" t="s">
        <v>80</v>
      </c>
      <c r="AX203">
        <v>22</v>
      </c>
      <c r="AY203" s="4">
        <f t="shared" si="47"/>
        <v>12</v>
      </c>
      <c r="AZ203" t="str">
        <f t="shared" si="48"/>
        <v>(U-village)</v>
      </c>
      <c r="BA203">
        <v>4</v>
      </c>
      <c r="BB203">
        <v>126</v>
      </c>
      <c r="BC203">
        <f t="shared" si="51"/>
        <v>1</v>
      </c>
      <c r="BD203">
        <f t="shared" si="50"/>
        <v>20000</v>
      </c>
    </row>
    <row r="204" spans="1:56" x14ac:dyDescent="0.3">
      <c r="A204">
        <v>1165</v>
      </c>
      <c r="B204" s="2">
        <v>45923.600659722222</v>
      </c>
      <c r="C204">
        <v>60000</v>
      </c>
      <c r="D204">
        <v>30000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5</v>
      </c>
      <c r="W204">
        <v>3</v>
      </c>
      <c r="X204">
        <v>80000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t="s">
        <v>103</v>
      </c>
      <c r="AN204">
        <v>684</v>
      </c>
      <c r="AO204">
        <v>286</v>
      </c>
      <c r="AS204">
        <v>0</v>
      </c>
      <c r="AT204">
        <v>95</v>
      </c>
      <c r="AU204" t="s">
        <v>93</v>
      </c>
      <c r="AV204">
        <v>19</v>
      </c>
      <c r="AW204" t="s">
        <v>80</v>
      </c>
      <c r="AX204">
        <v>22</v>
      </c>
      <c r="AY204" s="4">
        <f t="shared" si="47"/>
        <v>0</v>
      </c>
      <c r="AZ204" t="str">
        <f t="shared" si="48"/>
        <v/>
      </c>
      <c r="BA204">
        <v>0</v>
      </c>
      <c r="BB204">
        <v>123</v>
      </c>
      <c r="BD204">
        <f t="shared" si="50"/>
        <v>0</v>
      </c>
    </row>
    <row r="205" spans="1:56" x14ac:dyDescent="0.3">
      <c r="A205">
        <v>1173</v>
      </c>
      <c r="B205" s="2">
        <v>45923.600659722222</v>
      </c>
      <c r="C205">
        <v>60000</v>
      </c>
      <c r="D205">
        <v>30000</v>
      </c>
      <c r="E205">
        <v>0</v>
      </c>
      <c r="F205">
        <v>7000</v>
      </c>
      <c r="G205">
        <v>0</v>
      </c>
      <c r="H205">
        <v>0</v>
      </c>
      <c r="I205">
        <v>15000</v>
      </c>
      <c r="J205">
        <v>1000</v>
      </c>
      <c r="K205">
        <v>1400</v>
      </c>
      <c r="L205">
        <v>4000</v>
      </c>
      <c r="M205">
        <v>0</v>
      </c>
      <c r="N205">
        <v>1600</v>
      </c>
      <c r="O205">
        <v>0</v>
      </c>
      <c r="P205">
        <v>-1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2</v>
      </c>
      <c r="W205">
        <v>3</v>
      </c>
      <c r="X205">
        <v>80000</v>
      </c>
      <c r="Y205">
        <v>0</v>
      </c>
      <c r="Z205">
        <v>0</v>
      </c>
      <c r="AA205">
        <v>0</v>
      </c>
      <c r="AB205">
        <v>70000</v>
      </c>
      <c r="AC205">
        <v>70000</v>
      </c>
      <c r="AD205">
        <v>63000</v>
      </c>
      <c r="AG205">
        <v>6</v>
      </c>
      <c r="AH205">
        <v>6</v>
      </c>
      <c r="AI205">
        <v>0</v>
      </c>
      <c r="AJ205">
        <v>0</v>
      </c>
      <c r="AK205">
        <v>0</v>
      </c>
      <c r="AL205">
        <v>1</v>
      </c>
      <c r="AM205" t="s">
        <v>150</v>
      </c>
      <c r="AN205">
        <v>684</v>
      </c>
      <c r="AO205">
        <v>290</v>
      </c>
      <c r="AQ205">
        <v>1402</v>
      </c>
      <c r="AS205">
        <v>1</v>
      </c>
      <c r="AT205">
        <v>95</v>
      </c>
      <c r="AU205" t="s">
        <v>93</v>
      </c>
      <c r="AV205">
        <v>19</v>
      </c>
      <c r="AW205" t="s">
        <v>80</v>
      </c>
      <c r="AX205">
        <v>22</v>
      </c>
      <c r="AY205" s="4">
        <f t="shared" si="47"/>
        <v>12</v>
      </c>
      <c r="AZ205" t="str">
        <f t="shared" si="48"/>
        <v>(U-village)</v>
      </c>
      <c r="BA205">
        <v>1</v>
      </c>
      <c r="BB205">
        <v>123</v>
      </c>
      <c r="BC205">
        <f t="shared" ref="BC205:BC208" si="52">AK205+AL205</f>
        <v>1</v>
      </c>
      <c r="BD205">
        <f t="shared" si="50"/>
        <v>4000</v>
      </c>
    </row>
    <row r="206" spans="1:56" x14ac:dyDescent="0.3">
      <c r="A206">
        <v>1213</v>
      </c>
      <c r="B206" s="2">
        <v>45923.600659722222</v>
      </c>
      <c r="C206">
        <v>60000</v>
      </c>
      <c r="D206">
        <v>30000</v>
      </c>
      <c r="E206">
        <v>0</v>
      </c>
      <c r="F206">
        <v>7000</v>
      </c>
      <c r="G206">
        <v>0</v>
      </c>
      <c r="H206">
        <v>0</v>
      </c>
      <c r="I206">
        <v>15000</v>
      </c>
      <c r="J206">
        <v>0</v>
      </c>
      <c r="K206">
        <v>3500</v>
      </c>
      <c r="L206">
        <v>0</v>
      </c>
      <c r="M206">
        <v>4000</v>
      </c>
      <c r="N206">
        <v>2100</v>
      </c>
      <c r="O206">
        <v>0</v>
      </c>
      <c r="P206">
        <v>0</v>
      </c>
      <c r="Q206">
        <v>0</v>
      </c>
      <c r="R206">
        <v>2</v>
      </c>
      <c r="S206">
        <v>0</v>
      </c>
      <c r="T206">
        <v>1</v>
      </c>
      <c r="U206">
        <v>0</v>
      </c>
      <c r="V206">
        <v>3</v>
      </c>
      <c r="W206">
        <v>3</v>
      </c>
      <c r="X206">
        <v>80000</v>
      </c>
      <c r="Y206">
        <v>70000</v>
      </c>
      <c r="Z206">
        <v>63000</v>
      </c>
      <c r="AA206">
        <v>0</v>
      </c>
      <c r="AB206">
        <v>0</v>
      </c>
      <c r="AC206">
        <v>70000</v>
      </c>
      <c r="AD206">
        <v>56000</v>
      </c>
      <c r="AG206">
        <v>6</v>
      </c>
      <c r="AH206">
        <v>6</v>
      </c>
      <c r="AI206">
        <v>0</v>
      </c>
      <c r="AJ206">
        <v>0</v>
      </c>
      <c r="AK206">
        <v>0</v>
      </c>
      <c r="AL206">
        <v>0</v>
      </c>
      <c r="AM206" t="s">
        <v>150</v>
      </c>
      <c r="AN206">
        <v>684</v>
      </c>
      <c r="AO206">
        <v>296</v>
      </c>
      <c r="AP206">
        <v>1402</v>
      </c>
      <c r="AQ206">
        <v>1402</v>
      </c>
      <c r="AS206">
        <v>2</v>
      </c>
      <c r="AT206">
        <v>95</v>
      </c>
      <c r="AU206" t="s">
        <v>93</v>
      </c>
      <c r="AV206">
        <v>19</v>
      </c>
      <c r="AW206" t="s">
        <v>80</v>
      </c>
      <c r="AX206">
        <v>22</v>
      </c>
      <c r="AY206" s="4">
        <f t="shared" si="47"/>
        <v>12</v>
      </c>
      <c r="AZ206" t="str">
        <f t="shared" si="48"/>
        <v>(U-village)</v>
      </c>
      <c r="BA206">
        <v>2</v>
      </c>
      <c r="BB206">
        <v>123</v>
      </c>
      <c r="BC206">
        <f t="shared" si="52"/>
        <v>0</v>
      </c>
      <c r="BD206">
        <f t="shared" si="50"/>
        <v>4000</v>
      </c>
    </row>
    <row r="207" spans="1:56" x14ac:dyDescent="0.3">
      <c r="A207">
        <v>1235</v>
      </c>
      <c r="B207" s="2">
        <v>45923.600659722222</v>
      </c>
      <c r="C207">
        <v>60000</v>
      </c>
      <c r="D207">
        <v>30000</v>
      </c>
      <c r="E207">
        <v>0</v>
      </c>
      <c r="F207">
        <v>7000</v>
      </c>
      <c r="G207">
        <v>0</v>
      </c>
      <c r="H207">
        <v>0</v>
      </c>
      <c r="I207">
        <v>15000</v>
      </c>
      <c r="J207">
        <v>0</v>
      </c>
      <c r="K207">
        <v>1750</v>
      </c>
      <c r="L207">
        <v>24000</v>
      </c>
      <c r="M207">
        <v>0</v>
      </c>
      <c r="N207">
        <v>-15650</v>
      </c>
      <c r="O207">
        <v>0</v>
      </c>
      <c r="P207">
        <v>0</v>
      </c>
      <c r="Q207">
        <v>0</v>
      </c>
      <c r="R207">
        <v>1</v>
      </c>
      <c r="S207">
        <v>7</v>
      </c>
      <c r="T207">
        <v>0</v>
      </c>
      <c r="U207">
        <v>0</v>
      </c>
      <c r="V207">
        <v>-3</v>
      </c>
      <c r="W207">
        <v>3</v>
      </c>
      <c r="X207">
        <v>80000</v>
      </c>
      <c r="Y207">
        <v>70000</v>
      </c>
      <c r="Z207">
        <v>56000</v>
      </c>
      <c r="AA207">
        <v>0</v>
      </c>
      <c r="AB207">
        <v>0</v>
      </c>
      <c r="AC207">
        <v>70000</v>
      </c>
      <c r="AD207">
        <v>49000</v>
      </c>
      <c r="AG207">
        <v>6</v>
      </c>
      <c r="AH207">
        <v>6</v>
      </c>
      <c r="AI207">
        <v>-2</v>
      </c>
      <c r="AJ207">
        <v>-1</v>
      </c>
      <c r="AK207">
        <v>0</v>
      </c>
      <c r="AL207">
        <v>0</v>
      </c>
      <c r="AM207" t="s">
        <v>150</v>
      </c>
      <c r="AN207">
        <v>684</v>
      </c>
      <c r="AO207">
        <v>299</v>
      </c>
      <c r="AP207">
        <v>1402</v>
      </c>
      <c r="AQ207">
        <v>1402</v>
      </c>
      <c r="AS207">
        <v>3</v>
      </c>
      <c r="AT207">
        <v>95</v>
      </c>
      <c r="AU207" t="s">
        <v>93</v>
      </c>
      <c r="AV207">
        <v>19</v>
      </c>
      <c r="AW207" t="s">
        <v>80</v>
      </c>
      <c r="AX207">
        <v>22</v>
      </c>
      <c r="AY207" s="4">
        <f t="shared" si="47"/>
        <v>12</v>
      </c>
      <c r="AZ207" t="str">
        <f t="shared" si="48"/>
        <v>(U-village)</v>
      </c>
      <c r="BA207">
        <v>3</v>
      </c>
      <c r="BB207">
        <v>123</v>
      </c>
      <c r="BC207">
        <f t="shared" si="52"/>
        <v>0</v>
      </c>
      <c r="BD207">
        <f t="shared" si="50"/>
        <v>24000</v>
      </c>
    </row>
    <row r="208" spans="1:56" x14ac:dyDescent="0.3">
      <c r="A208">
        <v>1255</v>
      </c>
      <c r="B208" s="2">
        <v>45923.600659722222</v>
      </c>
      <c r="C208">
        <v>60000</v>
      </c>
      <c r="D208">
        <v>30000</v>
      </c>
      <c r="E208">
        <v>15650</v>
      </c>
      <c r="F208">
        <v>0</v>
      </c>
      <c r="G208">
        <v>0</v>
      </c>
      <c r="H208">
        <v>0</v>
      </c>
      <c r="I208">
        <v>15000</v>
      </c>
      <c r="J208">
        <v>0</v>
      </c>
      <c r="K208">
        <v>0</v>
      </c>
      <c r="L208">
        <v>16000</v>
      </c>
      <c r="M208">
        <v>4000</v>
      </c>
      <c r="N208">
        <v>-20650</v>
      </c>
      <c r="O208">
        <v>0</v>
      </c>
      <c r="P208">
        <v>0</v>
      </c>
      <c r="Q208">
        <v>0</v>
      </c>
      <c r="R208">
        <v>0</v>
      </c>
      <c r="S208">
        <v>5</v>
      </c>
      <c r="T208">
        <v>1</v>
      </c>
      <c r="U208">
        <v>1</v>
      </c>
      <c r="V208">
        <v>-10</v>
      </c>
      <c r="W208">
        <v>3</v>
      </c>
      <c r="X208">
        <v>80000</v>
      </c>
      <c r="Y208">
        <v>70000</v>
      </c>
      <c r="Z208">
        <v>49000</v>
      </c>
      <c r="AA208">
        <v>0</v>
      </c>
      <c r="AB208">
        <v>0</v>
      </c>
      <c r="AC208">
        <v>70000</v>
      </c>
      <c r="AD208">
        <v>49000</v>
      </c>
      <c r="AG208">
        <v>6</v>
      </c>
      <c r="AH208">
        <v>6</v>
      </c>
      <c r="AI208">
        <v>-2</v>
      </c>
      <c r="AJ208">
        <v>-1</v>
      </c>
      <c r="AK208">
        <v>0</v>
      </c>
      <c r="AL208">
        <v>0</v>
      </c>
      <c r="AM208" t="s">
        <v>150</v>
      </c>
      <c r="AN208">
        <v>684</v>
      </c>
      <c r="AO208">
        <v>302</v>
      </c>
      <c r="AP208">
        <v>1402</v>
      </c>
      <c r="AQ208">
        <v>1402</v>
      </c>
      <c r="AS208">
        <v>4</v>
      </c>
      <c r="AT208">
        <v>95</v>
      </c>
      <c r="AU208" t="s">
        <v>93</v>
      </c>
      <c r="AV208">
        <v>19</v>
      </c>
      <c r="AW208" t="s">
        <v>80</v>
      </c>
      <c r="AX208">
        <v>22</v>
      </c>
      <c r="AY208" s="4">
        <f t="shared" si="47"/>
        <v>12</v>
      </c>
      <c r="AZ208" t="str">
        <f t="shared" si="48"/>
        <v>(U-village)</v>
      </c>
      <c r="BA208">
        <v>4</v>
      </c>
      <c r="BB208">
        <v>123</v>
      </c>
      <c r="BC208">
        <f t="shared" si="52"/>
        <v>0</v>
      </c>
      <c r="BD208">
        <f t="shared" si="50"/>
        <v>20000</v>
      </c>
    </row>
    <row r="209" spans="1:56" x14ac:dyDescent="0.3">
      <c r="A209">
        <v>1154</v>
      </c>
      <c r="B209" s="2">
        <v>45923.590451388889</v>
      </c>
      <c r="C209">
        <v>90000</v>
      </c>
      <c r="D209">
        <v>50000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15000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</v>
      </c>
      <c r="W209">
        <v>5</v>
      </c>
      <c r="X209">
        <v>130000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t="s">
        <v>103</v>
      </c>
      <c r="AN209">
        <v>685</v>
      </c>
      <c r="AO209">
        <v>286</v>
      </c>
      <c r="AS209">
        <v>0</v>
      </c>
      <c r="AT209">
        <v>95</v>
      </c>
      <c r="AU209" t="s">
        <v>93</v>
      </c>
      <c r="AV209">
        <v>19</v>
      </c>
      <c r="AW209" t="s">
        <v>80</v>
      </c>
      <c r="AX209">
        <v>22</v>
      </c>
      <c r="AY209" s="4">
        <f t="shared" si="47"/>
        <v>0</v>
      </c>
      <c r="AZ209" t="str">
        <f t="shared" si="48"/>
        <v/>
      </c>
      <c r="BA209">
        <v>0</v>
      </c>
      <c r="BB209">
        <v>125</v>
      </c>
      <c r="BD209">
        <f t="shared" si="50"/>
        <v>0</v>
      </c>
    </row>
    <row r="210" spans="1:56" x14ac:dyDescent="0.3">
      <c r="A210">
        <v>1175</v>
      </c>
      <c r="B210" s="2">
        <v>45923.590451388889</v>
      </c>
      <c r="C210">
        <v>90000</v>
      </c>
      <c r="D210">
        <v>50000</v>
      </c>
      <c r="E210">
        <v>0</v>
      </c>
      <c r="F210">
        <v>7000</v>
      </c>
      <c r="G210">
        <v>0</v>
      </c>
      <c r="H210">
        <v>0</v>
      </c>
      <c r="I210">
        <v>15000</v>
      </c>
      <c r="J210">
        <v>6000</v>
      </c>
      <c r="K210">
        <v>3500</v>
      </c>
      <c r="L210">
        <v>8000</v>
      </c>
      <c r="M210">
        <v>0</v>
      </c>
      <c r="N210">
        <v>15500</v>
      </c>
      <c r="O210">
        <v>0</v>
      </c>
      <c r="P210">
        <v>-3</v>
      </c>
      <c r="Q210">
        <v>1</v>
      </c>
      <c r="R210">
        <v>2</v>
      </c>
      <c r="S210">
        <v>3</v>
      </c>
      <c r="T210">
        <v>0</v>
      </c>
      <c r="U210">
        <v>0</v>
      </c>
      <c r="V210">
        <v>2</v>
      </c>
      <c r="W210">
        <v>5</v>
      </c>
      <c r="X210">
        <v>130000</v>
      </c>
      <c r="Y210">
        <v>0</v>
      </c>
      <c r="Z210">
        <v>0</v>
      </c>
      <c r="AA210">
        <v>0</v>
      </c>
      <c r="AB210">
        <v>70000</v>
      </c>
      <c r="AC210">
        <v>70000</v>
      </c>
      <c r="AD210">
        <v>63000</v>
      </c>
      <c r="AG210">
        <v>6</v>
      </c>
      <c r="AH210">
        <v>6</v>
      </c>
      <c r="AI210">
        <v>0</v>
      </c>
      <c r="AJ210">
        <v>0</v>
      </c>
      <c r="AK210">
        <v>1</v>
      </c>
      <c r="AL210">
        <v>0</v>
      </c>
      <c r="AM210" t="s">
        <v>150</v>
      </c>
      <c r="AN210">
        <v>685</v>
      </c>
      <c r="AO210">
        <v>290</v>
      </c>
      <c r="AQ210">
        <v>1401</v>
      </c>
      <c r="AS210">
        <v>1</v>
      </c>
      <c r="AT210">
        <v>95</v>
      </c>
      <c r="AU210" t="s">
        <v>93</v>
      </c>
      <c r="AV210">
        <v>19</v>
      </c>
      <c r="AW210" t="s">
        <v>80</v>
      </c>
      <c r="AX210">
        <v>22</v>
      </c>
      <c r="AY210" s="4">
        <f t="shared" si="47"/>
        <v>12</v>
      </c>
      <c r="AZ210" t="str">
        <f t="shared" si="48"/>
        <v>(U-village)</v>
      </c>
      <c r="BA210">
        <v>1</v>
      </c>
      <c r="BB210">
        <v>125</v>
      </c>
      <c r="BC210">
        <f t="shared" ref="BC210:BC213" si="53">AK210+AL210</f>
        <v>1</v>
      </c>
      <c r="BD210">
        <f t="shared" si="50"/>
        <v>8000</v>
      </c>
    </row>
    <row r="211" spans="1:56" x14ac:dyDescent="0.3">
      <c r="A211">
        <v>1214</v>
      </c>
      <c r="B211" s="2">
        <v>45923.590451388889</v>
      </c>
      <c r="C211">
        <v>90000</v>
      </c>
      <c r="D211">
        <v>50000</v>
      </c>
      <c r="E211">
        <v>0</v>
      </c>
      <c r="F211">
        <v>7000</v>
      </c>
      <c r="G211">
        <v>0</v>
      </c>
      <c r="H211">
        <v>0</v>
      </c>
      <c r="I211">
        <v>15000</v>
      </c>
      <c r="J211">
        <v>11000</v>
      </c>
      <c r="K211">
        <v>1400</v>
      </c>
      <c r="L211">
        <v>0</v>
      </c>
      <c r="M211">
        <v>4000</v>
      </c>
      <c r="N211">
        <v>17100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5</v>
      </c>
      <c r="X211">
        <v>130000</v>
      </c>
      <c r="Y211">
        <v>70000</v>
      </c>
      <c r="Z211">
        <v>63000</v>
      </c>
      <c r="AA211">
        <v>0</v>
      </c>
      <c r="AB211">
        <v>0</v>
      </c>
      <c r="AC211">
        <v>70000</v>
      </c>
      <c r="AD211">
        <v>56000</v>
      </c>
      <c r="AG211">
        <v>6</v>
      </c>
      <c r="AH211">
        <v>6</v>
      </c>
      <c r="AI211">
        <v>0</v>
      </c>
      <c r="AJ211">
        <v>0</v>
      </c>
      <c r="AK211">
        <v>1</v>
      </c>
      <c r="AL211">
        <v>2</v>
      </c>
      <c r="AM211" t="s">
        <v>150</v>
      </c>
      <c r="AN211">
        <v>685</v>
      </c>
      <c r="AO211">
        <v>296</v>
      </c>
      <c r="AP211">
        <v>1401</v>
      </c>
      <c r="AQ211">
        <v>1401</v>
      </c>
      <c r="AS211">
        <v>2</v>
      </c>
      <c r="AT211">
        <v>95</v>
      </c>
      <c r="AU211" t="s">
        <v>93</v>
      </c>
      <c r="AV211">
        <v>19</v>
      </c>
      <c r="AW211" t="s">
        <v>80</v>
      </c>
      <c r="AX211">
        <v>22</v>
      </c>
      <c r="AY211" s="4">
        <f t="shared" si="47"/>
        <v>12</v>
      </c>
      <c r="AZ211" t="str">
        <f t="shared" si="48"/>
        <v>(U-village)</v>
      </c>
      <c r="BA211">
        <v>2</v>
      </c>
      <c r="BB211">
        <v>125</v>
      </c>
      <c r="BC211">
        <f t="shared" si="53"/>
        <v>3</v>
      </c>
      <c r="BD211">
        <f t="shared" si="50"/>
        <v>4000</v>
      </c>
    </row>
    <row r="212" spans="1:56" x14ac:dyDescent="0.3">
      <c r="A212">
        <v>1236</v>
      </c>
      <c r="B212" s="2">
        <v>45923.590451388889</v>
      </c>
      <c r="C212">
        <v>90000</v>
      </c>
      <c r="D212">
        <v>50000</v>
      </c>
      <c r="E212">
        <v>0</v>
      </c>
      <c r="F212">
        <v>7000</v>
      </c>
      <c r="G212">
        <v>0</v>
      </c>
      <c r="H212">
        <v>0</v>
      </c>
      <c r="I212">
        <v>15000</v>
      </c>
      <c r="J212">
        <v>16000</v>
      </c>
      <c r="K212">
        <v>1750</v>
      </c>
      <c r="L212">
        <v>20000</v>
      </c>
      <c r="M212">
        <v>0</v>
      </c>
      <c r="N212">
        <v>-2650</v>
      </c>
      <c r="O212">
        <v>0</v>
      </c>
      <c r="P212">
        <v>0</v>
      </c>
      <c r="Q212">
        <v>2</v>
      </c>
      <c r="R212">
        <v>1</v>
      </c>
      <c r="S212">
        <v>6</v>
      </c>
      <c r="T212">
        <v>0</v>
      </c>
      <c r="U212">
        <v>0</v>
      </c>
      <c r="V212">
        <v>-2</v>
      </c>
      <c r="W212">
        <v>5</v>
      </c>
      <c r="X212">
        <v>130000</v>
      </c>
      <c r="Y212">
        <v>70000</v>
      </c>
      <c r="Z212">
        <v>56000</v>
      </c>
      <c r="AA212">
        <v>0</v>
      </c>
      <c r="AB212">
        <v>0</v>
      </c>
      <c r="AC212">
        <v>70000</v>
      </c>
      <c r="AD212">
        <v>49000</v>
      </c>
      <c r="AG212">
        <v>6</v>
      </c>
      <c r="AH212">
        <v>6</v>
      </c>
      <c r="AI212">
        <v>-2</v>
      </c>
      <c r="AJ212">
        <v>-1</v>
      </c>
      <c r="AK212">
        <v>2</v>
      </c>
      <c r="AL212">
        <v>1</v>
      </c>
      <c r="AM212" t="s">
        <v>150</v>
      </c>
      <c r="AN212">
        <v>685</v>
      </c>
      <c r="AO212">
        <v>299</v>
      </c>
      <c r="AP212">
        <v>1401</v>
      </c>
      <c r="AQ212">
        <v>1401</v>
      </c>
      <c r="AS212">
        <v>3</v>
      </c>
      <c r="AT212">
        <v>95</v>
      </c>
      <c r="AU212" t="s">
        <v>93</v>
      </c>
      <c r="AV212">
        <v>19</v>
      </c>
      <c r="AW212" t="s">
        <v>80</v>
      </c>
      <c r="AX212">
        <v>22</v>
      </c>
      <c r="AY212" s="4">
        <f t="shared" si="47"/>
        <v>12</v>
      </c>
      <c r="AZ212" t="str">
        <f t="shared" si="48"/>
        <v>(U-village)</v>
      </c>
      <c r="BA212">
        <v>3</v>
      </c>
      <c r="BB212">
        <v>125</v>
      </c>
      <c r="BC212">
        <f t="shared" si="53"/>
        <v>3</v>
      </c>
      <c r="BD212">
        <f t="shared" si="50"/>
        <v>20000</v>
      </c>
    </row>
    <row r="213" spans="1:56" x14ac:dyDescent="0.3">
      <c r="A213">
        <v>1253</v>
      </c>
      <c r="B213" s="2">
        <v>45923.590451388889</v>
      </c>
      <c r="C213">
        <v>90000</v>
      </c>
      <c r="D213">
        <v>50000</v>
      </c>
      <c r="E213">
        <v>2650</v>
      </c>
      <c r="F213">
        <v>10000</v>
      </c>
      <c r="G213">
        <v>21000</v>
      </c>
      <c r="H213">
        <v>0</v>
      </c>
      <c r="I213">
        <v>25000</v>
      </c>
      <c r="J213">
        <v>6000</v>
      </c>
      <c r="K213">
        <v>0</v>
      </c>
      <c r="L213">
        <v>0</v>
      </c>
      <c r="M213">
        <v>4000</v>
      </c>
      <c r="N213">
        <v>13350</v>
      </c>
      <c r="O213">
        <v>1</v>
      </c>
      <c r="P213">
        <v>-2</v>
      </c>
      <c r="Q213">
        <v>1</v>
      </c>
      <c r="R213">
        <v>0</v>
      </c>
      <c r="S213">
        <v>1</v>
      </c>
      <c r="T213">
        <v>1</v>
      </c>
      <c r="U213">
        <v>1</v>
      </c>
      <c r="V213">
        <v>-7</v>
      </c>
      <c r="W213">
        <v>5</v>
      </c>
      <c r="X213">
        <v>130000</v>
      </c>
      <c r="Y213">
        <v>70000</v>
      </c>
      <c r="Z213">
        <v>49000</v>
      </c>
      <c r="AA213">
        <v>70000</v>
      </c>
      <c r="AB213">
        <v>100000</v>
      </c>
      <c r="AC213">
        <v>100000</v>
      </c>
      <c r="AD213">
        <v>90000</v>
      </c>
      <c r="AE213">
        <v>34</v>
      </c>
      <c r="AG213">
        <v>6</v>
      </c>
      <c r="AH213">
        <v>9</v>
      </c>
      <c r="AI213">
        <v>-2</v>
      </c>
      <c r="AJ213">
        <v>-1</v>
      </c>
      <c r="AK213">
        <v>1</v>
      </c>
      <c r="AL213">
        <v>1</v>
      </c>
      <c r="AM213" t="s">
        <v>150</v>
      </c>
      <c r="AN213">
        <v>685</v>
      </c>
      <c r="AO213">
        <v>302</v>
      </c>
      <c r="AP213">
        <v>1401</v>
      </c>
      <c r="AQ213">
        <v>1458</v>
      </c>
      <c r="AS213">
        <v>4</v>
      </c>
      <c r="AT213">
        <v>95</v>
      </c>
      <c r="AU213" t="s">
        <v>93</v>
      </c>
      <c r="AV213">
        <v>19</v>
      </c>
      <c r="AW213" t="s">
        <v>80</v>
      </c>
      <c r="AX213">
        <v>22</v>
      </c>
      <c r="AY213" s="4">
        <f t="shared" si="47"/>
        <v>15</v>
      </c>
      <c r="AZ213" t="str">
        <f t="shared" si="48"/>
        <v>(Natu-city)</v>
      </c>
      <c r="BA213">
        <v>4</v>
      </c>
      <c r="BB213">
        <v>125</v>
      </c>
      <c r="BC213">
        <f t="shared" si="53"/>
        <v>2</v>
      </c>
      <c r="BD213">
        <f t="shared" si="50"/>
        <v>4000</v>
      </c>
    </row>
    <row r="214" spans="1:56" x14ac:dyDescent="0.3">
      <c r="A214">
        <v>1158</v>
      </c>
      <c r="B214" s="2">
        <v>45923.593657407408</v>
      </c>
      <c r="C214">
        <v>130000</v>
      </c>
      <c r="D214">
        <v>75000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50000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</v>
      </c>
      <c r="W214">
        <v>7</v>
      </c>
      <c r="X214">
        <v>200000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s">
        <v>103</v>
      </c>
      <c r="AN214">
        <v>686</v>
      </c>
      <c r="AO214">
        <v>286</v>
      </c>
      <c r="AS214">
        <v>0</v>
      </c>
      <c r="AT214">
        <v>95</v>
      </c>
      <c r="AU214" t="s">
        <v>93</v>
      </c>
      <c r="AV214">
        <v>19</v>
      </c>
      <c r="AW214" t="s">
        <v>80</v>
      </c>
      <c r="AX214">
        <v>22</v>
      </c>
      <c r="AY214" s="4">
        <f t="shared" si="47"/>
        <v>0</v>
      </c>
      <c r="AZ214" t="str">
        <f t="shared" si="48"/>
        <v/>
      </c>
      <c r="BA214">
        <v>0</v>
      </c>
      <c r="BB214">
        <v>127</v>
      </c>
      <c r="BD214">
        <f t="shared" si="50"/>
        <v>0</v>
      </c>
    </row>
    <row r="215" spans="1:56" x14ac:dyDescent="0.3">
      <c r="A215">
        <v>1174</v>
      </c>
      <c r="B215" s="2">
        <v>45923.593657407408</v>
      </c>
      <c r="C215">
        <v>130000</v>
      </c>
      <c r="D215">
        <v>75000</v>
      </c>
      <c r="E215">
        <v>0</v>
      </c>
      <c r="F215">
        <v>8000</v>
      </c>
      <c r="G215">
        <v>0</v>
      </c>
      <c r="H215">
        <v>0</v>
      </c>
      <c r="I215">
        <v>20000</v>
      </c>
      <c r="J215">
        <v>14000</v>
      </c>
      <c r="K215">
        <v>7600</v>
      </c>
      <c r="L215">
        <v>0</v>
      </c>
      <c r="M215">
        <v>0</v>
      </c>
      <c r="N215">
        <v>55400</v>
      </c>
      <c r="O215">
        <v>0</v>
      </c>
      <c r="P215">
        <v>-5</v>
      </c>
      <c r="Q215">
        <v>2</v>
      </c>
      <c r="R215">
        <v>3</v>
      </c>
      <c r="S215">
        <v>0</v>
      </c>
      <c r="T215">
        <v>0</v>
      </c>
      <c r="U215">
        <v>0</v>
      </c>
      <c r="V215">
        <v>5</v>
      </c>
      <c r="W215">
        <v>7</v>
      </c>
      <c r="X215">
        <v>200000</v>
      </c>
      <c r="Y215">
        <v>0</v>
      </c>
      <c r="Z215">
        <v>0</v>
      </c>
      <c r="AA215">
        <v>0</v>
      </c>
      <c r="AB215">
        <v>80000</v>
      </c>
      <c r="AC215">
        <v>80000</v>
      </c>
      <c r="AD215">
        <v>72000</v>
      </c>
      <c r="AG215">
        <v>4</v>
      </c>
      <c r="AH215">
        <v>9</v>
      </c>
      <c r="AI215">
        <v>0</v>
      </c>
      <c r="AJ215">
        <v>0</v>
      </c>
      <c r="AK215">
        <v>2</v>
      </c>
      <c r="AL215">
        <v>0</v>
      </c>
      <c r="AM215" t="s">
        <v>150</v>
      </c>
      <c r="AN215">
        <v>686</v>
      </c>
      <c r="AO215">
        <v>290</v>
      </c>
      <c r="AQ215">
        <v>1397</v>
      </c>
      <c r="AS215">
        <v>1</v>
      </c>
      <c r="AT215">
        <v>95</v>
      </c>
      <c r="AU215" t="s">
        <v>93</v>
      </c>
      <c r="AV215">
        <v>19</v>
      </c>
      <c r="AW215" t="s">
        <v>80</v>
      </c>
      <c r="AX215">
        <v>22</v>
      </c>
      <c r="AY215" s="4">
        <f t="shared" si="47"/>
        <v>13</v>
      </c>
      <c r="AZ215" t="str">
        <f t="shared" si="48"/>
        <v>(Dike-town)</v>
      </c>
      <c r="BA215">
        <v>1</v>
      </c>
      <c r="BB215">
        <v>127</v>
      </c>
      <c r="BC215">
        <f t="shared" ref="BC215:BC218" si="54">AK215+AL215</f>
        <v>2</v>
      </c>
      <c r="BD215">
        <f t="shared" si="50"/>
        <v>0</v>
      </c>
    </row>
    <row r="216" spans="1:56" x14ac:dyDescent="0.3">
      <c r="A216">
        <v>1217</v>
      </c>
      <c r="B216" s="2">
        <v>45923.593657407408</v>
      </c>
      <c r="C216">
        <v>130000</v>
      </c>
      <c r="D216">
        <v>75000</v>
      </c>
      <c r="E216">
        <v>0</v>
      </c>
      <c r="F216">
        <v>8000</v>
      </c>
      <c r="G216">
        <v>0</v>
      </c>
      <c r="H216">
        <v>0</v>
      </c>
      <c r="I216">
        <v>20000</v>
      </c>
      <c r="J216">
        <v>18000</v>
      </c>
      <c r="K216">
        <v>0</v>
      </c>
      <c r="L216">
        <v>0</v>
      </c>
      <c r="M216">
        <v>4000</v>
      </c>
      <c r="N216">
        <v>60400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5</v>
      </c>
      <c r="W216">
        <v>7</v>
      </c>
      <c r="X216">
        <v>200000</v>
      </c>
      <c r="Y216">
        <v>80000</v>
      </c>
      <c r="Z216">
        <v>72000</v>
      </c>
      <c r="AA216">
        <v>0</v>
      </c>
      <c r="AB216">
        <v>0</v>
      </c>
      <c r="AC216">
        <v>80000</v>
      </c>
      <c r="AD216">
        <v>64000</v>
      </c>
      <c r="AG216">
        <v>4</v>
      </c>
      <c r="AH216">
        <v>9</v>
      </c>
      <c r="AI216">
        <v>0</v>
      </c>
      <c r="AJ216">
        <v>0</v>
      </c>
      <c r="AK216">
        <v>2</v>
      </c>
      <c r="AL216">
        <v>2</v>
      </c>
      <c r="AM216" t="s">
        <v>150</v>
      </c>
      <c r="AN216">
        <v>686</v>
      </c>
      <c r="AO216">
        <v>296</v>
      </c>
      <c r="AP216">
        <v>1397</v>
      </c>
      <c r="AQ216">
        <v>1397</v>
      </c>
      <c r="AS216">
        <v>2</v>
      </c>
      <c r="AT216">
        <v>95</v>
      </c>
      <c r="AU216" t="s">
        <v>93</v>
      </c>
      <c r="AV216">
        <v>19</v>
      </c>
      <c r="AW216" t="s">
        <v>80</v>
      </c>
      <c r="AX216">
        <v>22</v>
      </c>
      <c r="AY216" s="4">
        <f t="shared" si="47"/>
        <v>13</v>
      </c>
      <c r="AZ216" t="str">
        <f t="shared" si="48"/>
        <v>(Dike-town)</v>
      </c>
      <c r="BA216">
        <v>2</v>
      </c>
      <c r="BB216">
        <v>127</v>
      </c>
      <c r="BC216">
        <f t="shared" si="54"/>
        <v>4</v>
      </c>
      <c r="BD216">
        <f t="shared" si="50"/>
        <v>4000</v>
      </c>
    </row>
    <row r="217" spans="1:56" x14ac:dyDescent="0.3">
      <c r="A217">
        <v>1237</v>
      </c>
      <c r="B217" s="2">
        <v>45923.593657407408</v>
      </c>
      <c r="C217">
        <v>130000</v>
      </c>
      <c r="D217">
        <v>75000</v>
      </c>
      <c r="E217">
        <v>0</v>
      </c>
      <c r="F217">
        <v>8000</v>
      </c>
      <c r="G217">
        <v>0</v>
      </c>
      <c r="H217">
        <v>0</v>
      </c>
      <c r="I217">
        <v>20000</v>
      </c>
      <c r="J217">
        <v>1000</v>
      </c>
      <c r="K217">
        <v>6500</v>
      </c>
      <c r="L217">
        <v>8000</v>
      </c>
      <c r="M217">
        <v>4000</v>
      </c>
      <c r="N217">
        <v>67900</v>
      </c>
      <c r="O217">
        <v>0</v>
      </c>
      <c r="P217">
        <v>0</v>
      </c>
      <c r="Q217">
        <v>0</v>
      </c>
      <c r="R217">
        <v>1</v>
      </c>
      <c r="S217">
        <v>3</v>
      </c>
      <c r="T217">
        <v>1</v>
      </c>
      <c r="U217">
        <v>0</v>
      </c>
      <c r="V217">
        <v>2</v>
      </c>
      <c r="W217">
        <v>7</v>
      </c>
      <c r="X217">
        <v>200000</v>
      </c>
      <c r="Y217">
        <v>80000</v>
      </c>
      <c r="Z217">
        <v>64000</v>
      </c>
      <c r="AA217">
        <v>0</v>
      </c>
      <c r="AB217">
        <v>0</v>
      </c>
      <c r="AC217">
        <v>80000</v>
      </c>
      <c r="AD217">
        <v>56000</v>
      </c>
      <c r="AG217">
        <v>4</v>
      </c>
      <c r="AH217">
        <v>9</v>
      </c>
      <c r="AI217">
        <v>-2</v>
      </c>
      <c r="AJ217">
        <v>-1</v>
      </c>
      <c r="AK217">
        <v>0</v>
      </c>
      <c r="AL217">
        <v>1</v>
      </c>
      <c r="AM217" t="s">
        <v>150</v>
      </c>
      <c r="AN217">
        <v>686</v>
      </c>
      <c r="AO217">
        <v>299</v>
      </c>
      <c r="AP217">
        <v>1397</v>
      </c>
      <c r="AQ217">
        <v>1397</v>
      </c>
      <c r="AS217">
        <v>3</v>
      </c>
      <c r="AT217">
        <v>95</v>
      </c>
      <c r="AU217" t="s">
        <v>93</v>
      </c>
      <c r="AV217">
        <v>19</v>
      </c>
      <c r="AW217" t="s">
        <v>80</v>
      </c>
      <c r="AX217">
        <v>22</v>
      </c>
      <c r="AY217" s="4">
        <f t="shared" si="47"/>
        <v>13</v>
      </c>
      <c r="AZ217" t="str">
        <f t="shared" si="48"/>
        <v>(Dike-town)</v>
      </c>
      <c r="BA217">
        <v>3</v>
      </c>
      <c r="BB217">
        <v>127</v>
      </c>
      <c r="BC217">
        <f t="shared" si="54"/>
        <v>1</v>
      </c>
      <c r="BD217">
        <f t="shared" si="50"/>
        <v>12000</v>
      </c>
    </row>
    <row r="218" spans="1:56" x14ac:dyDescent="0.3">
      <c r="A218">
        <v>1256</v>
      </c>
      <c r="B218" s="2">
        <v>45923.593657407408</v>
      </c>
      <c r="C218">
        <v>130000</v>
      </c>
      <c r="D218">
        <v>75000</v>
      </c>
      <c r="E218">
        <v>0</v>
      </c>
      <c r="F218">
        <v>0</v>
      </c>
      <c r="G218">
        <v>0</v>
      </c>
      <c r="H218">
        <v>0</v>
      </c>
      <c r="I218">
        <v>20000</v>
      </c>
      <c r="J218">
        <v>0</v>
      </c>
      <c r="K218">
        <v>0</v>
      </c>
      <c r="L218">
        <v>4000</v>
      </c>
      <c r="M218">
        <v>4000</v>
      </c>
      <c r="N218">
        <v>94900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1</v>
      </c>
      <c r="U218">
        <v>0</v>
      </c>
      <c r="V218">
        <v>-1</v>
      </c>
      <c r="W218">
        <v>7</v>
      </c>
      <c r="X218">
        <v>200000</v>
      </c>
      <c r="Y218">
        <v>80000</v>
      </c>
      <c r="Z218">
        <v>56000</v>
      </c>
      <c r="AA218">
        <v>0</v>
      </c>
      <c r="AB218">
        <v>0</v>
      </c>
      <c r="AC218">
        <v>80000</v>
      </c>
      <c r="AD218">
        <v>56000</v>
      </c>
      <c r="AG218">
        <v>4</v>
      </c>
      <c r="AH218">
        <v>9</v>
      </c>
      <c r="AI218">
        <v>-2</v>
      </c>
      <c r="AJ218">
        <v>-1</v>
      </c>
      <c r="AK218">
        <v>0</v>
      </c>
      <c r="AL218">
        <v>0</v>
      </c>
      <c r="AM218" t="s">
        <v>150</v>
      </c>
      <c r="AN218">
        <v>686</v>
      </c>
      <c r="AO218">
        <v>302</v>
      </c>
      <c r="AP218">
        <v>1397</v>
      </c>
      <c r="AQ218">
        <v>1397</v>
      </c>
      <c r="AS218">
        <v>4</v>
      </c>
      <c r="AT218">
        <v>95</v>
      </c>
      <c r="AU218" t="s">
        <v>93</v>
      </c>
      <c r="AV218">
        <v>19</v>
      </c>
      <c r="AW218" t="s">
        <v>80</v>
      </c>
      <c r="AX218">
        <v>22</v>
      </c>
      <c r="AY218" s="4">
        <f t="shared" si="47"/>
        <v>13</v>
      </c>
      <c r="AZ218" t="str">
        <f t="shared" si="48"/>
        <v>(Dike-town)</v>
      </c>
      <c r="BA218">
        <v>4</v>
      </c>
      <c r="BB218">
        <v>127</v>
      </c>
      <c r="BC218">
        <f t="shared" si="54"/>
        <v>0</v>
      </c>
      <c r="BD218">
        <f t="shared" si="50"/>
        <v>8000</v>
      </c>
    </row>
    <row r="219" spans="1:56" x14ac:dyDescent="0.3">
      <c r="A219">
        <v>1177</v>
      </c>
      <c r="B219" s="2">
        <v>45923.60125</v>
      </c>
      <c r="C219">
        <v>190000</v>
      </c>
      <c r="D219">
        <v>115000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80000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8</v>
      </c>
      <c r="X219">
        <v>300000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s">
        <v>103</v>
      </c>
      <c r="AN219">
        <v>687</v>
      </c>
      <c r="AO219">
        <v>286</v>
      </c>
      <c r="AS219">
        <v>0</v>
      </c>
      <c r="AT219">
        <v>95</v>
      </c>
      <c r="AU219" t="s">
        <v>93</v>
      </c>
      <c r="AV219">
        <v>19</v>
      </c>
      <c r="AW219" t="s">
        <v>80</v>
      </c>
      <c r="AX219">
        <v>22</v>
      </c>
      <c r="AY219" s="4">
        <f t="shared" si="47"/>
        <v>0</v>
      </c>
      <c r="AZ219" t="str">
        <f t="shared" si="48"/>
        <v/>
      </c>
      <c r="BA219">
        <v>0</v>
      </c>
      <c r="BB219">
        <v>128</v>
      </c>
      <c r="BD219">
        <f t="shared" si="50"/>
        <v>0</v>
      </c>
    </row>
    <row r="220" spans="1:56" x14ac:dyDescent="0.3">
      <c r="A220">
        <v>1180</v>
      </c>
      <c r="B220" s="2">
        <v>45923.60125</v>
      </c>
      <c r="C220">
        <v>190000</v>
      </c>
      <c r="D220">
        <v>115000</v>
      </c>
      <c r="E220">
        <v>0</v>
      </c>
      <c r="F220">
        <v>20000</v>
      </c>
      <c r="G220">
        <v>0</v>
      </c>
      <c r="H220">
        <v>0</v>
      </c>
      <c r="I220">
        <v>20000</v>
      </c>
      <c r="J220">
        <v>33000</v>
      </c>
      <c r="K220">
        <v>14000</v>
      </c>
      <c r="L220">
        <v>0</v>
      </c>
      <c r="M220">
        <v>0</v>
      </c>
      <c r="N220">
        <v>68000</v>
      </c>
      <c r="O220">
        <v>0</v>
      </c>
      <c r="P220">
        <v>-2</v>
      </c>
      <c r="Q220">
        <v>3</v>
      </c>
      <c r="R220">
        <v>2</v>
      </c>
      <c r="S220">
        <v>0</v>
      </c>
      <c r="T220">
        <v>0</v>
      </c>
      <c r="U220">
        <v>0</v>
      </c>
      <c r="V220">
        <v>8</v>
      </c>
      <c r="W220">
        <v>8</v>
      </c>
      <c r="X220">
        <v>300000</v>
      </c>
      <c r="Y220">
        <v>0</v>
      </c>
      <c r="Z220">
        <v>0</v>
      </c>
      <c r="AA220">
        <v>0</v>
      </c>
      <c r="AB220">
        <v>200000</v>
      </c>
      <c r="AC220">
        <v>200000</v>
      </c>
      <c r="AD220">
        <v>180000</v>
      </c>
      <c r="AG220">
        <v>6</v>
      </c>
      <c r="AH220">
        <v>9</v>
      </c>
      <c r="AI220">
        <v>0</v>
      </c>
      <c r="AJ220">
        <v>0</v>
      </c>
      <c r="AK220">
        <v>4</v>
      </c>
      <c r="AL220">
        <v>3</v>
      </c>
      <c r="AM220" t="s">
        <v>150</v>
      </c>
      <c r="AN220">
        <v>687</v>
      </c>
      <c r="AO220">
        <v>290</v>
      </c>
      <c r="AQ220">
        <v>1389</v>
      </c>
      <c r="AS220">
        <v>1</v>
      </c>
      <c r="AT220">
        <v>95</v>
      </c>
      <c r="AU220" t="s">
        <v>93</v>
      </c>
      <c r="AV220">
        <v>19</v>
      </c>
      <c r="AW220" t="s">
        <v>80</v>
      </c>
      <c r="AX220">
        <v>22</v>
      </c>
      <c r="AY220" s="4">
        <f t="shared" si="47"/>
        <v>15</v>
      </c>
      <c r="AZ220" t="str">
        <f t="shared" si="48"/>
        <v>(Natu-city)</v>
      </c>
      <c r="BA220">
        <v>1</v>
      </c>
      <c r="BB220">
        <v>128</v>
      </c>
      <c r="BC220">
        <f t="shared" ref="BC220:BC223" si="55">AK220+AL220</f>
        <v>7</v>
      </c>
      <c r="BD220">
        <f t="shared" si="50"/>
        <v>0</v>
      </c>
    </row>
    <row r="221" spans="1:56" x14ac:dyDescent="0.3">
      <c r="A221">
        <v>1218</v>
      </c>
      <c r="B221" s="2">
        <v>45923.60125</v>
      </c>
      <c r="C221">
        <v>190000</v>
      </c>
      <c r="D221">
        <v>115000</v>
      </c>
      <c r="E221">
        <v>0</v>
      </c>
      <c r="F221">
        <v>20000</v>
      </c>
      <c r="G221">
        <v>0</v>
      </c>
      <c r="H221">
        <v>0</v>
      </c>
      <c r="I221">
        <v>20000</v>
      </c>
      <c r="J221">
        <v>0</v>
      </c>
      <c r="K221">
        <v>14500</v>
      </c>
      <c r="L221">
        <v>0</v>
      </c>
      <c r="M221">
        <v>4000</v>
      </c>
      <c r="N221">
        <v>84500</v>
      </c>
      <c r="O221">
        <v>0</v>
      </c>
      <c r="P221">
        <v>0</v>
      </c>
      <c r="Q221">
        <v>0</v>
      </c>
      <c r="R221">
        <v>2</v>
      </c>
      <c r="S221">
        <v>0</v>
      </c>
      <c r="T221">
        <v>1</v>
      </c>
      <c r="U221">
        <v>0</v>
      </c>
      <c r="V221">
        <v>9</v>
      </c>
      <c r="W221">
        <v>8</v>
      </c>
      <c r="X221">
        <v>300000</v>
      </c>
      <c r="Y221">
        <v>200000</v>
      </c>
      <c r="Z221">
        <v>180000</v>
      </c>
      <c r="AA221">
        <v>0</v>
      </c>
      <c r="AB221">
        <v>0</v>
      </c>
      <c r="AC221">
        <v>200000</v>
      </c>
      <c r="AD221">
        <v>160000</v>
      </c>
      <c r="AG221">
        <v>6</v>
      </c>
      <c r="AH221">
        <v>9</v>
      </c>
      <c r="AI221">
        <v>0</v>
      </c>
      <c r="AJ221">
        <v>0</v>
      </c>
      <c r="AK221">
        <v>0</v>
      </c>
      <c r="AL221">
        <v>0</v>
      </c>
      <c r="AM221" t="s">
        <v>150</v>
      </c>
      <c r="AN221">
        <v>687</v>
      </c>
      <c r="AO221">
        <v>296</v>
      </c>
      <c r="AP221">
        <v>1389</v>
      </c>
      <c r="AQ221">
        <v>1389</v>
      </c>
      <c r="AS221">
        <v>2</v>
      </c>
      <c r="AT221">
        <v>95</v>
      </c>
      <c r="AU221" t="s">
        <v>93</v>
      </c>
      <c r="AV221">
        <v>19</v>
      </c>
      <c r="AW221" t="s">
        <v>80</v>
      </c>
      <c r="AX221">
        <v>22</v>
      </c>
      <c r="AY221" s="4">
        <f t="shared" si="47"/>
        <v>15</v>
      </c>
      <c r="AZ221" t="str">
        <f t="shared" si="48"/>
        <v>(Natu-city)</v>
      </c>
      <c r="BA221">
        <v>2</v>
      </c>
      <c r="BB221">
        <v>128</v>
      </c>
      <c r="BC221">
        <f t="shared" si="55"/>
        <v>0</v>
      </c>
      <c r="BD221">
        <f t="shared" si="50"/>
        <v>4000</v>
      </c>
    </row>
    <row r="222" spans="1:56" x14ac:dyDescent="0.3">
      <c r="A222">
        <v>1234</v>
      </c>
      <c r="B222" s="2">
        <v>45923.60125</v>
      </c>
      <c r="C222">
        <v>190000</v>
      </c>
      <c r="D222">
        <v>115000</v>
      </c>
      <c r="E222">
        <v>0</v>
      </c>
      <c r="F222">
        <v>20000</v>
      </c>
      <c r="G222">
        <v>0</v>
      </c>
      <c r="H222">
        <v>0</v>
      </c>
      <c r="I222">
        <v>20000</v>
      </c>
      <c r="J222">
        <v>0</v>
      </c>
      <c r="K222">
        <v>0</v>
      </c>
      <c r="L222">
        <v>12000</v>
      </c>
      <c r="M222">
        <v>0</v>
      </c>
      <c r="N222">
        <v>107500</v>
      </c>
      <c r="O222">
        <v>0</v>
      </c>
      <c r="P222">
        <v>0</v>
      </c>
      <c r="Q222">
        <v>0</v>
      </c>
      <c r="R222">
        <v>0</v>
      </c>
      <c r="S222">
        <v>4</v>
      </c>
      <c r="T222">
        <v>0</v>
      </c>
      <c r="U222">
        <v>0</v>
      </c>
      <c r="V222">
        <v>5</v>
      </c>
      <c r="W222">
        <v>8</v>
      </c>
      <c r="X222">
        <v>300000</v>
      </c>
      <c r="Y222">
        <v>200000</v>
      </c>
      <c r="Z222">
        <v>160000</v>
      </c>
      <c r="AA222">
        <v>0</v>
      </c>
      <c r="AB222">
        <v>0</v>
      </c>
      <c r="AC222">
        <v>200000</v>
      </c>
      <c r="AD222">
        <v>140000</v>
      </c>
      <c r="AG222">
        <v>6</v>
      </c>
      <c r="AH222">
        <v>9</v>
      </c>
      <c r="AI222">
        <v>-2</v>
      </c>
      <c r="AJ222">
        <v>-1</v>
      </c>
      <c r="AK222">
        <v>0</v>
      </c>
      <c r="AL222">
        <v>0</v>
      </c>
      <c r="AM222" t="s">
        <v>150</v>
      </c>
      <c r="AN222">
        <v>687</v>
      </c>
      <c r="AO222">
        <v>299</v>
      </c>
      <c r="AP222">
        <v>1389</v>
      </c>
      <c r="AQ222">
        <v>1389</v>
      </c>
      <c r="AS222">
        <v>3</v>
      </c>
      <c r="AT222">
        <v>95</v>
      </c>
      <c r="AU222" t="s">
        <v>93</v>
      </c>
      <c r="AV222">
        <v>19</v>
      </c>
      <c r="AW222" t="s">
        <v>80</v>
      </c>
      <c r="AX222">
        <v>22</v>
      </c>
      <c r="AY222" s="4">
        <f t="shared" si="47"/>
        <v>15</v>
      </c>
      <c r="AZ222" t="str">
        <f t="shared" si="48"/>
        <v>(Natu-city)</v>
      </c>
      <c r="BA222">
        <v>3</v>
      </c>
      <c r="BB222">
        <v>128</v>
      </c>
      <c r="BC222">
        <f t="shared" si="55"/>
        <v>0</v>
      </c>
      <c r="BD222">
        <f t="shared" si="50"/>
        <v>12000</v>
      </c>
    </row>
    <row r="223" spans="1:56" x14ac:dyDescent="0.3">
      <c r="A223">
        <v>1254</v>
      </c>
      <c r="B223" s="2">
        <v>45923.60125</v>
      </c>
      <c r="C223">
        <v>190000</v>
      </c>
      <c r="D223">
        <v>115000</v>
      </c>
      <c r="E223">
        <v>0</v>
      </c>
      <c r="F223">
        <v>20000</v>
      </c>
      <c r="G223">
        <v>0</v>
      </c>
      <c r="H223">
        <v>0</v>
      </c>
      <c r="I223">
        <v>25000</v>
      </c>
      <c r="J223">
        <v>0</v>
      </c>
      <c r="K223">
        <v>0</v>
      </c>
      <c r="L223">
        <v>4000</v>
      </c>
      <c r="M223">
        <v>4000</v>
      </c>
      <c r="N223">
        <v>129500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0</v>
      </c>
      <c r="V223">
        <v>2</v>
      </c>
      <c r="W223">
        <v>8</v>
      </c>
      <c r="X223">
        <v>300000</v>
      </c>
      <c r="Y223">
        <v>200000</v>
      </c>
      <c r="Z223">
        <v>140000</v>
      </c>
      <c r="AA223">
        <v>0</v>
      </c>
      <c r="AB223">
        <v>0</v>
      </c>
      <c r="AC223">
        <v>200000</v>
      </c>
      <c r="AD223">
        <v>120000</v>
      </c>
      <c r="AG223">
        <v>6</v>
      </c>
      <c r="AH223">
        <v>9</v>
      </c>
      <c r="AI223">
        <v>-2</v>
      </c>
      <c r="AJ223">
        <v>-1</v>
      </c>
      <c r="AK223">
        <v>0</v>
      </c>
      <c r="AL223">
        <v>0</v>
      </c>
      <c r="AM223" t="s">
        <v>155</v>
      </c>
      <c r="AN223">
        <v>687</v>
      </c>
      <c r="AO223">
        <v>302</v>
      </c>
      <c r="AP223">
        <v>1389</v>
      </c>
      <c r="AQ223">
        <v>1389</v>
      </c>
      <c r="AS223">
        <v>4</v>
      </c>
      <c r="AT223">
        <v>95</v>
      </c>
      <c r="AU223" t="s">
        <v>93</v>
      </c>
      <c r="AV223">
        <v>19</v>
      </c>
      <c r="AW223" t="s">
        <v>80</v>
      </c>
      <c r="AX223">
        <v>22</v>
      </c>
      <c r="AY223" s="4">
        <f t="shared" si="47"/>
        <v>15</v>
      </c>
      <c r="AZ223" t="str">
        <f t="shared" si="48"/>
        <v>(Natu-city)</v>
      </c>
      <c r="BA223">
        <v>4</v>
      </c>
      <c r="BB223">
        <v>128</v>
      </c>
      <c r="BC223">
        <f t="shared" si="55"/>
        <v>0</v>
      </c>
      <c r="BD223">
        <f t="shared" si="50"/>
        <v>8000</v>
      </c>
    </row>
    <row r="224" spans="1:56" x14ac:dyDescent="0.3">
      <c r="A224">
        <v>1168</v>
      </c>
      <c r="B224" s="2">
        <v>45923.600694444453</v>
      </c>
      <c r="C224">
        <v>75000</v>
      </c>
      <c r="D224">
        <v>40000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5000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</v>
      </c>
      <c r="W224">
        <v>4</v>
      </c>
      <c r="X224">
        <v>110000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t="s">
        <v>103</v>
      </c>
      <c r="AN224">
        <v>690</v>
      </c>
      <c r="AO224">
        <v>287</v>
      </c>
      <c r="AS224">
        <v>0</v>
      </c>
      <c r="AT224">
        <v>96</v>
      </c>
      <c r="AU224" t="s">
        <v>94</v>
      </c>
      <c r="AV224">
        <v>19</v>
      </c>
      <c r="AW224" t="s">
        <v>80</v>
      </c>
      <c r="AX224">
        <v>22</v>
      </c>
      <c r="AY224" s="4">
        <f t="shared" si="47"/>
        <v>0</v>
      </c>
      <c r="AZ224" t="str">
        <f t="shared" si="48"/>
        <v/>
      </c>
      <c r="BA224">
        <v>0</v>
      </c>
      <c r="BB224">
        <v>124</v>
      </c>
      <c r="BD224">
        <f t="shared" si="50"/>
        <v>0</v>
      </c>
    </row>
    <row r="225" spans="1:56" x14ac:dyDescent="0.3">
      <c r="A225">
        <v>1200</v>
      </c>
      <c r="B225" s="2">
        <v>45923.600694444453</v>
      </c>
      <c r="C225">
        <v>75000</v>
      </c>
      <c r="D225">
        <v>40000</v>
      </c>
      <c r="E225">
        <v>0</v>
      </c>
      <c r="F225">
        <v>10000</v>
      </c>
      <c r="G225">
        <v>0</v>
      </c>
      <c r="H225">
        <v>0</v>
      </c>
      <c r="I225">
        <v>15000</v>
      </c>
      <c r="J225">
        <v>6000</v>
      </c>
      <c r="K225">
        <v>0</v>
      </c>
      <c r="L225">
        <v>0</v>
      </c>
      <c r="M225">
        <v>4000</v>
      </c>
      <c r="N225">
        <v>5000</v>
      </c>
      <c r="O225">
        <v>0</v>
      </c>
      <c r="P225">
        <v>-1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4</v>
      </c>
      <c r="W225">
        <v>4</v>
      </c>
      <c r="X225">
        <v>110000</v>
      </c>
      <c r="Y225">
        <v>0</v>
      </c>
      <c r="Z225">
        <v>0</v>
      </c>
      <c r="AA225">
        <v>0</v>
      </c>
      <c r="AB225">
        <v>100000</v>
      </c>
      <c r="AC225">
        <v>100000</v>
      </c>
      <c r="AD225">
        <v>90000</v>
      </c>
      <c r="AG225">
        <v>6</v>
      </c>
      <c r="AH225">
        <v>9</v>
      </c>
      <c r="AI225">
        <v>0</v>
      </c>
      <c r="AJ225">
        <v>0</v>
      </c>
      <c r="AK225">
        <v>1</v>
      </c>
      <c r="AL225">
        <v>0</v>
      </c>
      <c r="AM225" t="s">
        <v>150</v>
      </c>
      <c r="AN225">
        <v>690</v>
      </c>
      <c r="AO225">
        <v>293</v>
      </c>
      <c r="AQ225">
        <v>1436</v>
      </c>
      <c r="AS225">
        <v>1</v>
      </c>
      <c r="AT225">
        <v>96</v>
      </c>
      <c r="AU225" t="s">
        <v>94</v>
      </c>
      <c r="AV225">
        <v>19</v>
      </c>
      <c r="AW225" t="s">
        <v>80</v>
      </c>
      <c r="AX225">
        <v>22</v>
      </c>
      <c r="AY225" s="4">
        <f t="shared" si="47"/>
        <v>15</v>
      </c>
      <c r="AZ225" t="str">
        <f t="shared" si="48"/>
        <v>(Natu-city)</v>
      </c>
      <c r="BA225">
        <v>1</v>
      </c>
      <c r="BB225">
        <v>124</v>
      </c>
      <c r="BC225">
        <f t="shared" ref="BC225:BC228" si="56">AK225+AL225</f>
        <v>1</v>
      </c>
      <c r="BD225">
        <f t="shared" si="50"/>
        <v>4000</v>
      </c>
    </row>
    <row r="226" spans="1:56" x14ac:dyDescent="0.3">
      <c r="A226">
        <v>1216</v>
      </c>
      <c r="B226" s="2">
        <v>45923.600694444453</v>
      </c>
      <c r="C226">
        <v>75000</v>
      </c>
      <c r="D226">
        <v>40000</v>
      </c>
      <c r="E226">
        <v>0</v>
      </c>
      <c r="F226">
        <v>10000</v>
      </c>
      <c r="G226">
        <v>0</v>
      </c>
      <c r="H226">
        <v>0</v>
      </c>
      <c r="I226">
        <v>15000</v>
      </c>
      <c r="J226">
        <v>0</v>
      </c>
      <c r="K226">
        <v>7000</v>
      </c>
      <c r="L226">
        <v>0</v>
      </c>
      <c r="M226">
        <v>0</v>
      </c>
      <c r="N226">
        <v>8000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6</v>
      </c>
      <c r="W226">
        <v>4</v>
      </c>
      <c r="X226">
        <v>110000</v>
      </c>
      <c r="Y226">
        <v>100000</v>
      </c>
      <c r="Z226">
        <v>90000</v>
      </c>
      <c r="AA226">
        <v>0</v>
      </c>
      <c r="AB226">
        <v>0</v>
      </c>
      <c r="AC226">
        <v>100000</v>
      </c>
      <c r="AD226">
        <v>80000</v>
      </c>
      <c r="AG226">
        <v>6</v>
      </c>
      <c r="AH226">
        <v>9</v>
      </c>
      <c r="AI226">
        <v>0</v>
      </c>
      <c r="AJ226">
        <v>0</v>
      </c>
      <c r="AK226">
        <v>0</v>
      </c>
      <c r="AL226">
        <v>0</v>
      </c>
      <c r="AM226" t="s">
        <v>150</v>
      </c>
      <c r="AN226">
        <v>690</v>
      </c>
      <c r="AO226">
        <v>295</v>
      </c>
      <c r="AP226">
        <v>1436</v>
      </c>
      <c r="AQ226">
        <v>1436</v>
      </c>
      <c r="AS226">
        <v>2</v>
      </c>
      <c r="AT226">
        <v>96</v>
      </c>
      <c r="AU226" t="s">
        <v>94</v>
      </c>
      <c r="AV226">
        <v>19</v>
      </c>
      <c r="AW226" t="s">
        <v>80</v>
      </c>
      <c r="AX226">
        <v>22</v>
      </c>
      <c r="AY226" s="4">
        <f t="shared" si="47"/>
        <v>15</v>
      </c>
      <c r="AZ226" t="str">
        <f t="shared" si="48"/>
        <v>(Natu-city)</v>
      </c>
      <c r="BA226">
        <v>2</v>
      </c>
      <c r="BB226">
        <v>124</v>
      </c>
      <c r="BC226">
        <f t="shared" si="56"/>
        <v>0</v>
      </c>
      <c r="BD226">
        <f t="shared" si="50"/>
        <v>0</v>
      </c>
    </row>
    <row r="227" spans="1:56" x14ac:dyDescent="0.3">
      <c r="A227">
        <v>1244</v>
      </c>
      <c r="B227" s="2">
        <v>45923.600694444453</v>
      </c>
      <c r="C227">
        <v>75000</v>
      </c>
      <c r="D227">
        <v>40000</v>
      </c>
      <c r="E227">
        <v>0</v>
      </c>
      <c r="F227">
        <v>10000</v>
      </c>
      <c r="G227">
        <v>0</v>
      </c>
      <c r="H227">
        <v>0</v>
      </c>
      <c r="I227">
        <v>15000</v>
      </c>
      <c r="J227">
        <v>10000</v>
      </c>
      <c r="K227">
        <v>0</v>
      </c>
      <c r="L227">
        <v>0</v>
      </c>
      <c r="M227">
        <v>0</v>
      </c>
      <c r="N227">
        <v>8000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6</v>
      </c>
      <c r="W227">
        <v>4</v>
      </c>
      <c r="X227">
        <v>110000</v>
      </c>
      <c r="Y227">
        <v>100000</v>
      </c>
      <c r="Z227">
        <v>80000</v>
      </c>
      <c r="AA227">
        <v>0</v>
      </c>
      <c r="AB227">
        <v>0</v>
      </c>
      <c r="AC227">
        <v>100000</v>
      </c>
      <c r="AD227">
        <v>70000</v>
      </c>
      <c r="AG227">
        <v>6</v>
      </c>
      <c r="AH227">
        <v>9</v>
      </c>
      <c r="AI227">
        <v>-2</v>
      </c>
      <c r="AJ227">
        <v>-1</v>
      </c>
      <c r="AK227">
        <v>1</v>
      </c>
      <c r="AL227">
        <v>1</v>
      </c>
      <c r="AM227" t="s">
        <v>150</v>
      </c>
      <c r="AN227">
        <v>690</v>
      </c>
      <c r="AO227">
        <v>300</v>
      </c>
      <c r="AP227">
        <v>1436</v>
      </c>
      <c r="AQ227">
        <v>1436</v>
      </c>
      <c r="AS227">
        <v>3</v>
      </c>
      <c r="AT227">
        <v>96</v>
      </c>
      <c r="AU227" t="s">
        <v>94</v>
      </c>
      <c r="AV227">
        <v>19</v>
      </c>
      <c r="AW227" t="s">
        <v>80</v>
      </c>
      <c r="AX227">
        <v>22</v>
      </c>
      <c r="AY227" s="4">
        <f t="shared" si="47"/>
        <v>15</v>
      </c>
      <c r="AZ227" t="str">
        <f t="shared" si="48"/>
        <v>(Natu-city)</v>
      </c>
      <c r="BA227">
        <v>3</v>
      </c>
      <c r="BB227">
        <v>124</v>
      </c>
      <c r="BC227">
        <f t="shared" si="56"/>
        <v>2</v>
      </c>
      <c r="BD227">
        <f t="shared" si="50"/>
        <v>0</v>
      </c>
    </row>
    <row r="228" spans="1:56" x14ac:dyDescent="0.3">
      <c r="A228">
        <v>1263</v>
      </c>
      <c r="B228" s="2">
        <v>45923.600694444453</v>
      </c>
      <c r="C228">
        <v>75000</v>
      </c>
      <c r="D228">
        <v>40000</v>
      </c>
      <c r="E228">
        <v>0</v>
      </c>
      <c r="F228">
        <v>10000</v>
      </c>
      <c r="G228">
        <v>0</v>
      </c>
      <c r="H228">
        <v>0</v>
      </c>
      <c r="I228">
        <v>30000</v>
      </c>
      <c r="J228">
        <v>0</v>
      </c>
      <c r="K228">
        <v>0</v>
      </c>
      <c r="L228">
        <v>0</v>
      </c>
      <c r="M228">
        <v>0</v>
      </c>
      <c r="N228">
        <v>3000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6</v>
      </c>
      <c r="W228">
        <v>4</v>
      </c>
      <c r="X228">
        <v>110000</v>
      </c>
      <c r="Y228">
        <v>100000</v>
      </c>
      <c r="Z228">
        <v>70000</v>
      </c>
      <c r="AA228">
        <v>0</v>
      </c>
      <c r="AB228">
        <v>0</v>
      </c>
      <c r="AC228">
        <v>100000</v>
      </c>
      <c r="AD228">
        <v>60000</v>
      </c>
      <c r="AG228">
        <v>6</v>
      </c>
      <c r="AH228">
        <v>9</v>
      </c>
      <c r="AI228">
        <v>-2</v>
      </c>
      <c r="AJ228">
        <v>-1</v>
      </c>
      <c r="AK228">
        <v>0</v>
      </c>
      <c r="AL228">
        <v>0</v>
      </c>
      <c r="AM228" t="s">
        <v>150</v>
      </c>
      <c r="AN228">
        <v>690</v>
      </c>
      <c r="AO228">
        <v>303</v>
      </c>
      <c r="AP228">
        <v>1436</v>
      </c>
      <c r="AQ228">
        <v>1436</v>
      </c>
      <c r="AS228">
        <v>4</v>
      </c>
      <c r="AT228">
        <v>96</v>
      </c>
      <c r="AU228" t="s">
        <v>94</v>
      </c>
      <c r="AV228">
        <v>19</v>
      </c>
      <c r="AW228" t="s">
        <v>80</v>
      </c>
      <c r="AX228">
        <v>22</v>
      </c>
      <c r="AY228" s="4">
        <f t="shared" si="47"/>
        <v>15</v>
      </c>
      <c r="AZ228" t="str">
        <f t="shared" si="48"/>
        <v>(Natu-city)</v>
      </c>
      <c r="BA228">
        <v>4</v>
      </c>
      <c r="BB228">
        <v>124</v>
      </c>
      <c r="BC228">
        <f t="shared" si="56"/>
        <v>0</v>
      </c>
      <c r="BD228">
        <f t="shared" si="50"/>
        <v>0</v>
      </c>
    </row>
    <row r="229" spans="1:56" x14ac:dyDescent="0.3">
      <c r="A229">
        <v>1194</v>
      </c>
      <c r="B229" s="2">
        <v>45923.603229166663</v>
      </c>
      <c r="C229">
        <v>110000</v>
      </c>
      <c r="D229">
        <v>60000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30000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5</v>
      </c>
      <c r="W229">
        <v>6</v>
      </c>
      <c r="X229">
        <v>170000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103</v>
      </c>
      <c r="AN229">
        <v>691</v>
      </c>
      <c r="AO229">
        <v>287</v>
      </c>
      <c r="AS229">
        <v>0</v>
      </c>
      <c r="AT229">
        <v>96</v>
      </c>
      <c r="AU229" t="s">
        <v>94</v>
      </c>
      <c r="AV229">
        <v>19</v>
      </c>
      <c r="AW229" t="s">
        <v>80</v>
      </c>
      <c r="AX229">
        <v>22</v>
      </c>
      <c r="AY229" s="4">
        <f t="shared" si="47"/>
        <v>0</v>
      </c>
      <c r="AZ229" t="str">
        <f t="shared" si="48"/>
        <v/>
      </c>
      <c r="BA229">
        <v>0</v>
      </c>
      <c r="BB229">
        <v>126</v>
      </c>
      <c r="BD229">
        <f t="shared" si="50"/>
        <v>0</v>
      </c>
    </row>
    <row r="230" spans="1:56" x14ac:dyDescent="0.3">
      <c r="A230">
        <v>1199</v>
      </c>
      <c r="B230" s="2">
        <v>45923.603229166663</v>
      </c>
      <c r="C230">
        <v>110000</v>
      </c>
      <c r="D230">
        <v>60000</v>
      </c>
      <c r="E230">
        <v>0</v>
      </c>
      <c r="F230">
        <v>17000</v>
      </c>
      <c r="G230">
        <v>0</v>
      </c>
      <c r="H230">
        <v>30000</v>
      </c>
      <c r="I230">
        <v>15000</v>
      </c>
      <c r="J230">
        <v>8000</v>
      </c>
      <c r="K230">
        <v>0</v>
      </c>
      <c r="L230">
        <v>0</v>
      </c>
      <c r="M230">
        <v>4000</v>
      </c>
      <c r="N230">
        <v>6000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5</v>
      </c>
      <c r="W230">
        <v>6</v>
      </c>
      <c r="X230">
        <v>170000</v>
      </c>
      <c r="Y230">
        <v>0</v>
      </c>
      <c r="Z230">
        <v>0</v>
      </c>
      <c r="AA230">
        <v>0</v>
      </c>
      <c r="AB230">
        <v>200000</v>
      </c>
      <c r="AC230">
        <v>170000</v>
      </c>
      <c r="AD230">
        <v>153000</v>
      </c>
      <c r="AG230">
        <v>6</v>
      </c>
      <c r="AH230">
        <v>9</v>
      </c>
      <c r="AI230">
        <v>0</v>
      </c>
      <c r="AJ230">
        <v>0</v>
      </c>
      <c r="AK230">
        <v>1</v>
      </c>
      <c r="AL230">
        <v>1</v>
      </c>
      <c r="AM230" t="s">
        <v>150</v>
      </c>
      <c r="AN230">
        <v>691</v>
      </c>
      <c r="AO230">
        <v>293</v>
      </c>
      <c r="AQ230">
        <v>1435</v>
      </c>
      <c r="AS230">
        <v>1</v>
      </c>
      <c r="AT230">
        <v>96</v>
      </c>
      <c r="AU230" t="s">
        <v>94</v>
      </c>
      <c r="AV230">
        <v>19</v>
      </c>
      <c r="AW230" t="s">
        <v>80</v>
      </c>
      <c r="AX230">
        <v>22</v>
      </c>
      <c r="AY230" s="4">
        <f t="shared" si="47"/>
        <v>15</v>
      </c>
      <c r="AZ230" t="str">
        <f t="shared" si="48"/>
        <v>(Natu-city)</v>
      </c>
      <c r="BA230">
        <v>1</v>
      </c>
      <c r="BB230">
        <v>126</v>
      </c>
      <c r="BC230">
        <f t="shared" ref="BC230:BC233" si="57">AK230+AL230</f>
        <v>2</v>
      </c>
      <c r="BD230">
        <f t="shared" si="50"/>
        <v>4000</v>
      </c>
    </row>
    <row r="231" spans="1:56" x14ac:dyDescent="0.3">
      <c r="A231">
        <v>1212</v>
      </c>
      <c r="B231" s="2">
        <v>45923.603229166663</v>
      </c>
      <c r="C231">
        <v>110000</v>
      </c>
      <c r="D231">
        <v>60000</v>
      </c>
      <c r="E231">
        <v>0</v>
      </c>
      <c r="F231">
        <v>17000</v>
      </c>
      <c r="G231">
        <v>0</v>
      </c>
      <c r="H231">
        <v>0</v>
      </c>
      <c r="I231">
        <v>15000</v>
      </c>
      <c r="J231">
        <v>14000</v>
      </c>
      <c r="K231">
        <v>0</v>
      </c>
      <c r="L231">
        <v>0</v>
      </c>
      <c r="M231">
        <v>0</v>
      </c>
      <c r="N231">
        <v>10000</v>
      </c>
      <c r="O231">
        <v>0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7</v>
      </c>
      <c r="W231">
        <v>6</v>
      </c>
      <c r="X231">
        <v>170000</v>
      </c>
      <c r="Y231">
        <v>170000</v>
      </c>
      <c r="Z231">
        <v>153000</v>
      </c>
      <c r="AA231">
        <v>0</v>
      </c>
      <c r="AB231">
        <v>0</v>
      </c>
      <c r="AC231">
        <v>170000</v>
      </c>
      <c r="AD231">
        <v>136000</v>
      </c>
      <c r="AG231">
        <v>6</v>
      </c>
      <c r="AH231">
        <v>9</v>
      </c>
      <c r="AI231">
        <v>0</v>
      </c>
      <c r="AJ231">
        <v>0</v>
      </c>
      <c r="AK231">
        <v>2</v>
      </c>
      <c r="AL231">
        <v>0</v>
      </c>
      <c r="AM231" t="s">
        <v>150</v>
      </c>
      <c r="AN231">
        <v>691</v>
      </c>
      <c r="AO231">
        <v>295</v>
      </c>
      <c r="AP231">
        <v>1435</v>
      </c>
      <c r="AQ231">
        <v>1435</v>
      </c>
      <c r="AS231">
        <v>2</v>
      </c>
      <c r="AT231">
        <v>96</v>
      </c>
      <c r="AU231" t="s">
        <v>94</v>
      </c>
      <c r="AV231">
        <v>19</v>
      </c>
      <c r="AW231" t="s">
        <v>80</v>
      </c>
      <c r="AX231">
        <v>22</v>
      </c>
      <c r="AY231" s="4">
        <f t="shared" si="47"/>
        <v>15</v>
      </c>
      <c r="AZ231" t="str">
        <f t="shared" si="48"/>
        <v>(Natu-city)</v>
      </c>
      <c r="BA231">
        <v>2</v>
      </c>
      <c r="BB231">
        <v>126</v>
      </c>
      <c r="BC231">
        <f t="shared" si="57"/>
        <v>2</v>
      </c>
      <c r="BD231">
        <f t="shared" si="50"/>
        <v>0</v>
      </c>
    </row>
    <row r="232" spans="1:56" x14ac:dyDescent="0.3">
      <c r="A232">
        <v>1241</v>
      </c>
      <c r="B232" s="2">
        <v>45923.603229166663</v>
      </c>
      <c r="C232">
        <v>110000</v>
      </c>
      <c r="D232">
        <v>60000</v>
      </c>
      <c r="E232">
        <v>0</v>
      </c>
      <c r="F232">
        <v>17000</v>
      </c>
      <c r="G232">
        <v>0</v>
      </c>
      <c r="H232">
        <v>0</v>
      </c>
      <c r="I232">
        <v>15000</v>
      </c>
      <c r="J232">
        <v>11000</v>
      </c>
      <c r="K232">
        <v>4000</v>
      </c>
      <c r="L232">
        <v>0</v>
      </c>
      <c r="M232">
        <v>0</v>
      </c>
      <c r="N232">
        <v>13000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7</v>
      </c>
      <c r="W232">
        <v>6</v>
      </c>
      <c r="X232">
        <v>170000</v>
      </c>
      <c r="Y232">
        <v>170000</v>
      </c>
      <c r="Z232">
        <v>136000</v>
      </c>
      <c r="AA232">
        <v>0</v>
      </c>
      <c r="AB232">
        <v>0</v>
      </c>
      <c r="AC232">
        <v>170000</v>
      </c>
      <c r="AD232">
        <v>119000</v>
      </c>
      <c r="AG232">
        <v>6</v>
      </c>
      <c r="AH232">
        <v>9</v>
      </c>
      <c r="AI232">
        <v>-2</v>
      </c>
      <c r="AJ232">
        <v>-1</v>
      </c>
      <c r="AK232">
        <v>1</v>
      </c>
      <c r="AL232">
        <v>2</v>
      </c>
      <c r="AM232" t="s">
        <v>150</v>
      </c>
      <c r="AN232">
        <v>691</v>
      </c>
      <c r="AO232">
        <v>300</v>
      </c>
      <c r="AP232">
        <v>1435</v>
      </c>
      <c r="AQ232">
        <v>1435</v>
      </c>
      <c r="AS232">
        <v>3</v>
      </c>
      <c r="AT232">
        <v>96</v>
      </c>
      <c r="AU232" t="s">
        <v>94</v>
      </c>
      <c r="AV232">
        <v>19</v>
      </c>
      <c r="AW232" t="s">
        <v>80</v>
      </c>
      <c r="AX232">
        <v>22</v>
      </c>
      <c r="AY232" s="4">
        <f t="shared" si="47"/>
        <v>15</v>
      </c>
      <c r="AZ232" t="str">
        <f t="shared" si="48"/>
        <v>(Natu-city)</v>
      </c>
      <c r="BA232">
        <v>3</v>
      </c>
      <c r="BB232">
        <v>126</v>
      </c>
      <c r="BC232">
        <f t="shared" si="57"/>
        <v>3</v>
      </c>
      <c r="BD232">
        <f t="shared" si="50"/>
        <v>0</v>
      </c>
    </row>
    <row r="233" spans="1:56" x14ac:dyDescent="0.3">
      <c r="A233">
        <v>1259</v>
      </c>
      <c r="B233" s="2">
        <v>45923.603229166663</v>
      </c>
      <c r="C233">
        <v>110000</v>
      </c>
      <c r="D233">
        <v>60000</v>
      </c>
      <c r="E233">
        <v>0</v>
      </c>
      <c r="F233">
        <v>17000</v>
      </c>
      <c r="G233">
        <v>0</v>
      </c>
      <c r="H233">
        <v>0</v>
      </c>
      <c r="I233">
        <v>30000</v>
      </c>
      <c r="J233">
        <v>0</v>
      </c>
      <c r="K233">
        <v>5000</v>
      </c>
      <c r="L233">
        <v>0</v>
      </c>
      <c r="M233">
        <v>0</v>
      </c>
      <c r="N233">
        <v>11000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8</v>
      </c>
      <c r="W233">
        <v>6</v>
      </c>
      <c r="X233">
        <v>170000</v>
      </c>
      <c r="Y233">
        <v>170000</v>
      </c>
      <c r="Z233">
        <v>119000</v>
      </c>
      <c r="AA233">
        <v>0</v>
      </c>
      <c r="AB233">
        <v>0</v>
      </c>
      <c r="AC233">
        <v>170000</v>
      </c>
      <c r="AD233">
        <v>102000</v>
      </c>
      <c r="AG233">
        <v>6</v>
      </c>
      <c r="AH233">
        <v>9</v>
      </c>
      <c r="AI233">
        <v>-2</v>
      </c>
      <c r="AJ233">
        <v>-1</v>
      </c>
      <c r="AK233">
        <v>0</v>
      </c>
      <c r="AL233">
        <v>0</v>
      </c>
      <c r="AM233" t="s">
        <v>150</v>
      </c>
      <c r="AN233">
        <v>691</v>
      </c>
      <c r="AO233">
        <v>303</v>
      </c>
      <c r="AP233">
        <v>1435</v>
      </c>
      <c r="AQ233">
        <v>1435</v>
      </c>
      <c r="AS233">
        <v>4</v>
      </c>
      <c r="AT233">
        <v>96</v>
      </c>
      <c r="AU233" t="s">
        <v>94</v>
      </c>
      <c r="AV233">
        <v>19</v>
      </c>
      <c r="AW233" t="s">
        <v>80</v>
      </c>
      <c r="AX233">
        <v>22</v>
      </c>
      <c r="AY233" s="4">
        <f t="shared" si="47"/>
        <v>15</v>
      </c>
      <c r="AZ233" t="str">
        <f t="shared" si="48"/>
        <v>(Natu-city)</v>
      </c>
      <c r="BA233">
        <v>4</v>
      </c>
      <c r="BB233">
        <v>126</v>
      </c>
      <c r="BC233">
        <f t="shared" si="57"/>
        <v>0</v>
      </c>
      <c r="BD233">
        <f t="shared" si="50"/>
        <v>0</v>
      </c>
    </row>
    <row r="234" spans="1:56" x14ac:dyDescent="0.3">
      <c r="A234">
        <v>1170</v>
      </c>
      <c r="B234" s="2">
        <v>45923.600810185177</v>
      </c>
      <c r="C234">
        <v>90000</v>
      </c>
      <c r="D234">
        <v>50000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15000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</v>
      </c>
      <c r="W234">
        <v>5</v>
      </c>
      <c r="X234">
        <v>130000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t="s">
        <v>103</v>
      </c>
      <c r="AN234">
        <v>693</v>
      </c>
      <c r="AO234">
        <v>287</v>
      </c>
      <c r="AS234">
        <v>0</v>
      </c>
      <c r="AT234">
        <v>96</v>
      </c>
      <c r="AU234" t="s">
        <v>94</v>
      </c>
      <c r="AV234">
        <v>19</v>
      </c>
      <c r="AW234" t="s">
        <v>80</v>
      </c>
      <c r="AX234">
        <v>22</v>
      </c>
      <c r="AY234" s="4">
        <f t="shared" si="47"/>
        <v>0</v>
      </c>
      <c r="AZ234" t="str">
        <f t="shared" si="48"/>
        <v/>
      </c>
      <c r="BA234">
        <v>0</v>
      </c>
      <c r="BB234">
        <v>125</v>
      </c>
      <c r="BD234">
        <f t="shared" si="50"/>
        <v>0</v>
      </c>
    </row>
    <row r="235" spans="1:56" x14ac:dyDescent="0.3">
      <c r="A235">
        <v>1198</v>
      </c>
      <c r="B235" s="2">
        <v>45923.600810185177</v>
      </c>
      <c r="C235">
        <v>90000</v>
      </c>
      <c r="D235">
        <v>50000</v>
      </c>
      <c r="E235">
        <v>0</v>
      </c>
      <c r="F235">
        <v>7000</v>
      </c>
      <c r="G235">
        <v>0</v>
      </c>
      <c r="H235">
        <v>0</v>
      </c>
      <c r="I235">
        <v>20000</v>
      </c>
      <c r="J235">
        <v>9000</v>
      </c>
      <c r="K235">
        <v>1400</v>
      </c>
      <c r="L235">
        <v>0</v>
      </c>
      <c r="M235">
        <v>4000</v>
      </c>
      <c r="N235">
        <v>13600</v>
      </c>
      <c r="O235">
        <v>0</v>
      </c>
      <c r="P235">
        <v>-3</v>
      </c>
      <c r="Q235">
        <v>1</v>
      </c>
      <c r="R235">
        <v>0</v>
      </c>
      <c r="S235">
        <v>1</v>
      </c>
      <c r="T235">
        <v>1</v>
      </c>
      <c r="U235">
        <v>0</v>
      </c>
      <c r="V235">
        <v>1</v>
      </c>
      <c r="W235">
        <v>5</v>
      </c>
      <c r="X235">
        <v>130000</v>
      </c>
      <c r="Y235">
        <v>0</v>
      </c>
      <c r="Z235">
        <v>0</v>
      </c>
      <c r="AA235">
        <v>0</v>
      </c>
      <c r="AB235">
        <v>70000</v>
      </c>
      <c r="AC235">
        <v>70000</v>
      </c>
      <c r="AD235">
        <v>63000</v>
      </c>
      <c r="AG235">
        <v>6</v>
      </c>
      <c r="AH235">
        <v>6</v>
      </c>
      <c r="AI235">
        <v>0</v>
      </c>
      <c r="AJ235">
        <v>0</v>
      </c>
      <c r="AK235">
        <v>1</v>
      </c>
      <c r="AL235">
        <v>1</v>
      </c>
      <c r="AM235" t="s">
        <v>150</v>
      </c>
      <c r="AN235">
        <v>693</v>
      </c>
      <c r="AO235">
        <v>293</v>
      </c>
      <c r="AQ235">
        <v>1447</v>
      </c>
      <c r="AS235">
        <v>1</v>
      </c>
      <c r="AT235">
        <v>96</v>
      </c>
      <c r="AU235" t="s">
        <v>94</v>
      </c>
      <c r="AV235">
        <v>19</v>
      </c>
      <c r="AW235" t="s">
        <v>80</v>
      </c>
      <c r="AX235">
        <v>22</v>
      </c>
      <c r="AY235" s="4">
        <f t="shared" si="47"/>
        <v>12</v>
      </c>
      <c r="AZ235" t="str">
        <f t="shared" si="48"/>
        <v>(U-village)</v>
      </c>
      <c r="BA235">
        <v>1</v>
      </c>
      <c r="BB235">
        <v>125</v>
      </c>
      <c r="BC235">
        <f t="shared" ref="BC235:BC238" si="58">AK235+AL235</f>
        <v>2</v>
      </c>
      <c r="BD235">
        <f t="shared" si="50"/>
        <v>4000</v>
      </c>
    </row>
    <row r="236" spans="1:56" x14ac:dyDescent="0.3">
      <c r="A236">
        <v>1210</v>
      </c>
      <c r="B236" s="2">
        <v>45923.600810185177</v>
      </c>
      <c r="C236">
        <v>90000</v>
      </c>
      <c r="D236">
        <v>50000</v>
      </c>
      <c r="E236">
        <v>0</v>
      </c>
      <c r="F236">
        <v>7000</v>
      </c>
      <c r="G236">
        <v>0</v>
      </c>
      <c r="H236">
        <v>0</v>
      </c>
      <c r="I236">
        <v>20000</v>
      </c>
      <c r="J236">
        <v>0</v>
      </c>
      <c r="K236">
        <v>5250</v>
      </c>
      <c r="L236">
        <v>8000</v>
      </c>
      <c r="M236">
        <v>0</v>
      </c>
      <c r="N236">
        <v>13350</v>
      </c>
      <c r="O236">
        <v>0</v>
      </c>
      <c r="P236">
        <v>0</v>
      </c>
      <c r="Q236">
        <v>0</v>
      </c>
      <c r="R236">
        <v>3</v>
      </c>
      <c r="S236">
        <v>3</v>
      </c>
      <c r="T236">
        <v>0</v>
      </c>
      <c r="U236">
        <v>0</v>
      </c>
      <c r="V236">
        <v>1</v>
      </c>
      <c r="W236">
        <v>5</v>
      </c>
      <c r="X236">
        <v>130000</v>
      </c>
      <c r="Y236">
        <v>70000</v>
      </c>
      <c r="Z236">
        <v>63000</v>
      </c>
      <c r="AA236">
        <v>0</v>
      </c>
      <c r="AB236">
        <v>0</v>
      </c>
      <c r="AC236">
        <v>70000</v>
      </c>
      <c r="AD236">
        <v>56000</v>
      </c>
      <c r="AG236">
        <v>6</v>
      </c>
      <c r="AH236">
        <v>6</v>
      </c>
      <c r="AI236">
        <v>0</v>
      </c>
      <c r="AJ236">
        <v>0</v>
      </c>
      <c r="AK236">
        <v>0</v>
      </c>
      <c r="AL236">
        <v>0</v>
      </c>
      <c r="AM236" t="s">
        <v>150</v>
      </c>
      <c r="AN236">
        <v>693</v>
      </c>
      <c r="AO236">
        <v>295</v>
      </c>
      <c r="AP236">
        <v>1447</v>
      </c>
      <c r="AQ236">
        <v>1447</v>
      </c>
      <c r="AS236">
        <v>2</v>
      </c>
      <c r="AT236">
        <v>96</v>
      </c>
      <c r="AU236" t="s">
        <v>94</v>
      </c>
      <c r="AV236">
        <v>19</v>
      </c>
      <c r="AW236" t="s">
        <v>80</v>
      </c>
      <c r="AX236">
        <v>22</v>
      </c>
      <c r="AY236" s="4">
        <f t="shared" si="47"/>
        <v>12</v>
      </c>
      <c r="AZ236" t="str">
        <f t="shared" si="48"/>
        <v>(U-village)</v>
      </c>
      <c r="BA236">
        <v>2</v>
      </c>
      <c r="BB236">
        <v>125</v>
      </c>
      <c r="BC236">
        <f t="shared" si="58"/>
        <v>0</v>
      </c>
      <c r="BD236">
        <f t="shared" si="50"/>
        <v>8000</v>
      </c>
    </row>
    <row r="237" spans="1:56" x14ac:dyDescent="0.3">
      <c r="A237">
        <v>1239</v>
      </c>
      <c r="B237" s="2">
        <v>45923.600810185177</v>
      </c>
      <c r="C237">
        <v>90000</v>
      </c>
      <c r="D237">
        <v>50000</v>
      </c>
      <c r="E237">
        <v>0</v>
      </c>
      <c r="F237">
        <v>7000</v>
      </c>
      <c r="G237">
        <v>0</v>
      </c>
      <c r="H237">
        <v>0</v>
      </c>
      <c r="I237">
        <v>20000</v>
      </c>
      <c r="J237">
        <v>8000</v>
      </c>
      <c r="K237">
        <v>0</v>
      </c>
      <c r="L237">
        <v>8000</v>
      </c>
      <c r="M237">
        <v>0</v>
      </c>
      <c r="N237">
        <v>10350</v>
      </c>
      <c r="O237">
        <v>0</v>
      </c>
      <c r="P237">
        <v>0</v>
      </c>
      <c r="Q237">
        <v>1</v>
      </c>
      <c r="R237">
        <v>0</v>
      </c>
      <c r="S237">
        <v>3</v>
      </c>
      <c r="T237">
        <v>0</v>
      </c>
      <c r="U237">
        <v>0</v>
      </c>
      <c r="V237">
        <v>-1</v>
      </c>
      <c r="W237">
        <v>5</v>
      </c>
      <c r="X237">
        <v>130000</v>
      </c>
      <c r="Y237">
        <v>70000</v>
      </c>
      <c r="Z237">
        <v>56000</v>
      </c>
      <c r="AA237">
        <v>0</v>
      </c>
      <c r="AB237">
        <v>0</v>
      </c>
      <c r="AC237">
        <v>70000</v>
      </c>
      <c r="AD237">
        <v>49000</v>
      </c>
      <c r="AG237">
        <v>6</v>
      </c>
      <c r="AH237">
        <v>6</v>
      </c>
      <c r="AI237">
        <v>-2</v>
      </c>
      <c r="AJ237">
        <v>-1</v>
      </c>
      <c r="AK237">
        <v>1</v>
      </c>
      <c r="AL237">
        <v>1</v>
      </c>
      <c r="AM237" t="s">
        <v>150</v>
      </c>
      <c r="AN237">
        <v>693</v>
      </c>
      <c r="AO237">
        <v>300</v>
      </c>
      <c r="AP237">
        <v>1447</v>
      </c>
      <c r="AQ237">
        <v>1447</v>
      </c>
      <c r="AS237">
        <v>3</v>
      </c>
      <c r="AT237">
        <v>96</v>
      </c>
      <c r="AU237" t="s">
        <v>94</v>
      </c>
      <c r="AV237">
        <v>19</v>
      </c>
      <c r="AW237" t="s">
        <v>80</v>
      </c>
      <c r="AX237">
        <v>22</v>
      </c>
      <c r="AY237" s="4">
        <f t="shared" si="47"/>
        <v>12</v>
      </c>
      <c r="AZ237" t="str">
        <f t="shared" si="48"/>
        <v>(U-village)</v>
      </c>
      <c r="BA237">
        <v>3</v>
      </c>
      <c r="BB237">
        <v>125</v>
      </c>
      <c r="BC237">
        <f t="shared" si="58"/>
        <v>2</v>
      </c>
      <c r="BD237">
        <f t="shared" si="50"/>
        <v>8000</v>
      </c>
    </row>
    <row r="238" spans="1:56" x14ac:dyDescent="0.3">
      <c r="A238">
        <v>1258</v>
      </c>
      <c r="B238" s="2">
        <v>45923.600810185177</v>
      </c>
      <c r="C238">
        <v>90000</v>
      </c>
      <c r="D238">
        <v>50000</v>
      </c>
      <c r="E238">
        <v>0</v>
      </c>
      <c r="F238">
        <v>10000</v>
      </c>
      <c r="G238">
        <v>21000</v>
      </c>
      <c r="H238">
        <v>0</v>
      </c>
      <c r="I238">
        <v>30000</v>
      </c>
      <c r="J238">
        <v>6000</v>
      </c>
      <c r="K238">
        <v>4500</v>
      </c>
      <c r="L238">
        <v>0</v>
      </c>
      <c r="M238">
        <v>0</v>
      </c>
      <c r="N238">
        <v>20850</v>
      </c>
      <c r="O238">
        <v>1</v>
      </c>
      <c r="P238">
        <v>-2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-2</v>
      </c>
      <c r="W238">
        <v>5</v>
      </c>
      <c r="X238">
        <v>130000</v>
      </c>
      <c r="Y238">
        <v>70000</v>
      </c>
      <c r="Z238">
        <v>49000</v>
      </c>
      <c r="AA238">
        <v>70000</v>
      </c>
      <c r="AB238">
        <v>100000</v>
      </c>
      <c r="AC238">
        <v>100000</v>
      </c>
      <c r="AD238">
        <v>90000</v>
      </c>
      <c r="AE238">
        <v>34</v>
      </c>
      <c r="AG238">
        <v>6</v>
      </c>
      <c r="AH238">
        <v>9</v>
      </c>
      <c r="AI238">
        <v>-2</v>
      </c>
      <c r="AJ238">
        <v>-1</v>
      </c>
      <c r="AK238">
        <v>1</v>
      </c>
      <c r="AL238">
        <v>1</v>
      </c>
      <c r="AM238" t="s">
        <v>150</v>
      </c>
      <c r="AN238">
        <v>693</v>
      </c>
      <c r="AO238">
        <v>303</v>
      </c>
      <c r="AP238">
        <v>1447</v>
      </c>
      <c r="AQ238">
        <v>1468</v>
      </c>
      <c r="AS238">
        <v>4</v>
      </c>
      <c r="AT238">
        <v>96</v>
      </c>
      <c r="AU238" t="s">
        <v>94</v>
      </c>
      <c r="AV238">
        <v>19</v>
      </c>
      <c r="AW238" t="s">
        <v>80</v>
      </c>
      <c r="AX238">
        <v>22</v>
      </c>
      <c r="AY238" s="4">
        <f t="shared" si="47"/>
        <v>15</v>
      </c>
      <c r="AZ238" t="str">
        <f t="shared" si="48"/>
        <v>(Natu-city)</v>
      </c>
      <c r="BA238">
        <v>4</v>
      </c>
      <c r="BB238">
        <v>125</v>
      </c>
      <c r="BC238">
        <f t="shared" si="58"/>
        <v>2</v>
      </c>
      <c r="BD238">
        <f t="shared" si="50"/>
        <v>0</v>
      </c>
    </row>
    <row r="239" spans="1:56" x14ac:dyDescent="0.3">
      <c r="A239">
        <v>1172</v>
      </c>
      <c r="B239" s="2">
        <v>45923.600983796292</v>
      </c>
      <c r="C239">
        <v>130000</v>
      </c>
      <c r="D239">
        <v>75000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50000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5</v>
      </c>
      <c r="W239">
        <v>7</v>
      </c>
      <c r="X239">
        <v>200000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103</v>
      </c>
      <c r="AN239">
        <v>694</v>
      </c>
      <c r="AO239">
        <v>287</v>
      </c>
      <c r="AS239">
        <v>0</v>
      </c>
      <c r="AT239">
        <v>96</v>
      </c>
      <c r="AU239" t="s">
        <v>94</v>
      </c>
      <c r="AV239">
        <v>19</v>
      </c>
      <c r="AW239" t="s">
        <v>80</v>
      </c>
      <c r="AX239">
        <v>22</v>
      </c>
      <c r="AY239" s="4">
        <f t="shared" si="47"/>
        <v>0</v>
      </c>
      <c r="AZ239" t="str">
        <f t="shared" si="48"/>
        <v/>
      </c>
      <c r="BA239">
        <v>0</v>
      </c>
      <c r="BB239">
        <v>127</v>
      </c>
      <c r="BD239">
        <f t="shared" si="50"/>
        <v>0</v>
      </c>
    </row>
    <row r="240" spans="1:56" x14ac:dyDescent="0.3">
      <c r="A240">
        <v>1197</v>
      </c>
      <c r="B240" s="2">
        <v>45923.600983796292</v>
      </c>
      <c r="C240">
        <v>130000</v>
      </c>
      <c r="D240">
        <v>75000</v>
      </c>
      <c r="E240">
        <v>0</v>
      </c>
      <c r="F240">
        <v>20000</v>
      </c>
      <c r="G240">
        <v>0</v>
      </c>
      <c r="H240">
        <v>0</v>
      </c>
      <c r="I240">
        <v>20000</v>
      </c>
      <c r="J240">
        <v>16000</v>
      </c>
      <c r="K240">
        <v>4000</v>
      </c>
      <c r="L240">
        <v>0</v>
      </c>
      <c r="M240">
        <v>0</v>
      </c>
      <c r="N240">
        <v>45000</v>
      </c>
      <c r="O240">
        <v>0</v>
      </c>
      <c r="P240">
        <v>-1</v>
      </c>
      <c r="Q240">
        <v>2</v>
      </c>
      <c r="R240">
        <v>0</v>
      </c>
      <c r="S240">
        <v>1</v>
      </c>
      <c r="T240">
        <v>0</v>
      </c>
      <c r="U240">
        <v>0</v>
      </c>
      <c r="V240">
        <v>5</v>
      </c>
      <c r="W240">
        <v>7</v>
      </c>
      <c r="X240">
        <v>200000</v>
      </c>
      <c r="Y240">
        <v>0</v>
      </c>
      <c r="Z240">
        <v>0</v>
      </c>
      <c r="AA240">
        <v>0</v>
      </c>
      <c r="AB240">
        <v>200000</v>
      </c>
      <c r="AC240">
        <v>200000</v>
      </c>
      <c r="AD240">
        <v>180000</v>
      </c>
      <c r="AG240">
        <v>6</v>
      </c>
      <c r="AH240">
        <v>6</v>
      </c>
      <c r="AI240">
        <v>0</v>
      </c>
      <c r="AJ240">
        <v>0</v>
      </c>
      <c r="AK240">
        <v>2</v>
      </c>
      <c r="AL240">
        <v>1</v>
      </c>
      <c r="AM240" t="s">
        <v>150</v>
      </c>
      <c r="AN240">
        <v>694</v>
      </c>
      <c r="AO240">
        <v>293</v>
      </c>
      <c r="AQ240">
        <v>1443</v>
      </c>
      <c r="AS240">
        <v>1</v>
      </c>
      <c r="AT240">
        <v>96</v>
      </c>
      <c r="AU240" t="s">
        <v>94</v>
      </c>
      <c r="AV240">
        <v>19</v>
      </c>
      <c r="AW240" t="s">
        <v>80</v>
      </c>
      <c r="AX240">
        <v>22</v>
      </c>
      <c r="AY240" s="4">
        <f t="shared" si="47"/>
        <v>12</v>
      </c>
      <c r="AZ240" t="str">
        <f t="shared" si="48"/>
        <v>(U-village)</v>
      </c>
      <c r="BA240">
        <v>1</v>
      </c>
      <c r="BB240">
        <v>127</v>
      </c>
      <c r="BC240">
        <f t="shared" ref="BC240:BC243" si="59">AK240+AL240</f>
        <v>3</v>
      </c>
      <c r="BD240">
        <f t="shared" si="50"/>
        <v>0</v>
      </c>
    </row>
    <row r="241" spans="1:56" x14ac:dyDescent="0.3">
      <c r="A241">
        <v>1211</v>
      </c>
      <c r="B241" s="2">
        <v>45923.600983796292</v>
      </c>
      <c r="C241">
        <v>130000</v>
      </c>
      <c r="D241">
        <v>75000</v>
      </c>
      <c r="E241">
        <v>0</v>
      </c>
      <c r="F241">
        <v>20000</v>
      </c>
      <c r="G241">
        <v>0</v>
      </c>
      <c r="H241">
        <v>0</v>
      </c>
      <c r="I241">
        <v>20000</v>
      </c>
      <c r="J241">
        <v>1000</v>
      </c>
      <c r="K241">
        <v>10000</v>
      </c>
      <c r="L241">
        <v>4000</v>
      </c>
      <c r="M241">
        <v>0</v>
      </c>
      <c r="N241">
        <v>45000</v>
      </c>
      <c r="O241">
        <v>0</v>
      </c>
      <c r="P241">
        <v>0</v>
      </c>
      <c r="Q241">
        <v>0</v>
      </c>
      <c r="R241">
        <v>2</v>
      </c>
      <c r="S241">
        <v>2</v>
      </c>
      <c r="T241">
        <v>0</v>
      </c>
      <c r="U241">
        <v>0</v>
      </c>
      <c r="V241">
        <v>5</v>
      </c>
      <c r="W241">
        <v>7</v>
      </c>
      <c r="X241">
        <v>200000</v>
      </c>
      <c r="Y241">
        <v>200000</v>
      </c>
      <c r="Z241">
        <v>180000</v>
      </c>
      <c r="AA241">
        <v>0</v>
      </c>
      <c r="AB241">
        <v>0</v>
      </c>
      <c r="AC241">
        <v>200000</v>
      </c>
      <c r="AD241">
        <v>160000</v>
      </c>
      <c r="AG241">
        <v>6</v>
      </c>
      <c r="AH241">
        <v>6</v>
      </c>
      <c r="AI241">
        <v>0</v>
      </c>
      <c r="AJ241">
        <v>0</v>
      </c>
      <c r="AK241">
        <v>0</v>
      </c>
      <c r="AL241">
        <v>1</v>
      </c>
      <c r="AM241" t="s">
        <v>150</v>
      </c>
      <c r="AN241">
        <v>694</v>
      </c>
      <c r="AO241">
        <v>295</v>
      </c>
      <c r="AP241">
        <v>1443</v>
      </c>
      <c r="AQ241">
        <v>1443</v>
      </c>
      <c r="AS241">
        <v>2</v>
      </c>
      <c r="AT241">
        <v>96</v>
      </c>
      <c r="AU241" t="s">
        <v>94</v>
      </c>
      <c r="AV241">
        <v>19</v>
      </c>
      <c r="AW241" t="s">
        <v>80</v>
      </c>
      <c r="AX241">
        <v>22</v>
      </c>
      <c r="AY241" s="4">
        <f t="shared" si="47"/>
        <v>12</v>
      </c>
      <c r="AZ241" t="str">
        <f t="shared" si="48"/>
        <v>(U-village)</v>
      </c>
      <c r="BA241">
        <v>2</v>
      </c>
      <c r="BB241">
        <v>127</v>
      </c>
      <c r="BC241">
        <f t="shared" si="59"/>
        <v>1</v>
      </c>
      <c r="BD241">
        <f t="shared" si="50"/>
        <v>4000</v>
      </c>
    </row>
    <row r="242" spans="1:56" x14ac:dyDescent="0.3">
      <c r="A242">
        <v>1243</v>
      </c>
      <c r="B242" s="2">
        <v>45923.600983796292</v>
      </c>
      <c r="C242">
        <v>130000</v>
      </c>
      <c r="D242">
        <v>75000</v>
      </c>
      <c r="E242">
        <v>0</v>
      </c>
      <c r="F242">
        <v>20000</v>
      </c>
      <c r="G242">
        <v>0</v>
      </c>
      <c r="H242">
        <v>0</v>
      </c>
      <c r="I242">
        <v>20000</v>
      </c>
      <c r="J242">
        <v>10000</v>
      </c>
      <c r="K242">
        <v>11500</v>
      </c>
      <c r="L242">
        <v>8000</v>
      </c>
      <c r="M242">
        <v>0</v>
      </c>
      <c r="N242">
        <v>30500</v>
      </c>
      <c r="O242">
        <v>0</v>
      </c>
      <c r="P242">
        <v>0</v>
      </c>
      <c r="Q242">
        <v>0</v>
      </c>
      <c r="R242">
        <v>2</v>
      </c>
      <c r="S242">
        <v>3</v>
      </c>
      <c r="T242">
        <v>0</v>
      </c>
      <c r="U242">
        <v>0</v>
      </c>
      <c r="V242">
        <v>4</v>
      </c>
      <c r="W242">
        <v>7</v>
      </c>
      <c r="X242">
        <v>200000</v>
      </c>
      <c r="Y242">
        <v>200000</v>
      </c>
      <c r="Z242">
        <v>160000</v>
      </c>
      <c r="AA242">
        <v>0</v>
      </c>
      <c r="AB242">
        <v>0</v>
      </c>
      <c r="AC242">
        <v>200000</v>
      </c>
      <c r="AD242">
        <v>140000</v>
      </c>
      <c r="AG242">
        <v>6</v>
      </c>
      <c r="AH242">
        <v>6</v>
      </c>
      <c r="AI242">
        <v>-2</v>
      </c>
      <c r="AJ242">
        <v>-1</v>
      </c>
      <c r="AK242">
        <v>1</v>
      </c>
      <c r="AL242">
        <v>1</v>
      </c>
      <c r="AM242" t="s">
        <v>150</v>
      </c>
      <c r="AN242">
        <v>694</v>
      </c>
      <c r="AO242">
        <v>300</v>
      </c>
      <c r="AP242">
        <v>1443</v>
      </c>
      <c r="AQ242">
        <v>1443</v>
      </c>
      <c r="AS242">
        <v>3</v>
      </c>
      <c r="AT242">
        <v>96</v>
      </c>
      <c r="AU242" t="s">
        <v>94</v>
      </c>
      <c r="AV242">
        <v>19</v>
      </c>
      <c r="AW242" t="s">
        <v>80</v>
      </c>
      <c r="AX242">
        <v>22</v>
      </c>
      <c r="AY242" s="4">
        <f t="shared" si="47"/>
        <v>12</v>
      </c>
      <c r="AZ242" t="str">
        <f t="shared" si="48"/>
        <v>(U-village)</v>
      </c>
      <c r="BA242">
        <v>3</v>
      </c>
      <c r="BB242">
        <v>127</v>
      </c>
      <c r="BC242">
        <f t="shared" si="59"/>
        <v>2</v>
      </c>
      <c r="BD242">
        <f t="shared" si="50"/>
        <v>8000</v>
      </c>
    </row>
    <row r="243" spans="1:56" x14ac:dyDescent="0.3">
      <c r="A243">
        <v>1260</v>
      </c>
      <c r="B243" s="2">
        <v>45923.600983796292</v>
      </c>
      <c r="C243">
        <v>130000</v>
      </c>
      <c r="D243">
        <v>75000</v>
      </c>
      <c r="E243">
        <v>0</v>
      </c>
      <c r="F243">
        <v>0</v>
      </c>
      <c r="G243">
        <v>60000</v>
      </c>
      <c r="H243">
        <v>0</v>
      </c>
      <c r="I243">
        <v>30000</v>
      </c>
      <c r="J243">
        <v>23000</v>
      </c>
      <c r="K243">
        <v>0</v>
      </c>
      <c r="L243">
        <v>0</v>
      </c>
      <c r="M243">
        <v>0</v>
      </c>
      <c r="N243">
        <v>92500</v>
      </c>
      <c r="O243">
        <v>1</v>
      </c>
      <c r="P243">
        <v>0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6</v>
      </c>
      <c r="W243">
        <v>7</v>
      </c>
      <c r="X243">
        <v>200000</v>
      </c>
      <c r="Y243">
        <v>200000</v>
      </c>
      <c r="Z243">
        <v>140000</v>
      </c>
      <c r="AA243">
        <v>200000</v>
      </c>
      <c r="AB243">
        <v>0</v>
      </c>
      <c r="AC243">
        <v>0</v>
      </c>
      <c r="AD243">
        <v>0</v>
      </c>
      <c r="AE243">
        <v>34</v>
      </c>
      <c r="AG243">
        <v>6</v>
      </c>
      <c r="AH243">
        <v>9</v>
      </c>
      <c r="AI243">
        <v>-2</v>
      </c>
      <c r="AJ243">
        <v>-1</v>
      </c>
      <c r="AK243">
        <v>4</v>
      </c>
      <c r="AL243">
        <v>3</v>
      </c>
      <c r="AM243" t="s">
        <v>150</v>
      </c>
      <c r="AN243">
        <v>694</v>
      </c>
      <c r="AO243">
        <v>303</v>
      </c>
      <c r="AP243">
        <v>1443</v>
      </c>
      <c r="AQ243">
        <v>1466</v>
      </c>
      <c r="AS243">
        <v>4</v>
      </c>
      <c r="AT243">
        <v>96</v>
      </c>
      <c r="AU243" t="s">
        <v>94</v>
      </c>
      <c r="AV243">
        <v>19</v>
      </c>
      <c r="AW243" t="s">
        <v>80</v>
      </c>
      <c r="AX243">
        <v>22</v>
      </c>
      <c r="AY243" s="4">
        <f t="shared" si="47"/>
        <v>15</v>
      </c>
      <c r="AZ243" t="str">
        <f t="shared" si="48"/>
        <v>(Natu-city)</v>
      </c>
      <c r="BA243">
        <v>4</v>
      </c>
      <c r="BB243">
        <v>127</v>
      </c>
      <c r="BC243">
        <f t="shared" si="59"/>
        <v>7</v>
      </c>
      <c r="BD243">
        <f t="shared" si="50"/>
        <v>0</v>
      </c>
    </row>
    <row r="244" spans="1:56" x14ac:dyDescent="0.3">
      <c r="A244">
        <v>1166</v>
      </c>
      <c r="B244" s="2">
        <v>45923.600671296299</v>
      </c>
      <c r="C244">
        <v>190000</v>
      </c>
      <c r="D244">
        <v>115000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80000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</v>
      </c>
      <c r="W244">
        <v>8</v>
      </c>
      <c r="X244">
        <v>300000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t="s">
        <v>103</v>
      </c>
      <c r="AN244">
        <v>695</v>
      </c>
      <c r="AO244">
        <v>287</v>
      </c>
      <c r="AS244">
        <v>0</v>
      </c>
      <c r="AT244">
        <v>96</v>
      </c>
      <c r="AU244" t="s">
        <v>94</v>
      </c>
      <c r="AV244">
        <v>19</v>
      </c>
      <c r="AW244" t="s">
        <v>80</v>
      </c>
      <c r="AX244">
        <v>22</v>
      </c>
      <c r="AY244" s="4">
        <f t="shared" si="47"/>
        <v>0</v>
      </c>
      <c r="AZ244" t="str">
        <f t="shared" si="48"/>
        <v/>
      </c>
      <c r="BA244">
        <v>0</v>
      </c>
      <c r="BB244">
        <v>128</v>
      </c>
      <c r="BD244">
        <f t="shared" si="50"/>
        <v>0</v>
      </c>
    </row>
    <row r="245" spans="1:56" x14ac:dyDescent="0.3">
      <c r="A245">
        <v>1195</v>
      </c>
      <c r="B245" s="2">
        <v>45923.600671296299</v>
      </c>
      <c r="C245">
        <v>190000</v>
      </c>
      <c r="D245">
        <v>115000</v>
      </c>
      <c r="E245">
        <v>0</v>
      </c>
      <c r="F245">
        <v>20000</v>
      </c>
      <c r="G245">
        <v>0</v>
      </c>
      <c r="H245">
        <v>0</v>
      </c>
      <c r="I245">
        <v>15000</v>
      </c>
      <c r="J245">
        <v>14000</v>
      </c>
      <c r="K245">
        <v>19500</v>
      </c>
      <c r="L245">
        <v>0</v>
      </c>
      <c r="M245">
        <v>0</v>
      </c>
      <c r="N245">
        <v>86500</v>
      </c>
      <c r="O245">
        <v>0</v>
      </c>
      <c r="P245">
        <v>-2</v>
      </c>
      <c r="Q245">
        <v>2</v>
      </c>
      <c r="R245">
        <v>3</v>
      </c>
      <c r="S245">
        <v>0</v>
      </c>
      <c r="T245">
        <v>0</v>
      </c>
      <c r="U245">
        <v>0</v>
      </c>
      <c r="V245">
        <v>8</v>
      </c>
      <c r="W245">
        <v>8</v>
      </c>
      <c r="X245">
        <v>300000</v>
      </c>
      <c r="Y245">
        <v>0</v>
      </c>
      <c r="Z245">
        <v>0</v>
      </c>
      <c r="AA245">
        <v>0</v>
      </c>
      <c r="AB245">
        <v>200000</v>
      </c>
      <c r="AC245">
        <v>200000</v>
      </c>
      <c r="AD245">
        <v>180000</v>
      </c>
      <c r="AG245">
        <v>6</v>
      </c>
      <c r="AH245">
        <v>9</v>
      </c>
      <c r="AI245">
        <v>0</v>
      </c>
      <c r="AJ245">
        <v>0</v>
      </c>
      <c r="AK245">
        <v>2</v>
      </c>
      <c r="AL245">
        <v>0</v>
      </c>
      <c r="AM245" t="s">
        <v>150</v>
      </c>
      <c r="AN245">
        <v>695</v>
      </c>
      <c r="AO245">
        <v>293</v>
      </c>
      <c r="AQ245">
        <v>1434</v>
      </c>
      <c r="AS245">
        <v>1</v>
      </c>
      <c r="AT245">
        <v>96</v>
      </c>
      <c r="AU245" t="s">
        <v>94</v>
      </c>
      <c r="AV245">
        <v>19</v>
      </c>
      <c r="AW245" t="s">
        <v>80</v>
      </c>
      <c r="AX245">
        <v>22</v>
      </c>
      <c r="AY245" s="4">
        <f t="shared" si="47"/>
        <v>15</v>
      </c>
      <c r="AZ245" t="str">
        <f t="shared" si="48"/>
        <v>(Natu-city)</v>
      </c>
      <c r="BA245">
        <v>1</v>
      </c>
      <c r="BB245">
        <v>128</v>
      </c>
      <c r="BC245">
        <f t="shared" ref="BC245:BC248" si="60">AK245+AL245</f>
        <v>2</v>
      </c>
      <c r="BD245">
        <f t="shared" si="50"/>
        <v>0</v>
      </c>
    </row>
    <row r="246" spans="1:56" x14ac:dyDescent="0.3">
      <c r="A246">
        <v>1209</v>
      </c>
      <c r="B246" s="2">
        <v>45923.600671296299</v>
      </c>
      <c r="C246">
        <v>190000</v>
      </c>
      <c r="D246">
        <v>115000</v>
      </c>
      <c r="E246">
        <v>0</v>
      </c>
      <c r="F246">
        <v>20000</v>
      </c>
      <c r="G246">
        <v>0</v>
      </c>
      <c r="H246">
        <v>0</v>
      </c>
      <c r="I246">
        <v>15000</v>
      </c>
      <c r="J246">
        <v>0</v>
      </c>
      <c r="K246">
        <v>5000</v>
      </c>
      <c r="L246">
        <v>0</v>
      </c>
      <c r="M246">
        <v>0</v>
      </c>
      <c r="N246">
        <v>121500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9</v>
      </c>
      <c r="W246">
        <v>8</v>
      </c>
      <c r="X246">
        <v>300000</v>
      </c>
      <c r="Y246">
        <v>200000</v>
      </c>
      <c r="Z246">
        <v>180000</v>
      </c>
      <c r="AA246">
        <v>0</v>
      </c>
      <c r="AB246">
        <v>0</v>
      </c>
      <c r="AC246">
        <v>200000</v>
      </c>
      <c r="AD246">
        <v>160000</v>
      </c>
      <c r="AG246">
        <v>6</v>
      </c>
      <c r="AH246">
        <v>9</v>
      </c>
      <c r="AI246">
        <v>0</v>
      </c>
      <c r="AJ246">
        <v>0</v>
      </c>
      <c r="AK246">
        <v>0</v>
      </c>
      <c r="AL246">
        <v>0</v>
      </c>
      <c r="AM246" t="s">
        <v>150</v>
      </c>
      <c r="AN246">
        <v>695</v>
      </c>
      <c r="AO246">
        <v>295</v>
      </c>
      <c r="AP246">
        <v>1434</v>
      </c>
      <c r="AQ246">
        <v>1434</v>
      </c>
      <c r="AS246">
        <v>2</v>
      </c>
      <c r="AT246">
        <v>96</v>
      </c>
      <c r="AU246" t="s">
        <v>94</v>
      </c>
      <c r="AV246">
        <v>19</v>
      </c>
      <c r="AW246" t="s">
        <v>80</v>
      </c>
      <c r="AX246">
        <v>22</v>
      </c>
      <c r="AY246" s="4">
        <f t="shared" si="47"/>
        <v>15</v>
      </c>
      <c r="AZ246" t="str">
        <f t="shared" si="48"/>
        <v>(Natu-city)</v>
      </c>
      <c r="BA246">
        <v>2</v>
      </c>
      <c r="BB246">
        <v>128</v>
      </c>
      <c r="BC246">
        <f t="shared" si="60"/>
        <v>0</v>
      </c>
      <c r="BD246">
        <f t="shared" si="50"/>
        <v>0</v>
      </c>
    </row>
    <row r="247" spans="1:56" x14ac:dyDescent="0.3">
      <c r="A247">
        <v>1242</v>
      </c>
      <c r="B247" s="2">
        <v>45923.600671296299</v>
      </c>
      <c r="C247">
        <v>190000</v>
      </c>
      <c r="D247">
        <v>115000</v>
      </c>
      <c r="E247">
        <v>0</v>
      </c>
      <c r="F247">
        <v>20000</v>
      </c>
      <c r="G247">
        <v>0</v>
      </c>
      <c r="H247">
        <v>0</v>
      </c>
      <c r="I247">
        <v>15000</v>
      </c>
      <c r="J247">
        <v>8000</v>
      </c>
      <c r="K247">
        <v>4000</v>
      </c>
      <c r="L247">
        <v>0</v>
      </c>
      <c r="M247">
        <v>0</v>
      </c>
      <c r="N247">
        <v>149500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10</v>
      </c>
      <c r="W247">
        <v>8</v>
      </c>
      <c r="X247">
        <v>300000</v>
      </c>
      <c r="Y247">
        <v>200000</v>
      </c>
      <c r="Z247">
        <v>160000</v>
      </c>
      <c r="AA247">
        <v>0</v>
      </c>
      <c r="AB247">
        <v>0</v>
      </c>
      <c r="AC247">
        <v>200000</v>
      </c>
      <c r="AD247">
        <v>140000</v>
      </c>
      <c r="AG247">
        <v>6</v>
      </c>
      <c r="AH247">
        <v>9</v>
      </c>
      <c r="AI247">
        <v>-2</v>
      </c>
      <c r="AJ247">
        <v>-1</v>
      </c>
      <c r="AK247">
        <v>1</v>
      </c>
      <c r="AL247">
        <v>1</v>
      </c>
      <c r="AM247" t="s">
        <v>150</v>
      </c>
      <c r="AN247">
        <v>695</v>
      </c>
      <c r="AO247">
        <v>300</v>
      </c>
      <c r="AP247">
        <v>1434</v>
      </c>
      <c r="AQ247">
        <v>1434</v>
      </c>
      <c r="AS247">
        <v>3</v>
      </c>
      <c r="AT247">
        <v>96</v>
      </c>
      <c r="AU247" t="s">
        <v>94</v>
      </c>
      <c r="AV247">
        <v>19</v>
      </c>
      <c r="AW247" t="s">
        <v>80</v>
      </c>
      <c r="AX247">
        <v>22</v>
      </c>
      <c r="AY247" s="4">
        <f t="shared" si="47"/>
        <v>15</v>
      </c>
      <c r="AZ247" t="str">
        <f t="shared" si="48"/>
        <v>(Natu-city)</v>
      </c>
      <c r="BA247">
        <v>3</v>
      </c>
      <c r="BB247">
        <v>128</v>
      </c>
      <c r="BC247">
        <f t="shared" si="60"/>
        <v>2</v>
      </c>
      <c r="BD247">
        <f t="shared" si="50"/>
        <v>0</v>
      </c>
    </row>
    <row r="248" spans="1:56" x14ac:dyDescent="0.3">
      <c r="A248">
        <v>1261</v>
      </c>
      <c r="B248" s="2">
        <v>45923.600671296299</v>
      </c>
      <c r="C248">
        <v>190000</v>
      </c>
      <c r="D248">
        <v>115000</v>
      </c>
      <c r="E248">
        <v>0</v>
      </c>
      <c r="F248">
        <v>30000</v>
      </c>
      <c r="G248">
        <v>110000</v>
      </c>
      <c r="H248">
        <v>125000</v>
      </c>
      <c r="I248">
        <v>30000</v>
      </c>
      <c r="J248">
        <v>15000</v>
      </c>
      <c r="K248">
        <v>0</v>
      </c>
      <c r="L248">
        <v>0</v>
      </c>
      <c r="M248">
        <v>0</v>
      </c>
      <c r="N248">
        <v>134500</v>
      </c>
      <c r="O248">
        <v>3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10</v>
      </c>
      <c r="W248">
        <v>8</v>
      </c>
      <c r="X248">
        <v>300000</v>
      </c>
      <c r="Y248">
        <v>200000</v>
      </c>
      <c r="Z248">
        <v>140000</v>
      </c>
      <c r="AA248">
        <v>250000</v>
      </c>
      <c r="AB248">
        <v>425000</v>
      </c>
      <c r="AC248">
        <v>300000</v>
      </c>
      <c r="AD248">
        <v>270000</v>
      </c>
      <c r="AE248">
        <v>33</v>
      </c>
      <c r="AG248">
        <v>6</v>
      </c>
      <c r="AH248">
        <v>9</v>
      </c>
      <c r="AI248">
        <v>-2</v>
      </c>
      <c r="AJ248">
        <v>-1</v>
      </c>
      <c r="AK248">
        <v>4</v>
      </c>
      <c r="AL248">
        <v>3</v>
      </c>
      <c r="AM248" t="s">
        <v>150</v>
      </c>
      <c r="AN248">
        <v>695</v>
      </c>
      <c r="AO248">
        <v>303</v>
      </c>
      <c r="AP248">
        <v>1434</v>
      </c>
      <c r="AQ248">
        <v>1467</v>
      </c>
      <c r="AS248">
        <v>4</v>
      </c>
      <c r="AT248">
        <v>96</v>
      </c>
      <c r="AU248" t="s">
        <v>94</v>
      </c>
      <c r="AV248">
        <v>19</v>
      </c>
      <c r="AW248" t="s">
        <v>80</v>
      </c>
      <c r="AX248">
        <v>22</v>
      </c>
      <c r="AY248" s="4">
        <f t="shared" si="47"/>
        <v>15</v>
      </c>
      <c r="AZ248" t="str">
        <f t="shared" si="48"/>
        <v>(Natu-city)</v>
      </c>
      <c r="BA248">
        <v>4</v>
      </c>
      <c r="BB248">
        <v>128</v>
      </c>
      <c r="BC248">
        <f t="shared" si="60"/>
        <v>7</v>
      </c>
      <c r="BD248">
        <f t="shared" si="50"/>
        <v>0</v>
      </c>
    </row>
    <row r="249" spans="1:56" x14ac:dyDescent="0.3">
      <c r="A249">
        <v>1169</v>
      </c>
      <c r="B249" s="2">
        <v>45923.600740740752</v>
      </c>
      <c r="C249">
        <v>110000</v>
      </c>
      <c r="D249">
        <v>60000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30000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</v>
      </c>
      <c r="W249">
        <v>6</v>
      </c>
      <c r="X249">
        <v>170000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t="s">
        <v>103</v>
      </c>
      <c r="AN249">
        <v>696</v>
      </c>
      <c r="AO249">
        <v>287</v>
      </c>
      <c r="AS249">
        <v>0</v>
      </c>
      <c r="AT249">
        <v>96</v>
      </c>
      <c r="AU249" t="s">
        <v>94</v>
      </c>
      <c r="AV249">
        <v>19</v>
      </c>
      <c r="AW249" t="s">
        <v>80</v>
      </c>
      <c r="AX249">
        <v>22</v>
      </c>
      <c r="AY249" s="4">
        <f t="shared" si="47"/>
        <v>0</v>
      </c>
      <c r="AZ249" t="str">
        <f t="shared" si="48"/>
        <v/>
      </c>
      <c r="BA249">
        <v>0</v>
      </c>
      <c r="BB249">
        <v>126</v>
      </c>
      <c r="BD249">
        <f t="shared" si="50"/>
        <v>0</v>
      </c>
    </row>
    <row r="250" spans="1:56" x14ac:dyDescent="0.3">
      <c r="A250">
        <v>1196</v>
      </c>
      <c r="B250" s="2">
        <v>45923.600740740752</v>
      </c>
      <c r="C250">
        <v>110000</v>
      </c>
      <c r="D250">
        <v>60000</v>
      </c>
      <c r="E250">
        <v>0</v>
      </c>
      <c r="F250">
        <v>16000</v>
      </c>
      <c r="G250">
        <v>0</v>
      </c>
      <c r="H250">
        <v>0</v>
      </c>
      <c r="I250">
        <v>20000</v>
      </c>
      <c r="J250">
        <v>23000</v>
      </c>
      <c r="K250">
        <v>0</v>
      </c>
      <c r="L250">
        <v>0</v>
      </c>
      <c r="M250">
        <v>4000</v>
      </c>
      <c r="N250">
        <v>17000</v>
      </c>
      <c r="O250">
        <v>0</v>
      </c>
      <c r="P250">
        <v>-1</v>
      </c>
      <c r="Q250">
        <v>3</v>
      </c>
      <c r="R250">
        <v>0</v>
      </c>
      <c r="S250">
        <v>0</v>
      </c>
      <c r="T250">
        <v>1</v>
      </c>
      <c r="U250">
        <v>0</v>
      </c>
      <c r="V250">
        <v>6</v>
      </c>
      <c r="W250">
        <v>6</v>
      </c>
      <c r="X250">
        <v>170000</v>
      </c>
      <c r="Y250">
        <v>0</v>
      </c>
      <c r="Z250">
        <v>0</v>
      </c>
      <c r="AA250">
        <v>0</v>
      </c>
      <c r="AB250">
        <v>160000</v>
      </c>
      <c r="AC250">
        <v>160000</v>
      </c>
      <c r="AD250">
        <v>144000</v>
      </c>
      <c r="AG250">
        <v>4</v>
      </c>
      <c r="AH250">
        <v>9</v>
      </c>
      <c r="AI250">
        <v>0</v>
      </c>
      <c r="AJ250">
        <v>0</v>
      </c>
      <c r="AK250">
        <v>3</v>
      </c>
      <c r="AL250">
        <v>2</v>
      </c>
      <c r="AM250" t="s">
        <v>150</v>
      </c>
      <c r="AN250">
        <v>696</v>
      </c>
      <c r="AO250">
        <v>293</v>
      </c>
      <c r="AQ250">
        <v>1440</v>
      </c>
      <c r="AS250">
        <v>1</v>
      </c>
      <c r="AT250">
        <v>96</v>
      </c>
      <c r="AU250" t="s">
        <v>94</v>
      </c>
      <c r="AV250">
        <v>19</v>
      </c>
      <c r="AW250" t="s">
        <v>80</v>
      </c>
      <c r="AX250">
        <v>22</v>
      </c>
      <c r="AY250" s="4">
        <f t="shared" si="47"/>
        <v>13</v>
      </c>
      <c r="AZ250" t="str">
        <f t="shared" si="48"/>
        <v>(Dike-town)</v>
      </c>
      <c r="BA250">
        <v>1</v>
      </c>
      <c r="BB250">
        <v>126</v>
      </c>
      <c r="BC250">
        <f t="shared" ref="BC250:BC253" si="61">AK250+AL250</f>
        <v>5</v>
      </c>
      <c r="BD250">
        <f t="shared" si="50"/>
        <v>4000</v>
      </c>
    </row>
    <row r="251" spans="1:56" x14ac:dyDescent="0.3">
      <c r="A251">
        <v>1208</v>
      </c>
      <c r="B251" s="2">
        <v>45923.600740740752</v>
      </c>
      <c r="C251">
        <v>110000</v>
      </c>
      <c r="D251">
        <v>60000</v>
      </c>
      <c r="E251">
        <v>0</v>
      </c>
      <c r="F251">
        <v>0</v>
      </c>
      <c r="G251">
        <v>0</v>
      </c>
      <c r="H251">
        <v>0</v>
      </c>
      <c r="I251">
        <v>20000</v>
      </c>
      <c r="J251">
        <v>10000</v>
      </c>
      <c r="K251">
        <v>4000</v>
      </c>
      <c r="L251">
        <v>0</v>
      </c>
      <c r="M251">
        <v>0</v>
      </c>
      <c r="N251">
        <v>33000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7</v>
      </c>
      <c r="W251">
        <v>6</v>
      </c>
      <c r="X251">
        <v>170000</v>
      </c>
      <c r="Y251">
        <v>160000</v>
      </c>
      <c r="Z251">
        <v>144000</v>
      </c>
      <c r="AA251">
        <v>0</v>
      </c>
      <c r="AB251">
        <v>0</v>
      </c>
      <c r="AC251">
        <v>160000</v>
      </c>
      <c r="AD251">
        <v>144000</v>
      </c>
      <c r="AG251">
        <v>4</v>
      </c>
      <c r="AH251">
        <v>9</v>
      </c>
      <c r="AI251">
        <v>0</v>
      </c>
      <c r="AJ251">
        <v>0</v>
      </c>
      <c r="AK251">
        <v>1</v>
      </c>
      <c r="AL251">
        <v>1</v>
      </c>
      <c r="AM251" t="s">
        <v>150</v>
      </c>
      <c r="AN251">
        <v>696</v>
      </c>
      <c r="AO251">
        <v>295</v>
      </c>
      <c r="AP251">
        <v>1440</v>
      </c>
      <c r="AQ251">
        <v>1440</v>
      </c>
      <c r="AS251">
        <v>2</v>
      </c>
      <c r="AT251">
        <v>96</v>
      </c>
      <c r="AU251" t="s">
        <v>94</v>
      </c>
      <c r="AV251">
        <v>19</v>
      </c>
      <c r="AW251" t="s">
        <v>80</v>
      </c>
      <c r="AX251">
        <v>22</v>
      </c>
      <c r="AY251" s="4">
        <f t="shared" si="47"/>
        <v>13</v>
      </c>
      <c r="AZ251" t="str">
        <f t="shared" si="48"/>
        <v>(Dike-town)</v>
      </c>
      <c r="BA251">
        <v>2</v>
      </c>
      <c r="BB251">
        <v>126</v>
      </c>
      <c r="BC251">
        <f t="shared" si="61"/>
        <v>2</v>
      </c>
      <c r="BD251">
        <f t="shared" si="50"/>
        <v>0</v>
      </c>
    </row>
    <row r="252" spans="1:56" x14ac:dyDescent="0.3">
      <c r="A252">
        <v>1240</v>
      </c>
      <c r="B252" s="2">
        <v>45923.600740740752</v>
      </c>
      <c r="C252">
        <v>110000</v>
      </c>
      <c r="D252">
        <v>60000</v>
      </c>
      <c r="E252">
        <v>0</v>
      </c>
      <c r="F252">
        <v>16000</v>
      </c>
      <c r="G252">
        <v>0</v>
      </c>
      <c r="H252">
        <v>0</v>
      </c>
      <c r="I252">
        <v>20000</v>
      </c>
      <c r="J252">
        <v>0</v>
      </c>
      <c r="K252">
        <v>16700</v>
      </c>
      <c r="L252">
        <v>0</v>
      </c>
      <c r="M252">
        <v>0</v>
      </c>
      <c r="N252">
        <v>30300</v>
      </c>
      <c r="O252">
        <v>0</v>
      </c>
      <c r="P252">
        <v>0</v>
      </c>
      <c r="Q252">
        <v>0</v>
      </c>
      <c r="R252">
        <v>3</v>
      </c>
      <c r="S252">
        <v>0</v>
      </c>
      <c r="T252">
        <v>0</v>
      </c>
      <c r="U252">
        <v>0</v>
      </c>
      <c r="V252">
        <v>10</v>
      </c>
      <c r="W252">
        <v>6</v>
      </c>
      <c r="X252">
        <v>170000</v>
      </c>
      <c r="Y252">
        <v>160000</v>
      </c>
      <c r="Z252">
        <v>144000</v>
      </c>
      <c r="AA252">
        <v>0</v>
      </c>
      <c r="AB252">
        <v>0</v>
      </c>
      <c r="AC252">
        <v>160000</v>
      </c>
      <c r="AD252">
        <v>128000</v>
      </c>
      <c r="AG252">
        <v>4</v>
      </c>
      <c r="AH252">
        <v>9</v>
      </c>
      <c r="AI252">
        <v>-2</v>
      </c>
      <c r="AJ252">
        <v>-1</v>
      </c>
      <c r="AK252">
        <v>0</v>
      </c>
      <c r="AL252">
        <v>0</v>
      </c>
      <c r="AM252" t="s">
        <v>150</v>
      </c>
      <c r="AN252">
        <v>696</v>
      </c>
      <c r="AO252">
        <v>300</v>
      </c>
      <c r="AP252">
        <v>1440</v>
      </c>
      <c r="AQ252">
        <v>1440</v>
      </c>
      <c r="AS252">
        <v>3</v>
      </c>
      <c r="AT252">
        <v>96</v>
      </c>
      <c r="AU252" t="s">
        <v>94</v>
      </c>
      <c r="AV252">
        <v>19</v>
      </c>
      <c r="AW252" t="s">
        <v>80</v>
      </c>
      <c r="AX252">
        <v>22</v>
      </c>
      <c r="AY252" s="4">
        <f t="shared" si="47"/>
        <v>13</v>
      </c>
      <c r="AZ252" t="str">
        <f t="shared" si="48"/>
        <v>(Dike-town)</v>
      </c>
      <c r="BA252">
        <v>3</v>
      </c>
      <c r="BB252">
        <v>126</v>
      </c>
      <c r="BC252">
        <f t="shared" si="61"/>
        <v>0</v>
      </c>
      <c r="BD252">
        <f t="shared" si="50"/>
        <v>0</v>
      </c>
    </row>
    <row r="253" spans="1:56" x14ac:dyDescent="0.3">
      <c r="A253">
        <v>1262</v>
      </c>
      <c r="B253" s="2">
        <v>45923.600740740752</v>
      </c>
      <c r="C253">
        <v>110000</v>
      </c>
      <c r="D253">
        <v>60000</v>
      </c>
      <c r="E253">
        <v>0</v>
      </c>
      <c r="F253">
        <v>16000</v>
      </c>
      <c r="G253">
        <v>0</v>
      </c>
      <c r="H253">
        <v>0</v>
      </c>
      <c r="I253">
        <v>20000</v>
      </c>
      <c r="J253">
        <v>0</v>
      </c>
      <c r="K253">
        <v>0</v>
      </c>
      <c r="L253">
        <v>0</v>
      </c>
      <c r="M253">
        <v>0</v>
      </c>
      <c r="N253">
        <v>44300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10</v>
      </c>
      <c r="W253">
        <v>6</v>
      </c>
      <c r="X253">
        <v>170000</v>
      </c>
      <c r="Y253">
        <v>160000</v>
      </c>
      <c r="Z253">
        <v>128000</v>
      </c>
      <c r="AA253">
        <v>0</v>
      </c>
      <c r="AB253">
        <v>0</v>
      </c>
      <c r="AC253">
        <v>160000</v>
      </c>
      <c r="AD253">
        <v>112000</v>
      </c>
      <c r="AG253">
        <v>4</v>
      </c>
      <c r="AH253">
        <v>9</v>
      </c>
      <c r="AI253">
        <v>-2</v>
      </c>
      <c r="AJ253">
        <v>-1</v>
      </c>
      <c r="AK253">
        <v>0</v>
      </c>
      <c r="AL253">
        <v>0</v>
      </c>
      <c r="AM253" t="s">
        <v>150</v>
      </c>
      <c r="AN253">
        <v>696</v>
      </c>
      <c r="AO253">
        <v>303</v>
      </c>
      <c r="AP253">
        <v>1440</v>
      </c>
      <c r="AQ253">
        <v>1440</v>
      </c>
      <c r="AS253">
        <v>4</v>
      </c>
      <c r="AT253">
        <v>96</v>
      </c>
      <c r="AU253" t="s">
        <v>94</v>
      </c>
      <c r="AV253">
        <v>19</v>
      </c>
      <c r="AW253" t="s">
        <v>80</v>
      </c>
      <c r="AX253">
        <v>22</v>
      </c>
      <c r="AY253" s="4">
        <f t="shared" si="47"/>
        <v>13</v>
      </c>
      <c r="AZ253" t="str">
        <f t="shared" si="48"/>
        <v>(Dike-town)</v>
      </c>
      <c r="BA253">
        <v>4</v>
      </c>
      <c r="BB253">
        <v>126</v>
      </c>
      <c r="BC253">
        <f t="shared" si="61"/>
        <v>0</v>
      </c>
      <c r="BD253">
        <f t="shared" si="50"/>
        <v>0</v>
      </c>
    </row>
    <row r="254" spans="1:56" x14ac:dyDescent="0.3">
      <c r="BB254" t="e">
        <v>#N/A</v>
      </c>
    </row>
    <row r="255" spans="1:56" x14ac:dyDescent="0.3">
      <c r="BB255" t="e">
        <v>#N/A</v>
      </c>
    </row>
    <row r="256" spans="1:56" x14ac:dyDescent="0.3">
      <c r="BB256" t="e">
        <v>#N/A</v>
      </c>
    </row>
    <row r="257" spans="54:54" x14ac:dyDescent="0.3">
      <c r="BB257" t="e">
        <v>#N/A</v>
      </c>
    </row>
    <row r="258" spans="54:54" x14ac:dyDescent="0.3">
      <c r="BB258" t="e">
        <v>#N/A</v>
      </c>
    </row>
    <row r="259" spans="54:54" x14ac:dyDescent="0.3">
      <c r="BB259" t="e">
        <v>#N/A</v>
      </c>
    </row>
    <row r="260" spans="54:54" x14ac:dyDescent="0.3">
      <c r="BB260" t="e">
        <v>#N/A</v>
      </c>
    </row>
    <row r="261" spans="54:54" x14ac:dyDescent="0.3">
      <c r="BB261" t="e">
        <v>#N/A</v>
      </c>
    </row>
    <row r="262" spans="54:54" x14ac:dyDescent="0.3">
      <c r="BB262" t="e">
        <v>#N/A</v>
      </c>
    </row>
    <row r="263" spans="54:54" x14ac:dyDescent="0.3">
      <c r="BB263" t="e">
        <v>#N/A</v>
      </c>
    </row>
    <row r="264" spans="54:54" x14ac:dyDescent="0.3">
      <c r="BB264" t="e">
        <v>#N/A</v>
      </c>
    </row>
    <row r="265" spans="54:54" x14ac:dyDescent="0.3">
      <c r="BB265" t="e">
        <v>#N/A</v>
      </c>
    </row>
    <row r="266" spans="54:54" x14ac:dyDescent="0.3">
      <c r="BB266" t="e">
        <v>#N/A</v>
      </c>
    </row>
    <row r="267" spans="54:54" x14ac:dyDescent="0.3">
      <c r="BB267" t="e">
        <v>#N/A</v>
      </c>
    </row>
    <row r="268" spans="54:54" x14ac:dyDescent="0.3">
      <c r="BB268" t="e">
        <v>#N/A</v>
      </c>
    </row>
    <row r="269" spans="54:54" x14ac:dyDescent="0.3">
      <c r="BB269" t="e">
        <v>#N/A</v>
      </c>
    </row>
    <row r="270" spans="54:54" x14ac:dyDescent="0.3">
      <c r="BB270" t="e">
        <v>#N/A</v>
      </c>
    </row>
    <row r="271" spans="54:54" x14ac:dyDescent="0.3">
      <c r="BB271" t="e">
        <v>#N/A</v>
      </c>
    </row>
    <row r="272" spans="54:54" x14ac:dyDescent="0.3">
      <c r="BB272" t="e">
        <v>#N/A</v>
      </c>
    </row>
    <row r="273" spans="54:54" x14ac:dyDescent="0.3">
      <c r="BB273" t="e">
        <v>#N/A</v>
      </c>
    </row>
    <row r="274" spans="54:54" x14ac:dyDescent="0.3">
      <c r="BB274" t="e">
        <v>#N/A</v>
      </c>
    </row>
    <row r="275" spans="54:54" x14ac:dyDescent="0.3">
      <c r="BB275" t="e">
        <v>#N/A</v>
      </c>
    </row>
    <row r="276" spans="54:54" x14ac:dyDescent="0.3">
      <c r="BB276" t="e">
        <v>#N/A</v>
      </c>
    </row>
    <row r="277" spans="54:54" x14ac:dyDescent="0.3">
      <c r="BB277" t="e">
        <v>#N/A</v>
      </c>
    </row>
    <row r="278" spans="54:54" x14ac:dyDescent="0.3">
      <c r="BB278" t="e">
        <v>#N/A</v>
      </c>
    </row>
    <row r="279" spans="54:54" x14ac:dyDescent="0.3">
      <c r="BB279" t="e">
        <v>#N/A</v>
      </c>
    </row>
    <row r="280" spans="54:54" x14ac:dyDescent="0.3">
      <c r="BB280" t="e">
        <v>#N/A</v>
      </c>
    </row>
    <row r="281" spans="54:54" x14ac:dyDescent="0.3">
      <c r="BB281" t="e">
        <v>#N/A</v>
      </c>
    </row>
    <row r="282" spans="54:54" x14ac:dyDescent="0.3">
      <c r="BB282" t="e">
        <v>#N/A</v>
      </c>
    </row>
    <row r="283" spans="54:54" x14ac:dyDescent="0.3">
      <c r="BB283" t="e">
        <v>#N/A</v>
      </c>
    </row>
    <row r="284" spans="54:54" x14ac:dyDescent="0.3">
      <c r="BB284" t="e">
        <v>#N/A</v>
      </c>
    </row>
    <row r="285" spans="54:54" x14ac:dyDescent="0.3">
      <c r="BB285" t="e">
        <v>#N/A</v>
      </c>
    </row>
    <row r="286" spans="54:54" x14ac:dyDescent="0.3">
      <c r="BB286" t="e">
        <v>#N/A</v>
      </c>
    </row>
    <row r="287" spans="54:54" x14ac:dyDescent="0.3">
      <c r="BB287" t="e">
        <v>#N/A</v>
      </c>
    </row>
    <row r="288" spans="54:54" x14ac:dyDescent="0.3">
      <c r="BB288" t="e">
        <v>#N/A</v>
      </c>
    </row>
    <row r="289" spans="54:54" x14ac:dyDescent="0.3">
      <c r="BB289" t="e">
        <v>#N/A</v>
      </c>
    </row>
    <row r="290" spans="54:54" x14ac:dyDescent="0.3">
      <c r="BB290" t="e">
        <v>#N/A</v>
      </c>
    </row>
    <row r="291" spans="54:54" x14ac:dyDescent="0.3">
      <c r="BB291" t="e">
        <v>#N/A</v>
      </c>
    </row>
    <row r="292" spans="54:54" x14ac:dyDescent="0.3">
      <c r="BB292" t="e">
        <v>#N/A</v>
      </c>
    </row>
    <row r="293" spans="54:54" x14ac:dyDescent="0.3">
      <c r="BB293" t="e">
        <v>#N/A</v>
      </c>
    </row>
    <row r="294" spans="54:54" x14ac:dyDescent="0.3">
      <c r="BB294" t="e">
        <v>#N/A</v>
      </c>
    </row>
    <row r="295" spans="54:54" x14ac:dyDescent="0.3">
      <c r="BB295" t="e">
        <v>#N/A</v>
      </c>
    </row>
    <row r="296" spans="54:54" x14ac:dyDescent="0.3">
      <c r="BB296" t="e">
        <v>#N/A</v>
      </c>
    </row>
    <row r="297" spans="54:54" x14ac:dyDescent="0.3">
      <c r="BB297" t="e">
        <v>#N/A</v>
      </c>
    </row>
    <row r="298" spans="54:54" x14ac:dyDescent="0.3">
      <c r="BB298" t="e">
        <v>#N/A</v>
      </c>
    </row>
    <row r="299" spans="54:54" x14ac:dyDescent="0.3">
      <c r="BB299" t="e">
        <v>#N/A</v>
      </c>
    </row>
    <row r="300" spans="54:54" x14ac:dyDescent="0.3">
      <c r="BB300" t="e">
        <v>#N/A</v>
      </c>
    </row>
    <row r="301" spans="54:54" x14ac:dyDescent="0.3">
      <c r="BB301" t="e">
        <v>#N/A</v>
      </c>
    </row>
    <row r="302" spans="54:54" x14ac:dyDescent="0.3">
      <c r="BB302" t="e">
        <v>#N/A</v>
      </c>
    </row>
    <row r="303" spans="54:54" x14ac:dyDescent="0.3">
      <c r="BB303" t="e">
        <v>#N/A</v>
      </c>
    </row>
    <row r="304" spans="54:54" x14ac:dyDescent="0.3">
      <c r="BB304" t="e">
        <v>#N/A</v>
      </c>
    </row>
    <row r="305" spans="54:54" x14ac:dyDescent="0.3">
      <c r="BB305" t="e">
        <v>#N/A</v>
      </c>
    </row>
    <row r="306" spans="54:54" x14ac:dyDescent="0.3">
      <c r="BB306" t="e">
        <v>#N/A</v>
      </c>
    </row>
    <row r="307" spans="54:54" x14ac:dyDescent="0.3">
      <c r="BB307" t="e">
        <v>#N/A</v>
      </c>
    </row>
    <row r="308" spans="54:54" x14ac:dyDescent="0.3">
      <c r="BB308" t="e">
        <v>#N/A</v>
      </c>
    </row>
    <row r="309" spans="54:54" x14ac:dyDescent="0.3">
      <c r="BB309" t="e">
        <v>#N/A</v>
      </c>
    </row>
    <row r="310" spans="54:54" x14ac:dyDescent="0.3">
      <c r="BB310" t="e">
        <v>#N/A</v>
      </c>
    </row>
    <row r="311" spans="54:54" x14ac:dyDescent="0.3">
      <c r="BB311" t="e">
        <v>#N/A</v>
      </c>
    </row>
    <row r="312" spans="54:54" x14ac:dyDescent="0.3">
      <c r="BB312" t="e">
        <v>#N/A</v>
      </c>
    </row>
    <row r="313" spans="54:54" x14ac:dyDescent="0.3">
      <c r="BB313" t="e">
        <v>#N/A</v>
      </c>
    </row>
    <row r="314" spans="54:54" x14ac:dyDescent="0.3">
      <c r="BB314" t="e">
        <v>#N/A</v>
      </c>
    </row>
  </sheetData>
  <autoFilter ref="A1:BB314" xr:uid="{00000000-0001-0000-05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df_income_dist</vt:lpstr>
      <vt:lpstr>gamesession</vt:lpstr>
      <vt:lpstr>group</vt:lpstr>
      <vt:lpstr>groupround</vt:lpstr>
      <vt:lpstr>player</vt:lpstr>
      <vt:lpstr>plot added house protection</vt:lpstr>
      <vt:lpstr>Blad6</vt:lpstr>
      <vt:lpstr>Income distribution</vt:lpstr>
      <vt:lpstr>Cost ratio vs satisfaction</vt:lpstr>
      <vt:lpstr>Blad3</vt:lpstr>
      <vt:lpstr>playerround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Sophia Huitema</dc:creator>
  <cp:lastModifiedBy>Anne Sophia Huitema</cp:lastModifiedBy>
  <dcterms:created xsi:type="dcterms:W3CDTF">2025-11-17T13:04:58Z</dcterms:created>
  <dcterms:modified xsi:type="dcterms:W3CDTF">2025-12-07T13:30:19Z</dcterms:modified>
</cp:coreProperties>
</file>