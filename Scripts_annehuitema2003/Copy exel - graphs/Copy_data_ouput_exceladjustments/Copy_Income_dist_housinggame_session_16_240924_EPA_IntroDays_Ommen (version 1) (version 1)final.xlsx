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040831fc7e8278/Bureaublad/BEP/Copy_data_ouput_exceladjustments/"/>
    </mc:Choice>
  </mc:AlternateContent>
  <xr:revisionPtr revIDLastSave="692" documentId="8_{CCB002B7-0290-4616-9ECD-D13BFB74A375}" xr6:coauthVersionLast="47" xr6:coauthVersionMax="47" xr10:uidLastSave="{6AF2FB59-9330-4286-934C-3034B7E405B1}"/>
  <bookViews>
    <workbookView xWindow="-108" yWindow="-108" windowWidth="23256" windowHeight="13896" firstSheet="11" activeTab="12" xr2:uid="{00000000-000D-0000-FFFF-FFFF00000000}"/>
  </bookViews>
  <sheets>
    <sheet name="df_income_dist" sheetId="1" r:id="rId1"/>
    <sheet name="Plots" sheetId="11" r:id="rId2"/>
    <sheet name="gamesession" sheetId="2" r:id="rId3"/>
    <sheet name="group" sheetId="3" r:id="rId4"/>
    <sheet name="groupround" sheetId="4" r:id="rId5"/>
    <sheet name="player" sheetId="5" r:id="rId6"/>
    <sheet name="Sum delta houseprotection" sheetId="10" r:id="rId7"/>
    <sheet name="Blad6" sheetId="18" r:id="rId8"/>
    <sheet name="Behaviour dimesions" sheetId="14" r:id="rId9"/>
    <sheet name="Delta protection housing area" sheetId="15" r:id="rId10"/>
    <sheet name="Income allocation" sheetId="16" r:id="rId11"/>
    <sheet name="Ratio personalhouse measures" sheetId="17" r:id="rId12"/>
    <sheet name="Behaviour dimension final" sheetId="19" r:id="rId13"/>
    <sheet name="playerround" sheetId="6" r:id="rId14"/>
  </sheets>
  <definedNames>
    <definedName name="_xlnm._FilterDatabase" localSheetId="0" hidden="1">df_income_dist!$A$1:$T$314</definedName>
    <definedName name="_xlchart.v1.0" hidden="1">df_income_dist!$L$1</definedName>
    <definedName name="_xlchart.v1.1" hidden="1">df_income_dist!$L$2:$L$314</definedName>
    <definedName name="_xlchart.v1.2" hidden="1">df_income_dist!$T$2:$T$314</definedName>
    <definedName name="_xlchart.v1.3" hidden="1">df_income_dist!$L:$L</definedName>
    <definedName name="_xlchart.v1.4" hidden="1">df_income_dist!$T$2:$T$311</definedName>
    <definedName name="_xlcn.WorksheetConnection_playerroundAY1BA3141" hidden="1">playerround!$AY$1:$BA$314</definedName>
  </definedNames>
  <calcPr calcId="191029"/>
  <pivotCaches>
    <pivotCache cacheId="2" r:id="rId15"/>
    <pivotCache cacheId="3" r:id="rId16"/>
    <pivotCache cacheId="4" r:id="rId17"/>
    <pivotCache cacheId="55" r:id="rId18"/>
  </pivotCaches>
  <extLst>
    <ext xmlns:x15="http://schemas.microsoft.com/office/spreadsheetml/2010/11/main" uri="{FCE2AD5D-F65C-4FA6-A056-5C36A1767C68}">
      <x15:dataModel>
        <x15:modelTables>
          <x15:modelTable id="Bereik" name="Bereik" connection="WorksheetConnection_playerround!$AY$1:$BA$31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" i="6" l="1"/>
  <c r="BB4" i="6"/>
  <c r="BB5" i="6"/>
  <c r="BB6" i="6"/>
  <c r="BB7" i="6"/>
  <c r="BB8" i="6"/>
  <c r="BB9" i="6"/>
  <c r="BB10" i="6"/>
  <c r="BB11" i="6"/>
  <c r="BB12" i="6"/>
  <c r="BB13" i="6"/>
  <c r="BB14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BB34" i="6"/>
  <c r="BB35" i="6"/>
  <c r="BB36" i="6"/>
  <c r="BB37" i="6"/>
  <c r="BB38" i="6"/>
  <c r="BB39" i="6"/>
  <c r="BB40" i="6"/>
  <c r="BB41" i="6"/>
  <c r="BB42" i="6"/>
  <c r="BB43" i="6"/>
  <c r="BB44" i="6"/>
  <c r="BB45" i="6"/>
  <c r="BB46" i="6"/>
  <c r="BB47" i="6"/>
  <c r="BB48" i="6"/>
  <c r="BB49" i="6"/>
  <c r="BB50" i="6"/>
  <c r="BB51" i="6"/>
  <c r="BB52" i="6"/>
  <c r="BB53" i="6"/>
  <c r="BB54" i="6"/>
  <c r="BB55" i="6"/>
  <c r="BB56" i="6"/>
  <c r="BB57" i="6"/>
  <c r="BB58" i="6"/>
  <c r="BB59" i="6"/>
  <c r="BB60" i="6"/>
  <c r="BB61" i="6"/>
  <c r="BB62" i="6"/>
  <c r="BB63" i="6"/>
  <c r="BB64" i="6"/>
  <c r="BB65" i="6"/>
  <c r="BB66" i="6"/>
  <c r="BB67" i="6"/>
  <c r="BB68" i="6"/>
  <c r="BB69" i="6"/>
  <c r="BB70" i="6"/>
  <c r="BB71" i="6"/>
  <c r="BB72" i="6"/>
  <c r="BB73" i="6"/>
  <c r="BB74" i="6"/>
  <c r="BB75" i="6"/>
  <c r="BB76" i="6"/>
  <c r="BB77" i="6"/>
  <c r="BB78" i="6"/>
  <c r="BB79" i="6"/>
  <c r="BB80" i="6"/>
  <c r="BB81" i="6"/>
  <c r="BB82" i="6"/>
  <c r="BB83" i="6"/>
  <c r="BB84" i="6"/>
  <c r="BB85" i="6"/>
  <c r="BB86" i="6"/>
  <c r="BB87" i="6"/>
  <c r="BB88" i="6"/>
  <c r="BB89" i="6"/>
  <c r="BB90" i="6"/>
  <c r="BB91" i="6"/>
  <c r="BB92" i="6"/>
  <c r="BB93" i="6"/>
  <c r="BB94" i="6"/>
  <c r="BB95" i="6"/>
  <c r="BB96" i="6"/>
  <c r="BB97" i="6"/>
  <c r="BB98" i="6"/>
  <c r="BB99" i="6"/>
  <c r="BB100" i="6"/>
  <c r="BB101" i="6"/>
  <c r="BB102" i="6"/>
  <c r="BB103" i="6"/>
  <c r="BB104" i="6"/>
  <c r="BB105" i="6"/>
  <c r="BB106" i="6"/>
  <c r="BB107" i="6"/>
  <c r="BB108" i="6"/>
  <c r="BB109" i="6"/>
  <c r="BB110" i="6"/>
  <c r="BB111" i="6"/>
  <c r="BB112" i="6"/>
  <c r="BB113" i="6"/>
  <c r="BB114" i="6"/>
  <c r="BB115" i="6"/>
  <c r="BB116" i="6"/>
  <c r="BB117" i="6"/>
  <c r="BB118" i="6"/>
  <c r="BB119" i="6"/>
  <c r="BB120" i="6"/>
  <c r="BB121" i="6"/>
  <c r="BB122" i="6"/>
  <c r="BB123" i="6"/>
  <c r="BB124" i="6"/>
  <c r="BB125" i="6"/>
  <c r="BB126" i="6"/>
  <c r="BB127" i="6"/>
  <c r="BB128" i="6"/>
  <c r="BB129" i="6"/>
  <c r="BB130" i="6"/>
  <c r="BB131" i="6"/>
  <c r="BB132" i="6"/>
  <c r="BB133" i="6"/>
  <c r="BB134" i="6"/>
  <c r="BB135" i="6"/>
  <c r="BB136" i="6"/>
  <c r="BB137" i="6"/>
  <c r="BB138" i="6"/>
  <c r="BB139" i="6"/>
  <c r="BB140" i="6"/>
  <c r="BB141" i="6"/>
  <c r="BB142" i="6"/>
  <c r="BB143" i="6"/>
  <c r="BB144" i="6"/>
  <c r="BB145" i="6"/>
  <c r="BB146" i="6"/>
  <c r="BB147" i="6"/>
  <c r="BB148" i="6"/>
  <c r="BB149" i="6"/>
  <c r="BB150" i="6"/>
  <c r="BB151" i="6"/>
  <c r="BB152" i="6"/>
  <c r="BB153" i="6"/>
  <c r="BB154" i="6"/>
  <c r="BB155" i="6"/>
  <c r="BB156" i="6"/>
  <c r="BB157" i="6"/>
  <c r="BB158" i="6"/>
  <c r="BB159" i="6"/>
  <c r="BB160" i="6"/>
  <c r="BB161" i="6"/>
  <c r="BB162" i="6"/>
  <c r="BB163" i="6"/>
  <c r="BB164" i="6"/>
  <c r="BB165" i="6"/>
  <c r="BB166" i="6"/>
  <c r="BB167" i="6"/>
  <c r="BB168" i="6"/>
  <c r="BB169" i="6"/>
  <c r="BB170" i="6"/>
  <c r="BB171" i="6"/>
  <c r="BB172" i="6"/>
  <c r="BB173" i="6"/>
  <c r="BB174" i="6"/>
  <c r="BB175" i="6"/>
  <c r="BB176" i="6"/>
  <c r="BB177" i="6"/>
  <c r="BB178" i="6"/>
  <c r="BB179" i="6"/>
  <c r="BB180" i="6"/>
  <c r="BB181" i="6"/>
  <c r="BB182" i="6"/>
  <c r="BB183" i="6"/>
  <c r="BB184" i="6"/>
  <c r="BB185" i="6"/>
  <c r="BB186" i="6"/>
  <c r="BB187" i="6"/>
  <c r="BB188" i="6"/>
  <c r="BB189" i="6"/>
  <c r="BB190" i="6"/>
  <c r="BB191" i="6"/>
  <c r="BB192" i="6"/>
  <c r="BB193" i="6"/>
  <c r="BB194" i="6"/>
  <c r="BB195" i="6"/>
  <c r="BB196" i="6"/>
  <c r="BB197" i="6"/>
  <c r="BB198" i="6"/>
  <c r="BB199" i="6"/>
  <c r="BB200" i="6"/>
  <c r="BB201" i="6"/>
  <c r="BB202" i="6"/>
  <c r="BB203" i="6"/>
  <c r="BB204" i="6"/>
  <c r="BB205" i="6"/>
  <c r="BB206" i="6"/>
  <c r="BB207" i="6"/>
  <c r="BB208" i="6"/>
  <c r="BB209" i="6"/>
  <c r="BB210" i="6"/>
  <c r="BB211" i="6"/>
  <c r="BB212" i="6"/>
  <c r="BB213" i="6"/>
  <c r="BB214" i="6"/>
  <c r="BB215" i="6"/>
  <c r="BB216" i="6"/>
  <c r="BB217" i="6"/>
  <c r="BB218" i="6"/>
  <c r="BB219" i="6"/>
  <c r="BB220" i="6"/>
  <c r="BB221" i="6"/>
  <c r="BB222" i="6"/>
  <c r="BB223" i="6"/>
  <c r="BB224" i="6"/>
  <c r="BB225" i="6"/>
  <c r="BB226" i="6"/>
  <c r="BB227" i="6"/>
  <c r="BB228" i="6"/>
  <c r="BB229" i="6"/>
  <c r="BB230" i="6"/>
  <c r="BB231" i="6"/>
  <c r="BB232" i="6"/>
  <c r="BB233" i="6"/>
  <c r="BB234" i="6"/>
  <c r="BB235" i="6"/>
  <c r="BB236" i="6"/>
  <c r="BB237" i="6"/>
  <c r="BB238" i="6"/>
  <c r="BB239" i="6"/>
  <c r="BB240" i="6"/>
  <c r="BB241" i="6"/>
  <c r="BB242" i="6"/>
  <c r="BB243" i="6"/>
  <c r="BB244" i="6"/>
  <c r="BB245" i="6"/>
  <c r="BB246" i="6"/>
  <c r="BB247" i="6"/>
  <c r="BB248" i="6"/>
  <c r="BB249" i="6"/>
  <c r="BB250" i="6"/>
  <c r="BB251" i="6"/>
  <c r="BB252" i="6"/>
  <c r="BB253" i="6"/>
  <c r="BB254" i="6"/>
  <c r="BB255" i="6"/>
  <c r="BB256" i="6"/>
  <c r="BB257" i="6"/>
  <c r="BB258" i="6"/>
  <c r="BB259" i="6"/>
  <c r="BB260" i="6"/>
  <c r="BB261" i="6"/>
  <c r="BB262" i="6"/>
  <c r="BB263" i="6"/>
  <c r="BB264" i="6"/>
  <c r="BB265" i="6"/>
  <c r="BB266" i="6"/>
  <c r="BB267" i="6"/>
  <c r="BB268" i="6"/>
  <c r="BB269" i="6"/>
  <c r="BB270" i="6"/>
  <c r="BB271" i="6"/>
  <c r="BB272" i="6"/>
  <c r="BB273" i="6"/>
  <c r="BB274" i="6"/>
  <c r="BB275" i="6"/>
  <c r="BB276" i="6"/>
  <c r="BB277" i="6"/>
  <c r="BB278" i="6"/>
  <c r="BB279" i="6"/>
  <c r="BB280" i="6"/>
  <c r="BB281" i="6"/>
  <c r="BB282" i="6"/>
  <c r="BB283" i="6"/>
  <c r="BB284" i="6"/>
  <c r="BB285" i="6"/>
  <c r="BB286" i="6"/>
  <c r="BB287" i="6"/>
  <c r="BB288" i="6"/>
  <c r="BB289" i="6"/>
  <c r="BB290" i="6"/>
  <c r="BB291" i="6"/>
  <c r="BB292" i="6"/>
  <c r="BB293" i="6"/>
  <c r="BB294" i="6"/>
  <c r="BB295" i="6"/>
  <c r="BB296" i="6"/>
  <c r="BB297" i="6"/>
  <c r="BB298" i="6"/>
  <c r="BB299" i="6"/>
  <c r="BB300" i="6"/>
  <c r="BB301" i="6"/>
  <c r="BB302" i="6"/>
  <c r="BB303" i="6"/>
  <c r="BB304" i="6"/>
  <c r="BB305" i="6"/>
  <c r="BB306" i="6"/>
  <c r="BB307" i="6"/>
  <c r="BB308" i="6"/>
  <c r="BB309" i="6"/>
  <c r="BB310" i="6"/>
  <c r="BB311" i="6"/>
  <c r="BB312" i="6"/>
  <c r="BB313" i="6"/>
  <c r="BB314" i="6"/>
  <c r="BB2" i="6"/>
  <c r="BF2" i="6"/>
  <c r="AZ4" i="6"/>
  <c r="T2" i="1" a="1"/>
  <c r="T2" i="1" s="1"/>
  <c r="BD314" i="6" l="1"/>
  <c r="BD313" i="6"/>
  <c r="BD312" i="6"/>
  <c r="BD311" i="6"/>
  <c r="BD310" i="6"/>
  <c r="BD309" i="6"/>
  <c r="BD308" i="6"/>
  <c r="BD307" i="6"/>
  <c r="BD306" i="6"/>
  <c r="BD305" i="6"/>
  <c r="BD304" i="6"/>
  <c r="BD303" i="6"/>
  <c r="BD302" i="6"/>
  <c r="BD301" i="6"/>
  <c r="BD300" i="6"/>
  <c r="BD299" i="6"/>
  <c r="BD298" i="6"/>
  <c r="BD297" i="6"/>
  <c r="BD296" i="6"/>
  <c r="BD295" i="6"/>
  <c r="BD294" i="6"/>
  <c r="BD293" i="6"/>
  <c r="BD292" i="6"/>
  <c r="BD291" i="6"/>
  <c r="BD290" i="6"/>
  <c r="BD289" i="6"/>
  <c r="BD288" i="6"/>
  <c r="BD287" i="6"/>
  <c r="BD286" i="6"/>
  <c r="BD285" i="6"/>
  <c r="BD284" i="6"/>
  <c r="BD283" i="6"/>
  <c r="BD282" i="6"/>
  <c r="BD281" i="6"/>
  <c r="BD280" i="6"/>
  <c r="BD279" i="6"/>
  <c r="BD278" i="6"/>
  <c r="BD277" i="6"/>
  <c r="BD276" i="6"/>
  <c r="BD275" i="6"/>
  <c r="BD274" i="6"/>
  <c r="BD273" i="6"/>
  <c r="BD272" i="6"/>
  <c r="BD271" i="6"/>
  <c r="BD270" i="6"/>
  <c r="BD269" i="6"/>
  <c r="BD268" i="6"/>
  <c r="BD267" i="6"/>
  <c r="BD266" i="6"/>
  <c r="BD265" i="6"/>
  <c r="BD264" i="6"/>
  <c r="BD263" i="6"/>
  <c r="BD262" i="6"/>
  <c r="BD261" i="6"/>
  <c r="BD260" i="6"/>
  <c r="BD259" i="6"/>
  <c r="BD258" i="6"/>
  <c r="BD257" i="6"/>
  <c r="BD256" i="6"/>
  <c r="BD255" i="6"/>
  <c r="BD254" i="6"/>
  <c r="BD253" i="6"/>
  <c r="BD252" i="6"/>
  <c r="BD251" i="6"/>
  <c r="BD250" i="6"/>
  <c r="BD249" i="6"/>
  <c r="BD248" i="6"/>
  <c r="BD247" i="6"/>
  <c r="BD246" i="6"/>
  <c r="BD245" i="6"/>
  <c r="BD244" i="6"/>
  <c r="BD243" i="6"/>
  <c r="BD242" i="6"/>
  <c r="BD241" i="6"/>
  <c r="BD240" i="6"/>
  <c r="BD239" i="6"/>
  <c r="BD238" i="6"/>
  <c r="BD237" i="6"/>
  <c r="BD236" i="6"/>
  <c r="BD235" i="6"/>
  <c r="BD234" i="6"/>
  <c r="BD233" i="6"/>
  <c r="BD232" i="6"/>
  <c r="BD231" i="6"/>
  <c r="BD230" i="6"/>
  <c r="BD229" i="6"/>
  <c r="BD228" i="6"/>
  <c r="BD227" i="6"/>
  <c r="BD226" i="6"/>
  <c r="BD225" i="6"/>
  <c r="BD224" i="6"/>
  <c r="BD223" i="6"/>
  <c r="BD222" i="6"/>
  <c r="BD221" i="6"/>
  <c r="BD220" i="6"/>
  <c r="BD219" i="6"/>
  <c r="BD218" i="6"/>
  <c r="BD217" i="6"/>
  <c r="BD216" i="6"/>
  <c r="BD215" i="6"/>
  <c r="BD214" i="6"/>
  <c r="BD213" i="6"/>
  <c r="BD212" i="6"/>
  <c r="BD211" i="6"/>
  <c r="BD210" i="6"/>
  <c r="BD209" i="6"/>
  <c r="BD208" i="6"/>
  <c r="BD207" i="6"/>
  <c r="BD206" i="6"/>
  <c r="BD205" i="6"/>
  <c r="BD204" i="6"/>
  <c r="BD203" i="6"/>
  <c r="BD202" i="6"/>
  <c r="BD201" i="6"/>
  <c r="BD200" i="6"/>
  <c r="BD199" i="6"/>
  <c r="BD198" i="6"/>
  <c r="BD197" i="6"/>
  <c r="BD196" i="6"/>
  <c r="BD195" i="6"/>
  <c r="BD194" i="6"/>
  <c r="BD193" i="6"/>
  <c r="BD192" i="6"/>
  <c r="BD191" i="6"/>
  <c r="BD190" i="6"/>
  <c r="BD189" i="6"/>
  <c r="BD188" i="6"/>
  <c r="BD187" i="6"/>
  <c r="BD186" i="6"/>
  <c r="BD185" i="6"/>
  <c r="BD184" i="6"/>
  <c r="BD183" i="6"/>
  <c r="BD182" i="6"/>
  <c r="BD181" i="6"/>
  <c r="BD180" i="6"/>
  <c r="BD179" i="6"/>
  <c r="BD178" i="6"/>
  <c r="BD177" i="6"/>
  <c r="BD176" i="6"/>
  <c r="BD175" i="6"/>
  <c r="BD174" i="6"/>
  <c r="BD173" i="6"/>
  <c r="BD172" i="6"/>
  <c r="BD171" i="6"/>
  <c r="BD170" i="6"/>
  <c r="BD169" i="6"/>
  <c r="BD168" i="6"/>
  <c r="BD167" i="6"/>
  <c r="BD166" i="6"/>
  <c r="BD165" i="6"/>
  <c r="BD164" i="6"/>
  <c r="BD163" i="6"/>
  <c r="BD162" i="6"/>
  <c r="BD161" i="6"/>
  <c r="BD160" i="6"/>
  <c r="BD159" i="6"/>
  <c r="BD158" i="6"/>
  <c r="BD157" i="6"/>
  <c r="BD156" i="6"/>
  <c r="BD155" i="6"/>
  <c r="BD154" i="6"/>
  <c r="BD153" i="6"/>
  <c r="BD152" i="6"/>
  <c r="BD151" i="6"/>
  <c r="BD150" i="6"/>
  <c r="BD149" i="6"/>
  <c r="BD148" i="6"/>
  <c r="BD147" i="6"/>
  <c r="BD146" i="6"/>
  <c r="BD145" i="6"/>
  <c r="BD144" i="6"/>
  <c r="BD143" i="6"/>
  <c r="BD142" i="6"/>
  <c r="BD141" i="6"/>
  <c r="BD140" i="6"/>
  <c r="BD139" i="6"/>
  <c r="BD138" i="6"/>
  <c r="BD137" i="6"/>
  <c r="BD136" i="6"/>
  <c r="BD135" i="6"/>
  <c r="BD134" i="6"/>
  <c r="BD133" i="6"/>
  <c r="BD132" i="6"/>
  <c r="BD131" i="6"/>
  <c r="BD130" i="6"/>
  <c r="BD129" i="6"/>
  <c r="BD128" i="6"/>
  <c r="BD127" i="6"/>
  <c r="BD126" i="6"/>
  <c r="BD125" i="6"/>
  <c r="BD124" i="6"/>
  <c r="BD123" i="6"/>
  <c r="BD122" i="6"/>
  <c r="BD121" i="6"/>
  <c r="BD120" i="6"/>
  <c r="BD119" i="6"/>
  <c r="BD118" i="6"/>
  <c r="BD117" i="6"/>
  <c r="BD116" i="6"/>
  <c r="BD115" i="6"/>
  <c r="BD114" i="6"/>
  <c r="BD113" i="6"/>
  <c r="BD112" i="6"/>
  <c r="BD111" i="6"/>
  <c r="BD110" i="6"/>
  <c r="BD109" i="6"/>
  <c r="BD108" i="6"/>
  <c r="BD107" i="6"/>
  <c r="BD106" i="6"/>
  <c r="BD105" i="6"/>
  <c r="BD104" i="6"/>
  <c r="BD103" i="6"/>
  <c r="BD102" i="6"/>
  <c r="BD101" i="6"/>
  <c r="BD100" i="6"/>
  <c r="BD99" i="6"/>
  <c r="BD98" i="6"/>
  <c r="BD97" i="6"/>
  <c r="BD96" i="6"/>
  <c r="BD95" i="6"/>
  <c r="BD94" i="6"/>
  <c r="BD93" i="6"/>
  <c r="BD92" i="6"/>
  <c r="BD91" i="6"/>
  <c r="BD90" i="6"/>
  <c r="BD89" i="6"/>
  <c r="BD88" i="6"/>
  <c r="BD87" i="6"/>
  <c r="BD86" i="6"/>
  <c r="BD85" i="6"/>
  <c r="BD84" i="6"/>
  <c r="BD83" i="6"/>
  <c r="BD82" i="6"/>
  <c r="BD81" i="6"/>
  <c r="BD80" i="6"/>
  <c r="BD79" i="6"/>
  <c r="BD78" i="6"/>
  <c r="BD77" i="6"/>
  <c r="BD76" i="6"/>
  <c r="BD75" i="6"/>
  <c r="BD74" i="6"/>
  <c r="BD73" i="6"/>
  <c r="BD72" i="6"/>
  <c r="BD71" i="6"/>
  <c r="BD70" i="6"/>
  <c r="BD69" i="6"/>
  <c r="BD68" i="6"/>
  <c r="BD67" i="6"/>
  <c r="BD66" i="6"/>
  <c r="BD65" i="6"/>
  <c r="BD64" i="6"/>
  <c r="BD63" i="6"/>
  <c r="BD62" i="6"/>
  <c r="BD61" i="6"/>
  <c r="BD60" i="6"/>
  <c r="BD59" i="6"/>
  <c r="BD58" i="6"/>
  <c r="BD57" i="6"/>
  <c r="BD56" i="6"/>
  <c r="BD55" i="6"/>
  <c r="BD54" i="6"/>
  <c r="BD53" i="6"/>
  <c r="BD52" i="6"/>
  <c r="BD51" i="6"/>
  <c r="BD50" i="6"/>
  <c r="BD49" i="6"/>
  <c r="BD48" i="6"/>
  <c r="BD47" i="6"/>
  <c r="BD46" i="6"/>
  <c r="BD45" i="6"/>
  <c r="BD44" i="6"/>
  <c r="BD43" i="6"/>
  <c r="BD42" i="6"/>
  <c r="BD41" i="6"/>
  <c r="BD40" i="6"/>
  <c r="BD39" i="6"/>
  <c r="BD38" i="6"/>
  <c r="BD37" i="6"/>
  <c r="BD36" i="6"/>
  <c r="BD35" i="6"/>
  <c r="BD34" i="6"/>
  <c r="BD33" i="6"/>
  <c r="BD32" i="6"/>
  <c r="BD31" i="6"/>
  <c r="BD30" i="6"/>
  <c r="BD29" i="6"/>
  <c r="BD28" i="6"/>
  <c r="BD27" i="6"/>
  <c r="BD26" i="6"/>
  <c r="BD25" i="6"/>
  <c r="BD24" i="6"/>
  <c r="BD23" i="6"/>
  <c r="BD22" i="6"/>
  <c r="BD21" i="6"/>
  <c r="BD20" i="6"/>
  <c r="BD19" i="6"/>
  <c r="BD18" i="6"/>
  <c r="BD17" i="6"/>
  <c r="BD16" i="6"/>
  <c r="BD15" i="6"/>
  <c r="BD14" i="6"/>
  <c r="BD13" i="6"/>
  <c r="BD12" i="6"/>
  <c r="BD11" i="6"/>
  <c r="BD10" i="6"/>
  <c r="BD9" i="6"/>
  <c r="BD8" i="6"/>
  <c r="BD7" i="6"/>
  <c r="BD6" i="6"/>
  <c r="BD5" i="6"/>
  <c r="BD4" i="6"/>
  <c r="BD3" i="6"/>
  <c r="BA2" i="6" a="1"/>
  <c r="BA2" i="6" s="1"/>
  <c r="BD2" i="6"/>
  <c r="BC302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C129" i="6"/>
  <c r="BC130" i="6"/>
  <c r="BC131" i="6"/>
  <c r="BC132" i="6"/>
  <c r="BC133" i="6"/>
  <c r="BC134" i="6"/>
  <c r="BC135" i="6"/>
  <c r="BC136" i="6"/>
  <c r="BC137" i="6"/>
  <c r="BC138" i="6"/>
  <c r="BC139" i="6"/>
  <c r="BC140" i="6"/>
  <c r="BC141" i="6"/>
  <c r="BC142" i="6"/>
  <c r="BC143" i="6"/>
  <c r="BC144" i="6"/>
  <c r="BC145" i="6"/>
  <c r="BC146" i="6"/>
  <c r="BC147" i="6"/>
  <c r="BC148" i="6"/>
  <c r="BC149" i="6"/>
  <c r="BC150" i="6"/>
  <c r="BC151" i="6"/>
  <c r="BC152" i="6"/>
  <c r="BC153" i="6"/>
  <c r="BC154" i="6"/>
  <c r="BC155" i="6"/>
  <c r="BC156" i="6"/>
  <c r="BC157" i="6"/>
  <c r="BC158" i="6"/>
  <c r="BC159" i="6"/>
  <c r="BC160" i="6"/>
  <c r="BC161" i="6"/>
  <c r="BC162" i="6"/>
  <c r="BC163" i="6"/>
  <c r="BC164" i="6"/>
  <c r="BC165" i="6"/>
  <c r="BC166" i="6"/>
  <c r="BC167" i="6"/>
  <c r="BC168" i="6"/>
  <c r="BC169" i="6"/>
  <c r="BC170" i="6"/>
  <c r="BC171" i="6"/>
  <c r="BC172" i="6"/>
  <c r="BC173" i="6"/>
  <c r="BC174" i="6"/>
  <c r="BC175" i="6"/>
  <c r="BC176" i="6"/>
  <c r="BC177" i="6"/>
  <c r="BC178" i="6"/>
  <c r="BC179" i="6"/>
  <c r="BC180" i="6"/>
  <c r="BC181" i="6"/>
  <c r="BC182" i="6"/>
  <c r="BC183" i="6"/>
  <c r="BC184" i="6"/>
  <c r="BC185" i="6"/>
  <c r="BC186" i="6"/>
  <c r="BC187" i="6"/>
  <c r="BC188" i="6"/>
  <c r="BC189" i="6"/>
  <c r="BC190" i="6"/>
  <c r="BC191" i="6"/>
  <c r="BC192" i="6"/>
  <c r="BC193" i="6"/>
  <c r="BC194" i="6"/>
  <c r="BC195" i="6"/>
  <c r="BC196" i="6"/>
  <c r="BC197" i="6"/>
  <c r="BC198" i="6"/>
  <c r="BC199" i="6"/>
  <c r="BC200" i="6"/>
  <c r="BC201" i="6"/>
  <c r="BC202" i="6"/>
  <c r="BC203" i="6"/>
  <c r="BC204" i="6"/>
  <c r="BC205" i="6"/>
  <c r="BC206" i="6"/>
  <c r="BC207" i="6"/>
  <c r="BC208" i="6"/>
  <c r="BC209" i="6"/>
  <c r="BC210" i="6"/>
  <c r="BC211" i="6"/>
  <c r="BC212" i="6"/>
  <c r="BC213" i="6"/>
  <c r="BC214" i="6"/>
  <c r="BC215" i="6"/>
  <c r="BC216" i="6"/>
  <c r="BC217" i="6"/>
  <c r="BC218" i="6"/>
  <c r="BC219" i="6"/>
  <c r="BC220" i="6"/>
  <c r="BC221" i="6"/>
  <c r="BC222" i="6"/>
  <c r="BC223" i="6"/>
  <c r="BC224" i="6"/>
  <c r="BC225" i="6"/>
  <c r="BC226" i="6"/>
  <c r="BC227" i="6"/>
  <c r="BC228" i="6"/>
  <c r="BC229" i="6"/>
  <c r="BC230" i="6"/>
  <c r="BC231" i="6"/>
  <c r="BC232" i="6"/>
  <c r="BC233" i="6"/>
  <c r="BC234" i="6"/>
  <c r="BC235" i="6"/>
  <c r="BC236" i="6"/>
  <c r="BC237" i="6"/>
  <c r="BC238" i="6"/>
  <c r="BC239" i="6"/>
  <c r="BC240" i="6"/>
  <c r="BC241" i="6"/>
  <c r="BC242" i="6"/>
  <c r="BC243" i="6"/>
  <c r="BC244" i="6"/>
  <c r="BC245" i="6"/>
  <c r="BC246" i="6"/>
  <c r="BC247" i="6"/>
  <c r="BC248" i="6"/>
  <c r="BC249" i="6"/>
  <c r="BC250" i="6"/>
  <c r="BC251" i="6"/>
  <c r="BC252" i="6"/>
  <c r="BC253" i="6"/>
  <c r="BC254" i="6"/>
  <c r="BC255" i="6"/>
  <c r="BC256" i="6"/>
  <c r="BC257" i="6"/>
  <c r="BC258" i="6"/>
  <c r="BC259" i="6"/>
  <c r="BC260" i="6"/>
  <c r="BC261" i="6"/>
  <c r="BC262" i="6"/>
  <c r="BC263" i="6"/>
  <c r="BC264" i="6"/>
  <c r="BC265" i="6"/>
  <c r="BC266" i="6"/>
  <c r="BC267" i="6"/>
  <c r="BC268" i="6"/>
  <c r="BC269" i="6"/>
  <c r="BC270" i="6"/>
  <c r="BC271" i="6"/>
  <c r="BC272" i="6"/>
  <c r="BC273" i="6"/>
  <c r="BC274" i="6"/>
  <c r="BC275" i="6"/>
  <c r="BC276" i="6"/>
  <c r="BC277" i="6"/>
  <c r="BC278" i="6"/>
  <c r="BC279" i="6"/>
  <c r="BC280" i="6"/>
  <c r="BC281" i="6"/>
  <c r="BC282" i="6"/>
  <c r="BC283" i="6"/>
  <c r="BC284" i="6"/>
  <c r="BC285" i="6"/>
  <c r="BC286" i="6"/>
  <c r="BC287" i="6"/>
  <c r="BC288" i="6"/>
  <c r="BC289" i="6"/>
  <c r="BC290" i="6"/>
  <c r="BC291" i="6"/>
  <c r="BC292" i="6"/>
  <c r="BC293" i="6"/>
  <c r="BC294" i="6"/>
  <c r="BC295" i="6"/>
  <c r="BC296" i="6"/>
  <c r="BC297" i="6"/>
  <c r="BC298" i="6"/>
  <c r="BC299" i="6"/>
  <c r="BC300" i="6"/>
  <c r="BC301" i="6"/>
  <c r="BC303" i="6"/>
  <c r="BC304" i="6"/>
  <c r="BC305" i="6"/>
  <c r="BC306" i="6"/>
  <c r="BC307" i="6"/>
  <c r="BC308" i="6"/>
  <c r="BC309" i="6"/>
  <c r="BC310" i="6"/>
  <c r="BC311" i="6"/>
  <c r="BC312" i="6"/>
  <c r="BC313" i="6"/>
  <c r="BC314" i="6"/>
  <c r="BC3" i="6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" i="6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2" i="1"/>
  <c r="AZ314" i="6"/>
  <c r="AY314" i="6"/>
  <c r="BF314" i="6" s="1"/>
  <c r="AZ313" i="6"/>
  <c r="AY313" i="6"/>
  <c r="BF313" i="6" s="1"/>
  <c r="AZ312" i="6"/>
  <c r="AY312" i="6"/>
  <c r="BF312" i="6" s="1"/>
  <c r="AZ311" i="6"/>
  <c r="AY311" i="6"/>
  <c r="BF311" i="6" s="1"/>
  <c r="AZ310" i="6"/>
  <c r="AY310" i="6"/>
  <c r="BF310" i="6" s="1"/>
  <c r="AZ309" i="6"/>
  <c r="AY309" i="6"/>
  <c r="BF309" i="6" s="1"/>
  <c r="AZ308" i="6"/>
  <c r="AY308" i="6"/>
  <c r="BF308" i="6" s="1"/>
  <c r="AZ307" i="6"/>
  <c r="AY307" i="6"/>
  <c r="BF307" i="6" s="1"/>
  <c r="AZ306" i="6"/>
  <c r="AY306" i="6"/>
  <c r="BF306" i="6" s="1"/>
  <c r="AZ305" i="6"/>
  <c r="AY305" i="6"/>
  <c r="BF305" i="6" s="1"/>
  <c r="AZ304" i="6"/>
  <c r="AY304" i="6"/>
  <c r="BF304" i="6" s="1"/>
  <c r="AZ303" i="6"/>
  <c r="AY303" i="6"/>
  <c r="BF303" i="6" s="1"/>
  <c r="AZ302" i="6"/>
  <c r="AY302" i="6"/>
  <c r="BF302" i="6" s="1"/>
  <c r="AZ301" i="6"/>
  <c r="AY301" i="6"/>
  <c r="BF301" i="6" s="1"/>
  <c r="AZ300" i="6"/>
  <c r="AY300" i="6"/>
  <c r="BF300" i="6" s="1"/>
  <c r="AZ299" i="6"/>
  <c r="AY299" i="6"/>
  <c r="BF299" i="6" s="1"/>
  <c r="AZ298" i="6"/>
  <c r="AY298" i="6"/>
  <c r="BF298" i="6" s="1"/>
  <c r="AZ297" i="6"/>
  <c r="AY297" i="6"/>
  <c r="BF297" i="6" s="1"/>
  <c r="AZ296" i="6"/>
  <c r="AY296" i="6"/>
  <c r="BF296" i="6" s="1"/>
  <c r="AZ295" i="6"/>
  <c r="AY295" i="6"/>
  <c r="BF295" i="6" s="1"/>
  <c r="AZ294" i="6"/>
  <c r="AY294" i="6"/>
  <c r="BF294" i="6" s="1"/>
  <c r="AZ293" i="6"/>
  <c r="AY293" i="6"/>
  <c r="BF293" i="6" s="1"/>
  <c r="AZ292" i="6"/>
  <c r="AY292" i="6"/>
  <c r="BF292" i="6" s="1"/>
  <c r="AZ291" i="6"/>
  <c r="AY291" i="6"/>
  <c r="BF291" i="6" s="1"/>
  <c r="AZ290" i="6"/>
  <c r="AY290" i="6"/>
  <c r="BF290" i="6" s="1"/>
  <c r="AZ289" i="6"/>
  <c r="AY289" i="6"/>
  <c r="BF289" i="6" s="1"/>
  <c r="AZ288" i="6"/>
  <c r="AY288" i="6"/>
  <c r="BF288" i="6" s="1"/>
  <c r="AZ287" i="6"/>
  <c r="AY287" i="6"/>
  <c r="BF287" i="6" s="1"/>
  <c r="AZ286" i="6"/>
  <c r="AY286" i="6"/>
  <c r="BF286" i="6" s="1"/>
  <c r="AZ285" i="6"/>
  <c r="AY285" i="6"/>
  <c r="BF285" i="6" s="1"/>
  <c r="AZ284" i="6"/>
  <c r="AY284" i="6"/>
  <c r="BF284" i="6" s="1"/>
  <c r="AZ283" i="6"/>
  <c r="AY283" i="6"/>
  <c r="BF283" i="6" s="1"/>
  <c r="AZ282" i="6"/>
  <c r="AY282" i="6"/>
  <c r="BF282" i="6" s="1"/>
  <c r="AZ281" i="6"/>
  <c r="AY281" i="6"/>
  <c r="BF281" i="6" s="1"/>
  <c r="AZ280" i="6"/>
  <c r="AY280" i="6"/>
  <c r="BF280" i="6" s="1"/>
  <c r="AZ279" i="6"/>
  <c r="AY279" i="6"/>
  <c r="BF279" i="6" s="1"/>
  <c r="AZ278" i="6"/>
  <c r="AY278" i="6"/>
  <c r="BF278" i="6" s="1"/>
  <c r="AZ277" i="6"/>
  <c r="AY277" i="6"/>
  <c r="BF277" i="6" s="1"/>
  <c r="AZ276" i="6"/>
  <c r="AY276" i="6"/>
  <c r="BF276" i="6" s="1"/>
  <c r="AZ275" i="6"/>
  <c r="AY275" i="6"/>
  <c r="BF275" i="6" s="1"/>
  <c r="AZ274" i="6"/>
  <c r="AY274" i="6"/>
  <c r="BF274" i="6" s="1"/>
  <c r="AZ273" i="6"/>
  <c r="AY273" i="6"/>
  <c r="BF273" i="6" s="1"/>
  <c r="AZ272" i="6"/>
  <c r="AY272" i="6"/>
  <c r="BF272" i="6" s="1"/>
  <c r="AZ271" i="6"/>
  <c r="AY271" i="6"/>
  <c r="BF271" i="6" s="1"/>
  <c r="AZ270" i="6"/>
  <c r="AY270" i="6"/>
  <c r="BF270" i="6" s="1"/>
  <c r="AZ269" i="6"/>
  <c r="AY269" i="6"/>
  <c r="BF269" i="6" s="1"/>
  <c r="AZ268" i="6"/>
  <c r="AY268" i="6"/>
  <c r="BF268" i="6" s="1"/>
  <c r="AZ267" i="6"/>
  <c r="AY267" i="6"/>
  <c r="BF267" i="6" s="1"/>
  <c r="AZ266" i="6"/>
  <c r="AY266" i="6"/>
  <c r="BF266" i="6" s="1"/>
  <c r="AZ265" i="6"/>
  <c r="AY265" i="6"/>
  <c r="BF265" i="6" s="1"/>
  <c r="AZ264" i="6"/>
  <c r="AY264" i="6"/>
  <c r="BF264" i="6" s="1"/>
  <c r="AZ263" i="6"/>
  <c r="AY263" i="6"/>
  <c r="BF263" i="6" s="1"/>
  <c r="AZ262" i="6"/>
  <c r="AY262" i="6"/>
  <c r="BF262" i="6" s="1"/>
  <c r="AZ261" i="6"/>
  <c r="AY261" i="6"/>
  <c r="BF261" i="6" s="1"/>
  <c r="AZ260" i="6"/>
  <c r="AY260" i="6"/>
  <c r="BF260" i="6" s="1"/>
  <c r="AZ259" i="6"/>
  <c r="AY259" i="6"/>
  <c r="BF259" i="6" s="1"/>
  <c r="AZ258" i="6"/>
  <c r="AY258" i="6"/>
  <c r="BF258" i="6" s="1"/>
  <c r="AZ257" i="6"/>
  <c r="AY257" i="6"/>
  <c r="BF257" i="6" s="1"/>
  <c r="AZ256" i="6"/>
  <c r="AY256" i="6"/>
  <c r="BF256" i="6" s="1"/>
  <c r="AZ255" i="6"/>
  <c r="AY255" i="6"/>
  <c r="BF255" i="6" s="1"/>
  <c r="AZ254" i="6"/>
  <c r="AY254" i="6"/>
  <c r="BF254" i="6" s="1"/>
  <c r="AZ253" i="6"/>
  <c r="AY253" i="6"/>
  <c r="BF253" i="6" s="1"/>
  <c r="AZ252" i="6"/>
  <c r="AY252" i="6"/>
  <c r="BF252" i="6" s="1"/>
  <c r="AZ251" i="6"/>
  <c r="AY251" i="6"/>
  <c r="BF251" i="6" s="1"/>
  <c r="AZ250" i="6"/>
  <c r="AY250" i="6"/>
  <c r="BF250" i="6" s="1"/>
  <c r="AZ249" i="6"/>
  <c r="AY249" i="6"/>
  <c r="BF249" i="6" s="1"/>
  <c r="AZ248" i="6"/>
  <c r="AY248" i="6"/>
  <c r="BF248" i="6" s="1"/>
  <c r="AZ247" i="6"/>
  <c r="AY247" i="6"/>
  <c r="BF247" i="6" s="1"/>
  <c r="AZ246" i="6"/>
  <c r="AY246" i="6"/>
  <c r="BF246" i="6" s="1"/>
  <c r="AZ245" i="6"/>
  <c r="AY245" i="6"/>
  <c r="BF245" i="6" s="1"/>
  <c r="AZ244" i="6"/>
  <c r="AY244" i="6"/>
  <c r="BF244" i="6" s="1"/>
  <c r="AZ243" i="6"/>
  <c r="AY243" i="6"/>
  <c r="BF243" i="6" s="1"/>
  <c r="AZ242" i="6"/>
  <c r="AY242" i="6"/>
  <c r="BF242" i="6" s="1"/>
  <c r="AZ241" i="6"/>
  <c r="AY241" i="6"/>
  <c r="BF241" i="6" s="1"/>
  <c r="AZ240" i="6"/>
  <c r="AY240" i="6"/>
  <c r="BF240" i="6" s="1"/>
  <c r="AZ239" i="6"/>
  <c r="AY239" i="6"/>
  <c r="BF239" i="6" s="1"/>
  <c r="AZ238" i="6"/>
  <c r="AY238" i="6"/>
  <c r="BF238" i="6" s="1"/>
  <c r="AZ237" i="6"/>
  <c r="AY237" i="6"/>
  <c r="BF237" i="6" s="1"/>
  <c r="AZ236" i="6"/>
  <c r="AY236" i="6"/>
  <c r="BF236" i="6" s="1"/>
  <c r="AZ235" i="6"/>
  <c r="AY235" i="6"/>
  <c r="BF235" i="6" s="1"/>
  <c r="AZ234" i="6"/>
  <c r="AY234" i="6"/>
  <c r="BF234" i="6" s="1"/>
  <c r="AZ233" i="6"/>
  <c r="AY233" i="6"/>
  <c r="BF233" i="6" s="1"/>
  <c r="AZ232" i="6"/>
  <c r="AY232" i="6"/>
  <c r="BF232" i="6" s="1"/>
  <c r="AZ231" i="6"/>
  <c r="AY231" i="6"/>
  <c r="BF231" i="6" s="1"/>
  <c r="AZ230" i="6"/>
  <c r="AY230" i="6"/>
  <c r="BF230" i="6" s="1"/>
  <c r="AZ229" i="6"/>
  <c r="AY229" i="6"/>
  <c r="BF229" i="6" s="1"/>
  <c r="AZ228" i="6"/>
  <c r="AY228" i="6"/>
  <c r="BF228" i="6" s="1"/>
  <c r="AZ227" i="6"/>
  <c r="AY227" i="6"/>
  <c r="BF227" i="6" s="1"/>
  <c r="AZ226" i="6"/>
  <c r="AY226" i="6"/>
  <c r="BF226" i="6" s="1"/>
  <c r="AZ225" i="6"/>
  <c r="AY225" i="6"/>
  <c r="BF225" i="6" s="1"/>
  <c r="AZ224" i="6"/>
  <c r="AY224" i="6"/>
  <c r="BF224" i="6" s="1"/>
  <c r="AZ223" i="6"/>
  <c r="AY223" i="6"/>
  <c r="BF223" i="6" s="1"/>
  <c r="AZ222" i="6"/>
  <c r="AY222" i="6"/>
  <c r="BF222" i="6" s="1"/>
  <c r="AZ221" i="6"/>
  <c r="AY221" i="6"/>
  <c r="BF221" i="6" s="1"/>
  <c r="AZ220" i="6"/>
  <c r="AY220" i="6"/>
  <c r="BF220" i="6" s="1"/>
  <c r="AZ219" i="6"/>
  <c r="AY219" i="6"/>
  <c r="BF219" i="6" s="1"/>
  <c r="AZ218" i="6"/>
  <c r="AY218" i="6"/>
  <c r="BF218" i="6" s="1"/>
  <c r="AZ217" i="6"/>
  <c r="AY217" i="6"/>
  <c r="BF217" i="6" s="1"/>
  <c r="AZ216" i="6"/>
  <c r="AY216" i="6"/>
  <c r="BF216" i="6" s="1"/>
  <c r="AZ215" i="6"/>
  <c r="AY215" i="6"/>
  <c r="BF215" i="6" s="1"/>
  <c r="AZ214" i="6"/>
  <c r="AY214" i="6"/>
  <c r="BF214" i="6" s="1"/>
  <c r="AZ213" i="6"/>
  <c r="AY213" i="6"/>
  <c r="BF213" i="6" s="1"/>
  <c r="AZ212" i="6"/>
  <c r="AY212" i="6"/>
  <c r="BF212" i="6" s="1"/>
  <c r="AZ211" i="6"/>
  <c r="AY211" i="6"/>
  <c r="BF211" i="6" s="1"/>
  <c r="AZ210" i="6"/>
  <c r="AY210" i="6"/>
  <c r="BF210" i="6" s="1"/>
  <c r="AZ209" i="6"/>
  <c r="AY209" i="6"/>
  <c r="BF209" i="6" s="1"/>
  <c r="AZ208" i="6"/>
  <c r="AY208" i="6"/>
  <c r="BF208" i="6" s="1"/>
  <c r="AZ207" i="6"/>
  <c r="AY207" i="6"/>
  <c r="BF207" i="6" s="1"/>
  <c r="AZ206" i="6"/>
  <c r="AY206" i="6"/>
  <c r="BF206" i="6" s="1"/>
  <c r="AZ205" i="6"/>
  <c r="AY205" i="6"/>
  <c r="BF205" i="6" s="1"/>
  <c r="AZ204" i="6"/>
  <c r="AY204" i="6"/>
  <c r="BF204" i="6" s="1"/>
  <c r="AZ203" i="6"/>
  <c r="AY203" i="6"/>
  <c r="BF203" i="6" s="1"/>
  <c r="AZ202" i="6"/>
  <c r="AY202" i="6"/>
  <c r="BF202" i="6" s="1"/>
  <c r="AZ201" i="6"/>
  <c r="AY201" i="6"/>
  <c r="BF201" i="6" s="1"/>
  <c r="AZ200" i="6"/>
  <c r="AY200" i="6"/>
  <c r="BF200" i="6" s="1"/>
  <c r="AZ199" i="6"/>
  <c r="AY199" i="6"/>
  <c r="BF199" i="6" s="1"/>
  <c r="AZ198" i="6"/>
  <c r="AY198" i="6"/>
  <c r="BF198" i="6" s="1"/>
  <c r="AZ197" i="6"/>
  <c r="AY197" i="6"/>
  <c r="BF197" i="6" s="1"/>
  <c r="AZ196" i="6"/>
  <c r="AY196" i="6"/>
  <c r="BF196" i="6" s="1"/>
  <c r="AZ195" i="6"/>
  <c r="AY195" i="6"/>
  <c r="BF195" i="6" s="1"/>
  <c r="AZ194" i="6"/>
  <c r="AY194" i="6"/>
  <c r="BF194" i="6" s="1"/>
  <c r="AZ193" i="6"/>
  <c r="AY193" i="6"/>
  <c r="BF193" i="6" s="1"/>
  <c r="AZ192" i="6"/>
  <c r="AY192" i="6"/>
  <c r="BF192" i="6" s="1"/>
  <c r="AZ191" i="6"/>
  <c r="AY191" i="6"/>
  <c r="BF191" i="6" s="1"/>
  <c r="AZ190" i="6"/>
  <c r="AY190" i="6"/>
  <c r="BF190" i="6" s="1"/>
  <c r="AZ189" i="6"/>
  <c r="AY189" i="6"/>
  <c r="BF189" i="6" s="1"/>
  <c r="AZ188" i="6"/>
  <c r="AY188" i="6"/>
  <c r="BF188" i="6" s="1"/>
  <c r="AZ187" i="6"/>
  <c r="AY187" i="6"/>
  <c r="BF187" i="6" s="1"/>
  <c r="AZ186" i="6"/>
  <c r="AY186" i="6"/>
  <c r="BF186" i="6" s="1"/>
  <c r="AZ185" i="6"/>
  <c r="AY185" i="6"/>
  <c r="BF185" i="6" s="1"/>
  <c r="AZ184" i="6"/>
  <c r="AY184" i="6"/>
  <c r="BF184" i="6" s="1"/>
  <c r="AZ183" i="6"/>
  <c r="AY183" i="6"/>
  <c r="BF183" i="6" s="1"/>
  <c r="AZ182" i="6"/>
  <c r="AY182" i="6"/>
  <c r="BF182" i="6" s="1"/>
  <c r="AZ181" i="6"/>
  <c r="AY181" i="6"/>
  <c r="BF181" i="6" s="1"/>
  <c r="AZ180" i="6"/>
  <c r="AY180" i="6"/>
  <c r="BF180" i="6" s="1"/>
  <c r="AZ179" i="6"/>
  <c r="AY179" i="6"/>
  <c r="BF179" i="6" s="1"/>
  <c r="AZ178" i="6"/>
  <c r="AY178" i="6"/>
  <c r="BF178" i="6" s="1"/>
  <c r="AZ177" i="6"/>
  <c r="AY177" i="6"/>
  <c r="BF177" i="6" s="1"/>
  <c r="AZ176" i="6"/>
  <c r="AY176" i="6"/>
  <c r="BF176" i="6" s="1"/>
  <c r="AZ175" i="6"/>
  <c r="AY175" i="6"/>
  <c r="BF175" i="6" s="1"/>
  <c r="AZ174" i="6"/>
  <c r="AY174" i="6"/>
  <c r="BF174" i="6" s="1"/>
  <c r="AZ173" i="6"/>
  <c r="AY173" i="6"/>
  <c r="BF173" i="6" s="1"/>
  <c r="AZ172" i="6"/>
  <c r="AY172" i="6"/>
  <c r="BF172" i="6" s="1"/>
  <c r="AZ171" i="6"/>
  <c r="AY171" i="6"/>
  <c r="BF171" i="6" s="1"/>
  <c r="AZ170" i="6"/>
  <c r="AY170" i="6"/>
  <c r="BF170" i="6" s="1"/>
  <c r="AZ169" i="6"/>
  <c r="AY169" i="6"/>
  <c r="BF169" i="6" s="1"/>
  <c r="AZ168" i="6"/>
  <c r="AY168" i="6"/>
  <c r="BF168" i="6" s="1"/>
  <c r="AZ167" i="6"/>
  <c r="AY167" i="6"/>
  <c r="BF167" i="6" s="1"/>
  <c r="AZ166" i="6"/>
  <c r="AY166" i="6"/>
  <c r="BF166" i="6" s="1"/>
  <c r="AZ165" i="6"/>
  <c r="AY165" i="6"/>
  <c r="BF165" i="6" s="1"/>
  <c r="AZ164" i="6"/>
  <c r="AY164" i="6"/>
  <c r="BF164" i="6" s="1"/>
  <c r="AZ163" i="6"/>
  <c r="AY163" i="6"/>
  <c r="BF163" i="6" s="1"/>
  <c r="AZ162" i="6"/>
  <c r="AY162" i="6"/>
  <c r="BF162" i="6" s="1"/>
  <c r="AZ161" i="6"/>
  <c r="AY161" i="6"/>
  <c r="BF161" i="6" s="1"/>
  <c r="AZ160" i="6"/>
  <c r="AY160" i="6"/>
  <c r="BF160" i="6" s="1"/>
  <c r="AZ159" i="6"/>
  <c r="AY159" i="6"/>
  <c r="BF159" i="6" s="1"/>
  <c r="AZ158" i="6"/>
  <c r="AY158" i="6"/>
  <c r="BF158" i="6" s="1"/>
  <c r="AZ157" i="6"/>
  <c r="AY157" i="6"/>
  <c r="BF157" i="6" s="1"/>
  <c r="AZ156" i="6"/>
  <c r="AY156" i="6"/>
  <c r="BF156" i="6" s="1"/>
  <c r="AZ155" i="6"/>
  <c r="AY155" i="6"/>
  <c r="BF155" i="6" s="1"/>
  <c r="AZ154" i="6"/>
  <c r="AY154" i="6"/>
  <c r="BF154" i="6" s="1"/>
  <c r="AZ153" i="6"/>
  <c r="AY153" i="6"/>
  <c r="BF153" i="6" s="1"/>
  <c r="AZ152" i="6"/>
  <c r="AY152" i="6"/>
  <c r="BF152" i="6" s="1"/>
  <c r="AZ151" i="6"/>
  <c r="AY151" i="6"/>
  <c r="BF151" i="6" s="1"/>
  <c r="AZ150" i="6"/>
  <c r="AY150" i="6"/>
  <c r="BF150" i="6" s="1"/>
  <c r="AZ149" i="6"/>
  <c r="AY149" i="6"/>
  <c r="BF149" i="6" s="1"/>
  <c r="AZ148" i="6"/>
  <c r="AY148" i="6"/>
  <c r="BF148" i="6" s="1"/>
  <c r="AZ147" i="6"/>
  <c r="AY147" i="6"/>
  <c r="BF147" i="6" s="1"/>
  <c r="AZ146" i="6"/>
  <c r="AY146" i="6"/>
  <c r="BF146" i="6" s="1"/>
  <c r="AZ145" i="6"/>
  <c r="AY145" i="6"/>
  <c r="BF145" i="6" s="1"/>
  <c r="AZ144" i="6"/>
  <c r="AY144" i="6"/>
  <c r="BF144" i="6" s="1"/>
  <c r="AZ143" i="6"/>
  <c r="AY143" i="6"/>
  <c r="BF143" i="6" s="1"/>
  <c r="AZ142" i="6"/>
  <c r="AY142" i="6"/>
  <c r="BF142" i="6" s="1"/>
  <c r="AZ141" i="6"/>
  <c r="AY141" i="6"/>
  <c r="BF141" i="6" s="1"/>
  <c r="AZ140" i="6"/>
  <c r="AY140" i="6"/>
  <c r="BF140" i="6" s="1"/>
  <c r="AZ139" i="6"/>
  <c r="AY139" i="6"/>
  <c r="BF139" i="6" s="1"/>
  <c r="AZ138" i="6"/>
  <c r="AY138" i="6"/>
  <c r="BF138" i="6" s="1"/>
  <c r="AZ137" i="6"/>
  <c r="AY137" i="6"/>
  <c r="BF137" i="6" s="1"/>
  <c r="AZ136" i="6"/>
  <c r="AY136" i="6"/>
  <c r="BF136" i="6" s="1"/>
  <c r="AZ135" i="6"/>
  <c r="AY135" i="6"/>
  <c r="BF135" i="6" s="1"/>
  <c r="AZ134" i="6"/>
  <c r="AY134" i="6"/>
  <c r="BF134" i="6" s="1"/>
  <c r="AZ133" i="6"/>
  <c r="AY133" i="6"/>
  <c r="BF133" i="6" s="1"/>
  <c r="AZ132" i="6"/>
  <c r="AY132" i="6"/>
  <c r="BF132" i="6" s="1"/>
  <c r="AZ131" i="6"/>
  <c r="AY131" i="6"/>
  <c r="BF131" i="6" s="1"/>
  <c r="AZ130" i="6"/>
  <c r="AY130" i="6"/>
  <c r="BF130" i="6" s="1"/>
  <c r="AZ129" i="6"/>
  <c r="AY129" i="6"/>
  <c r="BF129" i="6" s="1"/>
  <c r="AZ128" i="6"/>
  <c r="AY128" i="6"/>
  <c r="BF128" i="6" s="1"/>
  <c r="AZ127" i="6"/>
  <c r="AY127" i="6"/>
  <c r="BF127" i="6" s="1"/>
  <c r="AZ126" i="6"/>
  <c r="AY126" i="6"/>
  <c r="BF126" i="6" s="1"/>
  <c r="AZ125" i="6"/>
  <c r="AY125" i="6"/>
  <c r="BF125" i="6" s="1"/>
  <c r="AZ124" i="6"/>
  <c r="AY124" i="6"/>
  <c r="BF124" i="6" s="1"/>
  <c r="AZ123" i="6"/>
  <c r="AY123" i="6"/>
  <c r="BF123" i="6" s="1"/>
  <c r="AZ122" i="6"/>
  <c r="AY122" i="6"/>
  <c r="BF122" i="6" s="1"/>
  <c r="AZ121" i="6"/>
  <c r="AY121" i="6"/>
  <c r="BF121" i="6" s="1"/>
  <c r="AZ120" i="6"/>
  <c r="AY120" i="6"/>
  <c r="BF120" i="6" s="1"/>
  <c r="AZ119" i="6"/>
  <c r="AY119" i="6"/>
  <c r="BF119" i="6" s="1"/>
  <c r="AZ118" i="6"/>
  <c r="AY118" i="6"/>
  <c r="BF118" i="6" s="1"/>
  <c r="AZ117" i="6"/>
  <c r="AY117" i="6"/>
  <c r="BF117" i="6" s="1"/>
  <c r="AZ116" i="6"/>
  <c r="AY116" i="6"/>
  <c r="BF116" i="6" s="1"/>
  <c r="AZ115" i="6"/>
  <c r="AY115" i="6"/>
  <c r="BF115" i="6" s="1"/>
  <c r="AZ114" i="6"/>
  <c r="AY114" i="6"/>
  <c r="BF114" i="6" s="1"/>
  <c r="AZ113" i="6"/>
  <c r="AY113" i="6"/>
  <c r="BF113" i="6" s="1"/>
  <c r="AZ112" i="6"/>
  <c r="AY112" i="6"/>
  <c r="BF112" i="6" s="1"/>
  <c r="AZ111" i="6"/>
  <c r="AY111" i="6"/>
  <c r="BF111" i="6" s="1"/>
  <c r="AZ110" i="6"/>
  <c r="AY110" i="6"/>
  <c r="BF110" i="6" s="1"/>
  <c r="AZ109" i="6"/>
  <c r="AY109" i="6"/>
  <c r="BF109" i="6" s="1"/>
  <c r="AZ108" i="6"/>
  <c r="AY108" i="6"/>
  <c r="BF108" i="6" s="1"/>
  <c r="AZ107" i="6"/>
  <c r="AY107" i="6"/>
  <c r="BF107" i="6" s="1"/>
  <c r="AZ106" i="6"/>
  <c r="AY106" i="6"/>
  <c r="BF106" i="6" s="1"/>
  <c r="AZ105" i="6"/>
  <c r="AY105" i="6"/>
  <c r="BF105" i="6" s="1"/>
  <c r="AZ104" i="6"/>
  <c r="AY104" i="6"/>
  <c r="BF104" i="6" s="1"/>
  <c r="AZ103" i="6"/>
  <c r="AY103" i="6"/>
  <c r="BF103" i="6" s="1"/>
  <c r="AZ102" i="6"/>
  <c r="AY102" i="6"/>
  <c r="BF102" i="6" s="1"/>
  <c r="AZ101" i="6"/>
  <c r="AY101" i="6"/>
  <c r="BF101" i="6" s="1"/>
  <c r="AZ100" i="6"/>
  <c r="AY100" i="6"/>
  <c r="BF100" i="6" s="1"/>
  <c r="AZ99" i="6"/>
  <c r="AY99" i="6"/>
  <c r="BF99" i="6" s="1"/>
  <c r="AZ98" i="6"/>
  <c r="AY98" i="6"/>
  <c r="BF98" i="6" s="1"/>
  <c r="AZ97" i="6"/>
  <c r="AY97" i="6"/>
  <c r="BF97" i="6" s="1"/>
  <c r="AZ96" i="6"/>
  <c r="AY96" i="6"/>
  <c r="BF96" i="6" s="1"/>
  <c r="AZ95" i="6"/>
  <c r="AY95" i="6"/>
  <c r="BF95" i="6" s="1"/>
  <c r="AZ94" i="6"/>
  <c r="AY94" i="6"/>
  <c r="BF94" i="6" s="1"/>
  <c r="AZ93" i="6"/>
  <c r="AY93" i="6"/>
  <c r="BF93" i="6" s="1"/>
  <c r="AZ92" i="6"/>
  <c r="AY92" i="6"/>
  <c r="BF92" i="6" s="1"/>
  <c r="AZ91" i="6"/>
  <c r="AY91" i="6"/>
  <c r="BF91" i="6" s="1"/>
  <c r="AZ90" i="6"/>
  <c r="AY90" i="6"/>
  <c r="BF90" i="6" s="1"/>
  <c r="AZ89" i="6"/>
  <c r="AY89" i="6"/>
  <c r="BF89" i="6" s="1"/>
  <c r="AZ88" i="6"/>
  <c r="AY88" i="6"/>
  <c r="BF88" i="6" s="1"/>
  <c r="AZ87" i="6"/>
  <c r="AY87" i="6"/>
  <c r="BF87" i="6" s="1"/>
  <c r="AZ86" i="6"/>
  <c r="AY86" i="6"/>
  <c r="BF86" i="6" s="1"/>
  <c r="AZ85" i="6"/>
  <c r="AY85" i="6"/>
  <c r="BF85" i="6" s="1"/>
  <c r="AZ84" i="6"/>
  <c r="AY84" i="6"/>
  <c r="BF84" i="6" s="1"/>
  <c r="AZ83" i="6"/>
  <c r="AY83" i="6"/>
  <c r="BF83" i="6" s="1"/>
  <c r="AZ82" i="6"/>
  <c r="AY82" i="6"/>
  <c r="BF82" i="6" s="1"/>
  <c r="AZ81" i="6"/>
  <c r="AY81" i="6"/>
  <c r="BF81" i="6" s="1"/>
  <c r="AZ80" i="6"/>
  <c r="AY80" i="6"/>
  <c r="BF80" i="6" s="1"/>
  <c r="AZ79" i="6"/>
  <c r="AY79" i="6"/>
  <c r="BF79" i="6" s="1"/>
  <c r="AZ78" i="6"/>
  <c r="AY78" i="6"/>
  <c r="BF78" i="6" s="1"/>
  <c r="AZ77" i="6"/>
  <c r="AY77" i="6"/>
  <c r="BF77" i="6" s="1"/>
  <c r="AZ76" i="6"/>
  <c r="AY76" i="6"/>
  <c r="BF76" i="6" s="1"/>
  <c r="AZ75" i="6"/>
  <c r="AY75" i="6"/>
  <c r="BF75" i="6" s="1"/>
  <c r="AZ74" i="6"/>
  <c r="AY74" i="6"/>
  <c r="BF74" i="6" s="1"/>
  <c r="AZ73" i="6"/>
  <c r="AY73" i="6"/>
  <c r="BF73" i="6" s="1"/>
  <c r="AZ72" i="6"/>
  <c r="AY72" i="6"/>
  <c r="BF72" i="6" s="1"/>
  <c r="AZ71" i="6"/>
  <c r="AY71" i="6"/>
  <c r="BF71" i="6" s="1"/>
  <c r="AZ70" i="6"/>
  <c r="AY70" i="6"/>
  <c r="BF70" i="6" s="1"/>
  <c r="AZ69" i="6"/>
  <c r="AY69" i="6"/>
  <c r="BF69" i="6" s="1"/>
  <c r="AZ68" i="6"/>
  <c r="AY68" i="6"/>
  <c r="BF68" i="6" s="1"/>
  <c r="AZ67" i="6"/>
  <c r="AY67" i="6"/>
  <c r="BF67" i="6" s="1"/>
  <c r="AZ66" i="6"/>
  <c r="AY66" i="6"/>
  <c r="BF66" i="6" s="1"/>
  <c r="AZ65" i="6"/>
  <c r="AY65" i="6"/>
  <c r="BF65" i="6" s="1"/>
  <c r="AZ64" i="6"/>
  <c r="AY64" i="6"/>
  <c r="BF64" i="6" s="1"/>
  <c r="AZ63" i="6"/>
  <c r="AY63" i="6"/>
  <c r="BF63" i="6" s="1"/>
  <c r="AZ62" i="6"/>
  <c r="AY62" i="6"/>
  <c r="BF62" i="6" s="1"/>
  <c r="AZ61" i="6"/>
  <c r="AY61" i="6"/>
  <c r="BF61" i="6" s="1"/>
  <c r="AZ60" i="6"/>
  <c r="AY60" i="6"/>
  <c r="BF60" i="6" s="1"/>
  <c r="AZ59" i="6"/>
  <c r="AY59" i="6"/>
  <c r="BF59" i="6" s="1"/>
  <c r="AZ58" i="6"/>
  <c r="AY58" i="6"/>
  <c r="BF58" i="6" s="1"/>
  <c r="AZ57" i="6"/>
  <c r="AY57" i="6"/>
  <c r="BF57" i="6" s="1"/>
  <c r="AZ56" i="6"/>
  <c r="AY56" i="6"/>
  <c r="BF56" i="6" s="1"/>
  <c r="AZ55" i="6"/>
  <c r="AY55" i="6"/>
  <c r="BF55" i="6" s="1"/>
  <c r="AZ54" i="6"/>
  <c r="AY54" i="6"/>
  <c r="BF54" i="6" s="1"/>
  <c r="AZ53" i="6"/>
  <c r="AY53" i="6"/>
  <c r="BF53" i="6" s="1"/>
  <c r="AZ52" i="6"/>
  <c r="AY52" i="6"/>
  <c r="BF52" i="6" s="1"/>
  <c r="AZ51" i="6"/>
  <c r="AY51" i="6"/>
  <c r="BF51" i="6" s="1"/>
  <c r="AZ50" i="6"/>
  <c r="AY50" i="6"/>
  <c r="BF50" i="6" s="1"/>
  <c r="AZ49" i="6"/>
  <c r="AY49" i="6"/>
  <c r="BF49" i="6" s="1"/>
  <c r="AZ48" i="6"/>
  <c r="AY48" i="6"/>
  <c r="BF48" i="6" s="1"/>
  <c r="AZ47" i="6"/>
  <c r="AY47" i="6"/>
  <c r="BF47" i="6" s="1"/>
  <c r="AZ46" i="6"/>
  <c r="AY46" i="6"/>
  <c r="BF46" i="6" s="1"/>
  <c r="AZ45" i="6"/>
  <c r="AY45" i="6"/>
  <c r="BF45" i="6" s="1"/>
  <c r="AZ44" i="6"/>
  <c r="AY44" i="6"/>
  <c r="BF44" i="6" s="1"/>
  <c r="AZ43" i="6"/>
  <c r="AY43" i="6"/>
  <c r="BF43" i="6" s="1"/>
  <c r="AZ42" i="6"/>
  <c r="AY42" i="6"/>
  <c r="BF42" i="6" s="1"/>
  <c r="AZ41" i="6"/>
  <c r="AY41" i="6"/>
  <c r="BF41" i="6" s="1"/>
  <c r="AZ40" i="6"/>
  <c r="AY40" i="6"/>
  <c r="BF40" i="6" s="1"/>
  <c r="AZ39" i="6"/>
  <c r="AY39" i="6"/>
  <c r="BF39" i="6" s="1"/>
  <c r="AZ38" i="6"/>
  <c r="AY38" i="6"/>
  <c r="BF38" i="6" s="1"/>
  <c r="AZ37" i="6"/>
  <c r="AY37" i="6"/>
  <c r="BF37" i="6" s="1"/>
  <c r="AZ36" i="6"/>
  <c r="AY36" i="6"/>
  <c r="BF36" i="6" s="1"/>
  <c r="AZ35" i="6"/>
  <c r="AY35" i="6"/>
  <c r="BF35" i="6" s="1"/>
  <c r="AZ34" i="6"/>
  <c r="AY34" i="6"/>
  <c r="BF34" i="6" s="1"/>
  <c r="AZ33" i="6"/>
  <c r="AY33" i="6"/>
  <c r="BF33" i="6" s="1"/>
  <c r="AZ32" i="6"/>
  <c r="AY32" i="6"/>
  <c r="BF32" i="6" s="1"/>
  <c r="AZ31" i="6"/>
  <c r="AY31" i="6"/>
  <c r="BF31" i="6" s="1"/>
  <c r="AZ30" i="6"/>
  <c r="AY30" i="6"/>
  <c r="BF30" i="6" s="1"/>
  <c r="AZ29" i="6"/>
  <c r="AY29" i="6"/>
  <c r="BF29" i="6" s="1"/>
  <c r="AZ28" i="6"/>
  <c r="AY28" i="6"/>
  <c r="BF28" i="6" s="1"/>
  <c r="AZ27" i="6"/>
  <c r="AY27" i="6"/>
  <c r="BF27" i="6" s="1"/>
  <c r="AZ26" i="6"/>
  <c r="AY26" i="6"/>
  <c r="BF26" i="6" s="1"/>
  <c r="AZ25" i="6"/>
  <c r="AY25" i="6"/>
  <c r="BF25" i="6" s="1"/>
  <c r="AZ24" i="6"/>
  <c r="AY24" i="6"/>
  <c r="BF24" i="6" s="1"/>
  <c r="AZ23" i="6"/>
  <c r="AY23" i="6"/>
  <c r="BF23" i="6" s="1"/>
  <c r="AZ22" i="6"/>
  <c r="AY22" i="6"/>
  <c r="BF22" i="6" s="1"/>
  <c r="AZ21" i="6"/>
  <c r="AY21" i="6"/>
  <c r="BF21" i="6" s="1"/>
  <c r="AZ20" i="6"/>
  <c r="AY20" i="6"/>
  <c r="BF20" i="6" s="1"/>
  <c r="AZ19" i="6"/>
  <c r="AY19" i="6"/>
  <c r="BF19" i="6" s="1"/>
  <c r="AZ18" i="6"/>
  <c r="AY18" i="6"/>
  <c r="BF18" i="6" s="1"/>
  <c r="AZ17" i="6"/>
  <c r="AY17" i="6"/>
  <c r="BF17" i="6" s="1"/>
  <c r="AZ16" i="6"/>
  <c r="AY16" i="6"/>
  <c r="BF16" i="6" s="1"/>
  <c r="AZ15" i="6"/>
  <c r="AY15" i="6"/>
  <c r="BF15" i="6" s="1"/>
  <c r="AZ14" i="6"/>
  <c r="AY14" i="6"/>
  <c r="BF14" i="6" s="1"/>
  <c r="AZ13" i="6"/>
  <c r="AY13" i="6"/>
  <c r="BF13" i="6" s="1"/>
  <c r="AZ12" i="6"/>
  <c r="AY12" i="6"/>
  <c r="BF12" i="6" s="1"/>
  <c r="AZ11" i="6"/>
  <c r="AY11" i="6"/>
  <c r="BF11" i="6" s="1"/>
  <c r="AZ10" i="6"/>
  <c r="AY10" i="6"/>
  <c r="BF10" i="6" s="1"/>
  <c r="AZ9" i="6"/>
  <c r="AY9" i="6"/>
  <c r="BF9" i="6" s="1"/>
  <c r="AZ8" i="6"/>
  <c r="AY8" i="6"/>
  <c r="BF8" i="6" s="1"/>
  <c r="AZ7" i="6"/>
  <c r="AY7" i="6"/>
  <c r="BF7" i="6" s="1"/>
  <c r="AZ6" i="6"/>
  <c r="AY6" i="6"/>
  <c r="BF6" i="6" s="1"/>
  <c r="AZ5" i="6"/>
  <c r="AY5" i="6"/>
  <c r="BF5" i="6" s="1"/>
  <c r="AY4" i="6"/>
  <c r="BF4" i="6" s="1"/>
  <c r="AZ3" i="6"/>
  <c r="AY3" i="6"/>
  <c r="BF3" i="6" s="1"/>
  <c r="AZ2" i="6"/>
  <c r="AY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1873B2-3823-494A-9EAA-7D63537B348A}" keepAlive="1" name="ThisWorkbookDataModel" description="Gegevens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0FD1F3C-E43F-435F-B62A-691992296B0D}" name="WorksheetConnection_playerround!$AY$1:$BA$314" type="102" refreshedVersion="8" minRefreshableVersion="5">
    <extLst>
      <ext xmlns:x15="http://schemas.microsoft.com/office/spreadsheetml/2010/11/main" uri="{DE250136-89BD-433C-8126-D09CA5730AF9}">
        <x15:connection id="Bereik" autoDelete="1">
          <x15:rangePr sourceName="_xlcn.WorksheetConnection_playerroundAY1BA314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<sst xmlns="http://schemas.openxmlformats.org/spreadsheetml/2006/main" count="1645" uniqueCount="201">
  <si>
    <t>playerround_id</t>
  </si>
  <si>
    <t>player_id</t>
  </si>
  <si>
    <t>groupround_id</t>
  </si>
  <si>
    <t>groupround_round_number</t>
  </si>
  <si>
    <t>round_income</t>
  </si>
  <si>
    <t>living_costs</t>
  </si>
  <si>
    <t>paid_debt</t>
  </si>
  <si>
    <t>profit_sold_house</t>
  </si>
  <si>
    <t>spent_savings_for_buying_house</t>
  </si>
  <si>
    <t>cost_taxes</t>
  </si>
  <si>
    <t>mortgage_payment</t>
  </si>
  <si>
    <t>cost_house_measures_bought</t>
  </si>
  <si>
    <t>cost_personal_measures_bought</t>
  </si>
  <si>
    <t>cost_fluvial_damage</t>
  </si>
  <si>
    <t>cost_pluvial_damage</t>
  </si>
  <si>
    <t>spendable_income</t>
  </si>
  <si>
    <t>p_code</t>
  </si>
  <si>
    <t>calculated_costs</t>
  </si>
  <si>
    <t>calculated_spendable</t>
  </si>
  <si>
    <t>t10p1</t>
  </si>
  <si>
    <t>t10p2</t>
  </si>
  <si>
    <t>t10p3</t>
  </si>
  <si>
    <t>t10p4</t>
  </si>
  <si>
    <t>t10p5</t>
  </si>
  <si>
    <t>t10p6</t>
  </si>
  <si>
    <t>t10p7</t>
  </si>
  <si>
    <t>t10p8</t>
  </si>
  <si>
    <t>t1p1</t>
  </si>
  <si>
    <t>t1p2</t>
  </si>
  <si>
    <t>t1p3</t>
  </si>
  <si>
    <t>t1p4</t>
  </si>
  <si>
    <t>t1p5</t>
  </si>
  <si>
    <t>t1p6</t>
  </si>
  <si>
    <t>t1p7</t>
  </si>
  <si>
    <t>t2p1</t>
  </si>
  <si>
    <t>t2p2</t>
  </si>
  <si>
    <t>t2p3</t>
  </si>
  <si>
    <t>t2p4</t>
  </si>
  <si>
    <t>t2p5</t>
  </si>
  <si>
    <t>t2p6</t>
  </si>
  <si>
    <t>t2p7</t>
  </si>
  <si>
    <t>t2p8</t>
  </si>
  <si>
    <t>t3p1</t>
  </si>
  <si>
    <t>t3p2</t>
  </si>
  <si>
    <t>t3p3</t>
  </si>
  <si>
    <t>t3p4</t>
  </si>
  <si>
    <t>t3p5</t>
  </si>
  <si>
    <t>t3p6</t>
  </si>
  <si>
    <t>t3p7</t>
  </si>
  <si>
    <t>t3p8</t>
  </si>
  <si>
    <t>t4p1</t>
  </si>
  <si>
    <t>t4p2</t>
  </si>
  <si>
    <t>t4p3</t>
  </si>
  <si>
    <t>t4p4</t>
  </si>
  <si>
    <t>t4p5</t>
  </si>
  <si>
    <t>t4p6</t>
  </si>
  <si>
    <t>t4p7</t>
  </si>
  <si>
    <t>t4p8</t>
  </si>
  <si>
    <t>t5p1</t>
  </si>
  <si>
    <t>t5p2</t>
  </si>
  <si>
    <t>t5p3</t>
  </si>
  <si>
    <t>t5p4</t>
  </si>
  <si>
    <t>t5p5</t>
  </si>
  <si>
    <t>t5p6</t>
  </si>
  <si>
    <t>t5p7</t>
  </si>
  <si>
    <t>t5p8</t>
  </si>
  <si>
    <t>t6p1</t>
  </si>
  <si>
    <t>t6p2</t>
  </si>
  <si>
    <t>t6p3</t>
  </si>
  <si>
    <t>t6p4</t>
  </si>
  <si>
    <t>t6p5</t>
  </si>
  <si>
    <t>t6p6</t>
  </si>
  <si>
    <t>t6p7</t>
  </si>
  <si>
    <t>t6p8</t>
  </si>
  <si>
    <t>t7p1</t>
  </si>
  <si>
    <t>t7p2</t>
  </si>
  <si>
    <t>t7p3</t>
  </si>
  <si>
    <t>t7p4</t>
  </si>
  <si>
    <t>t7p5</t>
  </si>
  <si>
    <t>t7p6</t>
  </si>
  <si>
    <t>t7p7</t>
  </si>
  <si>
    <t>t7p8</t>
  </si>
  <si>
    <t>t8p1</t>
  </si>
  <si>
    <t>t8p2</t>
  </si>
  <si>
    <t>t8p3</t>
  </si>
  <si>
    <t>t8p4</t>
  </si>
  <si>
    <t>t8p5</t>
  </si>
  <si>
    <t>t8p6</t>
  </si>
  <si>
    <t>t8p7</t>
  </si>
  <si>
    <t>t8p8</t>
  </si>
  <si>
    <t>t9p1</t>
  </si>
  <si>
    <t>t9p2</t>
  </si>
  <si>
    <t>t9p3</t>
  </si>
  <si>
    <t>t9p4</t>
  </si>
  <si>
    <t>t9p5</t>
  </si>
  <si>
    <t>t9p6</t>
  </si>
  <si>
    <t>t9p7</t>
  </si>
  <si>
    <t>t9p8</t>
  </si>
  <si>
    <t>id</t>
  </si>
  <si>
    <t>gamesession_name</t>
  </si>
  <si>
    <t>password</t>
  </si>
  <si>
    <t>location</t>
  </si>
  <si>
    <t>create_time</t>
  </si>
  <si>
    <t>date</t>
  </si>
  <si>
    <t>start_time</t>
  </si>
  <si>
    <t>end_time</t>
  </si>
  <si>
    <t>gameversion_id</t>
  </si>
  <si>
    <t>description</t>
  </si>
  <si>
    <t>240924_EPA_IntroDays_Ommen</t>
  </si>
  <si>
    <t>ommen</t>
  </si>
  <si>
    <t>Ommen</t>
  </si>
  <si>
    <t>Ommen EPA students 24-09-2024</t>
  </si>
  <si>
    <t>name</t>
  </si>
  <si>
    <t>gamesession_id</t>
  </si>
  <si>
    <t>scenario_id</t>
  </si>
  <si>
    <t>facilitator_id</t>
  </si>
  <si>
    <t>table1</t>
  </si>
  <si>
    <t>table10</t>
  </si>
  <si>
    <t>table2</t>
  </si>
  <si>
    <t>table3</t>
  </si>
  <si>
    <t>table4</t>
  </si>
  <si>
    <t>table5</t>
  </si>
  <si>
    <t>table6</t>
  </si>
  <si>
    <t>table7</t>
  </si>
  <si>
    <t>table8</t>
  </si>
  <si>
    <t>table9</t>
  </si>
  <si>
    <t>timestamp</t>
  </si>
  <si>
    <t>pluvial_flood_intensity</t>
  </si>
  <si>
    <t>fluvial_flood_intensity</t>
  </si>
  <si>
    <t>group_state</t>
  </si>
  <si>
    <t>round_number</t>
  </si>
  <si>
    <t>group_id</t>
  </si>
  <si>
    <t>group_name</t>
  </si>
  <si>
    <t>group_scenario_id</t>
  </si>
  <si>
    <t>LOGIN</t>
  </si>
  <si>
    <t>SHOW_SUMMARY</t>
  </si>
  <si>
    <t>code</t>
  </si>
  <si>
    <t>user_id</t>
  </si>
  <si>
    <t>welfaretype_id</t>
  </si>
  <si>
    <t>t1p8</t>
  </si>
  <si>
    <t>satisfaction_move_penalty</t>
  </si>
  <si>
    <t>satisfaction_house_rating_delta</t>
  </si>
  <si>
    <t>satisfaction_house_measures</t>
  </si>
  <si>
    <t>satisfaction_personal_measures</t>
  </si>
  <si>
    <t>satisfaction_fluvial_penalty</t>
  </si>
  <si>
    <t>satisfaction_pluvial_penalty</t>
  </si>
  <si>
    <t>satisfaction_debt_penalty</t>
  </si>
  <si>
    <t>satisfaction_total</t>
  </si>
  <si>
    <t>preferred_house_rating</t>
  </si>
  <si>
    <t>maximum_mortgage</t>
  </si>
  <si>
    <t>mortgage_house_start</t>
  </si>
  <si>
    <t>mortgage_left_start</t>
  </si>
  <si>
    <t>house_price_sold</t>
  </si>
  <si>
    <t>house_price_bought</t>
  </si>
  <si>
    <t>mortgage_house_end</t>
  </si>
  <si>
    <t>mortgage_left_end</t>
  </si>
  <si>
    <t>movingreason_id</t>
  </si>
  <si>
    <t>moving_reason_other</t>
  </si>
  <si>
    <t>pluvial_base_protection</t>
  </si>
  <si>
    <t>fluvial_base_protection</t>
  </si>
  <si>
    <t>pluvial_community_delta</t>
  </si>
  <si>
    <t>fluvial_community_delta</t>
  </si>
  <si>
    <t>pluvial_house_delta</t>
  </si>
  <si>
    <t>fluvial_house_delta</t>
  </si>
  <si>
    <t>player_state</t>
  </si>
  <si>
    <t>start_housegroup_id</t>
  </si>
  <si>
    <t>final_housegroup_id</t>
  </si>
  <si>
    <t>active_transaction_id</t>
  </si>
  <si>
    <t>VIEW_SUMMARY</t>
  </si>
  <si>
    <t>Nice neighbourhood.</t>
  </si>
  <si>
    <t>VIEW_DAMAGE</t>
  </si>
  <si>
    <t>It's protected and worth 1 community steal</t>
  </si>
  <si>
    <t>SURVEY_COMPLETED</t>
  </si>
  <si>
    <t>Safer</t>
  </si>
  <si>
    <t>Added_pluvial_fluvial_base_protection</t>
  </si>
  <si>
    <t>Added_pluvial_fluvial_house_delta</t>
  </si>
  <si>
    <t>Added_player_welfaretype</t>
  </si>
  <si>
    <t>Som van Added_pluvial_fluvial_house_delta</t>
  </si>
  <si>
    <t>Rijlabels</t>
  </si>
  <si>
    <t>Eindtotaal</t>
  </si>
  <si>
    <t>Kolomlabels</t>
  </si>
  <si>
    <t>15 (U-village)</t>
  </si>
  <si>
    <t>16 (Dike-town)</t>
  </si>
  <si>
    <t>18 (Natu-city)</t>
  </si>
  <si>
    <t>Added_player_welfare</t>
  </si>
  <si>
    <t>Added_total_damage</t>
  </si>
  <si>
    <t>Added_delta_satisfaction</t>
  </si>
  <si>
    <t>Gemiddelde van Added_delta_satisfaction</t>
  </si>
  <si>
    <t>Gemiddelde van Added_total_damage</t>
  </si>
  <si>
    <t>Gemiddelde van cost_house_measures_bought</t>
  </si>
  <si>
    <t>switch maybe welfare type and living area</t>
  </si>
  <si>
    <t>Added_living_area</t>
  </si>
  <si>
    <t>(Dike-town)</t>
  </si>
  <si>
    <t>(Natu-city)</t>
  </si>
  <si>
    <t>(U-village)</t>
  </si>
  <si>
    <t>Gemiddelde van cost_personal_measures_bought</t>
  </si>
  <si>
    <t>(Alle)</t>
  </si>
  <si>
    <t>Gemiddelde van satisfaction_total</t>
  </si>
  <si>
    <t>Gemiddelde van spent_savings_for_buying_house</t>
  </si>
  <si>
    <t>Gemiddelde van mortgage_payment</t>
  </si>
  <si>
    <t>Gemiddelde van paid_debt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</si>
</sst>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996600"/>
      <color rgb="FFFCFEBE"/>
      <color rgb="FFFAFD83"/>
      <color rgb="FFF7E935"/>
      <color rgb="FFCC6600"/>
      <color rgb="FFF3C313"/>
      <color rgb="FFCC900A"/>
      <color rgb="FFA47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[Copy_Income_dist_housinggame_session_16_240924_EPA_IntroDays_Ommen (version 1) (version 1)final.xlsx]Sum delta houseprotection!Draaitabel12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delta houseprotection'!$B$3:$B$4</c:f>
              <c:strCache>
                <c:ptCount val="1"/>
                <c:pt idx="0">
                  <c:v>117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 delta houseprotection'!$A$5:$A$8</c:f>
              <c:strCache>
                <c:ptCount val="3"/>
                <c:pt idx="0">
                  <c:v>15 (U-village)</c:v>
                </c:pt>
                <c:pt idx="1">
                  <c:v>16 (Dike-town)</c:v>
                </c:pt>
                <c:pt idx="2">
                  <c:v>18 (Natu-city)</c:v>
                </c:pt>
              </c:strCache>
            </c:strRef>
          </c:cat>
          <c:val>
            <c:numRef>
              <c:f>'Sum delta houseprotection'!$B$5:$B$8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3-465F-A78F-A043F8938A64}"/>
            </c:ext>
          </c:extLst>
        </c:ser>
        <c:ser>
          <c:idx val="1"/>
          <c:order val="1"/>
          <c:tx>
            <c:strRef>
              <c:f>'Sum delta houseprotection'!$C$3:$C$4</c:f>
              <c:strCache>
                <c:ptCount val="1"/>
                <c:pt idx="0">
                  <c:v>118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 delta houseprotection'!$A$5:$A$8</c:f>
              <c:strCache>
                <c:ptCount val="3"/>
                <c:pt idx="0">
                  <c:v>15 (U-village)</c:v>
                </c:pt>
                <c:pt idx="1">
                  <c:v>16 (Dike-town)</c:v>
                </c:pt>
                <c:pt idx="2">
                  <c:v>18 (Natu-city)</c:v>
                </c:pt>
              </c:strCache>
            </c:strRef>
          </c:cat>
          <c:val>
            <c:numRef>
              <c:f>'Sum delta houseprotection'!$C$5:$C$8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3-465F-A78F-A043F8938A64}"/>
            </c:ext>
          </c:extLst>
        </c:ser>
        <c:ser>
          <c:idx val="2"/>
          <c:order val="2"/>
          <c:tx>
            <c:strRef>
              <c:f>'Sum delta houseprotection'!$D$3:$D$4</c:f>
              <c:strCache>
                <c:ptCount val="1"/>
                <c:pt idx="0">
                  <c:v>119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 delta houseprotection'!$A$5:$A$8</c:f>
              <c:strCache>
                <c:ptCount val="3"/>
                <c:pt idx="0">
                  <c:v>15 (U-village)</c:v>
                </c:pt>
                <c:pt idx="1">
                  <c:v>16 (Dike-town)</c:v>
                </c:pt>
                <c:pt idx="2">
                  <c:v>18 (Natu-city)</c:v>
                </c:pt>
              </c:strCache>
            </c:strRef>
          </c:cat>
          <c:val>
            <c:numRef>
              <c:f>'Sum delta houseprotection'!$D$5:$D$8</c:f>
              <c:numCache>
                <c:formatCode>General</c:formatCode>
                <c:ptCount val="3"/>
                <c:pt idx="0">
                  <c:v>24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3-465F-A78F-A043F8938A64}"/>
            </c:ext>
          </c:extLst>
        </c:ser>
        <c:ser>
          <c:idx val="3"/>
          <c:order val="3"/>
          <c:tx>
            <c:strRef>
              <c:f>'Sum delta houseprotection'!$E$3:$E$4</c:f>
              <c:strCache>
                <c:ptCount val="1"/>
                <c:pt idx="0">
                  <c:v>120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 delta houseprotection'!$A$5:$A$8</c:f>
              <c:strCache>
                <c:ptCount val="3"/>
                <c:pt idx="0">
                  <c:v>15 (U-village)</c:v>
                </c:pt>
                <c:pt idx="1">
                  <c:v>16 (Dike-town)</c:v>
                </c:pt>
                <c:pt idx="2">
                  <c:v>18 (Natu-city)</c:v>
                </c:pt>
              </c:strCache>
            </c:strRef>
          </c:cat>
          <c:val>
            <c:numRef>
              <c:f>'Sum delta houseprotection'!$E$5:$E$8</c:f>
              <c:numCache>
                <c:formatCode>General</c:formatCode>
                <c:ptCount val="3"/>
                <c:pt idx="0">
                  <c:v>52</c:v>
                </c:pt>
                <c:pt idx="1">
                  <c:v>44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3-465F-A78F-A043F8938A64}"/>
            </c:ext>
          </c:extLst>
        </c:ser>
        <c:ser>
          <c:idx val="4"/>
          <c:order val="4"/>
          <c:tx>
            <c:strRef>
              <c:f>'Sum delta houseprotection'!$F$3:$F$4</c:f>
              <c:strCache>
                <c:ptCount val="1"/>
                <c:pt idx="0">
                  <c:v>121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 delta houseprotection'!$A$5:$A$8</c:f>
              <c:strCache>
                <c:ptCount val="3"/>
                <c:pt idx="0">
                  <c:v>15 (U-village)</c:v>
                </c:pt>
                <c:pt idx="1">
                  <c:v>16 (Dike-town)</c:v>
                </c:pt>
                <c:pt idx="2">
                  <c:v>18 (Natu-city)</c:v>
                </c:pt>
              </c:strCache>
            </c:strRef>
          </c:cat>
          <c:val>
            <c:numRef>
              <c:f>'Sum delta houseprotection'!$F$5:$F$8</c:f>
              <c:numCache>
                <c:formatCode>General</c:formatCode>
                <c:ptCount val="3"/>
                <c:pt idx="1">
                  <c:v>19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E3-465F-A78F-A043F8938A64}"/>
            </c:ext>
          </c:extLst>
        </c:ser>
        <c:ser>
          <c:idx val="5"/>
          <c:order val="5"/>
          <c:tx>
            <c:strRef>
              <c:f>'Sum delta houseprotection'!$G$3:$G$4</c:f>
              <c:strCache>
                <c:ptCount val="1"/>
                <c:pt idx="0">
                  <c:v>122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EC4-4E43-813C-2328A7350063}"/>
              </c:ext>
            </c:extLst>
          </c:dPt>
          <c:cat>
            <c:strRef>
              <c:f>'Sum delta houseprotection'!$A$5:$A$8</c:f>
              <c:strCache>
                <c:ptCount val="3"/>
                <c:pt idx="0">
                  <c:v>15 (U-village)</c:v>
                </c:pt>
                <c:pt idx="1">
                  <c:v>16 (Dike-town)</c:v>
                </c:pt>
                <c:pt idx="2">
                  <c:v>18 (Natu-city)</c:v>
                </c:pt>
              </c:strCache>
            </c:strRef>
          </c:cat>
          <c:val>
            <c:numRef>
              <c:f>'Sum delta houseprotection'!$G$5:$G$8</c:f>
              <c:numCache>
                <c:formatCode>General</c:formatCode>
                <c:ptCount val="3"/>
                <c:pt idx="1">
                  <c:v>45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E3-465F-A78F-A043F8938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3362191"/>
        <c:axId val="953367471"/>
      </c:barChart>
      <c:catAx>
        <c:axId val="95336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3367471"/>
        <c:crosses val="autoZero"/>
        <c:auto val="1"/>
        <c:lblAlgn val="ctr"/>
        <c:lblOffset val="100"/>
        <c:noMultiLvlLbl val="0"/>
      </c:catAx>
      <c:valAx>
        <c:axId val="95336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5336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[Copy_Income_dist_housinggame_session_16_240924_EPA_IntroDays_Ommen (version 1) (version 1)final.xlsx]Behaviour dimesions!Draaitabel7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'Behaviour dimesions'!$B$3</c:f>
              <c:strCache>
                <c:ptCount val="1"/>
                <c:pt idx="0">
                  <c:v>Gemiddelde van Added_total_damage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'Behaviour dimesions'!$A$4:$A$10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'Behaviour dimesions'!$B$4:$B$10</c:f>
              <c:numCache>
                <c:formatCode>General</c:formatCode>
                <c:ptCount val="6"/>
                <c:pt idx="0">
                  <c:v>2800</c:v>
                </c:pt>
                <c:pt idx="1">
                  <c:v>2200</c:v>
                </c:pt>
                <c:pt idx="2">
                  <c:v>1900</c:v>
                </c:pt>
                <c:pt idx="3">
                  <c:v>2265.4867256637167</c:v>
                </c:pt>
                <c:pt idx="4">
                  <c:v>1500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7-48A8-B04F-783A96013EA4}"/>
            </c:ext>
          </c:extLst>
        </c:ser>
        <c:ser>
          <c:idx val="1"/>
          <c:order val="1"/>
          <c:tx>
            <c:strRef>
              <c:f>'Behaviour dimesions'!$C$3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'Behaviour dimesions'!$A$4:$A$10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'Behaviour dimesions'!$C$4:$C$10</c:f>
              <c:numCache>
                <c:formatCode>General</c:formatCode>
                <c:ptCount val="6"/>
                <c:pt idx="0">
                  <c:v>1712.5</c:v>
                </c:pt>
                <c:pt idx="1">
                  <c:v>3912.5</c:v>
                </c:pt>
                <c:pt idx="2">
                  <c:v>6843.75</c:v>
                </c:pt>
                <c:pt idx="3">
                  <c:v>12829.646017699115</c:v>
                </c:pt>
                <c:pt idx="4">
                  <c:v>14025</c:v>
                </c:pt>
                <c:pt idx="5">
                  <c:v>25175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7-48A8-B04F-783A96013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0223312"/>
        <c:axId val="890218032"/>
      </c:barChart>
      <c:lineChart>
        <c:grouping val="standard"/>
        <c:varyColors val="0"/>
        <c:ser>
          <c:idx val="2"/>
          <c:order val="2"/>
          <c:tx>
            <c:strRef>
              <c:f>'Behaviour dimesions'!$D$3</c:f>
              <c:strCache>
                <c:ptCount val="1"/>
                <c:pt idx="0">
                  <c:v>Gemiddelde van Added_delta_satisfaction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'Behaviour dimesions'!$A$4:$A$10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'Behaviour dimesions'!$D$4:$D$10</c:f>
              <c:numCache>
                <c:formatCode>General</c:formatCode>
                <c:ptCount val="6"/>
                <c:pt idx="0">
                  <c:v>-2</c:v>
                </c:pt>
                <c:pt idx="1">
                  <c:v>-1.5333333333333334</c:v>
                </c:pt>
                <c:pt idx="2">
                  <c:v>-1.2</c:v>
                </c:pt>
                <c:pt idx="3">
                  <c:v>-0.66666666666666663</c:v>
                </c:pt>
                <c:pt idx="4">
                  <c:v>-0.43333333333333335</c:v>
                </c:pt>
                <c:pt idx="5">
                  <c:v>0.76666666666666672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77-48A8-B04F-783A96013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761568"/>
        <c:axId val="2076514240"/>
      </c:lineChart>
      <c:catAx>
        <c:axId val="8902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0218032"/>
        <c:crosses val="autoZero"/>
        <c:auto val="1"/>
        <c:lblAlgn val="ctr"/>
        <c:lblOffset val="100"/>
        <c:noMultiLvlLbl val="0"/>
      </c:catAx>
      <c:valAx>
        <c:axId val="89021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0223312"/>
        <c:crosses val="autoZero"/>
        <c:crossBetween val="between"/>
      </c:valAx>
      <c:valAx>
        <c:axId val="20765142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16761568"/>
        <c:crosses val="max"/>
        <c:crossBetween val="between"/>
      </c:valAx>
      <c:catAx>
        <c:axId val="2016761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6514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[Copy_Income_dist_housinggame_session_16_240924_EPA_IntroDays_Ommen (version 1) (version 1)final.xlsx]Delta protection housing area!Draaitabel4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Added</a:t>
            </a:r>
            <a:r>
              <a:rPr lang="nl-NL" baseline="0"/>
              <a:t> house protection per living area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'Delta protection housing area'!$B$3:$B$4</c:f>
              <c:strCache>
                <c:ptCount val="1"/>
                <c:pt idx="0">
                  <c:v>117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'Delta protection housing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housing area'!$B$5:$B$8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8-41D1-B330-336D324D713A}"/>
            </c:ext>
          </c:extLst>
        </c:ser>
        <c:ser>
          <c:idx val="1"/>
          <c:order val="1"/>
          <c:tx>
            <c:strRef>
              <c:f>'Delta protection housing area'!$C$3:$C$4</c:f>
              <c:strCache>
                <c:ptCount val="1"/>
                <c:pt idx="0">
                  <c:v>118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'Delta protection housing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housing area'!$C$5:$C$8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58-41D1-B330-336D324D713A}"/>
            </c:ext>
          </c:extLst>
        </c:ser>
        <c:ser>
          <c:idx val="2"/>
          <c:order val="2"/>
          <c:tx>
            <c:strRef>
              <c:f>'Delta protection housing area'!$D$3:$D$4</c:f>
              <c:strCache>
                <c:ptCount val="1"/>
                <c:pt idx="0">
                  <c:v>119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'Delta protection housing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housing area'!$D$5:$D$8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58-41D1-B330-336D324D713A}"/>
            </c:ext>
          </c:extLst>
        </c:ser>
        <c:ser>
          <c:idx val="3"/>
          <c:order val="3"/>
          <c:tx>
            <c:strRef>
              <c:f>'Delta protection housing area'!$E$3:$E$4</c:f>
              <c:strCache>
                <c:ptCount val="1"/>
                <c:pt idx="0">
                  <c:v>120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'Delta protection housing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housing area'!$E$5:$E$8</c:f>
              <c:numCache>
                <c:formatCode>General</c:formatCode>
                <c:ptCount val="3"/>
                <c:pt idx="0">
                  <c:v>44</c:v>
                </c:pt>
                <c:pt idx="1">
                  <c:v>24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58-41D1-B330-336D324D713A}"/>
            </c:ext>
          </c:extLst>
        </c:ser>
        <c:ser>
          <c:idx val="4"/>
          <c:order val="4"/>
          <c:tx>
            <c:strRef>
              <c:f>'Delta protection housing area'!$F$3:$F$4</c:f>
              <c:strCache>
                <c:ptCount val="1"/>
                <c:pt idx="0">
                  <c:v>121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'Delta protection housing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housing area'!$F$5:$F$8</c:f>
              <c:numCache>
                <c:formatCode>General</c:formatCode>
                <c:ptCount val="3"/>
                <c:pt idx="0">
                  <c:v>19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58-41D1-B330-336D324D713A}"/>
            </c:ext>
          </c:extLst>
        </c:ser>
        <c:ser>
          <c:idx val="5"/>
          <c:order val="5"/>
          <c:tx>
            <c:strRef>
              <c:f>'Delta protection housing area'!$G$3:$G$4</c:f>
              <c:strCache>
                <c:ptCount val="1"/>
                <c:pt idx="0">
                  <c:v>122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'Delta protection housing area'!$A$5:$A$8</c:f>
              <c:strCache>
                <c:ptCount val="3"/>
                <c:pt idx="0">
                  <c:v>(Dike-town)</c:v>
                </c:pt>
                <c:pt idx="1">
                  <c:v>(Natu-city)</c:v>
                </c:pt>
                <c:pt idx="2">
                  <c:v>(U-village)</c:v>
                </c:pt>
              </c:strCache>
            </c:strRef>
          </c:cat>
          <c:val>
            <c:numRef>
              <c:f>'Delta protection housing area'!$G$5:$G$8</c:f>
              <c:numCache>
                <c:formatCode>General</c:formatCode>
                <c:ptCount val="3"/>
                <c:pt idx="0">
                  <c:v>45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58-41D1-B330-336D324D7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95275536"/>
        <c:axId val="1395276016"/>
      </c:barChart>
      <c:catAx>
        <c:axId val="1395275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Living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95276016"/>
        <c:crosses val="autoZero"/>
        <c:auto val="1"/>
        <c:lblAlgn val="ctr"/>
        <c:lblOffset val="100"/>
        <c:noMultiLvlLbl val="0"/>
      </c:catAx>
      <c:valAx>
        <c:axId val="139527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Added pluvial/fluvial house protection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9527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[Copy_Income_dist_housinggame_session_16_240924_EPA_IntroDays_Ommen (version 1) (version 1)final.xlsx]Income allocation!Draaitabel7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'Income allocation'!$B$3</c:f>
              <c:strCache>
                <c:ptCount val="1"/>
                <c:pt idx="0">
                  <c:v>Gemiddelde van paid_debt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allocation'!$A$4:$A$10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'Income allocation'!$B$4:$B$10</c:f>
              <c:numCache>
                <c:formatCode>General</c:formatCode>
                <c:ptCount val="6"/>
                <c:pt idx="0">
                  <c:v>6650</c:v>
                </c:pt>
                <c:pt idx="1">
                  <c:v>5800</c:v>
                </c:pt>
                <c:pt idx="2">
                  <c:v>1900</c:v>
                </c:pt>
                <c:pt idx="3">
                  <c:v>3357.1428571428573</c:v>
                </c:pt>
                <c:pt idx="4">
                  <c:v>2300</c:v>
                </c:pt>
                <c:pt idx="5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F-4FAE-8A03-FACC9BCE2925}"/>
            </c:ext>
          </c:extLst>
        </c:ser>
        <c:ser>
          <c:idx val="1"/>
          <c:order val="1"/>
          <c:tx>
            <c:strRef>
              <c:f>'Income allocation'!$C$3</c:f>
              <c:strCache>
                <c:ptCount val="1"/>
                <c:pt idx="0">
                  <c:v>Gemiddelde van mortgage_payment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allocation'!$A$4:$A$10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'Income allocation'!$C$4:$C$10</c:f>
              <c:numCache>
                <c:formatCode>General</c:formatCode>
                <c:ptCount val="6"/>
                <c:pt idx="0">
                  <c:v>7500</c:v>
                </c:pt>
                <c:pt idx="1">
                  <c:v>9800</c:v>
                </c:pt>
                <c:pt idx="2">
                  <c:v>12250</c:v>
                </c:pt>
                <c:pt idx="3">
                  <c:v>15696.428571428571</c:v>
                </c:pt>
                <c:pt idx="4">
                  <c:v>18200</c:v>
                </c:pt>
                <c:pt idx="5">
                  <c:v>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CF-4FAE-8A03-FACC9BCE2925}"/>
            </c:ext>
          </c:extLst>
        </c:ser>
        <c:ser>
          <c:idx val="2"/>
          <c:order val="2"/>
          <c:tx>
            <c:strRef>
              <c:f>'Income allocation'!$D$3</c:f>
              <c:strCache>
                <c:ptCount val="1"/>
                <c:pt idx="0">
                  <c:v>Gemiddelde van spent_savings_for_buying_house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'Income allocation'!$A$4:$A$10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'Income allocation'!$D$4:$D$10</c:f>
              <c:numCache>
                <c:formatCode>General</c:formatCode>
                <c:ptCount val="6"/>
                <c:pt idx="0">
                  <c:v>2000</c:v>
                </c:pt>
                <c:pt idx="1">
                  <c:v>0</c:v>
                </c:pt>
                <c:pt idx="2">
                  <c:v>3000</c:v>
                </c:pt>
                <c:pt idx="3">
                  <c:v>1785.7142857142858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CF-4FAE-8A03-FACC9BCE2925}"/>
            </c:ext>
          </c:extLst>
        </c:ser>
        <c:ser>
          <c:idx val="3"/>
          <c:order val="3"/>
          <c:tx>
            <c:strRef>
              <c:f>'Income allocation'!$E$3</c:f>
              <c:strCache>
                <c:ptCount val="1"/>
                <c:pt idx="0">
                  <c:v>Gemiddelde van Added_total_damage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'Income allocation'!$A$4:$A$10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'Income allocation'!$E$4:$E$10</c:f>
              <c:numCache>
                <c:formatCode>General</c:formatCode>
                <c:ptCount val="6"/>
                <c:pt idx="0">
                  <c:v>3600</c:v>
                </c:pt>
                <c:pt idx="1">
                  <c:v>3200</c:v>
                </c:pt>
                <c:pt idx="2">
                  <c:v>2800</c:v>
                </c:pt>
                <c:pt idx="3">
                  <c:v>4428.5714285714284</c:v>
                </c:pt>
                <c:pt idx="4">
                  <c:v>2000</c:v>
                </c:pt>
                <c:pt idx="5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CF-4FAE-8A03-FACC9BCE2925}"/>
            </c:ext>
          </c:extLst>
        </c:ser>
        <c:ser>
          <c:idx val="4"/>
          <c:order val="4"/>
          <c:tx>
            <c:strRef>
              <c:f>'Income allocation'!$F$3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'Income allocation'!$A$4:$A$10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'Income allocation'!$F$4:$F$10</c:f>
              <c:numCache>
                <c:formatCode>General</c:formatCode>
                <c:ptCount val="6"/>
                <c:pt idx="0">
                  <c:v>800</c:v>
                </c:pt>
                <c:pt idx="1">
                  <c:v>5300</c:v>
                </c:pt>
                <c:pt idx="2">
                  <c:v>12675</c:v>
                </c:pt>
                <c:pt idx="3">
                  <c:v>18214.285714285714</c:v>
                </c:pt>
                <c:pt idx="4">
                  <c:v>14200</c:v>
                </c:pt>
                <c:pt idx="5">
                  <c:v>24500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CF-4FAE-8A03-FACC9BCE2925}"/>
            </c:ext>
          </c:extLst>
        </c:ser>
        <c:ser>
          <c:idx val="5"/>
          <c:order val="5"/>
          <c:tx>
            <c:strRef>
              <c:f>'Income allocation'!$G$3</c:f>
              <c:strCache>
                <c:ptCount val="1"/>
                <c:pt idx="0">
                  <c:v>Gemiddelde van cost_personal_measures_bought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'Income allocation'!$A$4:$A$10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'Income allocation'!$G$4:$G$10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CF-4FAE-8A03-FACC9BCE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51599088"/>
        <c:axId val="351598128"/>
      </c:barChart>
      <c:lineChart>
        <c:grouping val="standard"/>
        <c:varyColors val="0"/>
        <c:ser>
          <c:idx val="6"/>
          <c:order val="6"/>
          <c:tx>
            <c:strRef>
              <c:f>'Income allocation'!$H$3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'Income allocation'!$A$4:$A$10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'Income allocation'!$H$4:$H$10</c:f>
              <c:numCache>
                <c:formatCode>General</c:formatCode>
                <c:ptCount val="6"/>
                <c:pt idx="0">
                  <c:v>-1</c:v>
                </c:pt>
                <c:pt idx="1">
                  <c:v>0.4</c:v>
                </c:pt>
                <c:pt idx="2">
                  <c:v>1.4</c:v>
                </c:pt>
                <c:pt idx="3">
                  <c:v>3</c:v>
                </c:pt>
                <c:pt idx="4">
                  <c:v>3.7</c:v>
                </c:pt>
                <c:pt idx="5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ECF-4FAE-8A03-FACC9BCE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50112"/>
        <c:axId val="398841472"/>
      </c:lineChart>
      <c:catAx>
        <c:axId val="35159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Welfare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1598128"/>
        <c:crosses val="autoZero"/>
        <c:auto val="1"/>
        <c:lblAlgn val="ctr"/>
        <c:lblOffset val="100"/>
        <c:noMultiLvlLbl val="0"/>
      </c:catAx>
      <c:valAx>
        <c:axId val="3515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money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51599088"/>
        <c:crosses val="autoZero"/>
        <c:crossBetween val="between"/>
      </c:valAx>
      <c:valAx>
        <c:axId val="3988414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Satisfaction</a:t>
                </a:r>
                <a:r>
                  <a:rPr lang="nl-NL" baseline="0"/>
                  <a:t> 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98850112"/>
        <c:crosses val="max"/>
        <c:crossBetween val="between"/>
      </c:valAx>
      <c:catAx>
        <c:axId val="398850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884147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[Copy_Income_dist_housinggame_session_16_240924_EPA_IntroDays_Ommen (version 1) (version 1)final.xlsx]Ratio personalhouse measures!Draaitabel9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personalhouse measures'!$B$3</c:f>
              <c:strCache>
                <c:ptCount val="1"/>
                <c:pt idx="0">
                  <c:v>Gemiddelde van cost_personal_measures_bought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'Ratio personalhouse measures'!$A$4:$A$10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'Ratio personalhouse measures'!$B$4:$B$10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8-4D9D-A486-8B2FD795BE87}"/>
            </c:ext>
          </c:extLst>
        </c:ser>
        <c:ser>
          <c:idx val="1"/>
          <c:order val="1"/>
          <c:tx>
            <c:strRef>
              <c:f>'Ratio personalhouse measures'!$C$3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'Ratio personalhouse measures'!$A$4:$A$10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'Ratio personalhouse measures'!$C$4:$C$10</c:f>
              <c:numCache>
                <c:formatCode>General</c:formatCode>
                <c:ptCount val="6"/>
                <c:pt idx="0">
                  <c:v>1712.5</c:v>
                </c:pt>
                <c:pt idx="1">
                  <c:v>3912.5</c:v>
                </c:pt>
                <c:pt idx="2">
                  <c:v>6843.75</c:v>
                </c:pt>
                <c:pt idx="3">
                  <c:v>12829.646017699115</c:v>
                </c:pt>
                <c:pt idx="4">
                  <c:v>14025</c:v>
                </c:pt>
                <c:pt idx="5">
                  <c:v>25175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8-4D9D-A486-8B2FD795B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58799"/>
        <c:axId val="93945839"/>
      </c:barChart>
      <c:lineChart>
        <c:grouping val="standard"/>
        <c:varyColors val="0"/>
        <c:ser>
          <c:idx val="2"/>
          <c:order val="2"/>
          <c:tx>
            <c:strRef>
              <c:f>'Ratio personalhouse measures'!$D$3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'Ratio personalhouse measures'!$A$4:$A$10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'Ratio personalhouse measures'!$D$4:$D$10</c:f>
              <c:numCache>
                <c:formatCode>General</c:formatCode>
                <c:ptCount val="6"/>
                <c:pt idx="0">
                  <c:v>2.25</c:v>
                </c:pt>
                <c:pt idx="1">
                  <c:v>2.7250000000000001</c:v>
                </c:pt>
                <c:pt idx="2">
                  <c:v>3.4</c:v>
                </c:pt>
                <c:pt idx="3">
                  <c:v>4.2566371681415927</c:v>
                </c:pt>
                <c:pt idx="4">
                  <c:v>4.375</c:v>
                </c:pt>
                <c:pt idx="5">
                  <c:v>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F8-4D9D-A486-8B2FD795B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208815"/>
        <c:axId val="281209775"/>
      </c:lineChart>
      <c:catAx>
        <c:axId val="9395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3945839"/>
        <c:crosses val="autoZero"/>
        <c:auto val="1"/>
        <c:lblAlgn val="ctr"/>
        <c:lblOffset val="100"/>
        <c:noMultiLvlLbl val="0"/>
      </c:catAx>
      <c:valAx>
        <c:axId val="9394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3958799"/>
        <c:crosses val="autoZero"/>
        <c:crossBetween val="between"/>
      </c:valAx>
      <c:valAx>
        <c:axId val="2812097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81208815"/>
        <c:crosses val="max"/>
        <c:crossBetween val="between"/>
      </c:valAx>
      <c:catAx>
        <c:axId val="281208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12097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[Copy_Income_dist_housinggame_session_16_240924_EPA_IntroDays_Ommen (version 1) (version 1)final.xlsx]Behaviour dimension final!Draaitabel12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Investment,</a:t>
            </a:r>
            <a:r>
              <a:rPr lang="nl-NL" baseline="0"/>
              <a:t> Damage, And Satisfaction across welfare types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'Behaviour dimension final'!$B$3</c:f>
              <c:strCache>
                <c:ptCount val="1"/>
                <c:pt idx="0">
                  <c:v>Gemiddelde van cost_house_measures_bought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'Behaviour dimension final'!$A$4:$A$10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'Behaviour dimension final'!$B$4:$B$10</c:f>
              <c:numCache>
                <c:formatCode>General</c:formatCode>
                <c:ptCount val="6"/>
                <c:pt idx="0">
                  <c:v>1712.5</c:v>
                </c:pt>
                <c:pt idx="1">
                  <c:v>3912.5</c:v>
                </c:pt>
                <c:pt idx="2">
                  <c:v>6843.75</c:v>
                </c:pt>
                <c:pt idx="3">
                  <c:v>12829.646017699115</c:v>
                </c:pt>
                <c:pt idx="4">
                  <c:v>14025</c:v>
                </c:pt>
                <c:pt idx="5">
                  <c:v>25175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A-4577-86B6-EF87ED28E611}"/>
            </c:ext>
          </c:extLst>
        </c:ser>
        <c:ser>
          <c:idx val="1"/>
          <c:order val="1"/>
          <c:tx>
            <c:strRef>
              <c:f>'Behaviour dimension final'!$C$3</c:f>
              <c:strCache>
                <c:ptCount val="1"/>
                <c:pt idx="0">
                  <c:v>Gemiddelde van Added_total_damage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'Behaviour dimension final'!$A$4:$A$10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'Behaviour dimension final'!$C$4:$C$10</c:f>
              <c:numCache>
                <c:formatCode>General</c:formatCode>
                <c:ptCount val="6"/>
                <c:pt idx="0">
                  <c:v>2800</c:v>
                </c:pt>
                <c:pt idx="1">
                  <c:v>2200</c:v>
                </c:pt>
                <c:pt idx="2">
                  <c:v>1900</c:v>
                </c:pt>
                <c:pt idx="3">
                  <c:v>2265.4867256637167</c:v>
                </c:pt>
                <c:pt idx="4">
                  <c:v>1500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A-4577-86B6-EF87ED28E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2178848"/>
        <c:axId val="602166848"/>
      </c:barChart>
      <c:lineChart>
        <c:grouping val="standard"/>
        <c:varyColors val="0"/>
        <c:ser>
          <c:idx val="2"/>
          <c:order val="2"/>
          <c:tx>
            <c:strRef>
              <c:f>'Behaviour dimension final'!$D$3</c:f>
              <c:strCache>
                <c:ptCount val="1"/>
                <c:pt idx="0">
                  <c:v>Gemiddelde van satisfaction_total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'Behaviour dimension final'!$A$4:$A$10</c:f>
              <c:strCache>
                <c:ptCount val="6"/>
                <c:pt idx="0">
                  <c:v>117</c:v>
                </c:pt>
                <c:pt idx="1">
                  <c:v>118</c:v>
                </c:pt>
                <c:pt idx="2">
                  <c:v>119</c:v>
                </c:pt>
                <c:pt idx="3">
                  <c:v>120</c:v>
                </c:pt>
                <c:pt idx="4">
                  <c:v>121</c:v>
                </c:pt>
                <c:pt idx="5">
                  <c:v>122</c:v>
                </c:pt>
              </c:strCache>
            </c:strRef>
          </c:cat>
          <c:val>
            <c:numRef>
              <c:f>'Behaviour dimension final'!$D$4:$D$10</c:f>
              <c:numCache>
                <c:formatCode>General</c:formatCode>
                <c:ptCount val="6"/>
                <c:pt idx="0">
                  <c:v>2.25</c:v>
                </c:pt>
                <c:pt idx="1">
                  <c:v>2.7250000000000001</c:v>
                </c:pt>
                <c:pt idx="2">
                  <c:v>3.4</c:v>
                </c:pt>
                <c:pt idx="3">
                  <c:v>4.2566371681415927</c:v>
                </c:pt>
                <c:pt idx="4">
                  <c:v>4.375</c:v>
                </c:pt>
                <c:pt idx="5">
                  <c:v>6.65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4A-4577-86B6-EF87ED28E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096495"/>
        <c:axId val="281096015"/>
      </c:lineChart>
      <c:catAx>
        <c:axId val="6021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Welfare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02166848"/>
        <c:crosses val="autoZero"/>
        <c:auto val="1"/>
        <c:lblAlgn val="ctr"/>
        <c:lblOffset val="100"/>
        <c:noMultiLvlLbl val="0"/>
      </c:catAx>
      <c:valAx>
        <c:axId val="6021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02178848"/>
        <c:crosses val="autoZero"/>
        <c:crossBetween val="between"/>
      </c:valAx>
      <c:valAx>
        <c:axId val="2810960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Satisfaction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81096495"/>
        <c:crosses val="max"/>
        <c:crossBetween val="between"/>
      </c:valAx>
      <c:catAx>
        <c:axId val="281096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10960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l-N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plot</a:t>
          </a:r>
        </a:p>
      </cx:txPr>
    </cx:title>
    <cx:plotArea>
      <cx:plotAreaRegion>
        <cx:series layoutId="boxWhisker" uniqueId="{AF7C7493-5486-4F50-854C-ED0D881C4564}" formatIdx="0">
          <cx:tx>
            <cx:txData>
              <cx:f>_xlchart.v1.0</cx:f>
              <cx:v>cost_house_measures_bought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Welfare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nl-N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Welfare type</a:t>
              </a:r>
            </a:p>
          </cx:txPr>
        </cx:title>
        <cx:tickLabels/>
      </cx:axis>
      <cx:axis id="1">
        <cx:valScaling max="80000"/>
        <cx:title>
          <cx:tx>
            <cx:txData>
              <cx:v>Cost house measures bought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nl-N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rPr>
                <a:t>Cost house measures bought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_xlchart.v1.3</cx:f>
      </cx:numDim>
    </cx:data>
  </cx:chartData>
  <cx:chart>
    <cx:plotArea>
      <cx:plotAreaRegion>
        <cx:series layoutId="boxWhisker" uniqueId="{00000000-7479-4217-8016-11B0C554636F}">
          <cx:tx>
            <cx:txData>
              <cx:f/>
              <cx:v>cost_house_measures_bought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Welfare type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nl-N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Welfare type</a:t>
              </a:r>
            </a:p>
          </cx:txPr>
        </cx:title>
        <cx:tickLabels/>
      </cx:axis>
      <cx:axis id="1">
        <cx:valScaling/>
        <cx:title>
          <cx:tx>
            <cx:txData>
              <cx:v>Cost of measures bought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nl-NL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Cost of measures bought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336175</xdr:colOff>
      <xdr:row>282</xdr:row>
      <xdr:rowOff>62753</xdr:rowOff>
    </xdr:from>
    <xdr:to>
      <xdr:col>33</xdr:col>
      <xdr:colOff>322728</xdr:colOff>
      <xdr:row>303</xdr:row>
      <xdr:rowOff>80682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ek 3">
              <a:extLst>
                <a:ext uri="{FF2B5EF4-FFF2-40B4-BE49-F238E27FC236}">
                  <a16:creationId xmlns:a16="http://schemas.microsoft.com/office/drawing/2014/main" id="{F2B9E491-CA5A-E7A5-90B9-311F234964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09095" y="51634913"/>
              <a:ext cx="6692153" cy="38584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266701</xdr:colOff>
      <xdr:row>6</xdr:row>
      <xdr:rowOff>83820</xdr:rowOff>
    </xdr:from>
    <xdr:to>
      <xdr:col>15</xdr:col>
      <xdr:colOff>99061</xdr:colOff>
      <xdr:row>25</xdr:row>
      <xdr:rowOff>181882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ek 2">
              <a:extLst>
                <a:ext uri="{FF2B5EF4-FFF2-40B4-BE49-F238E27FC236}">
                  <a16:creationId xmlns:a16="http://schemas.microsoft.com/office/drawing/2014/main" id="{3D32A4DC-6DF0-478E-91E9-75D730F125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1" y="1181100"/>
              <a:ext cx="7147560" cy="35727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Deze grafiek is niet beschikbaar in uw versie van Excel.
Als u deze vorm bewerkt of deze werkmap opslaat in een andere bestandsindeling, wordt de grafiek onherstelbaar beschadigd.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1980269</xdr:colOff>
      <xdr:row>11</xdr:row>
      <xdr:rowOff>156602</xdr:rowOff>
    </xdr:from>
    <xdr:to>
      <xdr:col>12</xdr:col>
      <xdr:colOff>266142</xdr:colOff>
      <xdr:row>29</xdr:row>
      <xdr:rowOff>102534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E798CB87-86FD-C493-F214-0927798ED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2654300</xdr:colOff>
      <xdr:row>12</xdr:row>
      <xdr:rowOff>67734</xdr:rowOff>
    </xdr:from>
    <xdr:to>
      <xdr:col>3</xdr:col>
      <xdr:colOff>2950633</xdr:colOff>
      <xdr:row>34</xdr:row>
      <xdr:rowOff>169333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AD044F5-FE64-A474-8201-370E4F444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</xdr:colOff>
      <xdr:row>11</xdr:row>
      <xdr:rowOff>99060</xdr:rowOff>
    </xdr:from>
    <xdr:to>
      <xdr:col>12</xdr:col>
      <xdr:colOff>236220</xdr:colOff>
      <xdr:row>28</xdr:row>
      <xdr:rowOff>45720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373367A3-A08F-6CAF-C9D9-8FB73B93B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1066800</xdr:colOff>
      <xdr:row>12</xdr:row>
      <xdr:rowOff>15240</xdr:rowOff>
    </xdr:from>
    <xdr:to>
      <xdr:col>9</xdr:col>
      <xdr:colOff>1554480</xdr:colOff>
      <xdr:row>32</xdr:row>
      <xdr:rowOff>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6C65FC-ACB1-6379-79DF-A7F7DC23C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1485900</xdr:colOff>
      <xdr:row>13</xdr:row>
      <xdr:rowOff>102870</xdr:rowOff>
    </xdr:from>
    <xdr:to>
      <xdr:col>5</xdr:col>
      <xdr:colOff>533400</xdr:colOff>
      <xdr:row>28</xdr:row>
      <xdr:rowOff>102870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A59AC66D-B20B-E5BB-1EA8-1EAE73CB5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1150620</xdr:colOff>
      <xdr:row>13</xdr:row>
      <xdr:rowOff>57150</xdr:rowOff>
    </xdr:from>
    <xdr:to>
      <xdr:col>4</xdr:col>
      <xdr:colOff>1836420</xdr:colOff>
      <xdr:row>36</xdr:row>
      <xdr:rowOff>76200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E51C9442-840A-7DD5-4573-0295DD85E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1.722782986108" createdVersion="8" refreshedVersion="8" minRefreshableVersion="3" recordCount="313" xr:uid="{44D62A8D-BEF8-4255-86B9-82ED31EB2EF2}">
  <cacheSource type="worksheet">
    <worksheetSource ref="BA1:BE314" sheet="playerround"/>
  </cacheSource>
  <cacheFields count="4">
    <cacheField name="Added_player_welfaretype" numFmtId="0">
      <sharedItems containsSemiMixedTypes="0" containsString="0" containsNumber="1" containsInteger="1" minValue="117" maxValue="122" count="6">
        <n v="118"/>
        <n v="120"/>
        <n v="117"/>
        <n v="119"/>
        <n v="121"/>
        <n v="122"/>
      </sharedItems>
    </cacheField>
    <cacheField name="Added_delta_satisfaction" numFmtId="0">
      <sharedItems containsMixedTypes="1" containsNumber="1" containsInteger="1" minValue="-13" maxValue="4" count="15">
        <s v=""/>
        <n v="0"/>
        <n v="-1"/>
        <n v="1"/>
        <n v="-2"/>
        <n v="2"/>
        <n v="3"/>
        <n v="4"/>
        <n v="-3"/>
        <n v="-4"/>
        <n v="-5"/>
        <n v="-6"/>
        <n v="-8"/>
        <n v="-13"/>
        <n v="-7"/>
      </sharedItems>
    </cacheField>
    <cacheField name="Added_total_damage" numFmtId="0">
      <sharedItems containsSemiMixedTypes="0" containsString="0" containsNumber="1" containsInteger="1" minValue="0" maxValue="20000"/>
    </cacheField>
    <cacheField name="cost_house_measures_bought" numFmtId="0">
      <sharedItems containsSemiMixedTypes="0" containsString="0" containsNumber="1" containsInteger="1" minValue="0" maxValue="1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Anne Sophia Huitema" refreshedDate="45986.678704976854" backgroundQuery="1" createdVersion="8" refreshedVersion="8" minRefreshableVersion="3" recordCount="0" supportSubquery="1" supportAdvancedDrill="1" xr:uid="{94F6C1C1-9137-41F0-B95B-A555091371CD}">
  <cacheSource type="external" connectionId="1"/>
  <cacheFields count="3">
    <cacheField name="[Bereik].[Added_pluvial_fluvial_base_protection].[Added_pluvial_fluvial_base_protection]" caption="Added_pluvial_fluvial_base_protection" numFmtId="0" level="1">
      <sharedItems containsSemiMixedTypes="0" containsString="0" containsNumber="1" containsInteger="1" minValue="15" maxValue="18" count="3">
        <n v="15"/>
        <n v="16"/>
        <n v="18"/>
      </sharedItems>
      <extLst>
        <ext xmlns:x15="http://schemas.microsoft.com/office/spreadsheetml/2010/11/main" uri="{4F2E5C28-24EA-4eb8-9CBF-B6C8F9C3D259}">
          <x15:cachedUniqueNames>
            <x15:cachedUniqueName index="0" name="[Bereik].[Added_pluvial_fluvial_base_protection].&amp;[15]"/>
            <x15:cachedUniqueName index="1" name="[Bereik].[Added_pluvial_fluvial_base_protection].&amp;[16]"/>
            <x15:cachedUniqueName index="2" name="[Bereik].[Added_pluvial_fluvial_base_protection].&amp;[18]"/>
          </x15:cachedUniqueNames>
        </ext>
      </extLst>
    </cacheField>
    <cacheField name="[Measures].[Som van Added_pluvial_fluvial_house_delta]" caption="Som van Added_pluvial_fluvial_house_delta" numFmtId="0" hierarchy="6" level="32767"/>
    <cacheField name="[Bereik].[Added_player_welfaretype].[Added_player_welfaretype]" caption="Added_player_welfaretype" numFmtId="0" hierarchy="2" level="1">
      <sharedItems containsSemiMixedTypes="0" containsString="0" containsNumber="1" containsInteger="1" minValue="117" maxValue="122" count="6">
        <n v="117"/>
        <n v="118"/>
        <n v="119"/>
        <n v="120"/>
        <n v="121"/>
        <n v="122"/>
      </sharedItems>
      <extLst>
        <ext xmlns:x15="http://schemas.microsoft.com/office/spreadsheetml/2010/11/main" uri="{4F2E5C28-24EA-4eb8-9CBF-B6C8F9C3D259}">
          <x15:cachedUniqueNames>
            <x15:cachedUniqueName index="0" name="[Bereik].[Added_player_welfaretype].&amp;[117]"/>
            <x15:cachedUniqueName index="1" name="[Bereik].[Added_player_welfaretype].&amp;[118]"/>
            <x15:cachedUniqueName index="2" name="[Bereik].[Added_player_welfaretype].&amp;[119]"/>
            <x15:cachedUniqueName index="3" name="[Bereik].[Added_player_welfaretype].&amp;[120]"/>
            <x15:cachedUniqueName index="4" name="[Bereik].[Added_player_welfaretype].&amp;[121]"/>
            <x15:cachedUniqueName index="5" name="[Bereik].[Added_player_welfaretype].&amp;[122]"/>
          </x15:cachedUniqueNames>
        </ext>
      </extLst>
    </cacheField>
  </cacheFields>
  <cacheHierarchies count="8">
    <cacheHierarchy uniqueName="[Bereik].[Added_pluvial_fluvial_base_protection]" caption="Added_pluvial_fluvial_base_protection" attribute="1" defaultMemberUniqueName="[Bereik].[Added_pluvial_fluvial_base_protection].[All]" allUniqueName="[Bereik].[Added_pluvial_fluvial_base_protection].[All]" dimensionUniqueName="[Bereik]" displayFolder="" count="2" memberValueDatatype="20" unbalanced="0">
      <fieldsUsage count="2">
        <fieldUsage x="-1"/>
        <fieldUsage x="0"/>
      </fieldsUsage>
    </cacheHierarchy>
    <cacheHierarchy uniqueName="[Bereik].[Added_pluvial_fluvial_house_delta]" caption="Added_pluvial_fluvial_house_delta" attribute="1" defaultMemberUniqueName="[Bereik].[Added_pluvial_fluvial_house_delta].[All]" allUniqueName="[Bereik].[Added_pluvial_fluvial_house_delta].[All]" dimensionUniqueName="[Bereik]" displayFolder="" count="0" memberValueDatatype="20" unbalanced="0"/>
    <cacheHierarchy uniqueName="[Bereik].[Added_player_welfaretype]" caption="Added_player_welfaretype" attribute="1" defaultMemberUniqueName="[Bereik].[Added_player_welfaretype].[All]" allUniqueName="[Bereik].[Added_player_welfaretype].[All]" dimensionUniqueName="[Bereik]" displayFolder="" count="2" memberValueDatatype="20" unbalanced="0">
      <fieldsUsage count="2">
        <fieldUsage x="-1"/>
        <fieldUsage x="2"/>
      </fieldsUsage>
    </cacheHierarchy>
    <cacheHierarchy uniqueName="[Measures].[__XL_Count Bereik]" caption="__XL_Count Bereik" measure="1" displayFolder="" measureGroup="Bereik" count="0" hidden="1"/>
    <cacheHierarchy uniqueName="[Measures].[__No measures defined]" caption="__No measures defined" measure="1" displayFolder="" count="0" hidden="1"/>
    <cacheHierarchy uniqueName="[Measures].[Som van Added_pluvial_fluvial_base_protection]" caption="Som van Added_pluvial_fluvial_base_protection" measure="1" displayFolder="" measureGroup="Bereik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 van Added_pluvial_fluvial_house_delta]" caption="Som van Added_pluvial_fluvial_house_delta" measure="1" displayFolder="" measureGroup="Berei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 van Added_player_welfaretype]" caption="Som van Added_player_welfaretype" measure="1" displayFolder="" measureGroup="Bereik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Bereik" uniqueName="[Bereik]" caption="Bereik"/>
    <dimension measure="1" name="Measures" uniqueName="[Measures]" caption="Measures"/>
  </dimensions>
  <measureGroups count="1">
    <measureGroup name="Bereik" caption="Bereik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6.70001226852" createdVersion="8" refreshedVersion="8" minRefreshableVersion="3" recordCount="313" xr:uid="{44F09597-96C2-423A-8F68-84622E0FAF6C}">
  <cacheSource type="worksheet">
    <worksheetSource ref="AZ1:BB314" sheet="playerround"/>
  </cacheSource>
  <cacheFields count="3">
    <cacheField name="Added_pluvial_fluvial_house_delta" numFmtId="0">
      <sharedItems containsSemiMixedTypes="0" containsString="0" containsNumber="1" containsInteger="1" minValue="0" maxValue="8"/>
    </cacheField>
    <cacheField name="Added_player_welfaretype" numFmtId="0">
      <sharedItems containsSemiMixedTypes="0" containsString="0" containsNumber="1" containsInteger="1" minValue="117" maxValue="122" count="6">
        <n v="118"/>
        <n v="120"/>
        <n v="117"/>
        <n v="119"/>
        <n v="121"/>
        <n v="122"/>
      </sharedItems>
    </cacheField>
    <cacheField name="Added_living_area" numFmtId="0">
      <sharedItems count="4">
        <s v=""/>
        <s v="(Natu-city)"/>
        <s v="(Dike-town)"/>
        <s v="(U-village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e Sophia Huitema" refreshedDate="45987.807339120372" createdVersion="8" refreshedVersion="8" minRefreshableVersion="3" recordCount="313" xr:uid="{FC27BC44-689C-4146-97D7-3EB46FCCDAF2}">
  <cacheSource type="worksheet">
    <worksheetSource ref="A1:BF314" sheet="playerround"/>
  </cacheSource>
  <cacheFields count="58">
    <cacheField name="playerround_id" numFmtId="0">
      <sharedItems containsSemiMixedTypes="0" containsString="0" containsNumber="1" containsInteger="1" minValue="586" maxValue="898"/>
    </cacheField>
    <cacheField name="create_time" numFmtId="164">
      <sharedItems containsSemiMixedTypes="0" containsNonDate="0" containsDate="1" containsString="0" minDate="2024-09-24T10:22:37" maxDate="2024-09-24T14:30:29"/>
    </cacheField>
    <cacheField name="round_income" numFmtId="0">
      <sharedItems containsSemiMixedTypes="0" containsString="0" containsNumber="1" containsInteger="1" minValue="50000" maxValue="180000"/>
    </cacheField>
    <cacheField name="living_costs" numFmtId="0">
      <sharedItems containsSemiMixedTypes="0" containsString="0" containsNumber="1" containsInteger="1" minValue="20000" maxValue="105000"/>
    </cacheField>
    <cacheField name="paid_debt" numFmtId="0">
      <sharedItems containsSemiMixedTypes="0" containsString="0" containsNumber="1" containsInteger="1" minValue="0" maxValue="50000"/>
    </cacheField>
    <cacheField name="mortgage_payment" numFmtId="0">
      <sharedItems containsSemiMixedTypes="0" containsString="0" containsNumber="1" containsInteger="1" minValue="0" maxValue="30000"/>
    </cacheField>
    <cacheField name="profit_sold_house" numFmtId="0">
      <sharedItems containsSemiMixedTypes="0" containsString="0" containsNumber="1" containsInteger="1" minValue="0" maxValue="86000"/>
    </cacheField>
    <cacheField name="spent_savings_for_buying_house" numFmtId="0">
      <sharedItems containsSemiMixedTypes="0" containsString="0" containsNumber="1" containsInteger="1" minValue="0" maxValue="125000"/>
    </cacheField>
    <cacheField name="cost_taxes" numFmtId="0">
      <sharedItems containsSemiMixedTypes="0" containsString="0" containsNumber="1" containsInteger="1" minValue="0" maxValue="30000"/>
    </cacheField>
    <cacheField name="cost_house_measures_bought" numFmtId="0">
      <sharedItems containsSemiMixedTypes="0" containsString="0" containsNumber="1" containsInteger="1" minValue="0" maxValue="115000"/>
    </cacheField>
    <cacheField name="cost_personal_measures_bought" numFmtId="0">
      <sharedItems containsSemiMixedTypes="0" containsString="0" containsNumber="1" containsInteger="1" minValue="0" maxValue="0"/>
    </cacheField>
    <cacheField name="cost_fluvial_damage" numFmtId="0">
      <sharedItems containsSemiMixedTypes="0" containsString="0" containsNumber="1" containsInteger="1" minValue="0" maxValue="16000"/>
    </cacheField>
    <cacheField name="cost_pluvial_damage" numFmtId="0">
      <sharedItems containsSemiMixedTypes="0" containsString="0" containsNumber="1" containsInteger="1" minValue="0" maxValue="4000"/>
    </cacheField>
    <cacheField name="spendable_income" numFmtId="0">
      <sharedItems containsSemiMixedTypes="0" containsString="0" containsNumber="1" containsInteger="1" minValue="-93000" maxValue="323000"/>
    </cacheField>
    <cacheField name="satisfaction_move_penalty" numFmtId="0">
      <sharedItems containsSemiMixedTypes="0" containsString="0" containsNumber="1" containsInteger="1" minValue="0" maxValue="3"/>
    </cacheField>
    <cacheField name="satisfaction_house_rating_delta" numFmtId="0">
      <sharedItems containsSemiMixedTypes="0" containsString="0" containsNumber="1" containsInteger="1" minValue="-5" maxValue="1"/>
    </cacheField>
    <cacheField name="satisfaction_house_measures" numFmtId="0">
      <sharedItems containsSemiMixedTypes="0" containsString="0" containsNumber="1" containsInteger="1" minValue="0" maxValue="3"/>
    </cacheField>
    <cacheField name="satisfaction_personal_measures" numFmtId="0">
      <sharedItems containsSemiMixedTypes="0" containsString="0" containsNumber="1" containsInteger="1" minValue="0" maxValue="4"/>
    </cacheField>
    <cacheField name="satisfaction_fluvial_penalty" numFmtId="0">
      <sharedItems containsSemiMixedTypes="0" containsString="0" containsNumber="1" containsInteger="1" minValue="0" maxValue="5"/>
    </cacheField>
    <cacheField name="satisfaction_pluvial_penalty" numFmtId="0">
      <sharedItems containsSemiMixedTypes="0" containsString="0" containsNumber="1" containsInteger="1" minValue="0" maxValue="1"/>
    </cacheField>
    <cacheField name="satisfaction_debt_penalty" numFmtId="0">
      <sharedItems containsSemiMixedTypes="0" containsString="0" containsNumber="1" containsInteger="1" minValue="0" maxValue="1"/>
    </cacheField>
    <cacheField name="satisfaction_total" numFmtId="0">
      <sharedItems containsSemiMixedTypes="0" containsString="0" containsNumber="1" containsInteger="1" minValue="-18" maxValue="11"/>
    </cacheField>
    <cacheField name="preferred_house_rating" numFmtId="0">
      <sharedItems containsSemiMixedTypes="0" containsString="0" containsNumber="1" containsInteger="1" minValue="3" maxValue="8"/>
    </cacheField>
    <cacheField name="maximum_mortgage" numFmtId="0">
      <sharedItems containsSemiMixedTypes="0" containsString="0" containsNumber="1" containsInteger="1" minValue="80000" maxValue="300000"/>
    </cacheField>
    <cacheField name="mortgage_house_start" numFmtId="0">
      <sharedItems containsSemiMixedTypes="0" containsString="0" containsNumber="1" containsInteger="1" minValue="0" maxValue="300000"/>
    </cacheField>
    <cacheField name="mortgage_left_start" numFmtId="0">
      <sharedItems containsSemiMixedTypes="0" containsString="0" containsNumber="1" containsInteger="1" minValue="0" maxValue="270000"/>
    </cacheField>
    <cacheField name="house_price_sold" numFmtId="0">
      <sharedItems containsSemiMixedTypes="0" containsString="0" containsNumber="1" containsInteger="1" minValue="0" maxValue="222000"/>
    </cacheField>
    <cacheField name="house_price_bought" numFmtId="0">
      <sharedItems containsSemiMixedTypes="0" containsString="0" containsNumber="1" containsInteger="1" minValue="0" maxValue="425000"/>
    </cacheField>
    <cacheField name="mortgage_house_end" numFmtId="0">
      <sharedItems containsSemiMixedTypes="0" containsString="0" containsNumber="1" containsInteger="1" minValue="0" maxValue="300000"/>
    </cacheField>
    <cacheField name="mortgage_left_end" numFmtId="0">
      <sharedItems containsSemiMixedTypes="0" containsString="0" containsNumber="1" containsInteger="1" minValue="0" maxValue="270000"/>
    </cacheField>
    <cacheField name="movingreason_id" numFmtId="0">
      <sharedItems containsString="0" containsBlank="1" containsNumber="1" containsInteger="1" minValue="26" maxValue="30"/>
    </cacheField>
    <cacheField name="moving_reason_other" numFmtId="0">
      <sharedItems containsBlank="1"/>
    </cacheField>
    <cacheField name="pluvial_base_protection" numFmtId="0">
      <sharedItems containsSemiMixedTypes="0" containsString="0" containsNumber="1" containsInteger="1" minValue="0" maxValue="8"/>
    </cacheField>
    <cacheField name="fluvial_base_protection" numFmtId="0">
      <sharedItems containsSemiMixedTypes="0" containsString="0" containsNumber="1" containsInteger="1" minValue="0" maxValue="10"/>
    </cacheField>
    <cacheField name="pluvial_community_delta" numFmtId="0">
      <sharedItems containsSemiMixedTypes="0" containsString="0" containsNumber="1" containsInteger="1" minValue="-2" maxValue="0"/>
    </cacheField>
    <cacheField name="fluvial_community_delta" numFmtId="0">
      <sharedItems containsSemiMixedTypes="0" containsString="0" containsNumber="1" containsInteger="1" minValue="-1" maxValue="0"/>
    </cacheField>
    <cacheField name="pluvial_house_delta" numFmtId="0">
      <sharedItems containsSemiMixedTypes="0" containsString="0" containsNumber="1" containsInteger="1" minValue="0" maxValue="5"/>
    </cacheField>
    <cacheField name="fluvial_house_delta" numFmtId="0">
      <sharedItems containsSemiMixedTypes="0" containsString="0" containsNumber="1" containsInteger="1" minValue="0" maxValue="3"/>
    </cacheField>
    <cacheField name="player_state" numFmtId="0">
      <sharedItems/>
    </cacheField>
    <cacheField name="player_id" numFmtId="0">
      <sharedItems containsSemiMixedTypes="0" containsString="0" containsNumber="1" containsInteger="1" minValue="516" maxValue="595"/>
    </cacheField>
    <cacheField name="groupround_id" numFmtId="0">
      <sharedItems containsSemiMixedTypes="0" containsString="0" containsNumber="1" containsInteger="1" minValue="170" maxValue="209"/>
    </cacheField>
    <cacheField name="start_housegroup_id" numFmtId="0">
      <sharedItems containsString="0" containsBlank="1" containsNumber="1" containsInteger="1" minValue="770" maxValue="939"/>
    </cacheField>
    <cacheField name="final_housegroup_id" numFmtId="0">
      <sharedItems containsString="0" containsBlank="1" containsNumber="1" containsInteger="1" minValue="770" maxValue="970"/>
    </cacheField>
    <cacheField name="active_transaction_id" numFmtId="0">
      <sharedItems containsNonDate="0" containsString="0" containsBlank="1"/>
    </cacheField>
    <cacheField name="groupround_round_number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group_id" numFmtId="0">
      <sharedItems containsSemiMixedTypes="0" containsString="0" containsNumber="1" containsInteger="1" minValue="72" maxValue="81"/>
    </cacheField>
    <cacheField name="group_name" numFmtId="0">
      <sharedItems/>
    </cacheField>
    <cacheField name="gamesession_id" numFmtId="0">
      <sharedItems containsSemiMixedTypes="0" containsString="0" containsNumber="1" containsInteger="1" minValue="16" maxValue="16"/>
    </cacheField>
    <cacheField name="gamesession_name" numFmtId="0">
      <sharedItems/>
    </cacheField>
    <cacheField name="group_scenario_id" numFmtId="0">
      <sharedItems containsSemiMixedTypes="0" containsString="0" containsNumber="1" containsInteger="1" minValue="21" maxValue="21"/>
    </cacheField>
    <cacheField name="Added_pluvial_fluvial_base_protection" numFmtId="0">
      <sharedItems containsSemiMixedTypes="0" containsString="0" containsNumber="1" containsInteger="1" minValue="0" maxValue="18"/>
    </cacheField>
    <cacheField name="Added_pluvial_fluvial_house_delta" numFmtId="0">
      <sharedItems containsSemiMixedTypes="0" containsString="0" containsNumber="1" containsInteger="1" minValue="0" maxValue="8"/>
    </cacheField>
    <cacheField name="Added_player_welfaretype" numFmtId="0">
      <sharedItems containsSemiMixedTypes="0" containsString="0" containsNumber="1" containsInteger="1" minValue="117" maxValue="122" count="6">
        <n v="118"/>
        <n v="120"/>
        <n v="117"/>
        <n v="119"/>
        <n v="121"/>
        <n v="122"/>
      </sharedItems>
    </cacheField>
    <cacheField name="Added_living_area" numFmtId="0">
      <sharedItems/>
    </cacheField>
    <cacheField name="Added_delta_satisfaction" numFmtId="0">
      <sharedItems containsMixedTypes="1" containsNumber="1" containsInteger="1" minValue="-13" maxValue="4"/>
    </cacheField>
    <cacheField name="Added_total_damage" numFmtId="0">
      <sharedItems containsSemiMixedTypes="0" containsString="0" containsNumber="1" containsInteger="1" minValue="0" maxValue="20000"/>
    </cacheField>
    <cacheField name="cost_house_measures_bought2" numFmtId="0">
      <sharedItems containsSemiMixedTypes="0" containsString="0" containsNumber="1" containsInteger="1" minValue="0" maxValue="115000"/>
    </cacheField>
    <cacheField name="Added_living_area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x v="0"/>
    <x v="0"/>
    <n v="0"/>
    <n v="0"/>
  </r>
  <r>
    <x v="0"/>
    <x v="1"/>
    <n v="0"/>
    <n v="12000"/>
  </r>
  <r>
    <x v="0"/>
    <x v="1"/>
    <n v="0"/>
    <n v="0"/>
  </r>
  <r>
    <x v="0"/>
    <x v="2"/>
    <n v="0"/>
    <n v="0"/>
  </r>
  <r>
    <x v="1"/>
    <x v="0"/>
    <n v="0"/>
    <n v="0"/>
  </r>
  <r>
    <x v="1"/>
    <x v="3"/>
    <n v="0"/>
    <n v="32000"/>
  </r>
  <r>
    <x v="1"/>
    <x v="1"/>
    <n v="0"/>
    <n v="18000"/>
  </r>
  <r>
    <x v="1"/>
    <x v="3"/>
    <n v="4000"/>
    <n v="16000"/>
  </r>
  <r>
    <x v="2"/>
    <x v="0"/>
    <n v="0"/>
    <n v="0"/>
  </r>
  <r>
    <x v="2"/>
    <x v="4"/>
    <n v="0"/>
    <n v="3000"/>
  </r>
  <r>
    <x v="2"/>
    <x v="1"/>
    <n v="0"/>
    <n v="0"/>
  </r>
  <r>
    <x v="2"/>
    <x v="2"/>
    <n v="0"/>
    <n v="0"/>
  </r>
  <r>
    <x v="3"/>
    <x v="0"/>
    <n v="0"/>
    <n v="0"/>
  </r>
  <r>
    <x v="3"/>
    <x v="2"/>
    <n v="0"/>
    <n v="15000"/>
  </r>
  <r>
    <x v="3"/>
    <x v="3"/>
    <n v="0"/>
    <n v="6250"/>
  </r>
  <r>
    <x v="3"/>
    <x v="3"/>
    <n v="0"/>
    <n v="23500"/>
  </r>
  <r>
    <x v="4"/>
    <x v="0"/>
    <n v="0"/>
    <n v="0"/>
  </r>
  <r>
    <x v="4"/>
    <x v="5"/>
    <n v="0"/>
    <n v="58000"/>
  </r>
  <r>
    <x v="4"/>
    <x v="3"/>
    <n v="0"/>
    <n v="12000"/>
  </r>
  <r>
    <x v="4"/>
    <x v="5"/>
    <n v="0"/>
    <n v="22000"/>
  </r>
  <r>
    <x v="5"/>
    <x v="0"/>
    <n v="0"/>
    <n v="0"/>
  </r>
  <r>
    <x v="5"/>
    <x v="3"/>
    <n v="0"/>
    <n v="0"/>
  </r>
  <r>
    <x v="5"/>
    <x v="1"/>
    <n v="0"/>
    <n v="15000"/>
  </r>
  <r>
    <x v="5"/>
    <x v="1"/>
    <n v="0"/>
    <n v="12000"/>
  </r>
  <r>
    <x v="1"/>
    <x v="0"/>
    <n v="0"/>
    <n v="0"/>
  </r>
  <r>
    <x v="1"/>
    <x v="1"/>
    <n v="0"/>
    <n v="14000"/>
  </r>
  <r>
    <x v="1"/>
    <x v="6"/>
    <n v="0"/>
    <n v="28000"/>
  </r>
  <r>
    <x v="1"/>
    <x v="2"/>
    <n v="4000"/>
    <n v="3000"/>
  </r>
  <r>
    <x v="0"/>
    <x v="0"/>
    <n v="0"/>
    <n v="0"/>
  </r>
  <r>
    <x v="0"/>
    <x v="2"/>
    <n v="4000"/>
    <n v="0"/>
  </r>
  <r>
    <x v="0"/>
    <x v="2"/>
    <n v="4000"/>
    <n v="24000"/>
  </r>
  <r>
    <x v="0"/>
    <x v="1"/>
    <n v="0"/>
    <n v="3000"/>
  </r>
  <r>
    <x v="1"/>
    <x v="0"/>
    <n v="0"/>
    <n v="0"/>
  </r>
  <r>
    <x v="1"/>
    <x v="4"/>
    <n v="0"/>
    <n v="12000"/>
  </r>
  <r>
    <x v="1"/>
    <x v="1"/>
    <n v="4000"/>
    <n v="20000"/>
  </r>
  <r>
    <x v="1"/>
    <x v="7"/>
    <n v="0"/>
    <n v="56000"/>
  </r>
  <r>
    <x v="2"/>
    <x v="0"/>
    <n v="0"/>
    <n v="0"/>
  </r>
  <r>
    <x v="2"/>
    <x v="4"/>
    <n v="4000"/>
    <n v="3000"/>
  </r>
  <r>
    <x v="2"/>
    <x v="1"/>
    <n v="4000"/>
    <n v="4000"/>
  </r>
  <r>
    <x v="2"/>
    <x v="2"/>
    <n v="0"/>
    <n v="0"/>
  </r>
  <r>
    <x v="3"/>
    <x v="0"/>
    <n v="0"/>
    <n v="0"/>
  </r>
  <r>
    <x v="3"/>
    <x v="2"/>
    <n v="4000"/>
    <n v="0"/>
  </r>
  <r>
    <x v="3"/>
    <x v="4"/>
    <n v="4000"/>
    <n v="0"/>
  </r>
  <r>
    <x v="3"/>
    <x v="6"/>
    <n v="0"/>
    <n v="63250"/>
  </r>
  <r>
    <x v="4"/>
    <x v="0"/>
    <n v="0"/>
    <n v="0"/>
  </r>
  <r>
    <x v="4"/>
    <x v="2"/>
    <n v="4000"/>
    <n v="28000"/>
  </r>
  <r>
    <x v="4"/>
    <x v="4"/>
    <n v="4000"/>
    <n v="20000"/>
  </r>
  <r>
    <x v="4"/>
    <x v="5"/>
    <n v="0"/>
    <n v="32000"/>
  </r>
  <r>
    <x v="5"/>
    <x v="0"/>
    <n v="0"/>
    <n v="0"/>
  </r>
  <r>
    <x v="5"/>
    <x v="1"/>
    <n v="0"/>
    <n v="40000"/>
  </r>
  <r>
    <x v="5"/>
    <x v="6"/>
    <n v="4000"/>
    <n v="68000"/>
  </r>
  <r>
    <x v="5"/>
    <x v="3"/>
    <n v="0"/>
    <n v="33000"/>
  </r>
  <r>
    <x v="1"/>
    <x v="0"/>
    <n v="0"/>
    <n v="0"/>
  </r>
  <r>
    <x v="1"/>
    <x v="1"/>
    <n v="0"/>
    <n v="6000"/>
  </r>
  <r>
    <x v="1"/>
    <x v="2"/>
    <n v="4000"/>
    <n v="15000"/>
  </r>
  <r>
    <x v="1"/>
    <x v="3"/>
    <n v="0"/>
    <n v="12000"/>
  </r>
  <r>
    <x v="1"/>
    <x v="0"/>
    <n v="0"/>
    <n v="0"/>
  </r>
  <r>
    <x v="0"/>
    <x v="0"/>
    <n v="0"/>
    <n v="0"/>
  </r>
  <r>
    <x v="0"/>
    <x v="1"/>
    <n v="0"/>
    <n v="8000"/>
  </r>
  <r>
    <x v="0"/>
    <x v="1"/>
    <n v="0"/>
    <n v="0"/>
  </r>
  <r>
    <x v="0"/>
    <x v="3"/>
    <n v="0"/>
    <n v="12000"/>
  </r>
  <r>
    <x v="1"/>
    <x v="0"/>
    <n v="0"/>
    <n v="0"/>
  </r>
  <r>
    <x v="1"/>
    <x v="1"/>
    <n v="0"/>
    <n v="0"/>
  </r>
  <r>
    <x v="1"/>
    <x v="1"/>
    <n v="0"/>
    <n v="6000"/>
  </r>
  <r>
    <x v="1"/>
    <x v="3"/>
    <n v="0"/>
    <n v="20000"/>
  </r>
  <r>
    <x v="2"/>
    <x v="0"/>
    <n v="0"/>
    <n v="0"/>
  </r>
  <r>
    <x v="2"/>
    <x v="2"/>
    <n v="0"/>
    <n v="6000"/>
  </r>
  <r>
    <x v="2"/>
    <x v="8"/>
    <n v="8000"/>
    <n v="7000"/>
  </r>
  <r>
    <x v="2"/>
    <x v="2"/>
    <n v="0"/>
    <n v="3000"/>
  </r>
  <r>
    <x v="3"/>
    <x v="0"/>
    <n v="0"/>
    <n v="0"/>
  </r>
  <r>
    <x v="3"/>
    <x v="2"/>
    <n v="0"/>
    <n v="12000"/>
  </r>
  <r>
    <x v="3"/>
    <x v="8"/>
    <n v="8000"/>
    <n v="12500"/>
  </r>
  <r>
    <x v="3"/>
    <x v="3"/>
    <n v="0"/>
    <n v="12000"/>
  </r>
  <r>
    <x v="4"/>
    <x v="0"/>
    <n v="0"/>
    <n v="0"/>
  </r>
  <r>
    <x v="4"/>
    <x v="9"/>
    <n v="0"/>
    <n v="20000"/>
  </r>
  <r>
    <x v="4"/>
    <x v="6"/>
    <n v="0"/>
    <n v="28000"/>
  </r>
  <r>
    <x v="4"/>
    <x v="10"/>
    <n v="0"/>
    <n v="0"/>
  </r>
  <r>
    <x v="5"/>
    <x v="0"/>
    <n v="0"/>
    <n v="0"/>
  </r>
  <r>
    <x v="5"/>
    <x v="3"/>
    <n v="0"/>
    <n v="26000"/>
  </r>
  <r>
    <x v="5"/>
    <x v="7"/>
    <n v="0"/>
    <n v="74000"/>
  </r>
  <r>
    <x v="5"/>
    <x v="2"/>
    <n v="4000"/>
    <n v="33000"/>
  </r>
  <r>
    <x v="1"/>
    <x v="0"/>
    <n v="0"/>
    <n v="0"/>
  </r>
  <r>
    <x v="1"/>
    <x v="1"/>
    <n v="0"/>
    <n v="15000"/>
  </r>
  <r>
    <x v="1"/>
    <x v="2"/>
    <n v="4000"/>
    <n v="20000"/>
  </r>
  <r>
    <x v="1"/>
    <x v="1"/>
    <n v="0"/>
    <n v="12000"/>
  </r>
  <r>
    <x v="1"/>
    <x v="0"/>
    <n v="0"/>
    <n v="0"/>
  </r>
  <r>
    <x v="1"/>
    <x v="3"/>
    <n v="0"/>
    <n v="22000"/>
  </r>
  <r>
    <x v="1"/>
    <x v="1"/>
    <n v="0"/>
    <n v="12000"/>
  </r>
  <r>
    <x v="1"/>
    <x v="1"/>
    <n v="4000"/>
    <n v="28000"/>
  </r>
  <r>
    <x v="0"/>
    <x v="0"/>
    <n v="0"/>
    <n v="0"/>
  </r>
  <r>
    <x v="0"/>
    <x v="2"/>
    <n v="0"/>
    <n v="0"/>
  </r>
  <r>
    <x v="0"/>
    <x v="2"/>
    <n v="0"/>
    <n v="0"/>
  </r>
  <r>
    <x v="0"/>
    <x v="1"/>
    <n v="0"/>
    <n v="0"/>
  </r>
  <r>
    <x v="1"/>
    <x v="0"/>
    <n v="0"/>
    <n v="0"/>
  </r>
  <r>
    <x v="1"/>
    <x v="1"/>
    <n v="0"/>
    <n v="12000"/>
  </r>
  <r>
    <x v="1"/>
    <x v="3"/>
    <n v="0"/>
    <n v="32000"/>
  </r>
  <r>
    <x v="1"/>
    <x v="1"/>
    <n v="0"/>
    <n v="0"/>
  </r>
  <r>
    <x v="2"/>
    <x v="0"/>
    <n v="0"/>
    <n v="0"/>
  </r>
  <r>
    <x v="2"/>
    <x v="2"/>
    <n v="0"/>
    <n v="3000"/>
  </r>
  <r>
    <x v="2"/>
    <x v="1"/>
    <n v="0"/>
    <n v="0"/>
  </r>
  <r>
    <x v="2"/>
    <x v="3"/>
    <n v="0"/>
    <n v="5000"/>
  </r>
  <r>
    <x v="3"/>
    <x v="0"/>
    <n v="0"/>
    <n v="0"/>
  </r>
  <r>
    <x v="3"/>
    <x v="1"/>
    <n v="0"/>
    <n v="0"/>
  </r>
  <r>
    <x v="3"/>
    <x v="2"/>
    <n v="0"/>
    <n v="6000"/>
  </r>
  <r>
    <x v="3"/>
    <x v="8"/>
    <n v="0"/>
    <n v="0"/>
  </r>
  <r>
    <x v="4"/>
    <x v="0"/>
    <n v="0"/>
    <n v="0"/>
  </r>
  <r>
    <x v="4"/>
    <x v="1"/>
    <n v="0"/>
    <n v="20000"/>
  </r>
  <r>
    <x v="4"/>
    <x v="5"/>
    <n v="0"/>
    <n v="22000"/>
  </r>
  <r>
    <x v="4"/>
    <x v="1"/>
    <n v="0"/>
    <n v="0"/>
  </r>
  <r>
    <x v="5"/>
    <x v="0"/>
    <n v="0"/>
    <n v="0"/>
  </r>
  <r>
    <x v="5"/>
    <x v="7"/>
    <n v="0"/>
    <n v="70000"/>
  </r>
  <r>
    <x v="5"/>
    <x v="5"/>
    <n v="0"/>
    <n v="33000"/>
  </r>
  <r>
    <x v="5"/>
    <x v="1"/>
    <n v="0"/>
    <n v="0"/>
  </r>
  <r>
    <x v="1"/>
    <x v="0"/>
    <n v="0"/>
    <n v="0"/>
  </r>
  <r>
    <x v="1"/>
    <x v="3"/>
    <n v="0"/>
    <n v="32000"/>
  </r>
  <r>
    <x v="1"/>
    <x v="3"/>
    <n v="0"/>
    <n v="20000"/>
  </r>
  <r>
    <x v="1"/>
    <x v="6"/>
    <n v="0"/>
    <n v="24000"/>
  </r>
  <r>
    <x v="1"/>
    <x v="0"/>
    <n v="0"/>
    <n v="0"/>
  </r>
  <r>
    <x v="1"/>
    <x v="1"/>
    <n v="0"/>
    <n v="48000"/>
  </r>
  <r>
    <x v="1"/>
    <x v="3"/>
    <n v="0"/>
    <n v="20000"/>
  </r>
  <r>
    <x v="1"/>
    <x v="5"/>
    <n v="0"/>
    <n v="26000"/>
  </r>
  <r>
    <x v="0"/>
    <x v="0"/>
    <n v="0"/>
    <n v="0"/>
  </r>
  <r>
    <x v="0"/>
    <x v="2"/>
    <n v="0"/>
    <n v="9000"/>
  </r>
  <r>
    <x v="0"/>
    <x v="8"/>
    <n v="8000"/>
    <n v="0"/>
  </r>
  <r>
    <x v="0"/>
    <x v="2"/>
    <n v="0"/>
    <n v="0"/>
  </r>
  <r>
    <x v="1"/>
    <x v="0"/>
    <n v="0"/>
    <n v="0"/>
  </r>
  <r>
    <x v="1"/>
    <x v="1"/>
    <n v="0"/>
    <n v="26000"/>
  </r>
  <r>
    <x v="1"/>
    <x v="4"/>
    <n v="4000"/>
    <n v="15000"/>
  </r>
  <r>
    <x v="1"/>
    <x v="3"/>
    <n v="0"/>
    <n v="20000"/>
  </r>
  <r>
    <x v="2"/>
    <x v="0"/>
    <n v="0"/>
    <n v="0"/>
  </r>
  <r>
    <x v="2"/>
    <x v="1"/>
    <n v="0"/>
    <n v="6500"/>
  </r>
  <r>
    <x v="2"/>
    <x v="11"/>
    <n v="20000"/>
    <n v="0"/>
  </r>
  <r>
    <x v="2"/>
    <x v="2"/>
    <n v="0"/>
    <n v="0"/>
  </r>
  <r>
    <x v="3"/>
    <x v="0"/>
    <n v="0"/>
    <n v="0"/>
  </r>
  <r>
    <x v="3"/>
    <x v="2"/>
    <n v="0"/>
    <n v="0"/>
  </r>
  <r>
    <x v="3"/>
    <x v="8"/>
    <n v="8000"/>
    <n v="15000"/>
  </r>
  <r>
    <x v="3"/>
    <x v="8"/>
    <n v="0"/>
    <n v="12000"/>
  </r>
  <r>
    <x v="4"/>
    <x v="0"/>
    <n v="0"/>
    <n v="0"/>
  </r>
  <r>
    <x v="4"/>
    <x v="1"/>
    <n v="0"/>
    <n v="20000"/>
  </r>
  <r>
    <x v="4"/>
    <x v="8"/>
    <n v="8000"/>
    <n v="0"/>
  </r>
  <r>
    <x v="4"/>
    <x v="2"/>
    <n v="0"/>
    <n v="0"/>
  </r>
  <r>
    <x v="5"/>
    <x v="0"/>
    <n v="0"/>
    <n v="0"/>
  </r>
  <r>
    <x v="5"/>
    <x v="5"/>
    <n v="0"/>
    <n v="32000"/>
  </r>
  <r>
    <x v="5"/>
    <x v="2"/>
    <n v="4000"/>
    <n v="32000"/>
  </r>
  <r>
    <x v="5"/>
    <x v="5"/>
    <n v="0"/>
    <n v="39000"/>
  </r>
  <r>
    <x v="1"/>
    <x v="0"/>
    <n v="0"/>
    <n v="0"/>
  </r>
  <r>
    <x v="1"/>
    <x v="1"/>
    <n v="0"/>
    <n v="0"/>
  </r>
  <r>
    <x v="1"/>
    <x v="9"/>
    <n v="8000"/>
    <n v="0"/>
  </r>
  <r>
    <x v="1"/>
    <x v="2"/>
    <n v="0"/>
    <n v="0"/>
  </r>
  <r>
    <x v="1"/>
    <x v="0"/>
    <n v="0"/>
    <n v="0"/>
  </r>
  <r>
    <x v="1"/>
    <x v="1"/>
    <n v="0"/>
    <n v="0"/>
  </r>
  <r>
    <x v="1"/>
    <x v="9"/>
    <n v="8000"/>
    <n v="15000"/>
  </r>
  <r>
    <x v="1"/>
    <x v="2"/>
    <n v="0"/>
    <n v="6000"/>
  </r>
  <r>
    <x v="0"/>
    <x v="0"/>
    <n v="0"/>
    <n v="0"/>
  </r>
  <r>
    <x v="0"/>
    <x v="8"/>
    <n v="4000"/>
    <n v="12000"/>
  </r>
  <r>
    <x v="0"/>
    <x v="9"/>
    <n v="0"/>
    <n v="6000"/>
  </r>
  <r>
    <x v="0"/>
    <x v="8"/>
    <n v="4000"/>
    <n v="12000"/>
  </r>
  <r>
    <x v="1"/>
    <x v="0"/>
    <n v="0"/>
    <n v="0"/>
  </r>
  <r>
    <x v="1"/>
    <x v="5"/>
    <n v="0"/>
    <n v="46000"/>
  </r>
  <r>
    <x v="1"/>
    <x v="1"/>
    <n v="0"/>
    <n v="12000"/>
  </r>
  <r>
    <x v="1"/>
    <x v="8"/>
    <n v="8000"/>
    <n v="0"/>
  </r>
  <r>
    <x v="2"/>
    <x v="0"/>
    <n v="0"/>
    <n v="0"/>
  </r>
  <r>
    <x v="2"/>
    <x v="4"/>
    <n v="4000"/>
    <n v="6000"/>
  </r>
  <r>
    <x v="2"/>
    <x v="2"/>
    <n v="0"/>
    <n v="0"/>
  </r>
  <r>
    <x v="2"/>
    <x v="9"/>
    <n v="8000"/>
    <n v="0"/>
  </r>
  <r>
    <x v="3"/>
    <x v="0"/>
    <n v="0"/>
    <n v="0"/>
  </r>
  <r>
    <x v="3"/>
    <x v="2"/>
    <n v="4000"/>
    <n v="0"/>
  </r>
  <r>
    <x v="3"/>
    <x v="2"/>
    <n v="0"/>
    <n v="0"/>
  </r>
  <r>
    <x v="3"/>
    <x v="9"/>
    <n v="8000"/>
    <n v="0"/>
  </r>
  <r>
    <x v="4"/>
    <x v="0"/>
    <n v="0"/>
    <n v="0"/>
  </r>
  <r>
    <x v="4"/>
    <x v="2"/>
    <n v="4000"/>
    <n v="40000"/>
  </r>
  <r>
    <x v="4"/>
    <x v="3"/>
    <n v="0"/>
    <n v="30000"/>
  </r>
  <r>
    <x v="4"/>
    <x v="3"/>
    <n v="4000"/>
    <n v="27000"/>
  </r>
  <r>
    <x v="5"/>
    <x v="0"/>
    <n v="0"/>
    <n v="0"/>
  </r>
  <r>
    <x v="5"/>
    <x v="6"/>
    <n v="0"/>
    <n v="64000"/>
  </r>
  <r>
    <x v="5"/>
    <x v="5"/>
    <n v="0"/>
    <n v="39000"/>
  </r>
  <r>
    <x v="5"/>
    <x v="4"/>
    <n v="8000"/>
    <n v="15000"/>
  </r>
  <r>
    <x v="1"/>
    <x v="0"/>
    <n v="0"/>
    <n v="0"/>
  </r>
  <r>
    <x v="1"/>
    <x v="2"/>
    <n v="4000"/>
    <n v="0"/>
  </r>
  <r>
    <x v="1"/>
    <x v="2"/>
    <n v="0"/>
    <n v="0"/>
  </r>
  <r>
    <x v="1"/>
    <x v="9"/>
    <n v="8000"/>
    <n v="0"/>
  </r>
  <r>
    <x v="1"/>
    <x v="0"/>
    <n v="0"/>
    <n v="0"/>
  </r>
  <r>
    <x v="1"/>
    <x v="2"/>
    <n v="4000"/>
    <n v="13000"/>
  </r>
  <r>
    <x v="1"/>
    <x v="4"/>
    <n v="4000"/>
    <n v="51250"/>
  </r>
  <r>
    <x v="1"/>
    <x v="10"/>
    <n v="16000"/>
    <n v="9000"/>
  </r>
  <r>
    <x v="0"/>
    <x v="0"/>
    <n v="0"/>
    <n v="0"/>
  </r>
  <r>
    <x v="0"/>
    <x v="4"/>
    <n v="4000"/>
    <n v="0"/>
  </r>
  <r>
    <x v="0"/>
    <x v="4"/>
    <n v="4000"/>
    <n v="0"/>
  </r>
  <r>
    <x v="0"/>
    <x v="2"/>
    <n v="0"/>
    <n v="0"/>
  </r>
  <r>
    <x v="1"/>
    <x v="0"/>
    <n v="0"/>
    <n v="0"/>
  </r>
  <r>
    <x v="1"/>
    <x v="1"/>
    <n v="4000"/>
    <n v="16000"/>
  </r>
  <r>
    <x v="1"/>
    <x v="1"/>
    <n v="4000"/>
    <n v="12000"/>
  </r>
  <r>
    <x v="1"/>
    <x v="1"/>
    <n v="4000"/>
    <n v="20000"/>
  </r>
  <r>
    <x v="2"/>
    <x v="0"/>
    <n v="0"/>
    <n v="0"/>
  </r>
  <r>
    <x v="2"/>
    <x v="2"/>
    <n v="4000"/>
    <n v="7000"/>
  </r>
  <r>
    <x v="2"/>
    <x v="8"/>
    <n v="0"/>
    <n v="12000"/>
  </r>
  <r>
    <x v="2"/>
    <x v="1"/>
    <n v="0"/>
    <n v="0"/>
  </r>
  <r>
    <x v="3"/>
    <x v="0"/>
    <n v="0"/>
    <n v="0"/>
  </r>
  <r>
    <x v="3"/>
    <x v="1"/>
    <n v="4000"/>
    <n v="21250"/>
  </r>
  <r>
    <x v="3"/>
    <x v="2"/>
    <n v="0"/>
    <n v="6000"/>
  </r>
  <r>
    <x v="3"/>
    <x v="4"/>
    <n v="4000"/>
    <n v="0"/>
  </r>
  <r>
    <x v="4"/>
    <x v="0"/>
    <n v="0"/>
    <n v="0"/>
  </r>
  <r>
    <x v="4"/>
    <x v="4"/>
    <n v="4000"/>
    <n v="3000"/>
  </r>
  <r>
    <x v="4"/>
    <x v="2"/>
    <n v="0"/>
    <n v="6000"/>
  </r>
  <r>
    <x v="4"/>
    <x v="3"/>
    <n v="0"/>
    <n v="10000"/>
  </r>
  <r>
    <x v="5"/>
    <x v="0"/>
    <n v="0"/>
    <n v="0"/>
  </r>
  <r>
    <x v="5"/>
    <x v="5"/>
    <n v="4000"/>
    <n v="47000"/>
  </r>
  <r>
    <x v="5"/>
    <x v="4"/>
    <n v="4000"/>
    <n v="21000"/>
  </r>
  <r>
    <x v="5"/>
    <x v="3"/>
    <n v="4000"/>
    <n v="30000"/>
  </r>
  <r>
    <x v="1"/>
    <x v="0"/>
    <n v="0"/>
    <n v="0"/>
  </r>
  <r>
    <x v="1"/>
    <x v="2"/>
    <n v="4000"/>
    <n v="12000"/>
  </r>
  <r>
    <x v="1"/>
    <x v="2"/>
    <n v="4000"/>
    <n v="13000"/>
  </r>
  <r>
    <x v="1"/>
    <x v="2"/>
    <n v="0"/>
    <n v="0"/>
  </r>
  <r>
    <x v="1"/>
    <x v="0"/>
    <n v="0"/>
    <n v="0"/>
  </r>
  <r>
    <x v="1"/>
    <x v="3"/>
    <n v="4000"/>
    <n v="28000"/>
  </r>
  <r>
    <x v="1"/>
    <x v="4"/>
    <n v="4000"/>
    <n v="9000"/>
  </r>
  <r>
    <x v="1"/>
    <x v="2"/>
    <n v="4000"/>
    <n v="0"/>
  </r>
  <r>
    <x v="0"/>
    <x v="0"/>
    <n v="0"/>
    <n v="0"/>
  </r>
  <r>
    <x v="0"/>
    <x v="2"/>
    <n v="0"/>
    <n v="3500"/>
  </r>
  <r>
    <x v="0"/>
    <x v="4"/>
    <n v="4000"/>
    <n v="12000"/>
  </r>
  <r>
    <x v="0"/>
    <x v="8"/>
    <n v="16000"/>
    <n v="14000"/>
  </r>
  <r>
    <x v="1"/>
    <x v="0"/>
    <n v="0"/>
    <n v="0"/>
  </r>
  <r>
    <x v="1"/>
    <x v="1"/>
    <n v="0"/>
    <n v="0"/>
  </r>
  <r>
    <x v="1"/>
    <x v="4"/>
    <n v="4000"/>
    <n v="0"/>
  </r>
  <r>
    <x v="1"/>
    <x v="4"/>
    <n v="4000"/>
    <n v="0"/>
  </r>
  <r>
    <x v="2"/>
    <x v="0"/>
    <n v="0"/>
    <n v="0"/>
  </r>
  <r>
    <x v="2"/>
    <x v="1"/>
    <n v="0"/>
    <n v="0"/>
  </r>
  <r>
    <x v="2"/>
    <x v="4"/>
    <n v="4000"/>
    <n v="0"/>
  </r>
  <r>
    <x v="2"/>
    <x v="4"/>
    <n v="4000"/>
    <n v="0"/>
  </r>
  <r>
    <x v="3"/>
    <x v="0"/>
    <n v="0"/>
    <n v="0"/>
  </r>
  <r>
    <x v="3"/>
    <x v="1"/>
    <n v="0"/>
    <n v="0"/>
  </r>
  <r>
    <x v="3"/>
    <x v="4"/>
    <n v="4000"/>
    <n v="6000"/>
  </r>
  <r>
    <x v="3"/>
    <x v="4"/>
    <n v="4000"/>
    <n v="0"/>
  </r>
  <r>
    <x v="4"/>
    <x v="0"/>
    <n v="0"/>
    <n v="0"/>
  </r>
  <r>
    <x v="4"/>
    <x v="3"/>
    <n v="0"/>
    <n v="28000"/>
  </r>
  <r>
    <x v="4"/>
    <x v="2"/>
    <n v="4000"/>
    <n v="22000"/>
  </r>
  <r>
    <x v="4"/>
    <x v="3"/>
    <n v="4000"/>
    <n v="35000"/>
  </r>
  <r>
    <x v="5"/>
    <x v="0"/>
    <n v="0"/>
    <n v="0"/>
  </r>
  <r>
    <x v="5"/>
    <x v="5"/>
    <n v="0"/>
    <n v="32000"/>
  </r>
  <r>
    <x v="5"/>
    <x v="3"/>
    <n v="4000"/>
    <n v="53000"/>
  </r>
  <r>
    <x v="5"/>
    <x v="5"/>
    <n v="4000"/>
    <n v="48000"/>
  </r>
  <r>
    <x v="1"/>
    <x v="0"/>
    <n v="0"/>
    <n v="0"/>
  </r>
  <r>
    <x v="1"/>
    <x v="3"/>
    <n v="0"/>
    <n v="18000"/>
  </r>
  <r>
    <x v="1"/>
    <x v="4"/>
    <n v="4000"/>
    <n v="15000"/>
  </r>
  <r>
    <x v="1"/>
    <x v="10"/>
    <n v="16000"/>
    <n v="10000"/>
  </r>
  <r>
    <x v="1"/>
    <x v="0"/>
    <n v="0"/>
    <n v="0"/>
  </r>
  <r>
    <x v="1"/>
    <x v="3"/>
    <n v="0"/>
    <n v="36500"/>
  </r>
  <r>
    <x v="1"/>
    <x v="2"/>
    <n v="4000"/>
    <n v="20000"/>
  </r>
  <r>
    <x v="1"/>
    <x v="8"/>
    <n v="12000"/>
    <n v="23000"/>
  </r>
  <r>
    <x v="0"/>
    <x v="0"/>
    <n v="0"/>
    <n v="0"/>
  </r>
  <r>
    <x v="0"/>
    <x v="1"/>
    <n v="0"/>
    <n v="0"/>
  </r>
  <r>
    <x v="0"/>
    <x v="11"/>
    <n v="16000"/>
    <n v="0"/>
  </r>
  <r>
    <x v="0"/>
    <x v="4"/>
    <n v="4000"/>
    <n v="0"/>
  </r>
  <r>
    <x v="1"/>
    <x v="0"/>
    <n v="0"/>
    <n v="0"/>
  </r>
  <r>
    <x v="1"/>
    <x v="1"/>
    <n v="0"/>
    <n v="12000"/>
  </r>
  <r>
    <x v="1"/>
    <x v="2"/>
    <n v="4000"/>
    <n v="12000"/>
  </r>
  <r>
    <x v="1"/>
    <x v="7"/>
    <n v="4000"/>
    <n v="54000"/>
  </r>
  <r>
    <x v="2"/>
    <x v="0"/>
    <n v="0"/>
    <n v="0"/>
  </r>
  <r>
    <x v="2"/>
    <x v="1"/>
    <n v="0"/>
    <n v="0"/>
  </r>
  <r>
    <x v="2"/>
    <x v="4"/>
    <n v="4000"/>
    <n v="0"/>
  </r>
  <r>
    <x v="2"/>
    <x v="4"/>
    <n v="4000"/>
    <n v="0"/>
  </r>
  <r>
    <x v="3"/>
    <x v="0"/>
    <n v="0"/>
    <n v="0"/>
  </r>
  <r>
    <x v="3"/>
    <x v="2"/>
    <n v="0"/>
    <n v="24000"/>
  </r>
  <r>
    <x v="3"/>
    <x v="1"/>
    <n v="4000"/>
    <n v="20000"/>
  </r>
  <r>
    <x v="3"/>
    <x v="1"/>
    <n v="4000"/>
    <n v="8000"/>
  </r>
  <r>
    <x v="4"/>
    <x v="0"/>
    <n v="0"/>
    <n v="0"/>
  </r>
  <r>
    <x v="4"/>
    <x v="1"/>
    <n v="0"/>
    <n v="12000"/>
  </r>
  <r>
    <x v="4"/>
    <x v="1"/>
    <n v="4000"/>
    <n v="20000"/>
  </r>
  <r>
    <x v="4"/>
    <x v="2"/>
    <n v="4000"/>
    <n v="10000"/>
  </r>
  <r>
    <x v="5"/>
    <x v="0"/>
    <n v="0"/>
    <n v="0"/>
  </r>
  <r>
    <x v="5"/>
    <x v="3"/>
    <n v="0"/>
    <n v="0"/>
  </r>
  <r>
    <x v="5"/>
    <x v="2"/>
    <n v="4000"/>
    <n v="15000"/>
  </r>
  <r>
    <x v="5"/>
    <x v="2"/>
    <n v="4000"/>
    <n v="20000"/>
  </r>
  <r>
    <x v="1"/>
    <x v="0"/>
    <n v="0"/>
    <n v="0"/>
  </r>
  <r>
    <x v="1"/>
    <x v="1"/>
    <n v="0"/>
    <n v="3000"/>
  </r>
  <r>
    <x v="1"/>
    <x v="9"/>
    <n v="12000"/>
    <n v="12000"/>
  </r>
  <r>
    <x v="1"/>
    <x v="4"/>
    <n v="4000"/>
    <n v="0"/>
  </r>
  <r>
    <x v="1"/>
    <x v="0"/>
    <n v="0"/>
    <n v="0"/>
  </r>
  <r>
    <x v="1"/>
    <x v="5"/>
    <n v="0"/>
    <n v="46000"/>
  </r>
  <r>
    <x v="1"/>
    <x v="1"/>
    <n v="4000"/>
    <n v="20000"/>
  </r>
  <r>
    <x v="1"/>
    <x v="1"/>
    <n v="4000"/>
    <n v="16000"/>
  </r>
  <r>
    <x v="0"/>
    <x v="0"/>
    <n v="0"/>
    <n v="0"/>
  </r>
  <r>
    <x v="0"/>
    <x v="8"/>
    <n v="4000"/>
    <n v="14000"/>
  </r>
  <r>
    <x v="0"/>
    <x v="4"/>
    <n v="4000"/>
    <n v="3000"/>
  </r>
  <r>
    <x v="0"/>
    <x v="8"/>
    <n v="8000"/>
    <n v="12000"/>
  </r>
  <r>
    <x v="1"/>
    <x v="0"/>
    <n v="0"/>
    <n v="0"/>
  </r>
  <r>
    <x v="1"/>
    <x v="4"/>
    <n v="0"/>
    <n v="20000"/>
  </r>
  <r>
    <x v="1"/>
    <x v="1"/>
    <n v="4000"/>
    <n v="10000"/>
  </r>
  <r>
    <x v="1"/>
    <x v="12"/>
    <n v="12000"/>
    <n v="40000"/>
  </r>
  <r>
    <x v="2"/>
    <x v="0"/>
    <n v="0"/>
    <n v="0"/>
  </r>
  <r>
    <x v="2"/>
    <x v="10"/>
    <n v="12000"/>
    <n v="3000"/>
  </r>
  <r>
    <x v="2"/>
    <x v="10"/>
    <n v="12000"/>
    <n v="0"/>
  </r>
  <r>
    <x v="2"/>
    <x v="13"/>
    <n v="20000"/>
    <n v="0"/>
  </r>
  <r>
    <x v="3"/>
    <x v="0"/>
    <n v="0"/>
    <n v="0"/>
  </r>
  <r>
    <x v="3"/>
    <x v="2"/>
    <n v="4000"/>
    <n v="0"/>
  </r>
  <r>
    <x v="3"/>
    <x v="4"/>
    <n v="4000"/>
    <n v="3000"/>
  </r>
  <r>
    <x v="3"/>
    <x v="11"/>
    <n v="8000"/>
    <n v="8000"/>
  </r>
  <r>
    <x v="4"/>
    <x v="0"/>
    <n v="0"/>
    <n v="0"/>
  </r>
  <r>
    <x v="4"/>
    <x v="2"/>
    <n v="4000"/>
    <n v="10000"/>
  </r>
  <r>
    <x v="4"/>
    <x v="1"/>
    <n v="4000"/>
    <n v="20000"/>
  </r>
  <r>
    <x v="4"/>
    <x v="14"/>
    <n v="8000"/>
    <n v="6000"/>
  </r>
  <r>
    <x v="5"/>
    <x v="0"/>
    <n v="0"/>
    <n v="0"/>
  </r>
  <r>
    <x v="5"/>
    <x v="3"/>
    <n v="4000"/>
    <n v="63000"/>
  </r>
  <r>
    <x v="5"/>
    <x v="3"/>
    <n v="4000"/>
    <n v="38000"/>
  </r>
  <r>
    <x v="5"/>
    <x v="10"/>
    <n v="8000"/>
    <n v="15000"/>
  </r>
  <r>
    <x v="1"/>
    <x v="0"/>
    <n v="0"/>
    <n v="0"/>
  </r>
  <r>
    <x v="1"/>
    <x v="8"/>
    <n v="8000"/>
    <n v="12000"/>
  </r>
  <r>
    <x v="1"/>
    <x v="10"/>
    <n v="12000"/>
    <n v="6000"/>
  </r>
  <r>
    <x v="1"/>
    <x v="4"/>
    <n v="8000"/>
    <n v="115000"/>
  </r>
  <r>
    <x v="1"/>
    <x v="0"/>
    <n v="0"/>
    <n v="0"/>
  </r>
  <r>
    <x v="1"/>
    <x v="1"/>
    <n v="4000"/>
    <n v="16000"/>
  </r>
  <r>
    <x v="1"/>
    <x v="2"/>
    <n v="4000"/>
    <n v="29000"/>
  </r>
  <r>
    <x v="1"/>
    <x v="11"/>
    <n v="800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n v="0"/>
    <x v="0"/>
    <x v="0"/>
  </r>
  <r>
    <n v="1"/>
    <x v="0"/>
    <x v="1"/>
  </r>
  <r>
    <n v="0"/>
    <x v="0"/>
    <x v="1"/>
  </r>
  <r>
    <n v="0"/>
    <x v="0"/>
    <x v="1"/>
  </r>
  <r>
    <n v="0"/>
    <x v="1"/>
    <x v="0"/>
  </r>
  <r>
    <n v="3"/>
    <x v="1"/>
    <x v="2"/>
  </r>
  <r>
    <n v="3"/>
    <x v="1"/>
    <x v="2"/>
  </r>
  <r>
    <n v="0"/>
    <x v="1"/>
    <x v="2"/>
  </r>
  <r>
    <n v="0"/>
    <x v="2"/>
    <x v="0"/>
  </r>
  <r>
    <n v="1"/>
    <x v="2"/>
    <x v="3"/>
  </r>
  <r>
    <n v="0"/>
    <x v="2"/>
    <x v="3"/>
  </r>
  <r>
    <n v="1"/>
    <x v="2"/>
    <x v="1"/>
  </r>
  <r>
    <n v="0"/>
    <x v="3"/>
    <x v="0"/>
  </r>
  <r>
    <n v="2"/>
    <x v="3"/>
    <x v="3"/>
  </r>
  <r>
    <n v="0"/>
    <x v="3"/>
    <x v="3"/>
  </r>
  <r>
    <n v="4"/>
    <x v="3"/>
    <x v="3"/>
  </r>
  <r>
    <n v="0"/>
    <x v="4"/>
    <x v="0"/>
  </r>
  <r>
    <n v="4"/>
    <x v="4"/>
    <x v="1"/>
  </r>
  <r>
    <n v="1"/>
    <x v="4"/>
    <x v="1"/>
  </r>
  <r>
    <n v="0"/>
    <x v="4"/>
    <x v="1"/>
  </r>
  <r>
    <n v="0"/>
    <x v="5"/>
    <x v="0"/>
  </r>
  <r>
    <n v="0"/>
    <x v="5"/>
    <x v="1"/>
  </r>
  <r>
    <n v="2"/>
    <x v="5"/>
    <x v="1"/>
  </r>
  <r>
    <n v="2"/>
    <x v="5"/>
    <x v="1"/>
  </r>
  <r>
    <n v="0"/>
    <x v="1"/>
    <x v="0"/>
  </r>
  <r>
    <n v="1"/>
    <x v="1"/>
    <x v="2"/>
  </r>
  <r>
    <n v="1"/>
    <x v="1"/>
    <x v="2"/>
  </r>
  <r>
    <n v="1"/>
    <x v="1"/>
    <x v="2"/>
  </r>
  <r>
    <n v="0"/>
    <x v="0"/>
    <x v="0"/>
  </r>
  <r>
    <n v="0"/>
    <x v="0"/>
    <x v="3"/>
  </r>
  <r>
    <n v="1"/>
    <x v="0"/>
    <x v="2"/>
  </r>
  <r>
    <n v="1"/>
    <x v="0"/>
    <x v="2"/>
  </r>
  <r>
    <n v="0"/>
    <x v="1"/>
    <x v="0"/>
  </r>
  <r>
    <n v="1"/>
    <x v="1"/>
    <x v="1"/>
  </r>
  <r>
    <n v="2"/>
    <x v="1"/>
    <x v="1"/>
  </r>
  <r>
    <n v="4"/>
    <x v="1"/>
    <x v="1"/>
  </r>
  <r>
    <n v="0"/>
    <x v="2"/>
    <x v="0"/>
  </r>
  <r>
    <n v="1"/>
    <x v="2"/>
    <x v="2"/>
  </r>
  <r>
    <n v="0"/>
    <x v="2"/>
    <x v="2"/>
  </r>
  <r>
    <n v="0"/>
    <x v="2"/>
    <x v="2"/>
  </r>
  <r>
    <n v="0"/>
    <x v="3"/>
    <x v="0"/>
  </r>
  <r>
    <n v="0"/>
    <x v="3"/>
    <x v="2"/>
  </r>
  <r>
    <n v="0"/>
    <x v="3"/>
    <x v="2"/>
  </r>
  <r>
    <n v="4"/>
    <x v="3"/>
    <x v="3"/>
  </r>
  <r>
    <n v="0"/>
    <x v="4"/>
    <x v="0"/>
  </r>
  <r>
    <n v="2"/>
    <x v="4"/>
    <x v="2"/>
  </r>
  <r>
    <n v="2"/>
    <x v="4"/>
    <x v="1"/>
  </r>
  <r>
    <n v="2"/>
    <x v="4"/>
    <x v="1"/>
  </r>
  <r>
    <n v="0"/>
    <x v="5"/>
    <x v="0"/>
  </r>
  <r>
    <n v="3"/>
    <x v="5"/>
    <x v="1"/>
  </r>
  <r>
    <n v="4"/>
    <x v="5"/>
    <x v="1"/>
  </r>
  <r>
    <n v="1"/>
    <x v="5"/>
    <x v="1"/>
  </r>
  <r>
    <n v="0"/>
    <x v="1"/>
    <x v="0"/>
  </r>
  <r>
    <n v="1"/>
    <x v="1"/>
    <x v="3"/>
  </r>
  <r>
    <n v="3"/>
    <x v="1"/>
    <x v="3"/>
  </r>
  <r>
    <n v="1"/>
    <x v="1"/>
    <x v="3"/>
  </r>
  <r>
    <n v="0"/>
    <x v="1"/>
    <x v="0"/>
  </r>
  <r>
    <n v="0"/>
    <x v="0"/>
    <x v="0"/>
  </r>
  <r>
    <n v="1"/>
    <x v="0"/>
    <x v="1"/>
  </r>
  <r>
    <n v="0"/>
    <x v="0"/>
    <x v="1"/>
  </r>
  <r>
    <n v="1"/>
    <x v="0"/>
    <x v="1"/>
  </r>
  <r>
    <n v="0"/>
    <x v="1"/>
    <x v="0"/>
  </r>
  <r>
    <n v="0"/>
    <x v="1"/>
    <x v="1"/>
  </r>
  <r>
    <n v="1"/>
    <x v="1"/>
    <x v="1"/>
  </r>
  <r>
    <n v="2"/>
    <x v="1"/>
    <x v="1"/>
  </r>
  <r>
    <n v="0"/>
    <x v="2"/>
    <x v="0"/>
  </r>
  <r>
    <n v="1"/>
    <x v="2"/>
    <x v="3"/>
  </r>
  <r>
    <n v="0"/>
    <x v="2"/>
    <x v="3"/>
  </r>
  <r>
    <n v="1"/>
    <x v="2"/>
    <x v="3"/>
  </r>
  <r>
    <n v="0"/>
    <x v="3"/>
    <x v="0"/>
  </r>
  <r>
    <n v="2"/>
    <x v="3"/>
    <x v="3"/>
  </r>
  <r>
    <n v="0"/>
    <x v="3"/>
    <x v="3"/>
  </r>
  <r>
    <n v="1"/>
    <x v="3"/>
    <x v="3"/>
  </r>
  <r>
    <n v="0"/>
    <x v="4"/>
    <x v="0"/>
  </r>
  <r>
    <n v="2"/>
    <x v="4"/>
    <x v="2"/>
  </r>
  <r>
    <n v="1"/>
    <x v="4"/>
    <x v="2"/>
  </r>
  <r>
    <n v="1"/>
    <x v="4"/>
    <x v="1"/>
  </r>
  <r>
    <n v="0"/>
    <x v="5"/>
    <x v="0"/>
  </r>
  <r>
    <n v="3"/>
    <x v="5"/>
    <x v="2"/>
  </r>
  <r>
    <n v="4"/>
    <x v="5"/>
    <x v="2"/>
  </r>
  <r>
    <n v="1"/>
    <x v="5"/>
    <x v="2"/>
  </r>
  <r>
    <n v="0"/>
    <x v="1"/>
    <x v="0"/>
  </r>
  <r>
    <n v="3"/>
    <x v="1"/>
    <x v="3"/>
  </r>
  <r>
    <n v="2"/>
    <x v="1"/>
    <x v="3"/>
  </r>
  <r>
    <n v="1"/>
    <x v="1"/>
    <x v="3"/>
  </r>
  <r>
    <n v="0"/>
    <x v="1"/>
    <x v="0"/>
  </r>
  <r>
    <n v="1"/>
    <x v="1"/>
    <x v="2"/>
  </r>
  <r>
    <n v="2"/>
    <x v="1"/>
    <x v="2"/>
  </r>
  <r>
    <n v="1"/>
    <x v="1"/>
    <x v="2"/>
  </r>
  <r>
    <n v="0"/>
    <x v="0"/>
    <x v="0"/>
  </r>
  <r>
    <n v="0"/>
    <x v="0"/>
    <x v="1"/>
  </r>
  <r>
    <n v="0"/>
    <x v="0"/>
    <x v="1"/>
  </r>
  <r>
    <n v="0"/>
    <x v="0"/>
    <x v="1"/>
  </r>
  <r>
    <n v="0"/>
    <x v="1"/>
    <x v="0"/>
  </r>
  <r>
    <n v="2"/>
    <x v="1"/>
    <x v="3"/>
  </r>
  <r>
    <n v="3"/>
    <x v="1"/>
    <x v="1"/>
  </r>
  <r>
    <n v="0"/>
    <x v="1"/>
    <x v="1"/>
  </r>
  <r>
    <n v="0"/>
    <x v="2"/>
    <x v="0"/>
  </r>
  <r>
    <n v="1"/>
    <x v="2"/>
    <x v="3"/>
  </r>
  <r>
    <n v="0"/>
    <x v="2"/>
    <x v="3"/>
  </r>
  <r>
    <n v="0"/>
    <x v="2"/>
    <x v="3"/>
  </r>
  <r>
    <n v="0"/>
    <x v="3"/>
    <x v="0"/>
  </r>
  <r>
    <n v="0"/>
    <x v="3"/>
    <x v="2"/>
  </r>
  <r>
    <n v="1"/>
    <x v="3"/>
    <x v="2"/>
  </r>
  <r>
    <n v="8"/>
    <x v="3"/>
    <x v="1"/>
  </r>
  <r>
    <n v="0"/>
    <x v="4"/>
    <x v="0"/>
  </r>
  <r>
    <n v="2"/>
    <x v="4"/>
    <x v="1"/>
  </r>
  <r>
    <n v="1"/>
    <x v="4"/>
    <x v="1"/>
  </r>
  <r>
    <n v="0"/>
    <x v="4"/>
    <x v="1"/>
  </r>
  <r>
    <n v="0"/>
    <x v="5"/>
    <x v="0"/>
  </r>
  <r>
    <n v="3"/>
    <x v="5"/>
    <x v="2"/>
  </r>
  <r>
    <n v="0"/>
    <x v="5"/>
    <x v="2"/>
  </r>
  <r>
    <n v="0"/>
    <x v="5"/>
    <x v="2"/>
  </r>
  <r>
    <n v="0"/>
    <x v="1"/>
    <x v="0"/>
  </r>
  <r>
    <n v="2"/>
    <x v="1"/>
    <x v="2"/>
  </r>
  <r>
    <n v="2"/>
    <x v="1"/>
    <x v="2"/>
  </r>
  <r>
    <n v="0"/>
    <x v="1"/>
    <x v="2"/>
  </r>
  <r>
    <n v="0"/>
    <x v="1"/>
    <x v="0"/>
  </r>
  <r>
    <n v="3"/>
    <x v="1"/>
    <x v="2"/>
  </r>
  <r>
    <n v="1"/>
    <x v="1"/>
    <x v="2"/>
  </r>
  <r>
    <n v="2"/>
    <x v="1"/>
    <x v="2"/>
  </r>
  <r>
    <n v="0"/>
    <x v="0"/>
    <x v="0"/>
  </r>
  <r>
    <n v="2"/>
    <x v="0"/>
    <x v="1"/>
  </r>
  <r>
    <n v="0"/>
    <x v="0"/>
    <x v="1"/>
  </r>
  <r>
    <n v="0"/>
    <x v="0"/>
    <x v="1"/>
  </r>
  <r>
    <n v="0"/>
    <x v="1"/>
    <x v="0"/>
  </r>
  <r>
    <n v="2"/>
    <x v="1"/>
    <x v="2"/>
  </r>
  <r>
    <n v="3"/>
    <x v="1"/>
    <x v="2"/>
  </r>
  <r>
    <n v="2"/>
    <x v="1"/>
    <x v="2"/>
  </r>
  <r>
    <n v="0"/>
    <x v="2"/>
    <x v="0"/>
  </r>
  <r>
    <n v="1"/>
    <x v="2"/>
    <x v="3"/>
  </r>
  <r>
    <n v="0"/>
    <x v="2"/>
    <x v="3"/>
  </r>
  <r>
    <n v="0"/>
    <x v="2"/>
    <x v="3"/>
  </r>
  <r>
    <n v="0"/>
    <x v="3"/>
    <x v="0"/>
  </r>
  <r>
    <n v="0"/>
    <x v="3"/>
    <x v="3"/>
  </r>
  <r>
    <n v="3"/>
    <x v="3"/>
    <x v="3"/>
  </r>
  <r>
    <n v="5"/>
    <x v="3"/>
    <x v="3"/>
  </r>
  <r>
    <n v="0"/>
    <x v="4"/>
    <x v="0"/>
  </r>
  <r>
    <n v="1"/>
    <x v="4"/>
    <x v="2"/>
  </r>
  <r>
    <n v="0"/>
    <x v="4"/>
    <x v="2"/>
  </r>
  <r>
    <n v="0"/>
    <x v="4"/>
    <x v="2"/>
  </r>
  <r>
    <n v="0"/>
    <x v="5"/>
    <x v="0"/>
  </r>
  <r>
    <n v="3"/>
    <x v="5"/>
    <x v="2"/>
  </r>
  <r>
    <n v="3"/>
    <x v="5"/>
    <x v="2"/>
  </r>
  <r>
    <n v="2"/>
    <x v="5"/>
    <x v="2"/>
  </r>
  <r>
    <n v="0"/>
    <x v="1"/>
    <x v="0"/>
  </r>
  <r>
    <n v="0"/>
    <x v="1"/>
    <x v="1"/>
  </r>
  <r>
    <n v="0"/>
    <x v="1"/>
    <x v="1"/>
  </r>
  <r>
    <n v="0"/>
    <x v="1"/>
    <x v="1"/>
  </r>
  <r>
    <n v="0"/>
    <x v="1"/>
    <x v="0"/>
  </r>
  <r>
    <n v="0"/>
    <x v="1"/>
    <x v="3"/>
  </r>
  <r>
    <n v="3"/>
    <x v="1"/>
    <x v="3"/>
  </r>
  <r>
    <n v="1"/>
    <x v="1"/>
    <x v="3"/>
  </r>
  <r>
    <n v="0"/>
    <x v="0"/>
    <x v="0"/>
  </r>
  <r>
    <n v="1"/>
    <x v="0"/>
    <x v="3"/>
  </r>
  <r>
    <n v="1"/>
    <x v="0"/>
    <x v="2"/>
  </r>
  <r>
    <n v="2"/>
    <x v="0"/>
    <x v="1"/>
  </r>
  <r>
    <n v="0"/>
    <x v="1"/>
    <x v="0"/>
  </r>
  <r>
    <n v="3"/>
    <x v="1"/>
    <x v="1"/>
  </r>
  <r>
    <n v="2"/>
    <x v="1"/>
    <x v="1"/>
  </r>
  <r>
    <n v="0"/>
    <x v="1"/>
    <x v="1"/>
  </r>
  <r>
    <n v="0"/>
    <x v="2"/>
    <x v="0"/>
  </r>
  <r>
    <n v="1"/>
    <x v="2"/>
    <x v="2"/>
  </r>
  <r>
    <n v="0"/>
    <x v="2"/>
    <x v="2"/>
  </r>
  <r>
    <n v="0"/>
    <x v="2"/>
    <x v="2"/>
  </r>
  <r>
    <n v="0"/>
    <x v="3"/>
    <x v="0"/>
  </r>
  <r>
    <n v="0"/>
    <x v="3"/>
    <x v="2"/>
  </r>
  <r>
    <n v="0"/>
    <x v="3"/>
    <x v="2"/>
  </r>
  <r>
    <n v="0"/>
    <x v="3"/>
    <x v="2"/>
  </r>
  <r>
    <n v="0"/>
    <x v="4"/>
    <x v="0"/>
  </r>
  <r>
    <n v="3"/>
    <x v="4"/>
    <x v="2"/>
  </r>
  <r>
    <n v="4"/>
    <x v="4"/>
    <x v="2"/>
  </r>
  <r>
    <n v="1"/>
    <x v="4"/>
    <x v="2"/>
  </r>
  <r>
    <n v="0"/>
    <x v="5"/>
    <x v="0"/>
  </r>
  <r>
    <n v="6"/>
    <x v="5"/>
    <x v="2"/>
  </r>
  <r>
    <n v="2"/>
    <x v="5"/>
    <x v="2"/>
  </r>
  <r>
    <n v="0"/>
    <x v="5"/>
    <x v="2"/>
  </r>
  <r>
    <n v="0"/>
    <x v="1"/>
    <x v="0"/>
  </r>
  <r>
    <n v="0"/>
    <x v="1"/>
    <x v="1"/>
  </r>
  <r>
    <n v="0"/>
    <x v="1"/>
    <x v="1"/>
  </r>
  <r>
    <n v="0"/>
    <x v="1"/>
    <x v="1"/>
  </r>
  <r>
    <n v="0"/>
    <x v="1"/>
    <x v="0"/>
  </r>
  <r>
    <n v="1"/>
    <x v="1"/>
    <x v="3"/>
  </r>
  <r>
    <n v="2"/>
    <x v="1"/>
    <x v="3"/>
  </r>
  <r>
    <n v="2"/>
    <x v="1"/>
    <x v="3"/>
  </r>
  <r>
    <n v="0"/>
    <x v="0"/>
    <x v="0"/>
  </r>
  <r>
    <n v="0"/>
    <x v="0"/>
    <x v="1"/>
  </r>
  <r>
    <n v="0"/>
    <x v="0"/>
    <x v="1"/>
  </r>
  <r>
    <n v="0"/>
    <x v="0"/>
    <x v="1"/>
  </r>
  <r>
    <n v="0"/>
    <x v="1"/>
    <x v="0"/>
  </r>
  <r>
    <n v="0"/>
    <x v="1"/>
    <x v="2"/>
  </r>
  <r>
    <n v="1"/>
    <x v="1"/>
    <x v="2"/>
  </r>
  <r>
    <n v="1"/>
    <x v="1"/>
    <x v="2"/>
  </r>
  <r>
    <n v="0"/>
    <x v="2"/>
    <x v="0"/>
  </r>
  <r>
    <n v="1"/>
    <x v="2"/>
    <x v="2"/>
  </r>
  <r>
    <n v="2"/>
    <x v="2"/>
    <x v="3"/>
  </r>
  <r>
    <n v="0"/>
    <x v="2"/>
    <x v="3"/>
  </r>
  <r>
    <n v="0"/>
    <x v="3"/>
    <x v="0"/>
  </r>
  <r>
    <n v="2"/>
    <x v="3"/>
    <x v="3"/>
  </r>
  <r>
    <n v="1"/>
    <x v="3"/>
    <x v="3"/>
  </r>
  <r>
    <n v="1"/>
    <x v="3"/>
    <x v="2"/>
  </r>
  <r>
    <n v="0"/>
    <x v="4"/>
    <x v="0"/>
  </r>
  <r>
    <n v="1"/>
    <x v="4"/>
    <x v="1"/>
  </r>
  <r>
    <n v="1"/>
    <x v="4"/>
    <x v="1"/>
  </r>
  <r>
    <n v="0"/>
    <x v="4"/>
    <x v="1"/>
  </r>
  <r>
    <n v="0"/>
    <x v="5"/>
    <x v="0"/>
  </r>
  <r>
    <n v="3"/>
    <x v="5"/>
    <x v="2"/>
  </r>
  <r>
    <n v="4"/>
    <x v="5"/>
    <x v="2"/>
  </r>
  <r>
    <n v="0"/>
    <x v="5"/>
    <x v="2"/>
  </r>
  <r>
    <n v="0"/>
    <x v="1"/>
    <x v="0"/>
  </r>
  <r>
    <n v="2"/>
    <x v="1"/>
    <x v="3"/>
  </r>
  <r>
    <n v="1"/>
    <x v="1"/>
    <x v="3"/>
  </r>
  <r>
    <n v="0"/>
    <x v="1"/>
    <x v="3"/>
  </r>
  <r>
    <n v="0"/>
    <x v="1"/>
    <x v="0"/>
  </r>
  <r>
    <n v="1"/>
    <x v="1"/>
    <x v="2"/>
  </r>
  <r>
    <n v="2"/>
    <x v="1"/>
    <x v="2"/>
  </r>
  <r>
    <n v="0"/>
    <x v="1"/>
    <x v="2"/>
  </r>
  <r>
    <n v="0"/>
    <x v="0"/>
    <x v="0"/>
  </r>
  <r>
    <n v="0"/>
    <x v="0"/>
    <x v="3"/>
  </r>
  <r>
    <n v="2"/>
    <x v="0"/>
    <x v="3"/>
  </r>
  <r>
    <n v="0"/>
    <x v="0"/>
    <x v="3"/>
  </r>
  <r>
    <n v="0"/>
    <x v="1"/>
    <x v="0"/>
  </r>
  <r>
    <n v="0"/>
    <x v="1"/>
    <x v="1"/>
  </r>
  <r>
    <n v="0"/>
    <x v="1"/>
    <x v="1"/>
  </r>
  <r>
    <n v="0"/>
    <x v="1"/>
    <x v="1"/>
  </r>
  <r>
    <n v="0"/>
    <x v="2"/>
    <x v="0"/>
  </r>
  <r>
    <n v="0"/>
    <x v="2"/>
    <x v="1"/>
  </r>
  <r>
    <n v="0"/>
    <x v="2"/>
    <x v="1"/>
  </r>
  <r>
    <n v="0"/>
    <x v="2"/>
    <x v="1"/>
  </r>
  <r>
    <n v="0"/>
    <x v="3"/>
    <x v="0"/>
  </r>
  <r>
    <n v="0"/>
    <x v="3"/>
    <x v="2"/>
  </r>
  <r>
    <n v="1"/>
    <x v="3"/>
    <x v="2"/>
  </r>
  <r>
    <n v="0"/>
    <x v="3"/>
    <x v="2"/>
  </r>
  <r>
    <n v="0"/>
    <x v="4"/>
    <x v="0"/>
  </r>
  <r>
    <n v="1"/>
    <x v="4"/>
    <x v="2"/>
  </r>
  <r>
    <n v="1"/>
    <x v="4"/>
    <x v="2"/>
  </r>
  <r>
    <n v="3"/>
    <x v="4"/>
    <x v="2"/>
  </r>
  <r>
    <n v="0"/>
    <x v="5"/>
    <x v="0"/>
  </r>
  <r>
    <n v="2"/>
    <x v="5"/>
    <x v="2"/>
  </r>
  <r>
    <n v="5"/>
    <x v="5"/>
    <x v="2"/>
  </r>
  <r>
    <n v="0"/>
    <x v="5"/>
    <x v="2"/>
  </r>
  <r>
    <n v="0"/>
    <x v="1"/>
    <x v="0"/>
  </r>
  <r>
    <n v="2"/>
    <x v="1"/>
    <x v="3"/>
  </r>
  <r>
    <n v="3"/>
    <x v="1"/>
    <x v="3"/>
  </r>
  <r>
    <n v="0"/>
    <x v="1"/>
    <x v="3"/>
  </r>
  <r>
    <n v="0"/>
    <x v="1"/>
    <x v="0"/>
  </r>
  <r>
    <n v="3"/>
    <x v="1"/>
    <x v="3"/>
  </r>
  <r>
    <n v="2"/>
    <x v="1"/>
    <x v="3"/>
  </r>
  <r>
    <n v="2"/>
    <x v="1"/>
    <x v="3"/>
  </r>
  <r>
    <n v="0"/>
    <x v="0"/>
    <x v="0"/>
  </r>
  <r>
    <n v="0"/>
    <x v="0"/>
    <x v="3"/>
  </r>
  <r>
    <n v="0"/>
    <x v="0"/>
    <x v="3"/>
  </r>
  <r>
    <n v="0"/>
    <x v="0"/>
    <x v="3"/>
  </r>
  <r>
    <n v="0"/>
    <x v="1"/>
    <x v="0"/>
  </r>
  <r>
    <n v="1"/>
    <x v="1"/>
    <x v="2"/>
  </r>
  <r>
    <n v="2"/>
    <x v="1"/>
    <x v="2"/>
  </r>
  <r>
    <n v="1"/>
    <x v="1"/>
    <x v="2"/>
  </r>
  <r>
    <n v="0"/>
    <x v="2"/>
    <x v="0"/>
  </r>
  <r>
    <n v="0"/>
    <x v="2"/>
    <x v="1"/>
  </r>
  <r>
    <n v="0"/>
    <x v="2"/>
    <x v="1"/>
  </r>
  <r>
    <n v="0"/>
    <x v="2"/>
    <x v="1"/>
  </r>
  <r>
    <n v="0"/>
    <x v="3"/>
    <x v="0"/>
  </r>
  <r>
    <n v="1"/>
    <x v="3"/>
    <x v="2"/>
  </r>
  <r>
    <n v="2"/>
    <x v="3"/>
    <x v="2"/>
  </r>
  <r>
    <n v="0"/>
    <x v="3"/>
    <x v="2"/>
  </r>
  <r>
    <n v="0"/>
    <x v="4"/>
    <x v="0"/>
  </r>
  <r>
    <n v="1"/>
    <x v="4"/>
    <x v="1"/>
  </r>
  <r>
    <n v="2"/>
    <x v="4"/>
    <x v="1"/>
  </r>
  <r>
    <n v="0"/>
    <x v="4"/>
    <x v="1"/>
  </r>
  <r>
    <n v="0"/>
    <x v="5"/>
    <x v="0"/>
  </r>
  <r>
    <n v="0"/>
    <x v="5"/>
    <x v="1"/>
  </r>
  <r>
    <n v="2"/>
    <x v="5"/>
    <x v="1"/>
  </r>
  <r>
    <n v="2"/>
    <x v="5"/>
    <x v="1"/>
  </r>
  <r>
    <n v="0"/>
    <x v="1"/>
    <x v="0"/>
  </r>
  <r>
    <n v="1"/>
    <x v="1"/>
    <x v="3"/>
  </r>
  <r>
    <n v="2"/>
    <x v="1"/>
    <x v="3"/>
  </r>
  <r>
    <n v="0"/>
    <x v="1"/>
    <x v="3"/>
  </r>
  <r>
    <n v="0"/>
    <x v="1"/>
    <x v="0"/>
  </r>
  <r>
    <n v="3"/>
    <x v="1"/>
    <x v="2"/>
  </r>
  <r>
    <n v="2"/>
    <x v="1"/>
    <x v="2"/>
  </r>
  <r>
    <n v="0"/>
    <x v="1"/>
    <x v="2"/>
  </r>
  <r>
    <n v="0"/>
    <x v="0"/>
    <x v="0"/>
  </r>
  <r>
    <n v="1"/>
    <x v="0"/>
    <x v="2"/>
  </r>
  <r>
    <n v="1"/>
    <x v="0"/>
    <x v="2"/>
  </r>
  <r>
    <n v="0"/>
    <x v="0"/>
    <x v="2"/>
  </r>
  <r>
    <n v="0"/>
    <x v="1"/>
    <x v="0"/>
  </r>
  <r>
    <n v="2"/>
    <x v="1"/>
    <x v="1"/>
  </r>
  <r>
    <n v="0"/>
    <x v="1"/>
    <x v="1"/>
  </r>
  <r>
    <n v="4"/>
    <x v="1"/>
    <x v="3"/>
  </r>
  <r>
    <n v="0"/>
    <x v="2"/>
    <x v="0"/>
  </r>
  <r>
    <n v="1"/>
    <x v="2"/>
    <x v="3"/>
  </r>
  <r>
    <n v="0"/>
    <x v="2"/>
    <x v="3"/>
  </r>
  <r>
    <n v="0"/>
    <x v="2"/>
    <x v="3"/>
  </r>
  <r>
    <n v="0"/>
    <x v="3"/>
    <x v="0"/>
  </r>
  <r>
    <n v="0"/>
    <x v="3"/>
    <x v="2"/>
  </r>
  <r>
    <n v="1"/>
    <x v="3"/>
    <x v="2"/>
  </r>
  <r>
    <n v="0"/>
    <x v="3"/>
    <x v="2"/>
  </r>
  <r>
    <n v="0"/>
    <x v="4"/>
    <x v="0"/>
  </r>
  <r>
    <n v="0"/>
    <x v="4"/>
    <x v="1"/>
  </r>
  <r>
    <n v="2"/>
    <x v="4"/>
    <x v="1"/>
  </r>
  <r>
    <n v="1"/>
    <x v="4"/>
    <x v="1"/>
  </r>
  <r>
    <n v="0"/>
    <x v="5"/>
    <x v="0"/>
  </r>
  <r>
    <n v="1"/>
    <x v="5"/>
    <x v="2"/>
  </r>
  <r>
    <n v="3"/>
    <x v="5"/>
    <x v="2"/>
  </r>
  <r>
    <n v="0"/>
    <x v="5"/>
    <x v="2"/>
  </r>
  <r>
    <n v="0"/>
    <x v="1"/>
    <x v="0"/>
  </r>
  <r>
    <n v="2"/>
    <x v="1"/>
    <x v="3"/>
  </r>
  <r>
    <n v="1"/>
    <x v="1"/>
    <x v="3"/>
  </r>
  <r>
    <n v="5"/>
    <x v="1"/>
    <x v="3"/>
  </r>
  <r>
    <n v="0"/>
    <x v="1"/>
    <x v="0"/>
  </r>
  <r>
    <n v="0"/>
    <x v="1"/>
    <x v="2"/>
  </r>
  <r>
    <n v="4"/>
    <x v="1"/>
    <x v="1"/>
  </r>
  <r>
    <n v="0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3">
  <r>
    <n v="610"/>
    <d v="2024-09-24T10:32:09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16"/>
    <n v="170"/>
    <m/>
    <m/>
    <m/>
    <x v="0"/>
    <n v="72"/>
    <s v="table1"/>
    <n v="16"/>
    <s v="240924_EPA_IntroDays_Ommen"/>
    <n v="21"/>
    <n v="0"/>
    <n v="0"/>
    <x v="0"/>
    <s v=""/>
    <s v=""/>
    <n v="0"/>
    <n v="0"/>
    <s v=""/>
  </r>
  <r>
    <n v="655"/>
    <d v="2024-09-24T10:32:09"/>
    <n v="65000"/>
    <n v="30000"/>
    <n v="0"/>
    <n v="11000"/>
    <n v="0"/>
    <n v="1000"/>
    <n v="15000"/>
    <n v="12000"/>
    <n v="0"/>
    <n v="0"/>
    <n v="0"/>
    <n v="1000"/>
    <n v="0"/>
    <n v="-1"/>
    <n v="1"/>
    <n v="0"/>
    <n v="0"/>
    <n v="0"/>
    <n v="0"/>
    <n v="5"/>
    <n v="4"/>
    <n v="110000"/>
    <n v="0"/>
    <n v="0"/>
    <n v="0"/>
    <n v="111000"/>
    <n v="110000"/>
    <n v="99000"/>
    <m/>
    <m/>
    <n v="8"/>
    <n v="10"/>
    <n v="0"/>
    <n v="0"/>
    <n v="1"/>
    <n v="0"/>
    <s v="VIEW_SUMMARY"/>
    <n v="516"/>
    <n v="179"/>
    <m/>
    <n v="801"/>
    <m/>
    <x v="1"/>
    <n v="72"/>
    <s v="table1"/>
    <n v="16"/>
    <s v="240924_EPA_IntroDays_Ommen"/>
    <n v="21"/>
    <n v="18"/>
    <n v="1"/>
    <x v="0"/>
    <s v="(Natu-city)"/>
    <n v="0"/>
    <n v="0"/>
    <n v="12000"/>
    <s v="(Natu-city)"/>
  </r>
  <r>
    <n v="685"/>
    <d v="2024-09-24T10:32:09"/>
    <n v="65000"/>
    <n v="30000"/>
    <n v="0"/>
    <n v="11000"/>
    <n v="0"/>
    <n v="0"/>
    <n v="15000"/>
    <n v="0"/>
    <n v="0"/>
    <n v="0"/>
    <n v="0"/>
    <n v="-1000"/>
    <n v="0"/>
    <n v="0"/>
    <n v="0"/>
    <n v="0"/>
    <n v="0"/>
    <n v="0"/>
    <n v="0"/>
    <n v="5"/>
    <n v="4"/>
    <n v="110000"/>
    <n v="110000"/>
    <n v="99000"/>
    <n v="0"/>
    <n v="0"/>
    <n v="110000"/>
    <n v="77000"/>
    <m/>
    <m/>
    <n v="8"/>
    <n v="10"/>
    <n v="-2"/>
    <n v="-1"/>
    <n v="0"/>
    <n v="0"/>
    <s v="VIEW_SUMMARY"/>
    <n v="516"/>
    <n v="183"/>
    <n v="801"/>
    <n v="801"/>
    <m/>
    <x v="2"/>
    <n v="72"/>
    <s v="table1"/>
    <n v="16"/>
    <s v="240924_EPA_IntroDays_Ommen"/>
    <n v="21"/>
    <n v="18"/>
    <n v="0"/>
    <x v="0"/>
    <s v="(Natu-city)"/>
    <n v="0"/>
    <n v="0"/>
    <n v="0"/>
    <s v="(Natu-city)"/>
  </r>
  <r>
    <n v="719"/>
    <d v="2024-09-24T10:32:09"/>
    <n v="65000"/>
    <n v="30000"/>
    <n v="1000"/>
    <n v="11000"/>
    <n v="0"/>
    <n v="0"/>
    <n v="30000"/>
    <n v="0"/>
    <n v="0"/>
    <n v="0"/>
    <n v="0"/>
    <n v="-7000"/>
    <n v="0"/>
    <n v="0"/>
    <n v="0"/>
    <n v="0"/>
    <n v="0"/>
    <n v="0"/>
    <n v="1"/>
    <n v="4"/>
    <n v="4"/>
    <n v="110000"/>
    <n v="110000"/>
    <n v="77000"/>
    <n v="0"/>
    <n v="0"/>
    <n v="110000"/>
    <n v="66000"/>
    <m/>
    <m/>
    <n v="8"/>
    <n v="10"/>
    <n v="-2"/>
    <n v="-1"/>
    <n v="0"/>
    <n v="0"/>
    <s v="VIEW_SUMMARY"/>
    <n v="516"/>
    <n v="188"/>
    <n v="801"/>
    <n v="801"/>
    <m/>
    <x v="3"/>
    <n v="72"/>
    <s v="table1"/>
    <n v="16"/>
    <s v="240924_EPA_IntroDays_Ommen"/>
    <n v="21"/>
    <n v="18"/>
    <n v="0"/>
    <x v="0"/>
    <s v="(Natu-city)"/>
    <n v="-1"/>
    <n v="0"/>
    <n v="0"/>
    <s v="(Natu-city)"/>
  </r>
  <r>
    <n v="611"/>
    <d v="2024-09-24T10:32:12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17"/>
    <n v="170"/>
    <m/>
    <m/>
    <m/>
    <x v="0"/>
    <n v="72"/>
    <s v="table1"/>
    <n v="16"/>
    <s v="240924_EPA_IntroDays_Ommen"/>
    <n v="21"/>
    <n v="0"/>
    <n v="0"/>
    <x v="1"/>
    <s v=""/>
    <s v=""/>
    <n v="0"/>
    <n v="0"/>
    <s v=""/>
  </r>
  <r>
    <n v="651"/>
    <d v="2024-09-24T10:32:12"/>
    <n v="100000"/>
    <n v="50000"/>
    <n v="0"/>
    <n v="16000"/>
    <n v="0"/>
    <n v="0"/>
    <n v="20000"/>
    <n v="32000"/>
    <n v="0"/>
    <n v="0"/>
    <n v="0"/>
    <n v="12000"/>
    <n v="0"/>
    <n v="-1"/>
    <n v="2"/>
    <n v="0"/>
    <n v="0"/>
    <n v="0"/>
    <n v="0"/>
    <n v="6"/>
    <n v="6"/>
    <n v="170000"/>
    <n v="0"/>
    <n v="0"/>
    <n v="0"/>
    <n v="160000"/>
    <n v="160000"/>
    <n v="144000"/>
    <m/>
    <m/>
    <n v="6"/>
    <n v="10"/>
    <n v="0"/>
    <n v="0"/>
    <n v="2"/>
    <n v="1"/>
    <s v="VIEW_SUMMARY"/>
    <n v="517"/>
    <n v="179"/>
    <m/>
    <n v="803"/>
    <m/>
    <x v="1"/>
    <n v="72"/>
    <s v="table1"/>
    <n v="16"/>
    <s v="240924_EPA_IntroDays_Ommen"/>
    <n v="21"/>
    <n v="16"/>
    <n v="3"/>
    <x v="1"/>
    <s v="(Dike-town)"/>
    <n v="1"/>
    <n v="0"/>
    <n v="32000"/>
    <s v="(Dike-town)"/>
  </r>
  <r>
    <n v="681"/>
    <d v="2024-09-24T10:32:12"/>
    <n v="100000"/>
    <n v="50000"/>
    <n v="0"/>
    <n v="16000"/>
    <n v="0"/>
    <n v="0"/>
    <n v="20000"/>
    <n v="18000"/>
    <n v="0"/>
    <n v="0"/>
    <n v="0"/>
    <n v="8000"/>
    <n v="0"/>
    <n v="0"/>
    <n v="0"/>
    <n v="0"/>
    <n v="0"/>
    <n v="0"/>
    <n v="0"/>
    <n v="6"/>
    <n v="6"/>
    <n v="170000"/>
    <n v="160000"/>
    <n v="144000"/>
    <n v="0"/>
    <n v="0"/>
    <n v="160000"/>
    <n v="128000"/>
    <m/>
    <m/>
    <n v="6"/>
    <n v="10"/>
    <n v="-2"/>
    <n v="-1"/>
    <n v="2"/>
    <n v="1"/>
    <s v="VIEW_SUMMARY"/>
    <n v="517"/>
    <n v="183"/>
    <n v="803"/>
    <n v="803"/>
    <m/>
    <x v="2"/>
    <n v="72"/>
    <s v="table1"/>
    <n v="16"/>
    <s v="240924_EPA_IntroDays_Ommen"/>
    <n v="21"/>
    <n v="16"/>
    <n v="3"/>
    <x v="1"/>
    <s v="(Dike-town)"/>
    <n v="0"/>
    <n v="0"/>
    <n v="18000"/>
    <s v="(Dike-town)"/>
  </r>
  <r>
    <n v="724"/>
    <d v="2024-09-24T10:32:12"/>
    <n v="100000"/>
    <n v="50000"/>
    <n v="0"/>
    <n v="16000"/>
    <n v="0"/>
    <n v="0"/>
    <n v="20000"/>
    <n v="16000"/>
    <n v="0"/>
    <n v="0"/>
    <n v="4000"/>
    <n v="2000"/>
    <n v="0"/>
    <n v="0"/>
    <n v="0"/>
    <n v="2"/>
    <n v="0"/>
    <n v="1"/>
    <n v="0"/>
    <n v="7"/>
    <n v="6"/>
    <n v="170000"/>
    <n v="160000"/>
    <n v="128000"/>
    <n v="0"/>
    <n v="0"/>
    <n v="160000"/>
    <n v="112000"/>
    <m/>
    <m/>
    <n v="6"/>
    <n v="10"/>
    <n v="-2"/>
    <n v="-1"/>
    <n v="0"/>
    <n v="0"/>
    <s v="VIEW_SUMMARY"/>
    <n v="517"/>
    <n v="188"/>
    <n v="803"/>
    <n v="803"/>
    <m/>
    <x v="3"/>
    <n v="72"/>
    <s v="table1"/>
    <n v="16"/>
    <s v="240924_EPA_IntroDays_Ommen"/>
    <n v="21"/>
    <n v="16"/>
    <n v="0"/>
    <x v="1"/>
    <s v="(Dike-town)"/>
    <n v="1"/>
    <n v="4000"/>
    <n v="16000"/>
    <s v="(Dike-town)"/>
  </r>
  <r>
    <n v="612"/>
    <d v="2024-09-24T10:32:13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18"/>
    <n v="170"/>
    <m/>
    <m/>
    <m/>
    <x v="0"/>
    <n v="72"/>
    <s v="table1"/>
    <n v="16"/>
    <s v="240924_EPA_IntroDays_Ommen"/>
    <n v="21"/>
    <n v="0"/>
    <n v="0"/>
    <x v="2"/>
    <s v=""/>
    <s v=""/>
    <n v="0"/>
    <n v="0"/>
    <s v=""/>
  </r>
  <r>
    <n v="653"/>
    <d v="2024-09-24T10:32:13"/>
    <n v="50000"/>
    <n v="20000"/>
    <n v="0"/>
    <n v="7000"/>
    <n v="0"/>
    <n v="0"/>
    <n v="20000"/>
    <n v="3000"/>
    <n v="0"/>
    <n v="0"/>
    <n v="0"/>
    <n v="0"/>
    <n v="0"/>
    <n v="-1"/>
    <n v="0"/>
    <n v="0"/>
    <n v="1"/>
    <n v="0"/>
    <n v="0"/>
    <n v="3"/>
    <n v="3"/>
    <n v="80000"/>
    <n v="0"/>
    <n v="0"/>
    <n v="0"/>
    <n v="70000"/>
    <n v="70000"/>
    <n v="63000"/>
    <m/>
    <m/>
    <n v="8"/>
    <n v="7"/>
    <n v="0"/>
    <n v="0"/>
    <n v="0"/>
    <n v="1"/>
    <s v="VIEW_SUMMARY"/>
    <n v="518"/>
    <n v="179"/>
    <m/>
    <n v="808"/>
    <m/>
    <x v="1"/>
    <n v="72"/>
    <s v="table1"/>
    <n v="16"/>
    <s v="240924_EPA_IntroDays_Ommen"/>
    <n v="21"/>
    <n v="15"/>
    <n v="1"/>
    <x v="2"/>
    <s v="(U-village)"/>
    <n v="-2"/>
    <n v="0"/>
    <n v="3000"/>
    <s v="(U-village)"/>
  </r>
  <r>
    <n v="682"/>
    <d v="2024-09-24T10:32:13"/>
    <n v="50000"/>
    <n v="20000"/>
    <n v="0"/>
    <n v="7000"/>
    <n v="0"/>
    <n v="0"/>
    <n v="20000"/>
    <n v="0"/>
    <n v="0"/>
    <n v="0"/>
    <n v="0"/>
    <n v="3000"/>
    <n v="0"/>
    <n v="0"/>
    <n v="0"/>
    <n v="0"/>
    <n v="0"/>
    <n v="0"/>
    <n v="0"/>
    <n v="3"/>
    <n v="3"/>
    <n v="80000"/>
    <n v="70000"/>
    <n v="63000"/>
    <n v="0"/>
    <n v="0"/>
    <n v="70000"/>
    <n v="56000"/>
    <m/>
    <m/>
    <n v="8"/>
    <n v="7"/>
    <n v="-2"/>
    <n v="-1"/>
    <n v="0"/>
    <n v="0"/>
    <s v="VIEW_SUMMARY"/>
    <n v="518"/>
    <n v="183"/>
    <n v="808"/>
    <n v="808"/>
    <m/>
    <x v="2"/>
    <n v="72"/>
    <s v="table1"/>
    <n v="16"/>
    <s v="240924_EPA_IntroDays_Ommen"/>
    <n v="21"/>
    <n v="15"/>
    <n v="0"/>
    <x v="2"/>
    <s v="(U-village)"/>
    <n v="0"/>
    <n v="0"/>
    <n v="0"/>
    <s v="(U-village)"/>
  </r>
  <r>
    <n v="722"/>
    <d v="2024-09-24T10:32:13"/>
    <n v="50000"/>
    <n v="20000"/>
    <n v="0"/>
    <n v="8000"/>
    <n v="9000"/>
    <n v="20000"/>
    <n v="30000"/>
    <n v="0"/>
    <n v="0"/>
    <n v="0"/>
    <n v="0"/>
    <n v="-16000"/>
    <n v="1"/>
    <n v="0"/>
    <n v="0"/>
    <n v="0"/>
    <n v="0"/>
    <n v="0"/>
    <n v="0"/>
    <n v="2"/>
    <n v="3"/>
    <n v="80000"/>
    <n v="70000"/>
    <n v="56000"/>
    <n v="65000"/>
    <n v="100000"/>
    <n v="80000"/>
    <n v="72000"/>
    <n v="27"/>
    <m/>
    <n v="8"/>
    <n v="10"/>
    <n v="-2"/>
    <n v="-1"/>
    <n v="0"/>
    <n v="1"/>
    <s v="VIEW_SUMMARY"/>
    <n v="518"/>
    <n v="188"/>
    <n v="808"/>
    <n v="856"/>
    <m/>
    <x v="3"/>
    <n v="72"/>
    <s v="table1"/>
    <n v="16"/>
    <s v="240924_EPA_IntroDays_Ommen"/>
    <n v="21"/>
    <n v="18"/>
    <n v="1"/>
    <x v="2"/>
    <s v="(Natu-city)"/>
    <n v="-1"/>
    <n v="0"/>
    <n v="0"/>
    <s v="(Natu-city)"/>
  </r>
  <r>
    <n v="616"/>
    <d v="2024-09-24T10:32:22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19"/>
    <n v="170"/>
    <m/>
    <m/>
    <m/>
    <x v="0"/>
    <n v="72"/>
    <s v="table1"/>
    <n v="16"/>
    <s v="240924_EPA_IntroDays_Ommen"/>
    <n v="21"/>
    <n v="0"/>
    <n v="0"/>
    <x v="3"/>
    <s v=""/>
    <s v=""/>
    <n v="0"/>
    <n v="0"/>
    <s v=""/>
  </r>
  <r>
    <n v="654"/>
    <d v="2024-09-24T10:32:22"/>
    <n v="80000"/>
    <n v="40000"/>
    <n v="0"/>
    <n v="12500"/>
    <n v="0"/>
    <n v="0"/>
    <n v="20000"/>
    <n v="15000"/>
    <n v="0"/>
    <n v="0"/>
    <n v="0"/>
    <n v="7500"/>
    <n v="0"/>
    <n v="-1"/>
    <n v="1"/>
    <n v="0"/>
    <n v="1"/>
    <n v="0"/>
    <n v="0"/>
    <n v="4"/>
    <n v="5"/>
    <n v="130000"/>
    <n v="0"/>
    <n v="0"/>
    <n v="0"/>
    <n v="125000"/>
    <n v="125000"/>
    <n v="112500"/>
    <m/>
    <m/>
    <n v="8"/>
    <n v="7"/>
    <n v="0"/>
    <n v="0"/>
    <n v="1"/>
    <n v="1"/>
    <s v="VIEW_SUMMARY"/>
    <n v="519"/>
    <n v="179"/>
    <m/>
    <n v="807"/>
    <m/>
    <x v="1"/>
    <n v="72"/>
    <s v="table1"/>
    <n v="16"/>
    <s v="240924_EPA_IntroDays_Ommen"/>
    <n v="21"/>
    <n v="15"/>
    <n v="2"/>
    <x v="3"/>
    <s v="(U-village)"/>
    <n v="-1"/>
    <n v="0"/>
    <n v="15000"/>
    <s v="(U-village)"/>
  </r>
  <r>
    <n v="684"/>
    <d v="2024-09-24T10:32:22"/>
    <n v="80000"/>
    <n v="40000"/>
    <n v="0"/>
    <n v="12500"/>
    <n v="0"/>
    <n v="0"/>
    <n v="20000"/>
    <n v="6250"/>
    <n v="0"/>
    <n v="0"/>
    <n v="0"/>
    <n v="8750"/>
    <n v="0"/>
    <n v="0"/>
    <n v="0"/>
    <n v="1"/>
    <n v="0"/>
    <n v="0"/>
    <n v="0"/>
    <n v="5"/>
    <n v="5"/>
    <n v="130000"/>
    <n v="125000"/>
    <n v="112500"/>
    <n v="0"/>
    <n v="0"/>
    <n v="125000"/>
    <n v="100000"/>
    <m/>
    <m/>
    <n v="8"/>
    <n v="7"/>
    <n v="-2"/>
    <n v="-1"/>
    <n v="0"/>
    <n v="0"/>
    <s v="VIEW_SUMMARY"/>
    <n v="519"/>
    <n v="183"/>
    <n v="807"/>
    <n v="807"/>
    <m/>
    <x v="2"/>
    <n v="72"/>
    <s v="table1"/>
    <n v="16"/>
    <s v="240924_EPA_IntroDays_Ommen"/>
    <n v="21"/>
    <n v="15"/>
    <n v="0"/>
    <x v="3"/>
    <s v="(U-village)"/>
    <n v="1"/>
    <n v="0"/>
    <n v="6250"/>
    <s v="(U-village)"/>
  </r>
  <r>
    <n v="723"/>
    <d v="2024-09-24T10:32:22"/>
    <n v="80000"/>
    <n v="40000"/>
    <n v="0"/>
    <n v="12500"/>
    <n v="20000"/>
    <n v="0"/>
    <n v="20000"/>
    <n v="23500"/>
    <n v="0"/>
    <n v="0"/>
    <n v="0"/>
    <n v="12750"/>
    <n v="1"/>
    <n v="-1"/>
    <n v="0"/>
    <n v="3"/>
    <n v="0"/>
    <n v="0"/>
    <n v="0"/>
    <n v="6"/>
    <n v="5"/>
    <n v="130000"/>
    <n v="125000"/>
    <n v="100000"/>
    <n v="120000"/>
    <n v="125000"/>
    <n v="125000"/>
    <n v="112500"/>
    <n v="29"/>
    <s v="Nice neighbourhood."/>
    <n v="8"/>
    <n v="7"/>
    <n v="-2"/>
    <n v="-1"/>
    <n v="2"/>
    <n v="2"/>
    <s v="VIEW_SUMMARY"/>
    <n v="519"/>
    <n v="188"/>
    <n v="807"/>
    <n v="861"/>
    <m/>
    <x v="3"/>
    <n v="72"/>
    <s v="table1"/>
    <n v="16"/>
    <s v="240924_EPA_IntroDays_Ommen"/>
    <n v="21"/>
    <n v="15"/>
    <n v="4"/>
    <x v="3"/>
    <s v="(U-village)"/>
    <n v="1"/>
    <n v="0"/>
    <n v="23500"/>
    <s v="(U-village)"/>
  </r>
  <r>
    <n v="618"/>
    <d v="2024-09-24T10:32:26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20"/>
    <n v="170"/>
    <m/>
    <m/>
    <m/>
    <x v="0"/>
    <n v="72"/>
    <s v="table1"/>
    <n v="16"/>
    <s v="240924_EPA_IntroDays_Ommen"/>
    <n v="21"/>
    <n v="0"/>
    <n v="0"/>
    <x v="4"/>
    <s v=""/>
    <s v=""/>
    <n v="0"/>
    <n v="0"/>
    <s v=""/>
  </r>
  <r>
    <n v="650"/>
    <d v="2024-09-24T10:32:26"/>
    <n v="120000"/>
    <n v="65000"/>
    <n v="0"/>
    <n v="20000"/>
    <n v="0"/>
    <n v="0"/>
    <n v="15000"/>
    <n v="58000"/>
    <n v="0"/>
    <n v="0"/>
    <n v="0"/>
    <n v="12000"/>
    <n v="0"/>
    <n v="-1"/>
    <n v="1"/>
    <n v="2"/>
    <n v="0"/>
    <n v="0"/>
    <n v="0"/>
    <n v="7"/>
    <n v="7"/>
    <n v="200000"/>
    <n v="0"/>
    <n v="0"/>
    <n v="0"/>
    <n v="200000"/>
    <n v="200000"/>
    <n v="180000"/>
    <m/>
    <m/>
    <n v="8"/>
    <n v="10"/>
    <n v="0"/>
    <n v="0"/>
    <n v="3"/>
    <n v="1"/>
    <s v="VIEW_SUMMARY"/>
    <n v="520"/>
    <n v="179"/>
    <m/>
    <n v="800"/>
    <m/>
    <x v="1"/>
    <n v="72"/>
    <s v="table1"/>
    <n v="16"/>
    <s v="240924_EPA_IntroDays_Ommen"/>
    <n v="21"/>
    <n v="18"/>
    <n v="4"/>
    <x v="4"/>
    <s v="(Natu-city)"/>
    <n v="2"/>
    <n v="0"/>
    <n v="58000"/>
    <s v="(Natu-city)"/>
  </r>
  <r>
    <n v="683"/>
    <d v="2024-09-24T10:32:26"/>
    <n v="120000"/>
    <n v="65000"/>
    <n v="0"/>
    <n v="20000"/>
    <n v="0"/>
    <n v="0"/>
    <n v="15000"/>
    <n v="12000"/>
    <n v="0"/>
    <n v="0"/>
    <n v="0"/>
    <n v="20000"/>
    <n v="0"/>
    <n v="0"/>
    <n v="1"/>
    <n v="0"/>
    <n v="0"/>
    <n v="0"/>
    <n v="0"/>
    <n v="8"/>
    <n v="7"/>
    <n v="200000"/>
    <n v="200000"/>
    <n v="180000"/>
    <n v="0"/>
    <n v="0"/>
    <n v="200000"/>
    <n v="160000"/>
    <m/>
    <m/>
    <n v="8"/>
    <n v="10"/>
    <n v="-2"/>
    <n v="-1"/>
    <n v="1"/>
    <n v="0"/>
    <s v="VIEW_SUMMARY"/>
    <n v="520"/>
    <n v="183"/>
    <n v="800"/>
    <n v="800"/>
    <m/>
    <x v="2"/>
    <n v="72"/>
    <s v="table1"/>
    <n v="16"/>
    <s v="240924_EPA_IntroDays_Ommen"/>
    <n v="21"/>
    <n v="18"/>
    <n v="1"/>
    <x v="4"/>
    <s v="(Natu-city)"/>
    <n v="1"/>
    <n v="0"/>
    <n v="12000"/>
    <s v="(Natu-city)"/>
  </r>
  <r>
    <n v="721"/>
    <d v="2024-09-24T10:32:26"/>
    <n v="120000"/>
    <n v="65000"/>
    <n v="0"/>
    <n v="20000"/>
    <n v="0"/>
    <n v="0"/>
    <n v="30000"/>
    <n v="22000"/>
    <n v="0"/>
    <n v="0"/>
    <n v="0"/>
    <n v="3000"/>
    <n v="0"/>
    <n v="0"/>
    <n v="0"/>
    <n v="2"/>
    <n v="0"/>
    <n v="0"/>
    <n v="0"/>
    <n v="10"/>
    <n v="7"/>
    <n v="200000"/>
    <n v="200000"/>
    <n v="160000"/>
    <n v="0"/>
    <n v="0"/>
    <n v="200000"/>
    <n v="140000"/>
    <m/>
    <m/>
    <n v="8"/>
    <n v="10"/>
    <n v="-2"/>
    <n v="-1"/>
    <n v="0"/>
    <n v="0"/>
    <s v="VIEW_SUMMARY"/>
    <n v="520"/>
    <n v="188"/>
    <n v="800"/>
    <n v="800"/>
    <m/>
    <x v="3"/>
    <n v="72"/>
    <s v="table1"/>
    <n v="16"/>
    <s v="240924_EPA_IntroDays_Ommen"/>
    <n v="21"/>
    <n v="18"/>
    <n v="0"/>
    <x v="4"/>
    <s v="(Natu-city)"/>
    <n v="2"/>
    <n v="0"/>
    <n v="22000"/>
    <s v="(Natu-city)"/>
  </r>
  <r>
    <n v="622"/>
    <d v="2024-09-24T10:32:58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21"/>
    <n v="170"/>
    <m/>
    <m/>
    <m/>
    <x v="0"/>
    <n v="72"/>
    <s v="table1"/>
    <n v="16"/>
    <s v="240924_EPA_IntroDays_Ommen"/>
    <n v="21"/>
    <n v="0"/>
    <n v="0"/>
    <x v="5"/>
    <s v=""/>
    <s v=""/>
    <n v="0"/>
    <n v="0"/>
    <s v=""/>
  </r>
  <r>
    <n v="649"/>
    <d v="2024-09-24T10:32:58"/>
    <n v="180000"/>
    <n v="105000"/>
    <n v="0"/>
    <n v="30000"/>
    <n v="0"/>
    <n v="125000"/>
    <n v="15000"/>
    <n v="0"/>
    <n v="0"/>
    <n v="0"/>
    <n v="0"/>
    <n v="-15000"/>
    <n v="0"/>
    <n v="1"/>
    <n v="0"/>
    <n v="0"/>
    <n v="0"/>
    <n v="0"/>
    <n v="0"/>
    <n v="6"/>
    <n v="8"/>
    <n v="300000"/>
    <n v="0"/>
    <n v="0"/>
    <n v="0"/>
    <n v="425000"/>
    <n v="300000"/>
    <n v="270000"/>
    <m/>
    <m/>
    <n v="8"/>
    <n v="10"/>
    <n v="0"/>
    <n v="0"/>
    <n v="0"/>
    <n v="0"/>
    <s v="VIEW_SUMMARY"/>
    <n v="521"/>
    <n v="179"/>
    <m/>
    <n v="799"/>
    <m/>
    <x v="1"/>
    <n v="72"/>
    <s v="table1"/>
    <n v="16"/>
    <s v="240924_EPA_IntroDays_Ommen"/>
    <n v="21"/>
    <n v="18"/>
    <n v="0"/>
    <x v="5"/>
    <s v="(Natu-city)"/>
    <n v="1"/>
    <n v="0"/>
    <n v="0"/>
    <s v="(Natu-city)"/>
  </r>
  <r>
    <n v="680"/>
    <d v="2024-09-24T10:32:58"/>
    <n v="180000"/>
    <n v="105000"/>
    <n v="15000"/>
    <n v="30000"/>
    <n v="0"/>
    <n v="0"/>
    <n v="15000"/>
    <n v="15000"/>
    <n v="0"/>
    <n v="0"/>
    <n v="0"/>
    <n v="0"/>
    <n v="0"/>
    <n v="0"/>
    <n v="1"/>
    <n v="0"/>
    <n v="0"/>
    <n v="0"/>
    <n v="1"/>
    <n v="6"/>
    <n v="8"/>
    <n v="300000"/>
    <n v="300000"/>
    <n v="270000"/>
    <n v="0"/>
    <n v="0"/>
    <n v="300000"/>
    <n v="240000"/>
    <m/>
    <m/>
    <n v="8"/>
    <n v="10"/>
    <n v="-2"/>
    <n v="-1"/>
    <n v="1"/>
    <n v="1"/>
    <s v="VIEW_SUMMARY"/>
    <n v="521"/>
    <n v="183"/>
    <n v="799"/>
    <n v="799"/>
    <m/>
    <x v="2"/>
    <n v="72"/>
    <s v="table1"/>
    <n v="16"/>
    <s v="240924_EPA_IntroDays_Ommen"/>
    <n v="21"/>
    <n v="18"/>
    <n v="2"/>
    <x v="5"/>
    <s v="(Natu-city)"/>
    <n v="0"/>
    <n v="0"/>
    <n v="15000"/>
    <s v="(Natu-city)"/>
  </r>
  <r>
    <n v="720"/>
    <d v="2024-09-24T10:32:58"/>
    <n v="180000"/>
    <n v="105000"/>
    <n v="0"/>
    <n v="30000"/>
    <n v="0"/>
    <n v="0"/>
    <n v="30000"/>
    <n v="12000"/>
    <n v="0"/>
    <n v="0"/>
    <n v="0"/>
    <n v="3000"/>
    <n v="0"/>
    <n v="0"/>
    <n v="0"/>
    <n v="0"/>
    <n v="0"/>
    <n v="0"/>
    <n v="0"/>
    <n v="6"/>
    <n v="8"/>
    <n v="300000"/>
    <n v="300000"/>
    <n v="240000"/>
    <n v="0"/>
    <n v="0"/>
    <n v="300000"/>
    <n v="210000"/>
    <m/>
    <m/>
    <n v="8"/>
    <n v="10"/>
    <n v="-2"/>
    <n v="-1"/>
    <n v="1"/>
    <n v="1"/>
    <s v="VIEW_SUMMARY"/>
    <n v="521"/>
    <n v="188"/>
    <n v="799"/>
    <n v="799"/>
    <m/>
    <x v="3"/>
    <n v="72"/>
    <s v="table1"/>
    <n v="16"/>
    <s v="240924_EPA_IntroDays_Ommen"/>
    <n v="21"/>
    <n v="18"/>
    <n v="2"/>
    <x v="5"/>
    <s v="(Natu-city)"/>
    <n v="0"/>
    <n v="0"/>
    <n v="12000"/>
    <s v="(Natu-city)"/>
  </r>
  <r>
    <n v="617"/>
    <d v="2024-09-24T10:32:23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22"/>
    <n v="170"/>
    <m/>
    <m/>
    <m/>
    <x v="0"/>
    <n v="72"/>
    <s v="table1"/>
    <n v="16"/>
    <s v="240924_EPA_IntroDays_Ommen"/>
    <n v="21"/>
    <n v="0"/>
    <n v="0"/>
    <x v="1"/>
    <s v=""/>
    <s v=""/>
    <n v="0"/>
    <n v="0"/>
    <s v=""/>
  </r>
  <r>
    <n v="652"/>
    <d v="2024-09-24T10:32:23"/>
    <n v="100000"/>
    <n v="50000"/>
    <n v="0"/>
    <n v="16000"/>
    <n v="0"/>
    <n v="0"/>
    <n v="20000"/>
    <n v="14000"/>
    <n v="0"/>
    <n v="0"/>
    <n v="0"/>
    <n v="30000"/>
    <n v="0"/>
    <n v="-1"/>
    <n v="0"/>
    <n v="1"/>
    <n v="0"/>
    <n v="0"/>
    <n v="0"/>
    <n v="5"/>
    <n v="6"/>
    <n v="170000"/>
    <n v="0"/>
    <n v="0"/>
    <n v="0"/>
    <n v="160000"/>
    <n v="160000"/>
    <n v="144000"/>
    <m/>
    <m/>
    <n v="6"/>
    <n v="10"/>
    <n v="0"/>
    <n v="0"/>
    <n v="1"/>
    <n v="0"/>
    <s v="VIEW_SUMMARY"/>
    <n v="522"/>
    <n v="179"/>
    <m/>
    <n v="804"/>
    <m/>
    <x v="1"/>
    <n v="72"/>
    <s v="table1"/>
    <n v="16"/>
    <s v="240924_EPA_IntroDays_Ommen"/>
    <n v="21"/>
    <n v="16"/>
    <n v="1"/>
    <x v="1"/>
    <s v="(Dike-town)"/>
    <n v="0"/>
    <n v="0"/>
    <n v="14000"/>
    <s v="(Dike-town)"/>
  </r>
  <r>
    <n v="702"/>
    <d v="2024-09-24T10:32:23"/>
    <n v="100000"/>
    <n v="50000"/>
    <n v="0"/>
    <n v="16000"/>
    <n v="0"/>
    <n v="0"/>
    <n v="20000"/>
    <n v="28000"/>
    <n v="0"/>
    <n v="0"/>
    <n v="0"/>
    <n v="16000"/>
    <n v="0"/>
    <n v="0"/>
    <n v="1"/>
    <n v="2"/>
    <n v="0"/>
    <n v="0"/>
    <n v="0"/>
    <n v="8"/>
    <n v="6"/>
    <n v="170000"/>
    <n v="160000"/>
    <n v="144000"/>
    <n v="0"/>
    <n v="0"/>
    <n v="160000"/>
    <n v="128000"/>
    <m/>
    <m/>
    <n v="6"/>
    <n v="10"/>
    <n v="-2"/>
    <n v="-1"/>
    <n v="1"/>
    <n v="0"/>
    <s v="VIEW_SUMMARY"/>
    <n v="522"/>
    <n v="183"/>
    <n v="804"/>
    <n v="804"/>
    <m/>
    <x v="2"/>
    <n v="72"/>
    <s v="table1"/>
    <n v="16"/>
    <s v="240924_EPA_IntroDays_Ommen"/>
    <n v="21"/>
    <n v="16"/>
    <n v="1"/>
    <x v="1"/>
    <s v="(Dike-town)"/>
    <n v="3"/>
    <n v="0"/>
    <n v="28000"/>
    <s v="(Dike-town)"/>
  </r>
  <r>
    <n v="725"/>
    <d v="2024-09-24T10:32:23"/>
    <n v="100000"/>
    <n v="50000"/>
    <n v="0"/>
    <n v="16000"/>
    <n v="0"/>
    <n v="0"/>
    <n v="20000"/>
    <n v="3000"/>
    <n v="0"/>
    <n v="0"/>
    <n v="4000"/>
    <n v="23000"/>
    <n v="0"/>
    <n v="0"/>
    <n v="0"/>
    <n v="0"/>
    <n v="0"/>
    <n v="1"/>
    <n v="0"/>
    <n v="7"/>
    <n v="6"/>
    <n v="170000"/>
    <n v="160000"/>
    <n v="128000"/>
    <n v="0"/>
    <n v="0"/>
    <n v="160000"/>
    <n v="112000"/>
    <m/>
    <m/>
    <n v="6"/>
    <n v="10"/>
    <n v="-2"/>
    <n v="-1"/>
    <n v="0"/>
    <n v="1"/>
    <s v="VIEW_DAMAGE"/>
    <n v="522"/>
    <n v="188"/>
    <n v="804"/>
    <n v="804"/>
    <m/>
    <x v="3"/>
    <n v="72"/>
    <s v="table1"/>
    <n v="16"/>
    <s v="240924_EPA_IntroDays_Ommen"/>
    <n v="21"/>
    <n v="16"/>
    <n v="1"/>
    <x v="1"/>
    <s v="(Dike-town)"/>
    <n v="-1"/>
    <n v="4000"/>
    <n v="3000"/>
    <s v="(Dike-town)"/>
  </r>
  <r>
    <n v="746"/>
    <d v="2024-09-24T14:20:57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88"/>
    <n v="193"/>
    <m/>
    <m/>
    <m/>
    <x v="0"/>
    <n v="81"/>
    <s v="table10"/>
    <n v="16"/>
    <s v="240924_EPA_IntroDays_Ommen"/>
    <n v="21"/>
    <n v="0"/>
    <n v="0"/>
    <x v="0"/>
    <s v=""/>
    <s v=""/>
    <n v="0"/>
    <n v="0"/>
    <s v=""/>
  </r>
  <r>
    <n v="774"/>
    <d v="2024-09-24T14:20:57"/>
    <n v="65000"/>
    <n v="30000"/>
    <n v="0"/>
    <n v="11000"/>
    <n v="0"/>
    <n v="15000"/>
    <n v="20000"/>
    <n v="0"/>
    <n v="0"/>
    <n v="0"/>
    <n v="4000"/>
    <n v="-10000"/>
    <n v="0"/>
    <n v="0"/>
    <n v="0"/>
    <n v="0"/>
    <n v="0"/>
    <n v="1"/>
    <n v="0"/>
    <n v="4"/>
    <n v="4"/>
    <n v="110000"/>
    <n v="0"/>
    <n v="0"/>
    <n v="0"/>
    <n v="125000"/>
    <n v="110000"/>
    <n v="99000"/>
    <m/>
    <m/>
    <n v="8"/>
    <n v="7"/>
    <n v="0"/>
    <n v="0"/>
    <n v="0"/>
    <n v="0"/>
    <s v="VIEW_SUMMARY"/>
    <n v="588"/>
    <n v="195"/>
    <m/>
    <n v="882"/>
    <m/>
    <x v="1"/>
    <n v="81"/>
    <s v="table10"/>
    <n v="16"/>
    <s v="240924_EPA_IntroDays_Ommen"/>
    <n v="21"/>
    <n v="15"/>
    <n v="0"/>
    <x v="0"/>
    <s v="(U-village)"/>
    <n v="-1"/>
    <n v="4000"/>
    <n v="0"/>
    <s v="(U-village)"/>
  </r>
  <r>
    <n v="823"/>
    <d v="2024-09-24T14:20:57"/>
    <n v="65000"/>
    <n v="30000"/>
    <n v="10000"/>
    <n v="8000"/>
    <n v="26000"/>
    <n v="0"/>
    <n v="15000"/>
    <n v="24000"/>
    <n v="0"/>
    <n v="0"/>
    <n v="4000"/>
    <n v="0"/>
    <n v="1"/>
    <n v="-2"/>
    <n v="1"/>
    <n v="3"/>
    <n v="0"/>
    <n v="1"/>
    <n v="1"/>
    <n v="3"/>
    <n v="4"/>
    <n v="110000"/>
    <n v="110000"/>
    <n v="99000"/>
    <n v="125000"/>
    <n v="80000"/>
    <n v="80000"/>
    <n v="72000"/>
    <n v="28"/>
    <m/>
    <n v="6"/>
    <n v="10"/>
    <n v="-2"/>
    <n v="-1"/>
    <n v="1"/>
    <n v="0"/>
    <s v="VIEW_SUMMARY"/>
    <n v="588"/>
    <n v="200"/>
    <n v="882"/>
    <n v="926"/>
    <m/>
    <x v="2"/>
    <n v="81"/>
    <s v="table10"/>
    <n v="16"/>
    <s v="240924_EPA_IntroDays_Ommen"/>
    <n v="21"/>
    <n v="16"/>
    <n v="1"/>
    <x v="0"/>
    <s v="(Dike-town)"/>
    <n v="-1"/>
    <n v="4000"/>
    <n v="24000"/>
    <s v="(Dike-town)"/>
  </r>
  <r>
    <n v="871"/>
    <d v="2024-09-24T14:20:57"/>
    <n v="65000"/>
    <n v="30000"/>
    <n v="0"/>
    <n v="8000"/>
    <n v="0"/>
    <n v="0"/>
    <n v="20000"/>
    <n v="3000"/>
    <n v="0"/>
    <n v="0"/>
    <n v="0"/>
    <n v="4000"/>
    <n v="0"/>
    <n v="0"/>
    <n v="0"/>
    <n v="0"/>
    <n v="0"/>
    <n v="0"/>
    <n v="0"/>
    <n v="3"/>
    <n v="4"/>
    <n v="110000"/>
    <n v="80000"/>
    <n v="72000"/>
    <n v="0"/>
    <n v="0"/>
    <n v="80000"/>
    <n v="64000"/>
    <m/>
    <m/>
    <n v="6"/>
    <n v="10"/>
    <n v="-2"/>
    <n v="-1"/>
    <n v="0"/>
    <n v="1"/>
    <s v="VIEW_SUMMARY"/>
    <n v="588"/>
    <n v="206"/>
    <n v="926"/>
    <n v="926"/>
    <m/>
    <x v="3"/>
    <n v="81"/>
    <s v="table10"/>
    <n v="16"/>
    <s v="240924_EPA_IntroDays_Ommen"/>
    <n v="21"/>
    <n v="16"/>
    <n v="1"/>
    <x v="0"/>
    <s v="(Dike-town)"/>
    <n v="0"/>
    <n v="0"/>
    <n v="3000"/>
    <s v="(Dike-town)"/>
  </r>
  <r>
    <n v="745"/>
    <d v="2024-09-24T14:20:30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89"/>
    <n v="193"/>
    <m/>
    <m/>
    <m/>
    <x v="0"/>
    <n v="81"/>
    <s v="table10"/>
    <n v="16"/>
    <s v="240924_EPA_IntroDays_Ommen"/>
    <n v="21"/>
    <n v="0"/>
    <n v="0"/>
    <x v="1"/>
    <s v=""/>
    <s v=""/>
    <n v="0"/>
    <n v="0"/>
    <s v=""/>
  </r>
  <r>
    <n v="773"/>
    <d v="2024-09-24T14:20:30"/>
    <n v="100000"/>
    <n v="50000"/>
    <n v="0"/>
    <n v="10000"/>
    <n v="0"/>
    <n v="0"/>
    <n v="20000"/>
    <n v="12000"/>
    <n v="0"/>
    <n v="0"/>
    <n v="0"/>
    <n v="38000"/>
    <n v="0"/>
    <n v="-3"/>
    <n v="1"/>
    <n v="0"/>
    <n v="0"/>
    <n v="0"/>
    <n v="0"/>
    <n v="3"/>
    <n v="6"/>
    <n v="170000"/>
    <n v="0"/>
    <n v="0"/>
    <n v="0"/>
    <n v="100000"/>
    <n v="100000"/>
    <n v="90000"/>
    <m/>
    <m/>
    <n v="8"/>
    <n v="10"/>
    <n v="0"/>
    <n v="0"/>
    <n v="1"/>
    <n v="0"/>
    <s v="VIEW_SUMMARY"/>
    <n v="589"/>
    <n v="195"/>
    <m/>
    <n v="876"/>
    <m/>
    <x v="1"/>
    <n v="81"/>
    <s v="table10"/>
    <n v="16"/>
    <s v="240924_EPA_IntroDays_Ommen"/>
    <n v="21"/>
    <n v="18"/>
    <n v="1"/>
    <x v="1"/>
    <s v="(Natu-city)"/>
    <n v="-2"/>
    <n v="0"/>
    <n v="12000"/>
    <s v="(Natu-city)"/>
  </r>
  <r>
    <n v="825"/>
    <d v="2024-09-24T14:20:30"/>
    <n v="100000"/>
    <n v="50000"/>
    <n v="0"/>
    <n v="10000"/>
    <n v="0"/>
    <n v="0"/>
    <n v="15000"/>
    <n v="20000"/>
    <n v="0"/>
    <n v="0"/>
    <n v="4000"/>
    <n v="39000"/>
    <n v="0"/>
    <n v="0"/>
    <n v="1"/>
    <n v="0"/>
    <n v="0"/>
    <n v="1"/>
    <n v="0"/>
    <n v="3"/>
    <n v="6"/>
    <n v="170000"/>
    <n v="100000"/>
    <n v="90000"/>
    <n v="0"/>
    <n v="0"/>
    <n v="100000"/>
    <n v="80000"/>
    <m/>
    <m/>
    <n v="8"/>
    <n v="10"/>
    <n v="-2"/>
    <n v="-1"/>
    <n v="1"/>
    <n v="1"/>
    <s v="VIEW_SUMMARY"/>
    <n v="589"/>
    <n v="200"/>
    <n v="876"/>
    <n v="876"/>
    <m/>
    <x v="2"/>
    <n v="81"/>
    <s v="table10"/>
    <n v="16"/>
    <s v="240924_EPA_IntroDays_Ommen"/>
    <n v="21"/>
    <n v="18"/>
    <n v="2"/>
    <x v="1"/>
    <s v="(Natu-city)"/>
    <n v="0"/>
    <n v="4000"/>
    <n v="20000"/>
    <s v="(Natu-city)"/>
  </r>
  <r>
    <n v="870"/>
    <d v="2024-09-24T14:20:30"/>
    <n v="100000"/>
    <n v="50000"/>
    <n v="0"/>
    <n v="10000"/>
    <n v="0"/>
    <n v="0"/>
    <n v="20000"/>
    <n v="56000"/>
    <n v="0"/>
    <n v="0"/>
    <n v="0"/>
    <n v="3000"/>
    <n v="0"/>
    <n v="0"/>
    <n v="0"/>
    <n v="4"/>
    <n v="0"/>
    <n v="0"/>
    <n v="0"/>
    <n v="7"/>
    <n v="6"/>
    <n v="170000"/>
    <n v="100000"/>
    <n v="80000"/>
    <n v="0"/>
    <n v="0"/>
    <n v="100000"/>
    <n v="70000"/>
    <m/>
    <m/>
    <n v="8"/>
    <n v="10"/>
    <n v="-2"/>
    <n v="-1"/>
    <n v="2"/>
    <n v="2"/>
    <s v="VIEW_SUMMARY"/>
    <n v="589"/>
    <n v="206"/>
    <n v="876"/>
    <n v="876"/>
    <m/>
    <x v="3"/>
    <n v="81"/>
    <s v="table10"/>
    <n v="16"/>
    <s v="240924_EPA_IntroDays_Ommen"/>
    <n v="21"/>
    <n v="18"/>
    <n v="4"/>
    <x v="1"/>
    <s v="(Natu-city)"/>
    <n v="4"/>
    <n v="0"/>
    <n v="56000"/>
    <s v="(Natu-city)"/>
  </r>
  <r>
    <n v="765"/>
    <d v="2024-09-24T14:22:44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90"/>
    <n v="193"/>
    <m/>
    <m/>
    <m/>
    <x v="0"/>
    <n v="81"/>
    <s v="table10"/>
    <n v="16"/>
    <s v="240924_EPA_IntroDays_Ommen"/>
    <n v="21"/>
    <n v="0"/>
    <n v="0"/>
    <x v="2"/>
    <s v=""/>
    <s v=""/>
    <n v="0"/>
    <n v="0"/>
    <s v=""/>
  </r>
  <r>
    <n v="777"/>
    <d v="2024-09-24T14:22:44"/>
    <n v="50000"/>
    <n v="20000"/>
    <n v="0"/>
    <n v="8000"/>
    <n v="0"/>
    <n v="0"/>
    <n v="15000"/>
    <n v="3000"/>
    <n v="0"/>
    <n v="0"/>
    <n v="4000"/>
    <n v="0"/>
    <n v="0"/>
    <n v="-1"/>
    <n v="0"/>
    <n v="0"/>
    <n v="0"/>
    <n v="1"/>
    <n v="0"/>
    <n v="3"/>
    <n v="3"/>
    <n v="80000"/>
    <n v="0"/>
    <n v="0"/>
    <n v="0"/>
    <n v="80000"/>
    <n v="80000"/>
    <n v="72000"/>
    <m/>
    <m/>
    <n v="6"/>
    <n v="10"/>
    <n v="0"/>
    <n v="0"/>
    <n v="0"/>
    <n v="1"/>
    <s v="VIEW_SUMMARY"/>
    <n v="590"/>
    <n v="195"/>
    <m/>
    <n v="880"/>
    <m/>
    <x v="1"/>
    <n v="81"/>
    <s v="table10"/>
    <n v="16"/>
    <s v="240924_EPA_IntroDays_Ommen"/>
    <n v="21"/>
    <n v="16"/>
    <n v="1"/>
    <x v="2"/>
    <s v="(Dike-town)"/>
    <n v="-2"/>
    <n v="4000"/>
    <n v="3000"/>
    <s v="(Dike-town)"/>
  </r>
  <r>
    <n v="824"/>
    <d v="2024-09-24T14:22:44"/>
    <n v="50000"/>
    <n v="20000"/>
    <n v="0"/>
    <n v="8000"/>
    <n v="0"/>
    <n v="0"/>
    <n v="15000"/>
    <n v="4000"/>
    <n v="0"/>
    <n v="0"/>
    <n v="4000"/>
    <n v="-1000"/>
    <n v="0"/>
    <n v="0"/>
    <n v="0"/>
    <n v="1"/>
    <n v="0"/>
    <n v="1"/>
    <n v="0"/>
    <n v="3"/>
    <n v="3"/>
    <n v="80000"/>
    <n v="80000"/>
    <n v="72000"/>
    <n v="0"/>
    <n v="0"/>
    <n v="80000"/>
    <n v="64000"/>
    <m/>
    <m/>
    <n v="6"/>
    <n v="10"/>
    <n v="-2"/>
    <n v="-1"/>
    <n v="0"/>
    <n v="0"/>
    <s v="VIEW_SUMMARY"/>
    <n v="590"/>
    <n v="200"/>
    <n v="880"/>
    <n v="880"/>
    <m/>
    <x v="2"/>
    <n v="81"/>
    <s v="table10"/>
    <n v="16"/>
    <s v="240924_EPA_IntroDays_Ommen"/>
    <n v="21"/>
    <n v="16"/>
    <n v="0"/>
    <x v="2"/>
    <s v="(Dike-town)"/>
    <n v="0"/>
    <n v="4000"/>
    <n v="4000"/>
    <s v="(Dike-town)"/>
  </r>
  <r>
    <n v="869"/>
    <d v="2024-09-24T14:22:44"/>
    <n v="50000"/>
    <n v="20000"/>
    <n v="1000"/>
    <n v="8000"/>
    <n v="0"/>
    <n v="0"/>
    <n v="20000"/>
    <n v="0"/>
    <n v="0"/>
    <n v="0"/>
    <n v="0"/>
    <n v="1000"/>
    <n v="0"/>
    <n v="0"/>
    <n v="0"/>
    <n v="0"/>
    <n v="0"/>
    <n v="0"/>
    <n v="1"/>
    <n v="2"/>
    <n v="3"/>
    <n v="80000"/>
    <n v="80000"/>
    <n v="64000"/>
    <n v="0"/>
    <n v="0"/>
    <n v="80000"/>
    <n v="56000"/>
    <m/>
    <m/>
    <n v="6"/>
    <n v="10"/>
    <n v="-2"/>
    <n v="-1"/>
    <n v="0"/>
    <n v="0"/>
    <s v="VIEW_SUMMARY"/>
    <n v="590"/>
    <n v="206"/>
    <n v="880"/>
    <n v="880"/>
    <m/>
    <x v="3"/>
    <n v="81"/>
    <s v="table10"/>
    <n v="16"/>
    <s v="240924_EPA_IntroDays_Ommen"/>
    <n v="21"/>
    <n v="16"/>
    <n v="0"/>
    <x v="2"/>
    <s v="(Dike-town)"/>
    <n v="-1"/>
    <n v="0"/>
    <n v="0"/>
    <s v="(Dike-town)"/>
  </r>
  <r>
    <n v="770"/>
    <d v="2024-09-24T14:23:29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91"/>
    <n v="193"/>
    <m/>
    <m/>
    <m/>
    <x v="0"/>
    <n v="81"/>
    <s v="table10"/>
    <n v="16"/>
    <s v="240924_EPA_IntroDays_Ommen"/>
    <n v="21"/>
    <n v="0"/>
    <n v="0"/>
    <x v="3"/>
    <s v=""/>
    <s v=""/>
    <n v="0"/>
    <n v="0"/>
    <s v=""/>
  </r>
  <r>
    <n v="779"/>
    <d v="2024-09-24T14:23:29"/>
    <n v="80000"/>
    <n v="40000"/>
    <n v="0"/>
    <n v="13000"/>
    <n v="0"/>
    <n v="30000"/>
    <n v="15000"/>
    <n v="0"/>
    <n v="0"/>
    <n v="0"/>
    <n v="4000"/>
    <n v="-7000"/>
    <n v="0"/>
    <n v="0"/>
    <n v="0"/>
    <n v="0"/>
    <n v="0"/>
    <n v="1"/>
    <n v="0"/>
    <n v="4"/>
    <n v="5"/>
    <n v="130000"/>
    <n v="0"/>
    <n v="0"/>
    <n v="0"/>
    <n v="160000"/>
    <n v="130000"/>
    <n v="117000"/>
    <m/>
    <m/>
    <n v="6"/>
    <n v="10"/>
    <n v="0"/>
    <n v="0"/>
    <n v="0"/>
    <n v="0"/>
    <s v="VIEW_SUMMARY"/>
    <n v="591"/>
    <n v="195"/>
    <m/>
    <n v="878"/>
    <m/>
    <x v="1"/>
    <n v="81"/>
    <s v="table10"/>
    <n v="16"/>
    <s v="240924_EPA_IntroDays_Ommen"/>
    <n v="21"/>
    <n v="16"/>
    <n v="0"/>
    <x v="3"/>
    <s v="(Dike-town)"/>
    <n v="-1"/>
    <n v="4000"/>
    <n v="0"/>
    <s v="(Dike-town)"/>
  </r>
  <r>
    <n v="834"/>
    <d v="2024-09-24T14:23:29"/>
    <n v="80000"/>
    <n v="40000"/>
    <n v="7000"/>
    <n v="13000"/>
    <n v="0"/>
    <n v="0"/>
    <n v="15000"/>
    <n v="0"/>
    <n v="0"/>
    <n v="0"/>
    <n v="4000"/>
    <n v="1000"/>
    <n v="0"/>
    <n v="0"/>
    <n v="0"/>
    <n v="0"/>
    <n v="0"/>
    <n v="1"/>
    <n v="1"/>
    <n v="2"/>
    <n v="5"/>
    <n v="130000"/>
    <n v="130000"/>
    <n v="117000"/>
    <n v="0"/>
    <n v="0"/>
    <n v="130000"/>
    <n v="104000"/>
    <m/>
    <m/>
    <n v="6"/>
    <n v="10"/>
    <n v="-2"/>
    <n v="-1"/>
    <n v="0"/>
    <n v="0"/>
    <s v="VIEW_SUMMARY"/>
    <n v="591"/>
    <n v="200"/>
    <n v="878"/>
    <n v="878"/>
    <m/>
    <x v="2"/>
    <n v="81"/>
    <s v="table10"/>
    <n v="16"/>
    <s v="240924_EPA_IntroDays_Ommen"/>
    <n v="21"/>
    <n v="16"/>
    <n v="0"/>
    <x v="3"/>
    <s v="(Dike-town)"/>
    <n v="-2"/>
    <n v="4000"/>
    <n v="0"/>
    <s v="(Dike-town)"/>
  </r>
  <r>
    <n v="874"/>
    <d v="2024-09-24T14:23:29"/>
    <n v="80000"/>
    <n v="40000"/>
    <n v="0"/>
    <n v="12500"/>
    <n v="56000"/>
    <n v="0"/>
    <n v="20000"/>
    <n v="63250"/>
    <n v="0"/>
    <n v="0"/>
    <n v="0"/>
    <n v="1250"/>
    <n v="1"/>
    <n v="-1"/>
    <n v="2"/>
    <n v="3"/>
    <n v="0"/>
    <n v="0"/>
    <n v="0"/>
    <n v="5"/>
    <n v="5"/>
    <n v="130000"/>
    <n v="130000"/>
    <n v="104000"/>
    <n v="160000"/>
    <n v="125000"/>
    <n v="125000"/>
    <n v="112500"/>
    <n v="30"/>
    <m/>
    <n v="8"/>
    <n v="7"/>
    <n v="-2"/>
    <n v="-1"/>
    <n v="2"/>
    <n v="2"/>
    <s v="VIEW_SUMMARY"/>
    <n v="591"/>
    <n v="206"/>
    <n v="878"/>
    <n v="959"/>
    <m/>
    <x v="3"/>
    <n v="81"/>
    <s v="table10"/>
    <n v="16"/>
    <s v="240924_EPA_IntroDays_Ommen"/>
    <n v="21"/>
    <n v="15"/>
    <n v="4"/>
    <x v="3"/>
    <s v="(U-village)"/>
    <n v="3"/>
    <n v="0"/>
    <n v="63250"/>
    <s v="(U-village)"/>
  </r>
  <r>
    <n v="763"/>
    <d v="2024-09-24T14:21:57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92"/>
    <n v="193"/>
    <m/>
    <m/>
    <m/>
    <x v="0"/>
    <n v="81"/>
    <s v="table10"/>
    <n v="16"/>
    <s v="240924_EPA_IntroDays_Ommen"/>
    <n v="21"/>
    <n v="0"/>
    <n v="0"/>
    <x v="4"/>
    <s v=""/>
    <s v=""/>
    <n v="0"/>
    <n v="0"/>
    <s v=""/>
  </r>
  <r>
    <n v="778"/>
    <d v="2024-09-24T14:21:57"/>
    <n v="120000"/>
    <n v="65000"/>
    <n v="0"/>
    <n v="16000"/>
    <n v="0"/>
    <n v="0"/>
    <n v="15000"/>
    <n v="28000"/>
    <n v="0"/>
    <n v="0"/>
    <n v="4000"/>
    <n v="42000"/>
    <n v="0"/>
    <n v="-2"/>
    <n v="1"/>
    <n v="1"/>
    <n v="0"/>
    <n v="1"/>
    <n v="0"/>
    <n v="4"/>
    <n v="7"/>
    <n v="200000"/>
    <n v="0"/>
    <n v="0"/>
    <n v="0"/>
    <n v="160000"/>
    <n v="160000"/>
    <n v="144000"/>
    <m/>
    <m/>
    <n v="6"/>
    <n v="10"/>
    <n v="0"/>
    <n v="0"/>
    <n v="1"/>
    <n v="1"/>
    <s v="VIEW_SUMMARY"/>
    <n v="592"/>
    <n v="195"/>
    <m/>
    <n v="879"/>
    <m/>
    <x v="1"/>
    <n v="81"/>
    <s v="table10"/>
    <n v="16"/>
    <s v="240924_EPA_IntroDays_Ommen"/>
    <n v="21"/>
    <n v="16"/>
    <n v="2"/>
    <x v="4"/>
    <s v="(Dike-town)"/>
    <n v="-1"/>
    <n v="4000"/>
    <n v="28000"/>
    <s v="(Dike-town)"/>
  </r>
  <r>
    <n v="835"/>
    <d v="2024-09-24T14:21:57"/>
    <n v="120000"/>
    <n v="65000"/>
    <n v="0"/>
    <n v="20000"/>
    <n v="16000"/>
    <n v="0"/>
    <n v="15000"/>
    <n v="20000"/>
    <n v="0"/>
    <n v="0"/>
    <n v="4000"/>
    <n v="54000"/>
    <n v="1"/>
    <n v="-1"/>
    <n v="1"/>
    <n v="0"/>
    <n v="0"/>
    <n v="1"/>
    <n v="0"/>
    <n v="2"/>
    <n v="7"/>
    <n v="200000"/>
    <n v="160000"/>
    <n v="144000"/>
    <n v="160000"/>
    <n v="200000"/>
    <n v="200000"/>
    <n v="180000"/>
    <n v="27"/>
    <m/>
    <n v="8"/>
    <n v="10"/>
    <n v="-2"/>
    <n v="-1"/>
    <n v="1"/>
    <n v="1"/>
    <s v="VIEW_SUMMARY"/>
    <n v="592"/>
    <n v="200"/>
    <n v="879"/>
    <n v="924"/>
    <m/>
    <x v="2"/>
    <n v="81"/>
    <s v="table10"/>
    <n v="16"/>
    <s v="240924_EPA_IntroDays_Ommen"/>
    <n v="21"/>
    <n v="18"/>
    <n v="2"/>
    <x v="4"/>
    <s v="(Natu-city)"/>
    <n v="-2"/>
    <n v="4000"/>
    <n v="20000"/>
    <s v="(Natu-city)"/>
  </r>
  <r>
    <n v="873"/>
    <d v="2024-09-24T14:21:57"/>
    <n v="120000"/>
    <n v="65000"/>
    <n v="0"/>
    <n v="20000"/>
    <n v="0"/>
    <n v="0"/>
    <n v="20000"/>
    <n v="32000"/>
    <n v="0"/>
    <n v="0"/>
    <n v="0"/>
    <n v="37000"/>
    <n v="0"/>
    <n v="0"/>
    <n v="2"/>
    <n v="0"/>
    <n v="0"/>
    <n v="0"/>
    <n v="0"/>
    <n v="4"/>
    <n v="7"/>
    <n v="200000"/>
    <n v="200000"/>
    <n v="180000"/>
    <n v="0"/>
    <n v="0"/>
    <n v="200000"/>
    <n v="160000"/>
    <m/>
    <m/>
    <n v="8"/>
    <n v="10"/>
    <n v="-2"/>
    <n v="-1"/>
    <n v="2"/>
    <n v="0"/>
    <s v="VIEW_SUMMARY"/>
    <n v="592"/>
    <n v="206"/>
    <n v="924"/>
    <n v="924"/>
    <m/>
    <x v="3"/>
    <n v="81"/>
    <s v="table10"/>
    <n v="16"/>
    <s v="240924_EPA_IntroDays_Ommen"/>
    <n v="21"/>
    <n v="18"/>
    <n v="2"/>
    <x v="4"/>
    <s v="(Natu-city)"/>
    <n v="2"/>
    <n v="0"/>
    <n v="32000"/>
    <s v="(Natu-city)"/>
  </r>
  <r>
    <n v="771"/>
    <d v="2024-09-24T14:23:37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93"/>
    <n v="193"/>
    <m/>
    <m/>
    <m/>
    <x v="0"/>
    <n v="81"/>
    <s v="table10"/>
    <n v="16"/>
    <s v="240924_EPA_IntroDays_Ommen"/>
    <n v="21"/>
    <n v="0"/>
    <n v="0"/>
    <x v="5"/>
    <s v=""/>
    <s v=""/>
    <n v="0"/>
    <n v="0"/>
    <s v=""/>
  </r>
  <r>
    <n v="775"/>
    <d v="2024-09-24T14:23:37"/>
    <n v="180000"/>
    <n v="105000"/>
    <n v="0"/>
    <n v="20000"/>
    <n v="0"/>
    <n v="0"/>
    <n v="20000"/>
    <n v="40000"/>
    <n v="0"/>
    <n v="0"/>
    <n v="0"/>
    <n v="75000"/>
    <n v="0"/>
    <n v="-2"/>
    <n v="2"/>
    <n v="0"/>
    <n v="0"/>
    <n v="0"/>
    <n v="0"/>
    <n v="5"/>
    <n v="8"/>
    <n v="300000"/>
    <n v="0"/>
    <n v="0"/>
    <n v="0"/>
    <n v="200000"/>
    <n v="200000"/>
    <n v="180000"/>
    <m/>
    <m/>
    <n v="8"/>
    <n v="10"/>
    <n v="0"/>
    <n v="0"/>
    <n v="2"/>
    <n v="1"/>
    <s v="VIEW_SUMMARY"/>
    <n v="593"/>
    <n v="195"/>
    <m/>
    <n v="875"/>
    <m/>
    <x v="1"/>
    <n v="81"/>
    <s v="table10"/>
    <n v="16"/>
    <s v="240924_EPA_IntroDays_Ommen"/>
    <n v="21"/>
    <n v="18"/>
    <n v="3"/>
    <x v="5"/>
    <s v="(Natu-city)"/>
    <n v="0"/>
    <n v="0"/>
    <n v="40000"/>
    <s v="(Natu-city)"/>
  </r>
  <r>
    <n v="821"/>
    <d v="2024-09-24T14:23:37"/>
    <n v="180000"/>
    <n v="105000"/>
    <n v="0"/>
    <n v="20000"/>
    <n v="0"/>
    <n v="0"/>
    <n v="15000"/>
    <n v="68000"/>
    <n v="0"/>
    <n v="0"/>
    <n v="4000"/>
    <n v="43000"/>
    <n v="0"/>
    <n v="0"/>
    <n v="1"/>
    <n v="3"/>
    <n v="0"/>
    <n v="1"/>
    <n v="0"/>
    <n v="8"/>
    <n v="8"/>
    <n v="300000"/>
    <n v="200000"/>
    <n v="180000"/>
    <n v="0"/>
    <n v="0"/>
    <n v="200000"/>
    <n v="160000"/>
    <m/>
    <m/>
    <n v="8"/>
    <n v="10"/>
    <n v="-2"/>
    <n v="-1"/>
    <n v="3"/>
    <n v="1"/>
    <s v="VIEW_SUMMARY"/>
    <n v="593"/>
    <n v="200"/>
    <n v="875"/>
    <n v="875"/>
    <m/>
    <x v="2"/>
    <n v="81"/>
    <s v="table10"/>
    <n v="16"/>
    <s v="240924_EPA_IntroDays_Ommen"/>
    <n v="21"/>
    <n v="18"/>
    <n v="4"/>
    <x v="5"/>
    <s v="(Natu-city)"/>
    <n v="3"/>
    <n v="4000"/>
    <n v="68000"/>
    <s v="(Natu-city)"/>
  </r>
  <r>
    <n v="872"/>
    <d v="2024-09-24T14:23:37"/>
    <n v="180000"/>
    <n v="105000"/>
    <n v="0"/>
    <n v="20000"/>
    <n v="0"/>
    <n v="0"/>
    <n v="20000"/>
    <n v="33000"/>
    <n v="0"/>
    <n v="0"/>
    <n v="0"/>
    <n v="45000"/>
    <n v="0"/>
    <n v="0"/>
    <n v="0"/>
    <n v="1"/>
    <n v="0"/>
    <n v="0"/>
    <n v="0"/>
    <n v="9"/>
    <n v="8"/>
    <n v="300000"/>
    <n v="200000"/>
    <n v="160000"/>
    <n v="0"/>
    <n v="0"/>
    <n v="200000"/>
    <n v="140000"/>
    <m/>
    <m/>
    <n v="8"/>
    <n v="10"/>
    <n v="-2"/>
    <n v="-1"/>
    <n v="0"/>
    <n v="1"/>
    <s v="VIEW_SUMMARY"/>
    <n v="593"/>
    <n v="206"/>
    <n v="875"/>
    <n v="875"/>
    <m/>
    <x v="3"/>
    <n v="81"/>
    <s v="table10"/>
    <n v="16"/>
    <s v="240924_EPA_IntroDays_Ommen"/>
    <n v="21"/>
    <n v="18"/>
    <n v="1"/>
    <x v="5"/>
    <s v="(Natu-city)"/>
    <n v="1"/>
    <n v="0"/>
    <n v="33000"/>
    <s v="(Natu-city)"/>
  </r>
  <r>
    <n v="749"/>
    <d v="2024-09-24T14:21:00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94"/>
    <n v="193"/>
    <m/>
    <m/>
    <m/>
    <x v="0"/>
    <n v="81"/>
    <s v="table10"/>
    <n v="16"/>
    <s v="240924_EPA_IntroDays_Ommen"/>
    <n v="21"/>
    <n v="0"/>
    <n v="0"/>
    <x v="1"/>
    <s v=""/>
    <s v=""/>
    <n v="0"/>
    <n v="0"/>
    <s v=""/>
  </r>
  <r>
    <n v="776"/>
    <d v="2024-09-24T14:21:00"/>
    <n v="100000"/>
    <n v="50000"/>
    <n v="0"/>
    <n v="17000"/>
    <n v="0"/>
    <n v="30000"/>
    <n v="20000"/>
    <n v="6000"/>
    <n v="0"/>
    <n v="0"/>
    <n v="0"/>
    <n v="7000"/>
    <n v="0"/>
    <n v="0"/>
    <n v="0"/>
    <n v="0"/>
    <n v="0"/>
    <n v="0"/>
    <n v="0"/>
    <n v="5"/>
    <n v="6"/>
    <n v="170000"/>
    <n v="0"/>
    <n v="0"/>
    <n v="0"/>
    <n v="200000"/>
    <n v="170000"/>
    <n v="153000"/>
    <m/>
    <m/>
    <n v="8"/>
    <n v="7"/>
    <n v="0"/>
    <n v="0"/>
    <n v="1"/>
    <n v="0"/>
    <s v="VIEW_SUMMARY"/>
    <n v="594"/>
    <n v="195"/>
    <m/>
    <n v="881"/>
    <m/>
    <x v="1"/>
    <n v="81"/>
    <s v="table10"/>
    <n v="16"/>
    <s v="240924_EPA_IntroDays_Ommen"/>
    <n v="21"/>
    <n v="15"/>
    <n v="1"/>
    <x v="1"/>
    <s v="(U-village)"/>
    <n v="0"/>
    <n v="0"/>
    <n v="6000"/>
    <s v="(U-village)"/>
  </r>
  <r>
    <n v="822"/>
    <d v="2024-09-24T14:21:00"/>
    <n v="100000"/>
    <n v="50000"/>
    <n v="0"/>
    <n v="17000"/>
    <n v="0"/>
    <n v="0"/>
    <n v="20000"/>
    <n v="15000"/>
    <n v="0"/>
    <n v="0"/>
    <n v="4000"/>
    <n v="1000"/>
    <n v="0"/>
    <n v="0"/>
    <n v="0"/>
    <n v="0"/>
    <n v="0"/>
    <n v="1"/>
    <n v="0"/>
    <n v="4"/>
    <n v="6"/>
    <n v="170000"/>
    <n v="170000"/>
    <n v="153000"/>
    <n v="0"/>
    <n v="0"/>
    <n v="170000"/>
    <n v="136000"/>
    <m/>
    <m/>
    <n v="8"/>
    <n v="7"/>
    <n v="-2"/>
    <n v="-1"/>
    <n v="1"/>
    <n v="2"/>
    <s v="VIEW_SUMMARY"/>
    <n v="594"/>
    <n v="200"/>
    <n v="881"/>
    <n v="881"/>
    <m/>
    <x v="2"/>
    <n v="81"/>
    <s v="table10"/>
    <n v="16"/>
    <s v="240924_EPA_IntroDays_Ommen"/>
    <n v="21"/>
    <n v="15"/>
    <n v="3"/>
    <x v="1"/>
    <s v="(U-village)"/>
    <n v="-1"/>
    <n v="4000"/>
    <n v="15000"/>
    <s v="(U-village)"/>
  </r>
  <r>
    <n v="868"/>
    <d v="2024-09-24T14:21:00"/>
    <n v="100000"/>
    <n v="50000"/>
    <n v="0"/>
    <n v="17000"/>
    <n v="0"/>
    <n v="0"/>
    <n v="20000"/>
    <n v="12000"/>
    <n v="0"/>
    <n v="0"/>
    <n v="0"/>
    <n v="2000"/>
    <n v="0"/>
    <n v="0"/>
    <n v="1"/>
    <n v="0"/>
    <n v="0"/>
    <n v="0"/>
    <n v="0"/>
    <n v="5"/>
    <n v="6"/>
    <n v="170000"/>
    <n v="170000"/>
    <n v="136000"/>
    <n v="0"/>
    <n v="0"/>
    <n v="170000"/>
    <n v="119000"/>
    <m/>
    <m/>
    <n v="8"/>
    <n v="7"/>
    <n v="-2"/>
    <n v="-1"/>
    <n v="1"/>
    <n v="0"/>
    <s v="VIEW_SUMMARY"/>
    <n v="594"/>
    <n v="206"/>
    <n v="881"/>
    <n v="881"/>
    <m/>
    <x v="3"/>
    <n v="81"/>
    <s v="table10"/>
    <n v="16"/>
    <s v="240924_EPA_IntroDays_Ommen"/>
    <n v="21"/>
    <n v="15"/>
    <n v="1"/>
    <x v="1"/>
    <s v="(U-village)"/>
    <n v="1"/>
    <n v="0"/>
    <n v="12000"/>
    <s v="(U-village)"/>
  </r>
  <r>
    <n v="756"/>
    <d v="2024-09-24T14:21:24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95"/>
    <n v="193"/>
    <m/>
    <m/>
    <m/>
    <x v="0"/>
    <n v="81"/>
    <s v="table10"/>
    <n v="16"/>
    <s v="240924_EPA_IntroDays_Ommen"/>
    <n v="21"/>
    <n v="0"/>
    <n v="0"/>
    <x v="1"/>
    <s v=""/>
    <s v=""/>
    <n v="0"/>
    <n v="0"/>
    <s v=""/>
  </r>
  <r>
    <n v="600"/>
    <d v="2024-09-24T10:30:19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24"/>
    <n v="174"/>
    <m/>
    <m/>
    <m/>
    <x v="0"/>
    <n v="73"/>
    <s v="table2"/>
    <n v="16"/>
    <s v="240924_EPA_IntroDays_Ommen"/>
    <n v="21"/>
    <n v="0"/>
    <n v="0"/>
    <x v="0"/>
    <s v=""/>
    <s v=""/>
    <n v="0"/>
    <n v="0"/>
    <s v=""/>
  </r>
  <r>
    <n v="633"/>
    <d v="2024-09-24T10:30:19"/>
    <n v="65000"/>
    <n v="30000"/>
    <n v="0"/>
    <n v="10000"/>
    <n v="0"/>
    <n v="0"/>
    <n v="20000"/>
    <n v="8000"/>
    <n v="0"/>
    <n v="0"/>
    <n v="0"/>
    <n v="2000"/>
    <n v="0"/>
    <n v="-1"/>
    <n v="0"/>
    <n v="1"/>
    <n v="0"/>
    <n v="0"/>
    <n v="0"/>
    <n v="5"/>
    <n v="4"/>
    <n v="110000"/>
    <n v="0"/>
    <n v="0"/>
    <n v="0"/>
    <n v="100000"/>
    <n v="100000"/>
    <n v="90000"/>
    <m/>
    <m/>
    <n v="8"/>
    <n v="10"/>
    <n v="0"/>
    <n v="0"/>
    <n v="0"/>
    <n v="1"/>
    <s v="VIEW_SUMMARY"/>
    <n v="524"/>
    <n v="177"/>
    <m/>
    <n v="781"/>
    <m/>
    <x v="1"/>
    <n v="73"/>
    <s v="table2"/>
    <n v="16"/>
    <s v="240924_EPA_IntroDays_Ommen"/>
    <n v="21"/>
    <n v="18"/>
    <n v="1"/>
    <x v="0"/>
    <s v="(Natu-city)"/>
    <n v="0"/>
    <n v="0"/>
    <n v="8000"/>
    <s v="(Natu-city)"/>
  </r>
  <r>
    <n v="666"/>
    <d v="2024-09-24T10:30:19"/>
    <n v="65000"/>
    <n v="30000"/>
    <n v="0"/>
    <n v="10000"/>
    <n v="0"/>
    <n v="0"/>
    <n v="20000"/>
    <n v="0"/>
    <n v="0"/>
    <n v="0"/>
    <n v="0"/>
    <n v="7000"/>
    <n v="0"/>
    <n v="0"/>
    <n v="0"/>
    <n v="0"/>
    <n v="0"/>
    <n v="0"/>
    <n v="0"/>
    <n v="5"/>
    <n v="4"/>
    <n v="110000"/>
    <n v="100000"/>
    <n v="90000"/>
    <n v="0"/>
    <n v="0"/>
    <n v="100000"/>
    <n v="80000"/>
    <m/>
    <m/>
    <n v="8"/>
    <n v="10"/>
    <n v="-2"/>
    <n v="-1"/>
    <n v="0"/>
    <n v="0"/>
    <s v="VIEW_SUMMARY"/>
    <n v="524"/>
    <n v="181"/>
    <n v="781"/>
    <n v="781"/>
    <m/>
    <x v="2"/>
    <n v="73"/>
    <s v="table2"/>
    <n v="16"/>
    <s v="240924_EPA_IntroDays_Ommen"/>
    <n v="21"/>
    <n v="18"/>
    <n v="0"/>
    <x v="0"/>
    <s v="(Natu-city)"/>
    <n v="0"/>
    <n v="0"/>
    <n v="0"/>
    <s v="(Natu-city)"/>
  </r>
  <r>
    <n v="704"/>
    <d v="2024-09-24T10:30:19"/>
    <n v="65000"/>
    <n v="30000"/>
    <n v="0"/>
    <n v="10000"/>
    <n v="0"/>
    <n v="0"/>
    <n v="20000"/>
    <n v="12000"/>
    <n v="0"/>
    <n v="0"/>
    <n v="0"/>
    <n v="0"/>
    <n v="0"/>
    <n v="0"/>
    <n v="1"/>
    <n v="0"/>
    <n v="0"/>
    <n v="0"/>
    <n v="0"/>
    <n v="6"/>
    <n v="4"/>
    <n v="110000"/>
    <n v="100000"/>
    <n v="80000"/>
    <n v="0"/>
    <n v="0"/>
    <n v="100000"/>
    <n v="70000"/>
    <m/>
    <m/>
    <n v="8"/>
    <n v="10"/>
    <n v="-2"/>
    <n v="-1"/>
    <n v="1"/>
    <n v="0"/>
    <s v="VIEW_SUMMARY"/>
    <n v="524"/>
    <n v="186"/>
    <n v="781"/>
    <n v="781"/>
    <m/>
    <x v="3"/>
    <n v="73"/>
    <s v="table2"/>
    <n v="16"/>
    <s v="240924_EPA_IntroDays_Ommen"/>
    <n v="21"/>
    <n v="18"/>
    <n v="1"/>
    <x v="0"/>
    <s v="(Natu-city)"/>
    <n v="1"/>
    <n v="0"/>
    <n v="12000"/>
    <s v="(Natu-city)"/>
  </r>
  <r>
    <n v="594"/>
    <d v="2024-09-24T10:29:54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25"/>
    <n v="174"/>
    <m/>
    <m/>
    <m/>
    <x v="0"/>
    <n v="73"/>
    <s v="table2"/>
    <n v="16"/>
    <s v="240924_EPA_IntroDays_Ommen"/>
    <n v="21"/>
    <n v="0"/>
    <n v="0"/>
    <x v="1"/>
    <s v=""/>
    <s v=""/>
    <n v="0"/>
    <n v="0"/>
    <s v=""/>
  </r>
  <r>
    <n v="637"/>
    <d v="2024-09-24T10:29:54"/>
    <n v="100000"/>
    <n v="50000"/>
    <n v="0"/>
    <n v="17000"/>
    <n v="0"/>
    <n v="30000"/>
    <n v="20000"/>
    <n v="0"/>
    <n v="0"/>
    <n v="0"/>
    <n v="0"/>
    <n v="13000"/>
    <n v="0"/>
    <n v="0"/>
    <n v="0"/>
    <n v="0"/>
    <n v="0"/>
    <n v="0"/>
    <n v="0"/>
    <n v="5"/>
    <n v="6"/>
    <n v="170000"/>
    <n v="0"/>
    <n v="0"/>
    <n v="0"/>
    <n v="200000"/>
    <n v="170000"/>
    <n v="153000"/>
    <m/>
    <m/>
    <n v="8"/>
    <n v="10"/>
    <n v="0"/>
    <n v="0"/>
    <n v="0"/>
    <n v="0"/>
    <s v="VIEW_SUMMARY"/>
    <n v="525"/>
    <n v="177"/>
    <m/>
    <n v="780"/>
    <m/>
    <x v="1"/>
    <n v="73"/>
    <s v="table2"/>
    <n v="16"/>
    <s v="240924_EPA_IntroDays_Ommen"/>
    <n v="21"/>
    <n v="18"/>
    <n v="0"/>
    <x v="1"/>
    <s v="(Natu-city)"/>
    <n v="0"/>
    <n v="0"/>
    <n v="0"/>
    <s v="(Natu-city)"/>
  </r>
  <r>
    <n v="667"/>
    <d v="2024-09-24T10:29:54"/>
    <n v="100000"/>
    <n v="50000"/>
    <n v="0"/>
    <n v="17000"/>
    <n v="0"/>
    <n v="0"/>
    <n v="20000"/>
    <n v="6000"/>
    <n v="0"/>
    <n v="0"/>
    <n v="0"/>
    <n v="20000"/>
    <n v="0"/>
    <n v="0"/>
    <n v="0"/>
    <n v="0"/>
    <n v="0"/>
    <n v="0"/>
    <n v="0"/>
    <n v="5"/>
    <n v="6"/>
    <n v="170000"/>
    <n v="170000"/>
    <n v="153000"/>
    <n v="0"/>
    <n v="0"/>
    <n v="170000"/>
    <n v="136000"/>
    <m/>
    <m/>
    <n v="8"/>
    <n v="10"/>
    <n v="-2"/>
    <n v="-1"/>
    <n v="1"/>
    <n v="0"/>
    <s v="VIEW_SUMMARY"/>
    <n v="525"/>
    <n v="181"/>
    <n v="780"/>
    <n v="780"/>
    <m/>
    <x v="2"/>
    <n v="73"/>
    <s v="table2"/>
    <n v="16"/>
    <s v="240924_EPA_IntroDays_Ommen"/>
    <n v="21"/>
    <n v="18"/>
    <n v="1"/>
    <x v="1"/>
    <s v="(Natu-city)"/>
    <n v="0"/>
    <n v="0"/>
    <n v="6000"/>
    <s v="(Natu-city)"/>
  </r>
  <r>
    <n v="705"/>
    <d v="2024-09-24T10:29:54"/>
    <n v="100000"/>
    <n v="50000"/>
    <n v="0"/>
    <n v="17000"/>
    <n v="0"/>
    <n v="0"/>
    <n v="20000"/>
    <n v="20000"/>
    <n v="0"/>
    <n v="0"/>
    <n v="0"/>
    <n v="13000"/>
    <n v="0"/>
    <n v="0"/>
    <n v="1"/>
    <n v="0"/>
    <n v="0"/>
    <n v="0"/>
    <n v="0"/>
    <n v="6"/>
    <n v="6"/>
    <n v="170000"/>
    <n v="170000"/>
    <n v="136000"/>
    <n v="0"/>
    <n v="0"/>
    <n v="170000"/>
    <n v="119000"/>
    <m/>
    <m/>
    <n v="8"/>
    <n v="10"/>
    <n v="-2"/>
    <n v="-1"/>
    <n v="1"/>
    <n v="1"/>
    <s v="VIEW_SUMMARY"/>
    <n v="525"/>
    <n v="186"/>
    <n v="780"/>
    <n v="780"/>
    <m/>
    <x v="3"/>
    <n v="73"/>
    <s v="table2"/>
    <n v="16"/>
    <s v="240924_EPA_IntroDays_Ommen"/>
    <n v="21"/>
    <n v="18"/>
    <n v="2"/>
    <x v="1"/>
    <s v="(Natu-city)"/>
    <n v="1"/>
    <n v="0"/>
    <n v="20000"/>
    <s v="(Natu-city)"/>
  </r>
  <r>
    <n v="597"/>
    <d v="2024-09-24T10:30:06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26"/>
    <n v="174"/>
    <m/>
    <m/>
    <m/>
    <x v="0"/>
    <n v="73"/>
    <s v="table2"/>
    <n v="16"/>
    <s v="240924_EPA_IntroDays_Ommen"/>
    <n v="21"/>
    <n v="0"/>
    <n v="0"/>
    <x v="2"/>
    <s v=""/>
    <s v=""/>
    <n v="0"/>
    <n v="0"/>
    <s v=""/>
  </r>
  <r>
    <n v="635"/>
    <d v="2024-09-24T10:30:06"/>
    <n v="50000"/>
    <n v="20000"/>
    <n v="0"/>
    <n v="7000"/>
    <n v="0"/>
    <n v="0"/>
    <n v="15000"/>
    <n v="6000"/>
    <n v="0"/>
    <n v="0"/>
    <n v="0"/>
    <n v="2000"/>
    <n v="0"/>
    <n v="-1"/>
    <n v="0"/>
    <n v="0"/>
    <n v="0"/>
    <n v="0"/>
    <n v="0"/>
    <n v="4"/>
    <n v="3"/>
    <n v="80000"/>
    <n v="0"/>
    <n v="0"/>
    <n v="0"/>
    <n v="70000"/>
    <n v="70000"/>
    <n v="63000"/>
    <m/>
    <m/>
    <n v="8"/>
    <n v="7"/>
    <n v="0"/>
    <n v="0"/>
    <n v="1"/>
    <n v="0"/>
    <s v="VIEW_SUMMARY"/>
    <n v="526"/>
    <n v="177"/>
    <m/>
    <n v="788"/>
    <m/>
    <x v="1"/>
    <n v="73"/>
    <s v="table2"/>
    <n v="16"/>
    <s v="240924_EPA_IntroDays_Ommen"/>
    <n v="21"/>
    <n v="15"/>
    <n v="1"/>
    <x v="2"/>
    <s v="(U-village)"/>
    <n v="-1"/>
    <n v="0"/>
    <n v="6000"/>
    <s v="(U-village)"/>
  </r>
  <r>
    <n v="669"/>
    <d v="2024-09-24T10:30:06"/>
    <n v="50000"/>
    <n v="20000"/>
    <n v="0"/>
    <n v="7000"/>
    <n v="0"/>
    <n v="0"/>
    <n v="15000"/>
    <n v="7000"/>
    <n v="0"/>
    <n v="8000"/>
    <n v="0"/>
    <n v="-5000"/>
    <n v="0"/>
    <n v="0"/>
    <n v="0"/>
    <n v="0"/>
    <n v="3"/>
    <n v="0"/>
    <n v="0"/>
    <n v="1"/>
    <n v="3"/>
    <n v="80000"/>
    <n v="70000"/>
    <n v="63000"/>
    <n v="0"/>
    <n v="0"/>
    <n v="70000"/>
    <n v="56000"/>
    <m/>
    <m/>
    <n v="8"/>
    <n v="7"/>
    <n v="-2"/>
    <n v="-1"/>
    <n v="0"/>
    <n v="0"/>
    <s v="VIEW_SUMMARY"/>
    <n v="526"/>
    <n v="181"/>
    <n v="788"/>
    <n v="788"/>
    <m/>
    <x v="2"/>
    <n v="73"/>
    <s v="table2"/>
    <n v="16"/>
    <s v="240924_EPA_IntroDays_Ommen"/>
    <n v="21"/>
    <n v="15"/>
    <n v="0"/>
    <x v="2"/>
    <s v="(U-village)"/>
    <n v="-3"/>
    <n v="8000"/>
    <n v="7000"/>
    <s v="(U-village)"/>
  </r>
  <r>
    <n v="707"/>
    <d v="2024-09-24T10:30:06"/>
    <n v="50000"/>
    <n v="20000"/>
    <n v="5000"/>
    <n v="7000"/>
    <n v="0"/>
    <n v="0"/>
    <n v="15000"/>
    <n v="3000"/>
    <n v="0"/>
    <n v="0"/>
    <n v="0"/>
    <n v="0"/>
    <n v="0"/>
    <n v="0"/>
    <n v="0"/>
    <n v="0"/>
    <n v="0"/>
    <n v="0"/>
    <n v="1"/>
    <n v="0"/>
    <n v="3"/>
    <n v="80000"/>
    <n v="70000"/>
    <n v="56000"/>
    <n v="0"/>
    <n v="0"/>
    <n v="70000"/>
    <n v="49000"/>
    <m/>
    <m/>
    <n v="8"/>
    <n v="7"/>
    <n v="-2"/>
    <n v="-1"/>
    <n v="0"/>
    <n v="1"/>
    <s v="VIEW_SUMMARY"/>
    <n v="526"/>
    <n v="186"/>
    <n v="788"/>
    <n v="788"/>
    <m/>
    <x v="3"/>
    <n v="73"/>
    <s v="table2"/>
    <n v="16"/>
    <s v="240924_EPA_IntroDays_Ommen"/>
    <n v="21"/>
    <n v="15"/>
    <n v="1"/>
    <x v="2"/>
    <s v="(U-village)"/>
    <n v="-1"/>
    <n v="0"/>
    <n v="3000"/>
    <s v="(U-village)"/>
  </r>
  <r>
    <n v="598"/>
    <d v="2024-09-24T10:30:07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27"/>
    <n v="174"/>
    <m/>
    <m/>
    <m/>
    <x v="0"/>
    <n v="73"/>
    <s v="table2"/>
    <n v="16"/>
    <s v="240924_EPA_IntroDays_Ommen"/>
    <n v="21"/>
    <n v="0"/>
    <n v="0"/>
    <x v="3"/>
    <s v=""/>
    <s v=""/>
    <n v="0"/>
    <n v="0"/>
    <s v=""/>
  </r>
  <r>
    <n v="640"/>
    <d v="2024-09-24T10:30:07"/>
    <n v="80000"/>
    <n v="40000"/>
    <n v="0"/>
    <n v="12500"/>
    <n v="0"/>
    <n v="0"/>
    <n v="15000"/>
    <n v="12000"/>
    <n v="0"/>
    <n v="0"/>
    <n v="0"/>
    <n v="15500"/>
    <n v="0"/>
    <n v="-1"/>
    <n v="0"/>
    <n v="0"/>
    <n v="0"/>
    <n v="0"/>
    <n v="0"/>
    <n v="4"/>
    <n v="5"/>
    <n v="130000"/>
    <n v="0"/>
    <n v="0"/>
    <n v="0"/>
    <n v="125000"/>
    <n v="125000"/>
    <n v="112500"/>
    <m/>
    <m/>
    <n v="8"/>
    <n v="7"/>
    <n v="0"/>
    <n v="0"/>
    <n v="1"/>
    <n v="1"/>
    <s v="VIEW_SUMMARY"/>
    <n v="527"/>
    <n v="177"/>
    <m/>
    <n v="787"/>
    <m/>
    <x v="1"/>
    <n v="73"/>
    <s v="table2"/>
    <n v="16"/>
    <s v="240924_EPA_IntroDays_Ommen"/>
    <n v="21"/>
    <n v="15"/>
    <n v="2"/>
    <x v="3"/>
    <s v="(U-village)"/>
    <n v="-1"/>
    <n v="0"/>
    <n v="12000"/>
    <s v="(U-village)"/>
  </r>
  <r>
    <n v="665"/>
    <d v="2024-09-24T10:30:07"/>
    <n v="80000"/>
    <n v="40000"/>
    <n v="0"/>
    <n v="12500"/>
    <n v="0"/>
    <n v="0"/>
    <n v="15000"/>
    <n v="12500"/>
    <n v="0"/>
    <n v="8000"/>
    <n v="0"/>
    <n v="7500"/>
    <n v="0"/>
    <n v="0"/>
    <n v="0"/>
    <n v="0"/>
    <n v="3"/>
    <n v="0"/>
    <n v="0"/>
    <n v="1"/>
    <n v="5"/>
    <n v="130000"/>
    <n v="125000"/>
    <n v="112500"/>
    <n v="0"/>
    <n v="0"/>
    <n v="125000"/>
    <n v="100000"/>
    <m/>
    <m/>
    <n v="8"/>
    <n v="7"/>
    <n v="-2"/>
    <n v="-1"/>
    <n v="0"/>
    <n v="0"/>
    <s v="VIEW_SUMMARY"/>
    <n v="527"/>
    <n v="181"/>
    <n v="787"/>
    <n v="787"/>
    <m/>
    <x v="2"/>
    <n v="73"/>
    <s v="table2"/>
    <n v="16"/>
    <s v="240924_EPA_IntroDays_Ommen"/>
    <n v="21"/>
    <n v="15"/>
    <n v="0"/>
    <x v="3"/>
    <s v="(U-village)"/>
    <n v="-3"/>
    <n v="8000"/>
    <n v="12500"/>
    <s v="(U-village)"/>
  </r>
  <r>
    <n v="703"/>
    <d v="2024-09-24T10:30:07"/>
    <n v="80000"/>
    <n v="40000"/>
    <n v="0"/>
    <n v="12500"/>
    <n v="0"/>
    <n v="0"/>
    <n v="15000"/>
    <n v="12000"/>
    <n v="0"/>
    <n v="0"/>
    <n v="0"/>
    <n v="8000"/>
    <n v="0"/>
    <n v="0"/>
    <n v="1"/>
    <n v="0"/>
    <n v="0"/>
    <n v="0"/>
    <n v="0"/>
    <n v="2"/>
    <n v="5"/>
    <n v="130000"/>
    <n v="125000"/>
    <n v="100000"/>
    <n v="0"/>
    <n v="0"/>
    <n v="125000"/>
    <n v="87500"/>
    <m/>
    <m/>
    <n v="8"/>
    <n v="7"/>
    <n v="-2"/>
    <n v="-1"/>
    <n v="1"/>
    <n v="0"/>
    <s v="VIEW_DAMAGE"/>
    <n v="527"/>
    <n v="186"/>
    <n v="787"/>
    <n v="787"/>
    <m/>
    <x v="3"/>
    <n v="73"/>
    <s v="table2"/>
    <n v="16"/>
    <s v="240924_EPA_IntroDays_Ommen"/>
    <n v="21"/>
    <n v="15"/>
    <n v="1"/>
    <x v="3"/>
    <s v="(U-village)"/>
    <n v="1"/>
    <n v="0"/>
    <n v="12000"/>
    <s v="(U-village)"/>
  </r>
  <r>
    <n v="599"/>
    <d v="2024-09-24T10:30:16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28"/>
    <n v="174"/>
    <m/>
    <m/>
    <m/>
    <x v="0"/>
    <n v="73"/>
    <s v="table2"/>
    <n v="16"/>
    <s v="240924_EPA_IntroDays_Ommen"/>
    <n v="21"/>
    <n v="0"/>
    <n v="0"/>
    <x v="4"/>
    <s v=""/>
    <s v=""/>
    <n v="0"/>
    <n v="0"/>
    <s v=""/>
  </r>
  <r>
    <n v="636"/>
    <d v="2024-09-24T10:30:16"/>
    <n v="120000"/>
    <n v="65000"/>
    <n v="0"/>
    <n v="8000"/>
    <n v="0"/>
    <n v="0"/>
    <n v="15000"/>
    <n v="20000"/>
    <n v="0"/>
    <n v="0"/>
    <n v="0"/>
    <n v="62000"/>
    <n v="0"/>
    <n v="-5"/>
    <n v="1"/>
    <n v="0"/>
    <n v="0"/>
    <n v="0"/>
    <n v="0"/>
    <n v="1"/>
    <n v="7"/>
    <n v="200000"/>
    <n v="0"/>
    <n v="0"/>
    <n v="0"/>
    <n v="80000"/>
    <n v="80000"/>
    <n v="72000"/>
    <m/>
    <m/>
    <n v="6"/>
    <n v="10"/>
    <n v="0"/>
    <n v="0"/>
    <n v="1"/>
    <n v="1"/>
    <s v="VIEW_SUMMARY"/>
    <n v="528"/>
    <n v="177"/>
    <m/>
    <n v="785"/>
    <m/>
    <x v="1"/>
    <n v="73"/>
    <s v="table2"/>
    <n v="16"/>
    <s v="240924_EPA_IntroDays_Ommen"/>
    <n v="21"/>
    <n v="16"/>
    <n v="2"/>
    <x v="4"/>
    <s v="(Dike-town)"/>
    <n v="-4"/>
    <n v="0"/>
    <n v="20000"/>
    <s v="(Dike-town)"/>
  </r>
  <r>
    <n v="671"/>
    <d v="2024-09-24T10:30:16"/>
    <n v="120000"/>
    <n v="65000"/>
    <n v="0"/>
    <n v="8000"/>
    <n v="0"/>
    <n v="0"/>
    <n v="15000"/>
    <n v="28000"/>
    <n v="0"/>
    <n v="0"/>
    <n v="0"/>
    <n v="66000"/>
    <n v="0"/>
    <n v="0"/>
    <n v="1"/>
    <n v="2"/>
    <n v="0"/>
    <n v="0"/>
    <n v="0"/>
    <n v="4"/>
    <n v="7"/>
    <n v="200000"/>
    <n v="80000"/>
    <n v="72000"/>
    <n v="0"/>
    <n v="0"/>
    <n v="80000"/>
    <n v="64000"/>
    <m/>
    <m/>
    <n v="6"/>
    <n v="10"/>
    <n v="-2"/>
    <n v="-1"/>
    <n v="1"/>
    <n v="0"/>
    <s v="VIEW_SUMMARY"/>
    <n v="528"/>
    <n v="181"/>
    <n v="785"/>
    <n v="785"/>
    <m/>
    <x v="2"/>
    <n v="73"/>
    <s v="table2"/>
    <n v="16"/>
    <s v="240924_EPA_IntroDays_Ommen"/>
    <n v="21"/>
    <n v="16"/>
    <n v="1"/>
    <x v="4"/>
    <s v="(Dike-town)"/>
    <n v="3"/>
    <n v="0"/>
    <n v="28000"/>
    <s v="(Dike-town)"/>
  </r>
  <r>
    <n v="709"/>
    <d v="2024-09-24T10:30:16"/>
    <n v="120000"/>
    <n v="65000"/>
    <n v="0"/>
    <n v="10000"/>
    <n v="40000"/>
    <n v="0"/>
    <n v="20000"/>
    <n v="0"/>
    <n v="0"/>
    <n v="0"/>
    <n v="0"/>
    <n v="131000"/>
    <n v="1"/>
    <n v="-4"/>
    <n v="0"/>
    <n v="0"/>
    <n v="0"/>
    <n v="0"/>
    <n v="0"/>
    <n v="-1"/>
    <n v="7"/>
    <n v="200000"/>
    <n v="80000"/>
    <n v="64000"/>
    <n v="104000"/>
    <n v="100000"/>
    <n v="100000"/>
    <n v="90000"/>
    <n v="28"/>
    <m/>
    <n v="8"/>
    <n v="10"/>
    <n v="-2"/>
    <n v="-1"/>
    <n v="0"/>
    <n v="1"/>
    <s v="VIEW_SUMMARY"/>
    <n v="528"/>
    <n v="186"/>
    <n v="785"/>
    <n v="844"/>
    <m/>
    <x v="3"/>
    <n v="73"/>
    <s v="table2"/>
    <n v="16"/>
    <s v="240924_EPA_IntroDays_Ommen"/>
    <n v="21"/>
    <n v="18"/>
    <n v="1"/>
    <x v="4"/>
    <s v="(Natu-city)"/>
    <n v="-5"/>
    <n v="0"/>
    <n v="0"/>
    <s v="(Natu-city)"/>
  </r>
  <r>
    <n v="595"/>
    <d v="2024-09-24T10:30:02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29"/>
    <n v="174"/>
    <m/>
    <m/>
    <m/>
    <x v="0"/>
    <n v="73"/>
    <s v="table2"/>
    <n v="16"/>
    <s v="240924_EPA_IntroDays_Ommen"/>
    <n v="21"/>
    <n v="0"/>
    <n v="0"/>
    <x v="5"/>
    <s v=""/>
    <s v=""/>
    <n v="0"/>
    <n v="0"/>
    <s v=""/>
  </r>
  <r>
    <n v="638"/>
    <d v="2024-09-24T10:30:02"/>
    <n v="180000"/>
    <n v="105000"/>
    <n v="0"/>
    <n v="30000"/>
    <n v="0"/>
    <n v="0"/>
    <n v="15000"/>
    <n v="26000"/>
    <n v="0"/>
    <n v="0"/>
    <n v="0"/>
    <n v="84000"/>
    <n v="0"/>
    <n v="0"/>
    <n v="1"/>
    <n v="0"/>
    <n v="0"/>
    <n v="0"/>
    <n v="0"/>
    <n v="6"/>
    <n v="8"/>
    <n v="300000"/>
    <n v="0"/>
    <n v="0"/>
    <n v="0"/>
    <n v="300000"/>
    <n v="300000"/>
    <n v="270000"/>
    <m/>
    <m/>
    <n v="6"/>
    <n v="10"/>
    <n v="0"/>
    <n v="0"/>
    <n v="2"/>
    <n v="1"/>
    <s v="VIEW_SUMMARY"/>
    <n v="529"/>
    <n v="177"/>
    <m/>
    <n v="782"/>
    <m/>
    <x v="1"/>
    <n v="73"/>
    <s v="table2"/>
    <n v="16"/>
    <s v="240924_EPA_IntroDays_Ommen"/>
    <n v="21"/>
    <n v="16"/>
    <n v="3"/>
    <x v="5"/>
    <s v="(Dike-town)"/>
    <n v="1"/>
    <n v="0"/>
    <n v="26000"/>
    <s v="(Dike-town)"/>
  </r>
  <r>
    <n v="664"/>
    <d v="2024-09-24T10:30:02"/>
    <n v="180000"/>
    <n v="105000"/>
    <n v="0"/>
    <n v="30000"/>
    <n v="0"/>
    <n v="0"/>
    <n v="15000"/>
    <n v="74000"/>
    <n v="0"/>
    <n v="0"/>
    <n v="0"/>
    <n v="40000"/>
    <n v="0"/>
    <n v="0"/>
    <n v="2"/>
    <n v="2"/>
    <n v="0"/>
    <n v="0"/>
    <n v="0"/>
    <n v="10"/>
    <n v="8"/>
    <n v="300000"/>
    <n v="300000"/>
    <n v="270000"/>
    <n v="0"/>
    <n v="0"/>
    <n v="300000"/>
    <n v="240000"/>
    <m/>
    <m/>
    <n v="6"/>
    <n v="10"/>
    <n v="-2"/>
    <n v="-1"/>
    <n v="3"/>
    <n v="1"/>
    <s v="VIEW_SUMMARY"/>
    <n v="529"/>
    <n v="181"/>
    <n v="782"/>
    <n v="782"/>
    <m/>
    <x v="2"/>
    <n v="73"/>
    <s v="table2"/>
    <n v="16"/>
    <s v="240924_EPA_IntroDays_Ommen"/>
    <n v="21"/>
    <n v="16"/>
    <n v="4"/>
    <x v="5"/>
    <s v="(Dike-town)"/>
    <n v="4"/>
    <n v="0"/>
    <n v="74000"/>
    <s v="(Dike-town)"/>
  </r>
  <r>
    <n v="708"/>
    <d v="2024-09-24T10:30:02"/>
    <n v="180000"/>
    <n v="105000"/>
    <n v="0"/>
    <n v="30000"/>
    <n v="0"/>
    <n v="0"/>
    <n v="20000"/>
    <n v="33000"/>
    <n v="0"/>
    <n v="0"/>
    <n v="4000"/>
    <n v="28000"/>
    <n v="0"/>
    <n v="0"/>
    <n v="0"/>
    <n v="0"/>
    <n v="0"/>
    <n v="1"/>
    <n v="0"/>
    <n v="9"/>
    <n v="8"/>
    <n v="300000"/>
    <n v="300000"/>
    <n v="240000"/>
    <n v="0"/>
    <n v="0"/>
    <n v="300000"/>
    <n v="210000"/>
    <m/>
    <m/>
    <n v="6"/>
    <n v="10"/>
    <n v="-2"/>
    <n v="-1"/>
    <n v="0"/>
    <n v="1"/>
    <s v="VIEW_SUMMARY"/>
    <n v="529"/>
    <n v="186"/>
    <n v="782"/>
    <n v="782"/>
    <m/>
    <x v="3"/>
    <n v="73"/>
    <s v="table2"/>
    <n v="16"/>
    <s v="240924_EPA_IntroDays_Ommen"/>
    <n v="21"/>
    <n v="16"/>
    <n v="1"/>
    <x v="5"/>
    <s v="(Dike-town)"/>
    <n v="-1"/>
    <n v="4000"/>
    <n v="33000"/>
    <s v="(Dike-town)"/>
  </r>
  <r>
    <n v="624"/>
    <d v="2024-09-24T10:33:26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30"/>
    <n v="174"/>
    <m/>
    <m/>
    <m/>
    <x v="0"/>
    <n v="73"/>
    <s v="table2"/>
    <n v="16"/>
    <s v="240924_EPA_IntroDays_Ommen"/>
    <n v="21"/>
    <n v="0"/>
    <n v="0"/>
    <x v="1"/>
    <s v=""/>
    <s v=""/>
    <n v="0"/>
    <n v="0"/>
    <s v=""/>
  </r>
  <r>
    <n v="639"/>
    <d v="2024-09-24T10:33:26"/>
    <n v="100000"/>
    <n v="50000"/>
    <n v="0"/>
    <n v="17000"/>
    <n v="0"/>
    <n v="30000"/>
    <n v="15000"/>
    <n v="15000"/>
    <n v="0"/>
    <n v="0"/>
    <n v="0"/>
    <n v="3000"/>
    <n v="0"/>
    <n v="0"/>
    <n v="0"/>
    <n v="0"/>
    <n v="0"/>
    <n v="0"/>
    <n v="0"/>
    <n v="5"/>
    <n v="6"/>
    <n v="170000"/>
    <n v="0"/>
    <n v="0"/>
    <n v="0"/>
    <n v="200000"/>
    <n v="170000"/>
    <n v="153000"/>
    <m/>
    <m/>
    <n v="8"/>
    <n v="7"/>
    <n v="0"/>
    <n v="0"/>
    <n v="1"/>
    <n v="2"/>
    <s v="VIEW_SUMMARY"/>
    <n v="530"/>
    <n v="177"/>
    <m/>
    <n v="786"/>
    <m/>
    <x v="1"/>
    <n v="73"/>
    <s v="table2"/>
    <n v="16"/>
    <s v="240924_EPA_IntroDays_Ommen"/>
    <n v="21"/>
    <n v="15"/>
    <n v="3"/>
    <x v="1"/>
    <s v="(U-village)"/>
    <n v="0"/>
    <n v="0"/>
    <n v="15000"/>
    <s v="(U-village)"/>
  </r>
  <r>
    <n v="670"/>
    <d v="2024-09-24T10:33:26"/>
    <n v="100000"/>
    <n v="50000"/>
    <n v="0"/>
    <n v="17000"/>
    <n v="0"/>
    <n v="0"/>
    <n v="15000"/>
    <n v="20000"/>
    <n v="0"/>
    <n v="4000"/>
    <n v="0"/>
    <n v="-3000"/>
    <n v="0"/>
    <n v="0"/>
    <n v="1"/>
    <n v="0"/>
    <n v="2"/>
    <n v="0"/>
    <n v="0"/>
    <n v="4"/>
    <n v="6"/>
    <n v="170000"/>
    <n v="170000"/>
    <n v="153000"/>
    <n v="0"/>
    <n v="0"/>
    <n v="170000"/>
    <n v="136000"/>
    <m/>
    <m/>
    <n v="8"/>
    <n v="7"/>
    <n v="-2"/>
    <n v="-1"/>
    <n v="1"/>
    <n v="1"/>
    <s v="VIEW_SUMMARY"/>
    <n v="530"/>
    <n v="181"/>
    <n v="786"/>
    <n v="786"/>
    <m/>
    <x v="2"/>
    <n v="73"/>
    <s v="table2"/>
    <n v="16"/>
    <s v="240924_EPA_IntroDays_Ommen"/>
    <n v="21"/>
    <n v="15"/>
    <n v="2"/>
    <x v="1"/>
    <s v="(U-village)"/>
    <n v="-1"/>
    <n v="4000"/>
    <n v="20000"/>
    <s v="(U-village)"/>
  </r>
  <r>
    <n v="710"/>
    <d v="2024-09-24T10:33:26"/>
    <n v="100000"/>
    <n v="50000"/>
    <n v="3000"/>
    <n v="17000"/>
    <n v="0"/>
    <n v="0"/>
    <n v="15000"/>
    <n v="12000"/>
    <n v="0"/>
    <n v="0"/>
    <n v="0"/>
    <n v="3000"/>
    <n v="0"/>
    <n v="0"/>
    <n v="1"/>
    <n v="0"/>
    <n v="0"/>
    <n v="0"/>
    <n v="1"/>
    <n v="4"/>
    <n v="6"/>
    <n v="170000"/>
    <n v="170000"/>
    <n v="136000"/>
    <n v="0"/>
    <n v="0"/>
    <n v="170000"/>
    <n v="119000"/>
    <m/>
    <m/>
    <n v="8"/>
    <n v="7"/>
    <n v="-2"/>
    <n v="-1"/>
    <n v="1"/>
    <n v="0"/>
    <s v="VIEW_SUMMARY"/>
    <n v="530"/>
    <n v="186"/>
    <n v="786"/>
    <n v="786"/>
    <m/>
    <x v="3"/>
    <n v="73"/>
    <s v="table2"/>
    <n v="16"/>
    <s v="240924_EPA_IntroDays_Ommen"/>
    <n v="21"/>
    <n v="15"/>
    <n v="1"/>
    <x v="1"/>
    <s v="(U-village)"/>
    <n v="0"/>
    <n v="0"/>
    <n v="12000"/>
    <s v="(U-village)"/>
  </r>
  <r>
    <n v="596"/>
    <d v="2024-09-24T10:30:03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31"/>
    <n v="174"/>
    <m/>
    <m/>
    <m/>
    <x v="0"/>
    <n v="73"/>
    <s v="table2"/>
    <n v="16"/>
    <s v="240924_EPA_IntroDays_Ommen"/>
    <n v="21"/>
    <n v="0"/>
    <n v="0"/>
    <x v="1"/>
    <s v=""/>
    <s v=""/>
    <n v="0"/>
    <n v="0"/>
    <s v=""/>
  </r>
  <r>
    <n v="634"/>
    <d v="2024-09-24T10:30:03"/>
    <n v="100000"/>
    <n v="50000"/>
    <n v="0"/>
    <n v="16000"/>
    <n v="0"/>
    <n v="0"/>
    <n v="15000"/>
    <n v="22000"/>
    <n v="0"/>
    <n v="0"/>
    <n v="0"/>
    <n v="27000"/>
    <n v="0"/>
    <n v="-1"/>
    <n v="0"/>
    <n v="2"/>
    <n v="0"/>
    <n v="0"/>
    <n v="0"/>
    <n v="6"/>
    <n v="6"/>
    <n v="170000"/>
    <n v="0"/>
    <n v="0"/>
    <n v="0"/>
    <n v="160000"/>
    <n v="160000"/>
    <n v="144000"/>
    <m/>
    <m/>
    <n v="6"/>
    <n v="10"/>
    <n v="0"/>
    <n v="0"/>
    <n v="1"/>
    <n v="0"/>
    <s v="VIEW_SUMMARY"/>
    <n v="531"/>
    <n v="177"/>
    <m/>
    <n v="783"/>
    <m/>
    <x v="1"/>
    <n v="73"/>
    <s v="table2"/>
    <n v="16"/>
    <s v="240924_EPA_IntroDays_Ommen"/>
    <n v="21"/>
    <n v="16"/>
    <n v="1"/>
    <x v="1"/>
    <s v="(Dike-town)"/>
    <n v="1"/>
    <n v="0"/>
    <n v="22000"/>
    <s v="(Dike-town)"/>
  </r>
  <r>
    <n v="668"/>
    <d v="2024-09-24T10:30:03"/>
    <n v="100000"/>
    <n v="50000"/>
    <n v="0"/>
    <n v="16000"/>
    <n v="0"/>
    <n v="0"/>
    <n v="15000"/>
    <n v="12000"/>
    <n v="0"/>
    <n v="0"/>
    <n v="0"/>
    <n v="34000"/>
    <n v="0"/>
    <n v="0"/>
    <n v="0"/>
    <n v="0"/>
    <n v="0"/>
    <n v="0"/>
    <n v="0"/>
    <n v="6"/>
    <n v="6"/>
    <n v="170000"/>
    <n v="160000"/>
    <n v="144000"/>
    <n v="0"/>
    <n v="0"/>
    <n v="160000"/>
    <n v="128000"/>
    <m/>
    <m/>
    <n v="6"/>
    <n v="10"/>
    <n v="-2"/>
    <n v="-1"/>
    <n v="1"/>
    <n v="1"/>
    <s v="VIEW_SUMMARY"/>
    <n v="531"/>
    <n v="181"/>
    <n v="783"/>
    <n v="783"/>
    <m/>
    <x v="2"/>
    <n v="73"/>
    <s v="table2"/>
    <n v="16"/>
    <s v="240924_EPA_IntroDays_Ommen"/>
    <n v="21"/>
    <n v="16"/>
    <n v="2"/>
    <x v="1"/>
    <s v="(Dike-town)"/>
    <n v="0"/>
    <n v="0"/>
    <n v="12000"/>
    <s v="(Dike-town)"/>
  </r>
  <r>
    <n v="706"/>
    <d v="2024-09-24T10:30:03"/>
    <n v="100000"/>
    <n v="50000"/>
    <n v="0"/>
    <n v="16000"/>
    <n v="0"/>
    <n v="0"/>
    <n v="20000"/>
    <n v="28000"/>
    <n v="0"/>
    <n v="0"/>
    <n v="4000"/>
    <n v="16000"/>
    <n v="0"/>
    <n v="0"/>
    <n v="1"/>
    <n v="0"/>
    <n v="0"/>
    <n v="1"/>
    <n v="0"/>
    <n v="6"/>
    <n v="6"/>
    <n v="170000"/>
    <n v="160000"/>
    <n v="128000"/>
    <n v="0"/>
    <n v="0"/>
    <n v="160000"/>
    <n v="112000"/>
    <m/>
    <m/>
    <n v="6"/>
    <n v="10"/>
    <n v="-2"/>
    <n v="-1"/>
    <n v="1"/>
    <n v="0"/>
    <s v="VIEW_SUMMARY"/>
    <n v="531"/>
    <n v="186"/>
    <n v="783"/>
    <n v="783"/>
    <m/>
    <x v="3"/>
    <n v="73"/>
    <s v="table2"/>
    <n v="16"/>
    <s v="240924_EPA_IntroDays_Ommen"/>
    <n v="21"/>
    <n v="16"/>
    <n v="1"/>
    <x v="1"/>
    <s v="(Dike-town)"/>
    <n v="0"/>
    <n v="4000"/>
    <n v="28000"/>
    <s v="(Dike-town)"/>
  </r>
  <r>
    <n v="608"/>
    <d v="2024-09-24T10:32:00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32"/>
    <n v="171"/>
    <m/>
    <m/>
    <m/>
    <x v="0"/>
    <n v="74"/>
    <s v="table3"/>
    <n v="16"/>
    <s v="240924_EPA_IntroDays_Ommen"/>
    <n v="21"/>
    <n v="0"/>
    <n v="0"/>
    <x v="0"/>
    <s v=""/>
    <s v=""/>
    <n v="0"/>
    <n v="0"/>
    <s v=""/>
  </r>
  <r>
    <n v="641"/>
    <d v="2024-09-24T10:32:00"/>
    <n v="65000"/>
    <n v="30000"/>
    <n v="0"/>
    <n v="11000"/>
    <n v="0"/>
    <n v="16000"/>
    <n v="20000"/>
    <n v="0"/>
    <n v="0"/>
    <n v="0"/>
    <n v="0"/>
    <n v="-7000"/>
    <n v="0"/>
    <n v="-1"/>
    <n v="0"/>
    <n v="0"/>
    <n v="0"/>
    <n v="0"/>
    <n v="0"/>
    <n v="4"/>
    <n v="4"/>
    <n v="110000"/>
    <n v="0"/>
    <n v="0"/>
    <n v="0"/>
    <n v="126000"/>
    <n v="110000"/>
    <n v="99000"/>
    <m/>
    <m/>
    <n v="8"/>
    <n v="10"/>
    <n v="0"/>
    <n v="0"/>
    <n v="0"/>
    <n v="0"/>
    <s v="VIEW_SUMMARY"/>
    <n v="532"/>
    <n v="178"/>
    <m/>
    <n v="791"/>
    <m/>
    <x v="1"/>
    <n v="74"/>
    <s v="table3"/>
    <n v="16"/>
    <s v="240924_EPA_IntroDays_Ommen"/>
    <n v="21"/>
    <n v="18"/>
    <n v="0"/>
    <x v="0"/>
    <s v="(Natu-city)"/>
    <n v="-1"/>
    <n v="0"/>
    <n v="0"/>
    <s v="(Natu-city)"/>
  </r>
  <r>
    <n v="698"/>
    <d v="2024-09-24T10:32:00"/>
    <n v="65000"/>
    <n v="30000"/>
    <n v="7000"/>
    <n v="11000"/>
    <n v="0"/>
    <n v="0"/>
    <n v="15000"/>
    <n v="0"/>
    <n v="0"/>
    <n v="0"/>
    <n v="0"/>
    <n v="2000"/>
    <n v="0"/>
    <n v="0"/>
    <n v="0"/>
    <n v="0"/>
    <n v="0"/>
    <n v="0"/>
    <n v="1"/>
    <n v="3"/>
    <n v="4"/>
    <n v="110000"/>
    <n v="110000"/>
    <n v="99000"/>
    <n v="0"/>
    <n v="0"/>
    <n v="110000"/>
    <n v="88000"/>
    <m/>
    <m/>
    <n v="8"/>
    <n v="10"/>
    <n v="-2"/>
    <n v="-1"/>
    <n v="0"/>
    <n v="0"/>
    <s v="VIEW_SUMMARY"/>
    <n v="532"/>
    <n v="185"/>
    <n v="791"/>
    <n v="791"/>
    <m/>
    <x v="2"/>
    <n v="74"/>
    <s v="table3"/>
    <n v="16"/>
    <s v="240924_EPA_IntroDays_Ommen"/>
    <n v="21"/>
    <n v="18"/>
    <n v="0"/>
    <x v="0"/>
    <s v="(Natu-city)"/>
    <n v="-1"/>
    <n v="0"/>
    <n v="0"/>
    <s v="(Natu-city)"/>
  </r>
  <r>
    <n v="728"/>
    <d v="2024-09-24T10:32:00"/>
    <n v="65000"/>
    <n v="30000"/>
    <n v="0"/>
    <n v="11000"/>
    <n v="0"/>
    <n v="0"/>
    <n v="30000"/>
    <n v="0"/>
    <n v="0"/>
    <n v="0"/>
    <n v="0"/>
    <n v="-4000"/>
    <n v="0"/>
    <n v="0"/>
    <n v="0"/>
    <n v="0"/>
    <n v="0"/>
    <n v="0"/>
    <n v="0"/>
    <n v="3"/>
    <n v="4"/>
    <n v="110000"/>
    <n v="110000"/>
    <n v="88000"/>
    <n v="0"/>
    <n v="0"/>
    <n v="110000"/>
    <n v="77000"/>
    <m/>
    <m/>
    <n v="8"/>
    <n v="10"/>
    <n v="-2"/>
    <n v="-1"/>
    <n v="0"/>
    <n v="0"/>
    <s v="VIEW_SUMMARY"/>
    <n v="532"/>
    <n v="189"/>
    <n v="791"/>
    <n v="791"/>
    <m/>
    <x v="3"/>
    <n v="74"/>
    <s v="table3"/>
    <n v="16"/>
    <s v="240924_EPA_IntroDays_Ommen"/>
    <n v="21"/>
    <n v="18"/>
    <n v="0"/>
    <x v="0"/>
    <s v="(Natu-city)"/>
    <n v="0"/>
    <n v="0"/>
    <n v="0"/>
    <s v="(Natu-city)"/>
  </r>
  <r>
    <n v="614"/>
    <d v="2024-09-24T10:32:20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33"/>
    <n v="171"/>
    <m/>
    <m/>
    <m/>
    <x v="0"/>
    <n v="74"/>
    <s v="table3"/>
    <n v="16"/>
    <s v="240924_EPA_IntroDays_Ommen"/>
    <n v="21"/>
    <n v="0"/>
    <n v="0"/>
    <x v="1"/>
    <s v=""/>
    <s v=""/>
    <n v="0"/>
    <n v="0"/>
    <s v=""/>
  </r>
  <r>
    <n v="648"/>
    <d v="2024-09-24T10:32:20"/>
    <n v="100000"/>
    <n v="50000"/>
    <n v="0"/>
    <n v="17000"/>
    <n v="0"/>
    <n v="30000"/>
    <n v="20000"/>
    <n v="12000"/>
    <n v="0"/>
    <n v="0"/>
    <n v="0"/>
    <n v="1000"/>
    <n v="0"/>
    <n v="0"/>
    <n v="0"/>
    <n v="0"/>
    <n v="0"/>
    <n v="0"/>
    <n v="0"/>
    <n v="5"/>
    <n v="6"/>
    <n v="170000"/>
    <n v="0"/>
    <n v="0"/>
    <n v="0"/>
    <n v="200000"/>
    <n v="170000"/>
    <n v="153000"/>
    <m/>
    <m/>
    <n v="8"/>
    <n v="7"/>
    <n v="0"/>
    <n v="0"/>
    <n v="1"/>
    <n v="1"/>
    <s v="VIEW_SUMMARY"/>
    <n v="533"/>
    <n v="178"/>
    <m/>
    <n v="796"/>
    <m/>
    <x v="1"/>
    <n v="74"/>
    <s v="table3"/>
    <n v="16"/>
    <s v="240924_EPA_IntroDays_Ommen"/>
    <n v="21"/>
    <n v="15"/>
    <n v="2"/>
    <x v="1"/>
    <s v="(U-village)"/>
    <n v="0"/>
    <n v="0"/>
    <n v="12000"/>
    <s v="(U-village)"/>
  </r>
  <r>
    <n v="696"/>
    <d v="2024-09-24T10:32:20"/>
    <n v="100000"/>
    <n v="50000"/>
    <n v="0"/>
    <n v="17000"/>
    <n v="47000"/>
    <n v="30000"/>
    <n v="15000"/>
    <n v="32000"/>
    <n v="0"/>
    <n v="0"/>
    <n v="0"/>
    <n v="4000"/>
    <n v="1"/>
    <n v="0"/>
    <n v="2"/>
    <n v="0"/>
    <n v="0"/>
    <n v="0"/>
    <n v="0"/>
    <n v="6"/>
    <n v="6"/>
    <n v="170000"/>
    <n v="170000"/>
    <n v="153000"/>
    <n v="200000"/>
    <n v="200000"/>
    <n v="170000"/>
    <n v="153000"/>
    <n v="28"/>
    <s v="It's protected and worth 1 community steal"/>
    <n v="8"/>
    <n v="10"/>
    <n v="-2"/>
    <n v="-1"/>
    <n v="2"/>
    <n v="1"/>
    <s v="VIEW_SUMMARY"/>
    <n v="533"/>
    <n v="185"/>
    <n v="796"/>
    <n v="839"/>
    <m/>
    <x v="2"/>
    <n v="74"/>
    <s v="table3"/>
    <n v="16"/>
    <s v="240924_EPA_IntroDays_Ommen"/>
    <n v="21"/>
    <n v="18"/>
    <n v="3"/>
    <x v="1"/>
    <s v="(Natu-city)"/>
    <n v="1"/>
    <n v="0"/>
    <n v="32000"/>
    <s v="(Natu-city)"/>
  </r>
  <r>
    <n v="729"/>
    <d v="2024-09-24T10:32:20"/>
    <n v="100000"/>
    <n v="50000"/>
    <n v="0"/>
    <n v="17000"/>
    <n v="0"/>
    <n v="0"/>
    <n v="30000"/>
    <n v="0"/>
    <n v="0"/>
    <n v="0"/>
    <n v="0"/>
    <n v="7000"/>
    <n v="0"/>
    <n v="0"/>
    <n v="0"/>
    <n v="0"/>
    <n v="0"/>
    <n v="0"/>
    <n v="0"/>
    <n v="6"/>
    <n v="6"/>
    <n v="170000"/>
    <n v="170000"/>
    <n v="153000"/>
    <n v="0"/>
    <n v="0"/>
    <n v="170000"/>
    <n v="136000"/>
    <m/>
    <m/>
    <n v="8"/>
    <n v="10"/>
    <n v="-2"/>
    <n v="-1"/>
    <n v="0"/>
    <n v="0"/>
    <s v="SURVEY_COMPLETED"/>
    <n v="533"/>
    <n v="189"/>
    <n v="839"/>
    <n v="839"/>
    <m/>
    <x v="3"/>
    <n v="74"/>
    <s v="table3"/>
    <n v="16"/>
    <s v="240924_EPA_IntroDays_Ommen"/>
    <n v="21"/>
    <n v="18"/>
    <n v="0"/>
    <x v="1"/>
    <s v="(Natu-city)"/>
    <n v="0"/>
    <n v="0"/>
    <n v="0"/>
    <s v="(Natu-city)"/>
  </r>
  <r>
    <n v="586"/>
    <d v="2024-09-24T10:22:37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34"/>
    <n v="171"/>
    <m/>
    <m/>
    <m/>
    <x v="0"/>
    <n v="74"/>
    <s v="table3"/>
    <n v="16"/>
    <s v="240924_EPA_IntroDays_Ommen"/>
    <n v="21"/>
    <n v="0"/>
    <n v="0"/>
    <x v="2"/>
    <s v=""/>
    <s v=""/>
    <n v="0"/>
    <n v="0"/>
    <s v=""/>
  </r>
  <r>
    <n v="645"/>
    <d v="2024-09-24T10:22:37"/>
    <n v="50000"/>
    <n v="20000"/>
    <n v="0"/>
    <n v="7000"/>
    <n v="0"/>
    <n v="0"/>
    <n v="20000"/>
    <n v="3000"/>
    <n v="0"/>
    <n v="0"/>
    <n v="0"/>
    <n v="0"/>
    <n v="0"/>
    <n v="-1"/>
    <n v="0"/>
    <n v="0"/>
    <n v="0"/>
    <n v="0"/>
    <n v="0"/>
    <n v="4"/>
    <n v="3"/>
    <n v="80000"/>
    <n v="0"/>
    <n v="0"/>
    <n v="0"/>
    <n v="70000"/>
    <n v="70000"/>
    <n v="63000"/>
    <m/>
    <m/>
    <n v="8"/>
    <n v="7"/>
    <n v="0"/>
    <n v="0"/>
    <n v="0"/>
    <n v="1"/>
    <s v="VIEW_SUMMARY"/>
    <n v="534"/>
    <n v="178"/>
    <m/>
    <n v="798"/>
    <m/>
    <x v="1"/>
    <n v="74"/>
    <s v="table3"/>
    <n v="16"/>
    <s v="240924_EPA_IntroDays_Ommen"/>
    <n v="21"/>
    <n v="15"/>
    <n v="1"/>
    <x v="2"/>
    <s v="(U-village)"/>
    <n v="-1"/>
    <n v="0"/>
    <n v="3000"/>
    <s v="(U-village)"/>
  </r>
  <r>
    <n v="693"/>
    <d v="2024-09-24T10:22:37"/>
    <n v="50000"/>
    <n v="20000"/>
    <n v="0"/>
    <n v="7000"/>
    <n v="0"/>
    <n v="0"/>
    <n v="20000"/>
    <n v="0"/>
    <n v="0"/>
    <n v="0"/>
    <n v="0"/>
    <n v="3000"/>
    <n v="0"/>
    <n v="0"/>
    <n v="0"/>
    <n v="0"/>
    <n v="0"/>
    <n v="0"/>
    <n v="0"/>
    <n v="4"/>
    <n v="3"/>
    <n v="80000"/>
    <n v="70000"/>
    <n v="63000"/>
    <n v="0"/>
    <n v="0"/>
    <n v="70000"/>
    <n v="56000"/>
    <m/>
    <m/>
    <n v="8"/>
    <n v="7"/>
    <n v="-2"/>
    <n v="-1"/>
    <n v="0"/>
    <n v="0"/>
    <s v="VIEW_SUMMARY"/>
    <n v="534"/>
    <n v="185"/>
    <n v="798"/>
    <n v="798"/>
    <m/>
    <x v="2"/>
    <n v="74"/>
    <s v="table3"/>
    <n v="16"/>
    <s v="240924_EPA_IntroDays_Ommen"/>
    <n v="21"/>
    <n v="15"/>
    <n v="0"/>
    <x v="2"/>
    <s v="(U-village)"/>
    <n v="0"/>
    <n v="0"/>
    <n v="0"/>
    <s v="(U-village)"/>
  </r>
  <r>
    <n v="733"/>
    <d v="2024-09-24T10:22:37"/>
    <n v="50000"/>
    <n v="20000"/>
    <n v="0"/>
    <n v="7000"/>
    <n v="0"/>
    <n v="0"/>
    <n v="20000"/>
    <n v="5000"/>
    <n v="0"/>
    <n v="0"/>
    <n v="0"/>
    <n v="1000"/>
    <n v="0"/>
    <n v="0"/>
    <n v="0"/>
    <n v="1"/>
    <n v="0"/>
    <n v="0"/>
    <n v="0"/>
    <n v="5"/>
    <n v="3"/>
    <n v="80000"/>
    <n v="70000"/>
    <n v="56000"/>
    <n v="0"/>
    <n v="0"/>
    <n v="70000"/>
    <n v="49000"/>
    <m/>
    <m/>
    <n v="8"/>
    <n v="7"/>
    <n v="-2"/>
    <n v="-1"/>
    <n v="0"/>
    <n v="0"/>
    <s v="VIEW_SUMMARY"/>
    <n v="534"/>
    <n v="189"/>
    <n v="798"/>
    <n v="798"/>
    <m/>
    <x v="3"/>
    <n v="74"/>
    <s v="table3"/>
    <n v="16"/>
    <s v="240924_EPA_IntroDays_Ommen"/>
    <n v="21"/>
    <n v="15"/>
    <n v="0"/>
    <x v="2"/>
    <s v="(U-village)"/>
    <n v="1"/>
    <n v="0"/>
    <n v="5000"/>
    <s v="(U-village)"/>
  </r>
  <r>
    <n v="615"/>
    <d v="2024-09-24T10:32:21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35"/>
    <n v="171"/>
    <m/>
    <m/>
    <m/>
    <x v="0"/>
    <n v="74"/>
    <s v="table3"/>
    <n v="16"/>
    <s v="240924_EPA_IntroDays_Ommen"/>
    <n v="21"/>
    <n v="0"/>
    <n v="0"/>
    <x v="3"/>
    <s v=""/>
    <s v=""/>
    <n v="0"/>
    <n v="0"/>
    <s v=""/>
  </r>
  <r>
    <n v="644"/>
    <d v="2024-09-24T10:32:21"/>
    <n v="80000"/>
    <n v="40000"/>
    <n v="0"/>
    <n v="13000"/>
    <n v="0"/>
    <n v="30000"/>
    <n v="15000"/>
    <n v="0"/>
    <n v="0"/>
    <n v="0"/>
    <n v="0"/>
    <n v="-3000"/>
    <n v="0"/>
    <n v="0"/>
    <n v="0"/>
    <n v="0"/>
    <n v="0"/>
    <n v="0"/>
    <n v="0"/>
    <n v="5"/>
    <n v="5"/>
    <n v="130000"/>
    <n v="0"/>
    <n v="0"/>
    <n v="0"/>
    <n v="160000"/>
    <n v="130000"/>
    <n v="117000"/>
    <m/>
    <m/>
    <n v="6"/>
    <n v="10"/>
    <n v="0"/>
    <n v="0"/>
    <n v="0"/>
    <n v="0"/>
    <s v="VIEW_SUMMARY"/>
    <n v="535"/>
    <n v="178"/>
    <m/>
    <n v="793"/>
    <m/>
    <x v="1"/>
    <n v="74"/>
    <s v="table3"/>
    <n v="16"/>
    <s v="240924_EPA_IntroDays_Ommen"/>
    <n v="21"/>
    <n v="16"/>
    <n v="0"/>
    <x v="3"/>
    <s v="(Dike-town)"/>
    <n v="0"/>
    <n v="0"/>
    <n v="0"/>
    <s v="(Dike-town)"/>
  </r>
  <r>
    <n v="700"/>
    <d v="2024-09-24T10:32:21"/>
    <n v="80000"/>
    <n v="40000"/>
    <n v="3000"/>
    <n v="13000"/>
    <n v="0"/>
    <n v="0"/>
    <n v="15000"/>
    <n v="6000"/>
    <n v="0"/>
    <n v="0"/>
    <n v="0"/>
    <n v="3000"/>
    <n v="0"/>
    <n v="0"/>
    <n v="0"/>
    <n v="0"/>
    <n v="0"/>
    <n v="0"/>
    <n v="1"/>
    <n v="4"/>
    <n v="5"/>
    <n v="130000"/>
    <n v="130000"/>
    <n v="117000"/>
    <n v="0"/>
    <n v="0"/>
    <n v="130000"/>
    <n v="104000"/>
    <m/>
    <m/>
    <n v="6"/>
    <n v="10"/>
    <n v="-2"/>
    <n v="-1"/>
    <n v="1"/>
    <n v="0"/>
    <s v="VIEW_SUMMARY"/>
    <n v="535"/>
    <n v="185"/>
    <n v="793"/>
    <n v="793"/>
    <m/>
    <x v="2"/>
    <n v="74"/>
    <s v="table3"/>
    <n v="16"/>
    <s v="240924_EPA_IntroDays_Ommen"/>
    <n v="21"/>
    <n v="16"/>
    <n v="1"/>
    <x v="3"/>
    <s v="(Dike-town)"/>
    <n v="-1"/>
    <n v="0"/>
    <n v="6000"/>
    <s v="(Dike-town)"/>
  </r>
  <r>
    <n v="727"/>
    <d v="2024-09-24T10:32:21"/>
    <n v="80000"/>
    <n v="40000"/>
    <n v="0"/>
    <n v="10000"/>
    <n v="56000"/>
    <n v="0"/>
    <n v="30000"/>
    <n v="0"/>
    <n v="0"/>
    <n v="0"/>
    <n v="0"/>
    <n v="323000"/>
    <n v="1"/>
    <n v="-2"/>
    <n v="0"/>
    <n v="0"/>
    <n v="0"/>
    <n v="0"/>
    <n v="0"/>
    <n v="1"/>
    <n v="5"/>
    <n v="130000"/>
    <n v="130000"/>
    <n v="104000"/>
    <n v="160000"/>
    <n v="100000"/>
    <n v="100000"/>
    <n v="90000"/>
    <n v="27"/>
    <m/>
    <n v="8"/>
    <n v="10"/>
    <n v="-2"/>
    <n v="-1"/>
    <n v="5"/>
    <n v="3"/>
    <s v="VIEW_SUMMARY"/>
    <n v="535"/>
    <n v="189"/>
    <n v="793"/>
    <n v="862"/>
    <m/>
    <x v="3"/>
    <n v="74"/>
    <s v="table3"/>
    <n v="16"/>
    <s v="240924_EPA_IntroDays_Ommen"/>
    <n v="21"/>
    <n v="18"/>
    <n v="8"/>
    <x v="3"/>
    <s v="(Natu-city)"/>
    <n v="-3"/>
    <n v="0"/>
    <n v="0"/>
    <s v="(Natu-city)"/>
  </r>
  <r>
    <n v="607"/>
    <d v="2024-09-24T10:31:53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36"/>
    <n v="171"/>
    <m/>
    <m/>
    <m/>
    <x v="0"/>
    <n v="74"/>
    <s v="table3"/>
    <n v="16"/>
    <s v="240924_EPA_IntroDays_Ommen"/>
    <n v="21"/>
    <n v="0"/>
    <n v="0"/>
    <x v="4"/>
    <s v=""/>
    <s v=""/>
    <n v="0"/>
    <n v="0"/>
    <s v=""/>
  </r>
  <r>
    <n v="642"/>
    <d v="2024-09-24T10:31:53"/>
    <n v="120000"/>
    <n v="65000"/>
    <n v="0"/>
    <n v="20000"/>
    <n v="0"/>
    <n v="35000"/>
    <n v="20000"/>
    <n v="20000"/>
    <n v="0"/>
    <n v="0"/>
    <n v="0"/>
    <n v="10000"/>
    <n v="0"/>
    <n v="-1"/>
    <n v="1"/>
    <n v="0"/>
    <n v="0"/>
    <n v="0"/>
    <n v="0"/>
    <n v="5"/>
    <n v="7"/>
    <n v="200000"/>
    <n v="0"/>
    <n v="0"/>
    <n v="0"/>
    <n v="235000"/>
    <n v="200000"/>
    <n v="180000"/>
    <m/>
    <m/>
    <n v="8"/>
    <n v="10"/>
    <n v="0"/>
    <n v="0"/>
    <n v="1"/>
    <n v="1"/>
    <s v="VIEW_SUMMARY"/>
    <n v="536"/>
    <n v="178"/>
    <m/>
    <n v="790"/>
    <m/>
    <x v="1"/>
    <n v="74"/>
    <s v="table3"/>
    <n v="16"/>
    <s v="240924_EPA_IntroDays_Ommen"/>
    <n v="21"/>
    <n v="18"/>
    <n v="2"/>
    <x v="4"/>
    <s v="(Natu-city)"/>
    <n v="0"/>
    <n v="0"/>
    <n v="20000"/>
    <s v="(Natu-city)"/>
  </r>
  <r>
    <n v="694"/>
    <d v="2024-09-24T10:31:53"/>
    <n v="120000"/>
    <n v="65000"/>
    <n v="0"/>
    <n v="20000"/>
    <n v="0"/>
    <n v="0"/>
    <n v="15000"/>
    <n v="22000"/>
    <n v="0"/>
    <n v="0"/>
    <n v="0"/>
    <n v="8000"/>
    <n v="0"/>
    <n v="0"/>
    <n v="1"/>
    <n v="1"/>
    <n v="0"/>
    <n v="0"/>
    <n v="0"/>
    <n v="7"/>
    <n v="7"/>
    <n v="200000"/>
    <n v="200000"/>
    <n v="180000"/>
    <n v="0"/>
    <n v="0"/>
    <n v="200000"/>
    <n v="160000"/>
    <m/>
    <m/>
    <n v="8"/>
    <n v="10"/>
    <n v="-2"/>
    <n v="-1"/>
    <n v="1"/>
    <n v="0"/>
    <s v="VIEW_SUMMARY"/>
    <n v="536"/>
    <n v="185"/>
    <n v="790"/>
    <n v="790"/>
    <m/>
    <x v="2"/>
    <n v="74"/>
    <s v="table3"/>
    <n v="16"/>
    <s v="240924_EPA_IntroDays_Ommen"/>
    <n v="21"/>
    <n v="18"/>
    <n v="1"/>
    <x v="4"/>
    <s v="(Natu-city)"/>
    <n v="2"/>
    <n v="0"/>
    <n v="22000"/>
    <s v="(Natu-city)"/>
  </r>
  <r>
    <n v="732"/>
    <d v="2024-09-24T10:31:53"/>
    <n v="120000"/>
    <n v="65000"/>
    <n v="0"/>
    <n v="20000"/>
    <n v="0"/>
    <n v="0"/>
    <n v="30000"/>
    <n v="0"/>
    <n v="0"/>
    <n v="0"/>
    <n v="0"/>
    <n v="13000"/>
    <n v="0"/>
    <n v="0"/>
    <n v="0"/>
    <n v="0"/>
    <n v="0"/>
    <n v="0"/>
    <n v="0"/>
    <n v="7"/>
    <n v="7"/>
    <n v="200000"/>
    <n v="200000"/>
    <n v="160000"/>
    <n v="0"/>
    <n v="0"/>
    <n v="200000"/>
    <n v="140000"/>
    <m/>
    <m/>
    <n v="8"/>
    <n v="10"/>
    <n v="-2"/>
    <n v="-1"/>
    <n v="0"/>
    <n v="0"/>
    <s v="SURVEY_COMPLETED"/>
    <n v="536"/>
    <n v="189"/>
    <n v="790"/>
    <n v="790"/>
    <m/>
    <x v="3"/>
    <n v="74"/>
    <s v="table3"/>
    <n v="16"/>
    <s v="240924_EPA_IntroDays_Ommen"/>
    <n v="21"/>
    <n v="18"/>
    <n v="0"/>
    <x v="4"/>
    <s v="(Natu-city)"/>
    <n v="0"/>
    <n v="0"/>
    <n v="0"/>
    <s v="(Natu-city)"/>
  </r>
  <r>
    <n v="609"/>
    <d v="2024-09-24T10:32:08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37"/>
    <n v="171"/>
    <m/>
    <m/>
    <m/>
    <x v="0"/>
    <n v="74"/>
    <s v="table3"/>
    <n v="16"/>
    <s v="240924_EPA_IntroDays_Ommen"/>
    <n v="21"/>
    <n v="0"/>
    <n v="0"/>
    <x v="5"/>
    <s v=""/>
    <s v=""/>
    <n v="0"/>
    <n v="0"/>
    <s v=""/>
  </r>
  <r>
    <n v="643"/>
    <d v="2024-09-24T10:32:08"/>
    <n v="180000"/>
    <n v="105000"/>
    <n v="0"/>
    <n v="30000"/>
    <n v="0"/>
    <n v="0"/>
    <n v="15000"/>
    <n v="70000"/>
    <n v="0"/>
    <n v="0"/>
    <n v="0"/>
    <n v="40000"/>
    <n v="0"/>
    <n v="0"/>
    <n v="2"/>
    <n v="2"/>
    <n v="0"/>
    <n v="0"/>
    <n v="0"/>
    <n v="9"/>
    <n v="8"/>
    <n v="300000"/>
    <n v="0"/>
    <n v="0"/>
    <n v="0"/>
    <n v="300000"/>
    <n v="300000"/>
    <n v="270000"/>
    <m/>
    <m/>
    <n v="6"/>
    <n v="10"/>
    <n v="0"/>
    <n v="0"/>
    <n v="2"/>
    <n v="1"/>
    <s v="VIEW_SUMMARY"/>
    <n v="537"/>
    <n v="178"/>
    <m/>
    <n v="792"/>
    <m/>
    <x v="1"/>
    <n v="74"/>
    <s v="table3"/>
    <n v="16"/>
    <s v="240924_EPA_IntroDays_Ommen"/>
    <n v="21"/>
    <n v="16"/>
    <n v="3"/>
    <x v="5"/>
    <s v="(Dike-town)"/>
    <n v="4"/>
    <n v="0"/>
    <n v="70000"/>
    <s v="(Dike-town)"/>
  </r>
  <r>
    <n v="699"/>
    <d v="2024-09-24T10:32:08"/>
    <n v="180000"/>
    <n v="105000"/>
    <n v="0"/>
    <n v="30000"/>
    <n v="0"/>
    <n v="0"/>
    <n v="15000"/>
    <n v="33000"/>
    <n v="0"/>
    <n v="0"/>
    <n v="0"/>
    <n v="37000"/>
    <n v="0"/>
    <n v="0"/>
    <n v="0"/>
    <n v="2"/>
    <n v="0"/>
    <n v="0"/>
    <n v="0"/>
    <n v="11"/>
    <n v="8"/>
    <n v="300000"/>
    <n v="300000"/>
    <n v="270000"/>
    <n v="0"/>
    <n v="0"/>
    <n v="300000"/>
    <n v="240000"/>
    <m/>
    <m/>
    <n v="6"/>
    <n v="10"/>
    <n v="-2"/>
    <n v="-1"/>
    <n v="0"/>
    <n v="0"/>
    <s v="VIEW_SUMMARY"/>
    <n v="537"/>
    <n v="185"/>
    <n v="792"/>
    <n v="792"/>
    <m/>
    <x v="2"/>
    <n v="74"/>
    <s v="table3"/>
    <n v="16"/>
    <s v="240924_EPA_IntroDays_Ommen"/>
    <n v="21"/>
    <n v="16"/>
    <n v="0"/>
    <x v="5"/>
    <s v="(Dike-town)"/>
    <n v="2"/>
    <n v="0"/>
    <n v="33000"/>
    <s v="(Dike-town)"/>
  </r>
  <r>
    <n v="726"/>
    <d v="2024-09-24T10:32:08"/>
    <n v="180000"/>
    <n v="105000"/>
    <n v="0"/>
    <n v="30000"/>
    <n v="0"/>
    <n v="0"/>
    <n v="15000"/>
    <n v="0"/>
    <n v="0"/>
    <n v="0"/>
    <n v="0"/>
    <n v="67000"/>
    <n v="0"/>
    <n v="0"/>
    <n v="0"/>
    <n v="0"/>
    <n v="0"/>
    <n v="0"/>
    <n v="0"/>
    <n v="11"/>
    <n v="8"/>
    <n v="300000"/>
    <n v="300000"/>
    <n v="240000"/>
    <n v="0"/>
    <n v="0"/>
    <n v="300000"/>
    <n v="210000"/>
    <m/>
    <m/>
    <n v="6"/>
    <n v="10"/>
    <n v="-2"/>
    <n v="-1"/>
    <n v="0"/>
    <n v="0"/>
    <s v="VIEW_SUMMARY"/>
    <n v="537"/>
    <n v="189"/>
    <n v="792"/>
    <n v="792"/>
    <m/>
    <x v="3"/>
    <n v="74"/>
    <s v="table3"/>
    <n v="16"/>
    <s v="240924_EPA_IntroDays_Ommen"/>
    <n v="21"/>
    <n v="16"/>
    <n v="0"/>
    <x v="5"/>
    <s v="(Dike-town)"/>
    <n v="0"/>
    <n v="0"/>
    <n v="0"/>
    <s v="(Dike-town)"/>
  </r>
  <r>
    <n v="619"/>
    <d v="2024-09-24T10:32:27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38"/>
    <n v="171"/>
    <m/>
    <m/>
    <m/>
    <x v="0"/>
    <n v="74"/>
    <s v="table3"/>
    <n v="16"/>
    <s v="240924_EPA_IntroDays_Ommen"/>
    <n v="21"/>
    <n v="0"/>
    <n v="0"/>
    <x v="1"/>
    <s v=""/>
    <s v=""/>
    <n v="0"/>
    <n v="0"/>
    <s v=""/>
  </r>
  <r>
    <n v="646"/>
    <d v="2024-09-24T10:32:27"/>
    <n v="100000"/>
    <n v="50000"/>
    <n v="0"/>
    <n v="16000"/>
    <n v="0"/>
    <n v="0"/>
    <n v="15000"/>
    <n v="32000"/>
    <n v="0"/>
    <n v="0"/>
    <n v="0"/>
    <n v="17000"/>
    <n v="0"/>
    <n v="-1"/>
    <n v="2"/>
    <n v="0"/>
    <n v="0"/>
    <n v="0"/>
    <n v="0"/>
    <n v="6"/>
    <n v="6"/>
    <n v="170000"/>
    <n v="0"/>
    <n v="0"/>
    <n v="0"/>
    <n v="160000"/>
    <n v="160000"/>
    <n v="144000"/>
    <m/>
    <m/>
    <n v="6"/>
    <n v="10"/>
    <n v="0"/>
    <n v="0"/>
    <n v="2"/>
    <n v="0"/>
    <s v="VIEW_SUMMARY"/>
    <n v="538"/>
    <n v="178"/>
    <m/>
    <n v="794"/>
    <m/>
    <x v="1"/>
    <n v="74"/>
    <s v="table3"/>
    <n v="16"/>
    <s v="240924_EPA_IntroDays_Ommen"/>
    <n v="21"/>
    <n v="16"/>
    <n v="2"/>
    <x v="1"/>
    <s v="(Dike-town)"/>
    <n v="1"/>
    <n v="0"/>
    <n v="32000"/>
    <s v="(Dike-town)"/>
  </r>
  <r>
    <n v="695"/>
    <d v="2024-09-24T10:32:27"/>
    <n v="100000"/>
    <n v="50000"/>
    <n v="0"/>
    <n v="16000"/>
    <n v="0"/>
    <n v="0"/>
    <n v="15000"/>
    <n v="20000"/>
    <n v="0"/>
    <n v="0"/>
    <n v="0"/>
    <n v="16000"/>
    <n v="0"/>
    <n v="0"/>
    <n v="1"/>
    <n v="0"/>
    <n v="0"/>
    <n v="0"/>
    <n v="0"/>
    <n v="7"/>
    <n v="6"/>
    <n v="170000"/>
    <n v="160000"/>
    <n v="144000"/>
    <n v="0"/>
    <n v="0"/>
    <n v="160000"/>
    <n v="128000"/>
    <m/>
    <m/>
    <n v="6"/>
    <n v="10"/>
    <n v="-2"/>
    <n v="-1"/>
    <n v="1"/>
    <n v="1"/>
    <s v="VIEW_SUMMARY"/>
    <n v="538"/>
    <n v="185"/>
    <n v="794"/>
    <n v="794"/>
    <m/>
    <x v="2"/>
    <n v="74"/>
    <s v="table3"/>
    <n v="16"/>
    <s v="240924_EPA_IntroDays_Ommen"/>
    <n v="21"/>
    <n v="16"/>
    <n v="2"/>
    <x v="1"/>
    <s v="(Dike-town)"/>
    <n v="1"/>
    <n v="0"/>
    <n v="20000"/>
    <s v="(Dike-town)"/>
  </r>
  <r>
    <n v="731"/>
    <d v="2024-09-24T10:32:27"/>
    <n v="100000"/>
    <n v="50000"/>
    <n v="0"/>
    <n v="16000"/>
    <n v="0"/>
    <n v="0"/>
    <n v="15000"/>
    <n v="24000"/>
    <n v="0"/>
    <n v="0"/>
    <n v="0"/>
    <n v="11000"/>
    <n v="0"/>
    <n v="0"/>
    <n v="0"/>
    <n v="3"/>
    <n v="0"/>
    <n v="0"/>
    <n v="0"/>
    <n v="10"/>
    <n v="6"/>
    <n v="170000"/>
    <n v="160000"/>
    <n v="128000"/>
    <n v="0"/>
    <n v="0"/>
    <n v="160000"/>
    <n v="112000"/>
    <m/>
    <m/>
    <n v="6"/>
    <n v="10"/>
    <n v="-2"/>
    <n v="-1"/>
    <n v="0"/>
    <n v="0"/>
    <s v="VIEW_SUMMARY"/>
    <n v="538"/>
    <n v="189"/>
    <n v="794"/>
    <n v="794"/>
    <m/>
    <x v="3"/>
    <n v="74"/>
    <s v="table3"/>
    <n v="16"/>
    <s v="240924_EPA_IntroDays_Ommen"/>
    <n v="21"/>
    <n v="16"/>
    <n v="0"/>
    <x v="1"/>
    <s v="(Dike-town)"/>
    <n v="3"/>
    <n v="0"/>
    <n v="24000"/>
    <s v="(Dike-town)"/>
  </r>
  <r>
    <n v="621"/>
    <d v="2024-09-24T10:32:44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39"/>
    <n v="171"/>
    <m/>
    <m/>
    <m/>
    <x v="0"/>
    <n v="74"/>
    <s v="table3"/>
    <n v="16"/>
    <s v="240924_EPA_IntroDays_Ommen"/>
    <n v="21"/>
    <n v="0"/>
    <n v="0"/>
    <x v="1"/>
    <s v=""/>
    <s v=""/>
    <n v="0"/>
    <n v="0"/>
    <s v=""/>
  </r>
  <r>
    <n v="647"/>
    <d v="2024-09-24T10:32:44"/>
    <n v="100000"/>
    <n v="50000"/>
    <n v="0"/>
    <n v="8000"/>
    <n v="0"/>
    <n v="0"/>
    <n v="15000"/>
    <n v="48000"/>
    <n v="0"/>
    <n v="0"/>
    <n v="0"/>
    <n v="9000"/>
    <n v="0"/>
    <n v="-4"/>
    <n v="2"/>
    <n v="2"/>
    <n v="0"/>
    <n v="0"/>
    <n v="0"/>
    <n v="5"/>
    <n v="6"/>
    <n v="170000"/>
    <n v="0"/>
    <n v="0"/>
    <n v="0"/>
    <n v="80000"/>
    <n v="80000"/>
    <n v="72000"/>
    <m/>
    <m/>
    <n v="6"/>
    <n v="10"/>
    <n v="0"/>
    <n v="0"/>
    <n v="2"/>
    <n v="1"/>
    <s v="VIEW_SUMMARY"/>
    <n v="539"/>
    <n v="178"/>
    <m/>
    <n v="795"/>
    <m/>
    <x v="1"/>
    <n v="74"/>
    <s v="table3"/>
    <n v="16"/>
    <s v="240924_EPA_IntroDays_Ommen"/>
    <n v="21"/>
    <n v="16"/>
    <n v="3"/>
    <x v="1"/>
    <s v="(Dike-town)"/>
    <n v="0"/>
    <n v="0"/>
    <n v="48000"/>
    <s v="(Dike-town)"/>
  </r>
  <r>
    <n v="697"/>
    <d v="2024-09-24T10:32:44"/>
    <n v="100000"/>
    <n v="50000"/>
    <n v="0"/>
    <n v="8000"/>
    <n v="0"/>
    <n v="0"/>
    <n v="15000"/>
    <n v="20000"/>
    <n v="0"/>
    <n v="0"/>
    <n v="0"/>
    <n v="16000"/>
    <n v="0"/>
    <n v="0"/>
    <n v="1"/>
    <n v="0"/>
    <n v="0"/>
    <n v="0"/>
    <n v="0"/>
    <n v="6"/>
    <n v="6"/>
    <n v="170000"/>
    <n v="80000"/>
    <n v="72000"/>
    <n v="0"/>
    <n v="0"/>
    <n v="80000"/>
    <n v="64000"/>
    <m/>
    <m/>
    <n v="6"/>
    <n v="10"/>
    <n v="-2"/>
    <n v="-1"/>
    <n v="1"/>
    <n v="0"/>
    <s v="VIEW_SUMMARY"/>
    <n v="539"/>
    <n v="185"/>
    <n v="795"/>
    <n v="795"/>
    <m/>
    <x v="2"/>
    <n v="74"/>
    <s v="table3"/>
    <n v="16"/>
    <s v="240924_EPA_IntroDays_Ommen"/>
    <n v="21"/>
    <n v="16"/>
    <n v="1"/>
    <x v="1"/>
    <s v="(Dike-town)"/>
    <n v="1"/>
    <n v="0"/>
    <n v="20000"/>
    <s v="(Dike-town)"/>
  </r>
  <r>
    <n v="730"/>
    <d v="2024-09-24T10:32:44"/>
    <n v="100000"/>
    <n v="50000"/>
    <n v="0"/>
    <n v="8000"/>
    <n v="0"/>
    <n v="0"/>
    <n v="15000"/>
    <n v="26000"/>
    <n v="0"/>
    <n v="0"/>
    <n v="0"/>
    <n v="17000"/>
    <n v="0"/>
    <n v="0"/>
    <n v="0"/>
    <n v="2"/>
    <n v="0"/>
    <n v="0"/>
    <n v="0"/>
    <n v="8"/>
    <n v="6"/>
    <n v="170000"/>
    <n v="80000"/>
    <n v="64000"/>
    <n v="0"/>
    <n v="0"/>
    <n v="80000"/>
    <n v="56000"/>
    <m/>
    <m/>
    <n v="6"/>
    <n v="10"/>
    <n v="-2"/>
    <n v="-1"/>
    <n v="1"/>
    <n v="1"/>
    <s v="VIEW_SUMMARY"/>
    <n v="539"/>
    <n v="189"/>
    <n v="795"/>
    <n v="795"/>
    <m/>
    <x v="3"/>
    <n v="74"/>
    <s v="table3"/>
    <n v="16"/>
    <s v="240924_EPA_IntroDays_Ommen"/>
    <n v="21"/>
    <n v="16"/>
    <n v="2"/>
    <x v="1"/>
    <s v="(Dike-town)"/>
    <n v="2"/>
    <n v="0"/>
    <n v="26000"/>
    <s v="(Dike-town)"/>
  </r>
  <r>
    <n v="587"/>
    <d v="2024-09-24T10:28:15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40"/>
    <n v="172"/>
    <m/>
    <m/>
    <m/>
    <x v="0"/>
    <n v="75"/>
    <s v="table4"/>
    <n v="16"/>
    <s v="240924_EPA_IntroDays_Ommen"/>
    <n v="21"/>
    <n v="0"/>
    <n v="0"/>
    <x v="0"/>
    <s v=""/>
    <s v=""/>
    <n v="0"/>
    <n v="0"/>
    <s v=""/>
  </r>
  <r>
    <n v="659"/>
    <d v="2024-09-24T10:28:15"/>
    <n v="65000"/>
    <n v="30000"/>
    <n v="0"/>
    <n v="11000"/>
    <n v="0"/>
    <n v="0"/>
    <n v="20000"/>
    <n v="9000"/>
    <n v="0"/>
    <n v="0"/>
    <n v="0"/>
    <n v="0"/>
    <n v="0"/>
    <n v="-1"/>
    <n v="0"/>
    <n v="0"/>
    <n v="0"/>
    <n v="0"/>
    <n v="0"/>
    <n v="4"/>
    <n v="4"/>
    <n v="110000"/>
    <n v="0"/>
    <n v="0"/>
    <n v="0"/>
    <n v="110000"/>
    <n v="110000"/>
    <n v="99000"/>
    <m/>
    <m/>
    <n v="8"/>
    <n v="10"/>
    <n v="0"/>
    <n v="0"/>
    <n v="1"/>
    <n v="1"/>
    <s v="VIEW_SUMMARY"/>
    <n v="540"/>
    <n v="180"/>
    <m/>
    <n v="811"/>
    <m/>
    <x v="1"/>
    <n v="75"/>
    <s v="table4"/>
    <n v="16"/>
    <s v="240924_EPA_IntroDays_Ommen"/>
    <n v="21"/>
    <n v="18"/>
    <n v="2"/>
    <x v="0"/>
    <s v="(Natu-city)"/>
    <n v="-1"/>
    <n v="0"/>
    <n v="9000"/>
    <s v="(Natu-city)"/>
  </r>
  <r>
    <n v="689"/>
    <d v="2024-09-24T10:28:15"/>
    <n v="65000"/>
    <n v="30000"/>
    <n v="0"/>
    <n v="11000"/>
    <n v="0"/>
    <n v="0"/>
    <n v="20000"/>
    <n v="0"/>
    <n v="0"/>
    <n v="4000"/>
    <n v="4000"/>
    <n v="-4000"/>
    <n v="0"/>
    <n v="0"/>
    <n v="0"/>
    <n v="0"/>
    <n v="2"/>
    <n v="1"/>
    <n v="0"/>
    <n v="1"/>
    <n v="4"/>
    <n v="110000"/>
    <n v="110000"/>
    <n v="99000"/>
    <n v="0"/>
    <n v="0"/>
    <n v="110000"/>
    <n v="88000"/>
    <m/>
    <m/>
    <n v="8"/>
    <n v="10"/>
    <n v="-2"/>
    <n v="-1"/>
    <n v="0"/>
    <n v="0"/>
    <s v="VIEW_SUMMARY"/>
    <n v="540"/>
    <n v="184"/>
    <n v="811"/>
    <n v="811"/>
    <m/>
    <x v="2"/>
    <n v="75"/>
    <s v="table4"/>
    <n v="16"/>
    <s v="240924_EPA_IntroDays_Ommen"/>
    <n v="21"/>
    <n v="18"/>
    <n v="0"/>
    <x v="0"/>
    <s v="(Natu-city)"/>
    <n v="-3"/>
    <n v="8000"/>
    <n v="0"/>
    <s v="(Natu-city)"/>
  </r>
  <r>
    <n v="736"/>
    <d v="2024-09-24T10:28:15"/>
    <n v="65000"/>
    <n v="30000"/>
    <n v="4000"/>
    <n v="11000"/>
    <n v="0"/>
    <n v="0"/>
    <n v="25000"/>
    <n v="0"/>
    <n v="0"/>
    <n v="0"/>
    <n v="0"/>
    <n v="-5000"/>
    <n v="0"/>
    <n v="0"/>
    <n v="0"/>
    <n v="0"/>
    <n v="0"/>
    <n v="0"/>
    <n v="1"/>
    <n v="0"/>
    <n v="4"/>
    <n v="110000"/>
    <n v="110000"/>
    <n v="88000"/>
    <n v="0"/>
    <n v="0"/>
    <n v="110000"/>
    <n v="77000"/>
    <m/>
    <m/>
    <n v="8"/>
    <n v="10"/>
    <n v="-2"/>
    <n v="-1"/>
    <n v="0"/>
    <n v="0"/>
    <s v="VIEW_SUMMARY"/>
    <n v="540"/>
    <n v="190"/>
    <n v="811"/>
    <n v="811"/>
    <m/>
    <x v="3"/>
    <n v="75"/>
    <s v="table4"/>
    <n v="16"/>
    <s v="240924_EPA_IntroDays_Ommen"/>
    <n v="21"/>
    <n v="18"/>
    <n v="0"/>
    <x v="0"/>
    <s v="(Natu-city)"/>
    <n v="-1"/>
    <n v="0"/>
    <n v="0"/>
    <s v="(Natu-city)"/>
  </r>
  <r>
    <n v="589"/>
    <d v="2024-09-24T10:28:54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41"/>
    <n v="172"/>
    <m/>
    <m/>
    <m/>
    <x v="0"/>
    <n v="75"/>
    <s v="table4"/>
    <n v="16"/>
    <s v="240924_EPA_IntroDays_Ommen"/>
    <n v="21"/>
    <n v="0"/>
    <n v="0"/>
    <x v="1"/>
    <s v=""/>
    <s v=""/>
    <n v="0"/>
    <n v="0"/>
    <s v=""/>
  </r>
  <r>
    <n v="657"/>
    <d v="2024-09-24T10:28:54"/>
    <n v="100000"/>
    <n v="50000"/>
    <n v="0"/>
    <n v="16000"/>
    <n v="0"/>
    <n v="0"/>
    <n v="15000"/>
    <n v="26000"/>
    <n v="0"/>
    <n v="0"/>
    <n v="0"/>
    <n v="23000"/>
    <n v="0"/>
    <n v="-1"/>
    <n v="1"/>
    <n v="0"/>
    <n v="0"/>
    <n v="0"/>
    <n v="0"/>
    <n v="5"/>
    <n v="6"/>
    <n v="170000"/>
    <n v="0"/>
    <n v="0"/>
    <n v="0"/>
    <n v="160000"/>
    <n v="160000"/>
    <n v="144000"/>
    <m/>
    <m/>
    <n v="6"/>
    <n v="10"/>
    <n v="0"/>
    <n v="0"/>
    <n v="2"/>
    <n v="0"/>
    <s v="VIEW_SUMMARY"/>
    <n v="541"/>
    <n v="180"/>
    <m/>
    <n v="814"/>
    <m/>
    <x v="1"/>
    <n v="75"/>
    <s v="table4"/>
    <n v="16"/>
    <s v="240924_EPA_IntroDays_Ommen"/>
    <n v="21"/>
    <n v="16"/>
    <n v="2"/>
    <x v="1"/>
    <s v="(Dike-town)"/>
    <n v="0"/>
    <n v="0"/>
    <n v="26000"/>
    <s v="(Dike-town)"/>
  </r>
  <r>
    <n v="691"/>
    <d v="2024-09-24T10:28:54"/>
    <n v="100000"/>
    <n v="50000"/>
    <n v="0"/>
    <n v="16000"/>
    <n v="0"/>
    <n v="0"/>
    <n v="15000"/>
    <n v="15000"/>
    <n v="0"/>
    <n v="0"/>
    <n v="4000"/>
    <n v="23000"/>
    <n v="0"/>
    <n v="0"/>
    <n v="0"/>
    <n v="0"/>
    <n v="1"/>
    <n v="1"/>
    <n v="0"/>
    <n v="3"/>
    <n v="6"/>
    <n v="170000"/>
    <n v="160000"/>
    <n v="144000"/>
    <n v="0"/>
    <n v="0"/>
    <n v="160000"/>
    <n v="128000"/>
    <m/>
    <m/>
    <n v="6"/>
    <n v="10"/>
    <n v="-2"/>
    <n v="-1"/>
    <n v="1"/>
    <n v="2"/>
    <s v="VIEW_SUMMARY"/>
    <n v="541"/>
    <n v="184"/>
    <n v="814"/>
    <n v="814"/>
    <m/>
    <x v="2"/>
    <n v="75"/>
    <s v="table4"/>
    <n v="16"/>
    <s v="240924_EPA_IntroDays_Ommen"/>
    <n v="21"/>
    <n v="16"/>
    <n v="3"/>
    <x v="1"/>
    <s v="(Dike-town)"/>
    <n v="-2"/>
    <n v="4000"/>
    <n v="15000"/>
    <s v="(Dike-town)"/>
  </r>
  <r>
    <n v="738"/>
    <d v="2024-09-24T10:28:54"/>
    <n v="100000"/>
    <n v="50000"/>
    <n v="0"/>
    <n v="16000"/>
    <n v="0"/>
    <n v="0"/>
    <n v="15000"/>
    <n v="20000"/>
    <n v="0"/>
    <n v="0"/>
    <n v="0"/>
    <n v="22000"/>
    <n v="0"/>
    <n v="0"/>
    <n v="1"/>
    <n v="0"/>
    <n v="0"/>
    <n v="0"/>
    <n v="0"/>
    <n v="4"/>
    <n v="6"/>
    <n v="170000"/>
    <n v="160000"/>
    <n v="128000"/>
    <n v="0"/>
    <n v="0"/>
    <n v="160000"/>
    <n v="112000"/>
    <m/>
    <m/>
    <n v="6"/>
    <n v="10"/>
    <n v="-2"/>
    <n v="-1"/>
    <n v="1"/>
    <n v="1"/>
    <s v="VIEW_SUMMARY"/>
    <n v="541"/>
    <n v="190"/>
    <n v="814"/>
    <n v="814"/>
    <m/>
    <x v="3"/>
    <n v="75"/>
    <s v="table4"/>
    <n v="16"/>
    <s v="240924_EPA_IntroDays_Ommen"/>
    <n v="21"/>
    <n v="16"/>
    <n v="2"/>
    <x v="1"/>
    <s v="(Dike-town)"/>
    <n v="1"/>
    <n v="0"/>
    <n v="20000"/>
    <s v="(Dike-town)"/>
  </r>
  <r>
    <n v="601"/>
    <d v="2024-09-24T10:30:55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42"/>
    <n v="172"/>
    <m/>
    <m/>
    <m/>
    <x v="0"/>
    <n v="75"/>
    <s v="table4"/>
    <n v="16"/>
    <s v="240924_EPA_IntroDays_Ommen"/>
    <n v="21"/>
    <n v="0"/>
    <n v="0"/>
    <x v="2"/>
    <s v=""/>
    <s v=""/>
    <n v="0"/>
    <n v="0"/>
    <s v=""/>
  </r>
  <r>
    <n v="661"/>
    <d v="2024-09-24T10:30:55"/>
    <n v="50000"/>
    <n v="20000"/>
    <n v="0"/>
    <n v="7000"/>
    <n v="0"/>
    <n v="0"/>
    <n v="15000"/>
    <n v="6500"/>
    <n v="0"/>
    <n v="0"/>
    <n v="0"/>
    <n v="1500"/>
    <n v="0"/>
    <n v="-1"/>
    <n v="0"/>
    <n v="1"/>
    <n v="0"/>
    <n v="0"/>
    <n v="0"/>
    <n v="5"/>
    <n v="3"/>
    <n v="80000"/>
    <n v="0"/>
    <n v="0"/>
    <n v="0"/>
    <n v="70000"/>
    <n v="70000"/>
    <n v="63000"/>
    <m/>
    <m/>
    <n v="8"/>
    <n v="7"/>
    <n v="0"/>
    <n v="0"/>
    <n v="0"/>
    <n v="1"/>
    <s v="VIEW_SUMMARY"/>
    <n v="542"/>
    <n v="180"/>
    <m/>
    <n v="818"/>
    <m/>
    <x v="1"/>
    <n v="75"/>
    <s v="table4"/>
    <n v="16"/>
    <s v="240924_EPA_IntroDays_Ommen"/>
    <n v="21"/>
    <n v="15"/>
    <n v="1"/>
    <x v="2"/>
    <s v="(U-village)"/>
    <n v="0"/>
    <n v="0"/>
    <n v="6500"/>
    <s v="(U-village)"/>
  </r>
  <r>
    <n v="692"/>
    <d v="2024-09-24T10:30:55"/>
    <n v="50000"/>
    <n v="20000"/>
    <n v="0"/>
    <n v="0"/>
    <n v="0"/>
    <n v="0"/>
    <n v="15000"/>
    <n v="0"/>
    <n v="0"/>
    <n v="16000"/>
    <n v="4000"/>
    <n v="-3500"/>
    <n v="0"/>
    <n v="0"/>
    <n v="0"/>
    <n v="0"/>
    <n v="5"/>
    <n v="1"/>
    <n v="0"/>
    <n v="-1"/>
    <n v="3"/>
    <n v="80000"/>
    <n v="70000"/>
    <n v="63000"/>
    <n v="0"/>
    <n v="0"/>
    <n v="70000"/>
    <n v="63000"/>
    <m/>
    <m/>
    <n v="8"/>
    <n v="7"/>
    <n v="-2"/>
    <n v="-1"/>
    <n v="0"/>
    <n v="0"/>
    <s v="VIEW_SUMMARY"/>
    <n v="542"/>
    <n v="184"/>
    <n v="818"/>
    <n v="818"/>
    <m/>
    <x v="2"/>
    <n v="75"/>
    <s v="table4"/>
    <n v="16"/>
    <s v="240924_EPA_IntroDays_Ommen"/>
    <n v="21"/>
    <n v="15"/>
    <n v="0"/>
    <x v="2"/>
    <s v="(U-village)"/>
    <n v="-6"/>
    <n v="20000"/>
    <n v="0"/>
    <s v="(U-village)"/>
  </r>
  <r>
    <n v="735"/>
    <d v="2024-09-24T10:30:55"/>
    <n v="50000"/>
    <n v="20000"/>
    <n v="3500"/>
    <n v="7000"/>
    <n v="0"/>
    <n v="0"/>
    <n v="15000"/>
    <n v="0"/>
    <n v="0"/>
    <n v="0"/>
    <n v="0"/>
    <n v="4500"/>
    <n v="0"/>
    <n v="0"/>
    <n v="0"/>
    <n v="0"/>
    <n v="0"/>
    <n v="0"/>
    <n v="1"/>
    <n v="-2"/>
    <n v="3"/>
    <n v="80000"/>
    <n v="70000"/>
    <n v="63000"/>
    <n v="0"/>
    <n v="0"/>
    <n v="70000"/>
    <n v="56000"/>
    <m/>
    <m/>
    <n v="8"/>
    <n v="7"/>
    <n v="-2"/>
    <n v="-1"/>
    <n v="0"/>
    <n v="0"/>
    <s v="VIEW_SUMMARY"/>
    <n v="542"/>
    <n v="190"/>
    <n v="818"/>
    <n v="818"/>
    <m/>
    <x v="3"/>
    <n v="75"/>
    <s v="table4"/>
    <n v="16"/>
    <s v="240924_EPA_IntroDays_Ommen"/>
    <n v="21"/>
    <n v="15"/>
    <n v="0"/>
    <x v="2"/>
    <s v="(U-village)"/>
    <n v="-1"/>
    <n v="0"/>
    <n v="0"/>
    <s v="(U-village)"/>
  </r>
  <r>
    <n v="592"/>
    <d v="2024-09-24T10:29:48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43"/>
    <n v="172"/>
    <m/>
    <m/>
    <m/>
    <x v="0"/>
    <n v="75"/>
    <s v="table4"/>
    <n v="16"/>
    <s v="240924_EPA_IntroDays_Ommen"/>
    <n v="21"/>
    <n v="0"/>
    <n v="0"/>
    <x v="3"/>
    <s v=""/>
    <s v=""/>
    <n v="0"/>
    <n v="0"/>
    <s v=""/>
  </r>
  <r>
    <n v="660"/>
    <d v="2024-09-24T10:29:48"/>
    <n v="80000"/>
    <n v="40000"/>
    <n v="0"/>
    <n v="13000"/>
    <n v="0"/>
    <n v="23000"/>
    <n v="15000"/>
    <n v="0"/>
    <n v="0"/>
    <n v="0"/>
    <n v="0"/>
    <n v="4000"/>
    <n v="0"/>
    <n v="-1"/>
    <n v="0"/>
    <n v="0"/>
    <n v="0"/>
    <n v="0"/>
    <n v="0"/>
    <n v="4"/>
    <n v="5"/>
    <n v="130000"/>
    <n v="0"/>
    <n v="0"/>
    <n v="0"/>
    <n v="153000"/>
    <n v="130000"/>
    <n v="117000"/>
    <m/>
    <m/>
    <n v="8"/>
    <n v="7"/>
    <n v="0"/>
    <n v="0"/>
    <n v="0"/>
    <n v="0"/>
    <s v="VIEW_SUMMARY"/>
    <n v="543"/>
    <n v="180"/>
    <m/>
    <n v="817"/>
    <m/>
    <x v="1"/>
    <n v="75"/>
    <s v="table4"/>
    <n v="16"/>
    <s v="240924_EPA_IntroDays_Ommen"/>
    <n v="21"/>
    <n v="15"/>
    <n v="0"/>
    <x v="3"/>
    <s v="(U-village)"/>
    <n v="-1"/>
    <n v="0"/>
    <n v="0"/>
    <s v="(U-village)"/>
  </r>
  <r>
    <n v="690"/>
    <d v="2024-09-24T10:29:48"/>
    <n v="80000"/>
    <n v="40000"/>
    <n v="0"/>
    <n v="13000"/>
    <n v="0"/>
    <n v="0"/>
    <n v="15000"/>
    <n v="15000"/>
    <n v="0"/>
    <n v="8000"/>
    <n v="0"/>
    <n v="-7000"/>
    <n v="0"/>
    <n v="0"/>
    <n v="0"/>
    <n v="0"/>
    <n v="3"/>
    <n v="0"/>
    <n v="0"/>
    <n v="1"/>
    <n v="5"/>
    <n v="130000"/>
    <n v="130000"/>
    <n v="117000"/>
    <n v="0"/>
    <n v="0"/>
    <n v="130000"/>
    <n v="104000"/>
    <m/>
    <m/>
    <n v="8"/>
    <n v="7"/>
    <n v="-2"/>
    <n v="-1"/>
    <n v="1"/>
    <n v="2"/>
    <s v="VIEW_SUMMARY"/>
    <n v="543"/>
    <n v="184"/>
    <n v="817"/>
    <n v="817"/>
    <m/>
    <x v="2"/>
    <n v="75"/>
    <s v="table4"/>
    <n v="16"/>
    <s v="240924_EPA_IntroDays_Ommen"/>
    <n v="21"/>
    <n v="15"/>
    <n v="3"/>
    <x v="3"/>
    <s v="(U-village)"/>
    <n v="-3"/>
    <n v="8000"/>
    <n v="15000"/>
    <s v="(U-village)"/>
  </r>
  <r>
    <n v="740"/>
    <d v="2024-09-24T10:29:48"/>
    <n v="80000"/>
    <n v="40000"/>
    <n v="7000"/>
    <n v="12500"/>
    <n v="11000"/>
    <n v="0"/>
    <n v="15000"/>
    <n v="12000"/>
    <n v="0"/>
    <n v="0"/>
    <n v="0"/>
    <n v="4500"/>
    <n v="1"/>
    <n v="-1"/>
    <n v="0"/>
    <n v="0"/>
    <n v="0"/>
    <n v="0"/>
    <n v="1"/>
    <n v="-2"/>
    <n v="5"/>
    <n v="130000"/>
    <n v="130000"/>
    <n v="104000"/>
    <n v="115000"/>
    <n v="125000"/>
    <n v="125000"/>
    <n v="112500"/>
    <n v="27"/>
    <s v="Safer"/>
    <n v="8"/>
    <n v="7"/>
    <n v="-2"/>
    <n v="-1"/>
    <n v="3"/>
    <n v="2"/>
    <s v="VIEW_SUMMARY"/>
    <n v="543"/>
    <n v="190"/>
    <n v="817"/>
    <n v="873"/>
    <m/>
    <x v="3"/>
    <n v="75"/>
    <s v="table4"/>
    <n v="16"/>
    <s v="240924_EPA_IntroDays_Ommen"/>
    <n v="21"/>
    <n v="15"/>
    <n v="5"/>
    <x v="3"/>
    <s v="(U-village)"/>
    <n v="-3"/>
    <n v="0"/>
    <n v="12000"/>
    <s v="(U-village)"/>
  </r>
  <r>
    <n v="588"/>
    <d v="2024-09-24T10:28:42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44"/>
    <n v="172"/>
    <m/>
    <m/>
    <m/>
    <x v="0"/>
    <n v="75"/>
    <s v="table4"/>
    <n v="16"/>
    <s v="240924_EPA_IntroDays_Ommen"/>
    <n v="21"/>
    <n v="0"/>
    <n v="0"/>
    <x v="4"/>
    <s v=""/>
    <s v=""/>
    <n v="0"/>
    <n v="0"/>
    <s v=""/>
  </r>
  <r>
    <n v="662"/>
    <d v="2024-09-24T10:28:42"/>
    <n v="120000"/>
    <n v="65000"/>
    <n v="0"/>
    <n v="16000"/>
    <n v="0"/>
    <n v="0"/>
    <n v="15000"/>
    <n v="20000"/>
    <n v="0"/>
    <n v="0"/>
    <n v="0"/>
    <n v="54000"/>
    <n v="0"/>
    <n v="-2"/>
    <n v="1"/>
    <n v="1"/>
    <n v="0"/>
    <n v="0"/>
    <n v="0"/>
    <n v="5"/>
    <n v="7"/>
    <n v="200000"/>
    <n v="0"/>
    <n v="0"/>
    <n v="0"/>
    <n v="160000"/>
    <n v="160000"/>
    <n v="144000"/>
    <m/>
    <m/>
    <n v="6"/>
    <n v="10"/>
    <n v="0"/>
    <n v="0"/>
    <n v="1"/>
    <n v="0"/>
    <s v="VIEW_SUMMARY"/>
    <n v="544"/>
    <n v="180"/>
    <m/>
    <n v="813"/>
    <m/>
    <x v="1"/>
    <n v="75"/>
    <s v="table4"/>
    <n v="16"/>
    <s v="240924_EPA_IntroDays_Ommen"/>
    <n v="21"/>
    <n v="16"/>
    <n v="1"/>
    <x v="4"/>
    <s v="(Dike-town)"/>
    <n v="0"/>
    <n v="0"/>
    <n v="20000"/>
    <s v="(Dike-town)"/>
  </r>
  <r>
    <n v="687"/>
    <d v="2024-09-24T10:28:42"/>
    <n v="120000"/>
    <n v="65000"/>
    <n v="0"/>
    <n v="20000"/>
    <n v="16000"/>
    <n v="100000"/>
    <n v="15000"/>
    <n v="0"/>
    <n v="0"/>
    <n v="4000"/>
    <n v="4000"/>
    <n v="-18000"/>
    <n v="1"/>
    <n v="1"/>
    <n v="0"/>
    <n v="0"/>
    <n v="2"/>
    <n v="1"/>
    <n v="0"/>
    <n v="2"/>
    <n v="7"/>
    <n v="200000"/>
    <n v="160000"/>
    <n v="144000"/>
    <n v="160000"/>
    <n v="300000"/>
    <n v="200000"/>
    <n v="180000"/>
    <n v="27"/>
    <m/>
    <n v="6"/>
    <n v="10"/>
    <n v="-2"/>
    <n v="-1"/>
    <n v="0"/>
    <n v="0"/>
    <s v="VIEW_SUMMARY"/>
    <n v="544"/>
    <n v="184"/>
    <n v="813"/>
    <n v="835"/>
    <m/>
    <x v="2"/>
    <n v="75"/>
    <s v="table4"/>
    <n v="16"/>
    <s v="240924_EPA_IntroDays_Ommen"/>
    <n v="21"/>
    <n v="16"/>
    <n v="0"/>
    <x v="4"/>
    <s v="(Dike-town)"/>
    <n v="-3"/>
    <n v="8000"/>
    <n v="0"/>
    <s v="(Dike-town)"/>
  </r>
  <r>
    <n v="739"/>
    <d v="2024-09-24T10:28:42"/>
    <n v="120000"/>
    <n v="65000"/>
    <n v="18000"/>
    <n v="20000"/>
    <n v="0"/>
    <n v="0"/>
    <n v="15000"/>
    <n v="0"/>
    <n v="0"/>
    <n v="0"/>
    <n v="0"/>
    <n v="2000"/>
    <n v="0"/>
    <n v="0"/>
    <n v="0"/>
    <n v="0"/>
    <n v="0"/>
    <n v="0"/>
    <n v="1"/>
    <n v="1"/>
    <n v="7"/>
    <n v="200000"/>
    <n v="200000"/>
    <n v="180000"/>
    <n v="0"/>
    <n v="0"/>
    <n v="200000"/>
    <n v="160000"/>
    <m/>
    <m/>
    <n v="6"/>
    <n v="10"/>
    <n v="-2"/>
    <n v="-1"/>
    <n v="0"/>
    <n v="0"/>
    <s v="VIEW_SUMMARY"/>
    <n v="544"/>
    <n v="190"/>
    <n v="835"/>
    <n v="835"/>
    <m/>
    <x v="3"/>
    <n v="75"/>
    <s v="table4"/>
    <n v="16"/>
    <s v="240924_EPA_IntroDays_Ommen"/>
    <n v="21"/>
    <n v="16"/>
    <n v="0"/>
    <x v="4"/>
    <s v="(Dike-town)"/>
    <n v="-1"/>
    <n v="0"/>
    <n v="0"/>
    <s v="(Dike-town)"/>
  </r>
  <r>
    <n v="591"/>
    <d v="2024-09-24T10:29:48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45"/>
    <n v="172"/>
    <m/>
    <m/>
    <m/>
    <x v="0"/>
    <n v="75"/>
    <s v="table4"/>
    <n v="16"/>
    <s v="240924_EPA_IntroDays_Ommen"/>
    <n v="21"/>
    <n v="0"/>
    <n v="0"/>
    <x v="5"/>
    <s v=""/>
    <s v=""/>
    <n v="0"/>
    <n v="0"/>
    <s v=""/>
  </r>
  <r>
    <n v="656"/>
    <d v="2024-09-24T10:29:48"/>
    <n v="180000"/>
    <n v="105000"/>
    <n v="0"/>
    <n v="30000"/>
    <n v="0"/>
    <n v="50000"/>
    <n v="15000"/>
    <n v="32000"/>
    <n v="0"/>
    <n v="0"/>
    <n v="0"/>
    <n v="28000"/>
    <n v="0"/>
    <n v="0"/>
    <n v="2"/>
    <n v="0"/>
    <n v="0"/>
    <n v="0"/>
    <n v="0"/>
    <n v="7"/>
    <n v="8"/>
    <n v="300000"/>
    <n v="0"/>
    <n v="0"/>
    <n v="0"/>
    <n v="350000"/>
    <n v="300000"/>
    <n v="270000"/>
    <m/>
    <m/>
    <n v="6"/>
    <n v="10"/>
    <n v="0"/>
    <n v="0"/>
    <n v="2"/>
    <n v="1"/>
    <s v="VIEW_SUMMARY"/>
    <n v="545"/>
    <n v="180"/>
    <m/>
    <n v="812"/>
    <m/>
    <x v="1"/>
    <n v="75"/>
    <s v="table4"/>
    <n v="16"/>
    <s v="240924_EPA_IntroDays_Ommen"/>
    <n v="21"/>
    <n v="16"/>
    <n v="3"/>
    <x v="5"/>
    <s v="(Dike-town)"/>
    <n v="2"/>
    <n v="0"/>
    <n v="32000"/>
    <s v="(Dike-town)"/>
  </r>
  <r>
    <n v="701"/>
    <d v="2024-09-24T10:29:48"/>
    <n v="180000"/>
    <n v="105000"/>
    <n v="0"/>
    <n v="30000"/>
    <n v="0"/>
    <n v="0"/>
    <n v="15000"/>
    <n v="32000"/>
    <n v="0"/>
    <n v="0"/>
    <n v="4000"/>
    <n v="22000"/>
    <n v="0"/>
    <n v="0"/>
    <n v="1"/>
    <n v="0"/>
    <n v="1"/>
    <n v="1"/>
    <n v="0"/>
    <n v="6"/>
    <n v="8"/>
    <n v="300000"/>
    <n v="300000"/>
    <n v="270000"/>
    <n v="0"/>
    <n v="0"/>
    <n v="300000"/>
    <n v="240000"/>
    <m/>
    <m/>
    <n v="6"/>
    <n v="10"/>
    <n v="-2"/>
    <n v="-1"/>
    <n v="2"/>
    <n v="1"/>
    <s v="VIEW_SUMMARY"/>
    <n v="545"/>
    <n v="184"/>
    <n v="812"/>
    <n v="812"/>
    <m/>
    <x v="2"/>
    <n v="75"/>
    <s v="table4"/>
    <n v="16"/>
    <s v="240924_EPA_IntroDays_Ommen"/>
    <n v="21"/>
    <n v="16"/>
    <n v="3"/>
    <x v="5"/>
    <s v="(Dike-town)"/>
    <n v="-1"/>
    <n v="4000"/>
    <n v="32000"/>
    <s v="(Dike-town)"/>
  </r>
  <r>
    <n v="734"/>
    <d v="2024-09-24T10:29:48"/>
    <n v="180000"/>
    <n v="105000"/>
    <n v="0"/>
    <n v="30000"/>
    <n v="0"/>
    <n v="0"/>
    <n v="15000"/>
    <n v="39000"/>
    <n v="0"/>
    <n v="0"/>
    <n v="0"/>
    <n v="13000"/>
    <n v="0"/>
    <n v="0"/>
    <n v="0"/>
    <n v="2"/>
    <n v="0"/>
    <n v="0"/>
    <n v="0"/>
    <n v="8"/>
    <n v="8"/>
    <n v="300000"/>
    <n v="300000"/>
    <n v="240000"/>
    <n v="0"/>
    <n v="0"/>
    <n v="300000"/>
    <n v="210000"/>
    <m/>
    <m/>
    <n v="6"/>
    <n v="10"/>
    <n v="-2"/>
    <n v="-1"/>
    <n v="1"/>
    <n v="1"/>
    <s v="VIEW_SUMMARY"/>
    <n v="545"/>
    <n v="190"/>
    <n v="812"/>
    <n v="812"/>
    <m/>
    <x v="3"/>
    <n v="75"/>
    <s v="table4"/>
    <n v="16"/>
    <s v="240924_EPA_IntroDays_Ommen"/>
    <n v="21"/>
    <n v="16"/>
    <n v="2"/>
    <x v="5"/>
    <s v="(Dike-town)"/>
    <n v="2"/>
    <n v="0"/>
    <n v="39000"/>
    <s v="(Dike-town)"/>
  </r>
  <r>
    <n v="593"/>
    <d v="2024-09-24T10:29:51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46"/>
    <n v="172"/>
    <m/>
    <m/>
    <m/>
    <x v="0"/>
    <n v="75"/>
    <s v="table4"/>
    <n v="16"/>
    <s v="240924_EPA_IntroDays_Ommen"/>
    <n v="21"/>
    <n v="0"/>
    <n v="0"/>
    <x v="1"/>
    <s v=""/>
    <s v=""/>
    <n v="0"/>
    <n v="0"/>
    <s v=""/>
  </r>
  <r>
    <n v="663"/>
    <d v="2024-09-24T10:29:51"/>
    <n v="100000"/>
    <n v="50000"/>
    <n v="0"/>
    <n v="17000"/>
    <n v="0"/>
    <n v="62000"/>
    <n v="20000"/>
    <n v="0"/>
    <n v="0"/>
    <n v="0"/>
    <n v="0"/>
    <n v="-19000"/>
    <n v="0"/>
    <n v="0"/>
    <n v="0"/>
    <n v="0"/>
    <n v="0"/>
    <n v="0"/>
    <n v="0"/>
    <n v="5"/>
    <n v="6"/>
    <n v="170000"/>
    <n v="0"/>
    <n v="0"/>
    <n v="0"/>
    <n v="232000"/>
    <n v="170000"/>
    <n v="153000"/>
    <m/>
    <m/>
    <n v="8"/>
    <n v="10"/>
    <n v="0"/>
    <n v="0"/>
    <n v="0"/>
    <n v="0"/>
    <s v="VIEW_SUMMARY"/>
    <n v="546"/>
    <n v="180"/>
    <m/>
    <n v="810"/>
    <m/>
    <x v="1"/>
    <n v="75"/>
    <s v="table4"/>
    <n v="16"/>
    <s v="240924_EPA_IntroDays_Ommen"/>
    <n v="21"/>
    <n v="18"/>
    <n v="0"/>
    <x v="1"/>
    <s v="(Natu-city)"/>
    <n v="0"/>
    <n v="0"/>
    <n v="0"/>
    <s v="(Natu-city)"/>
  </r>
  <r>
    <n v="686"/>
    <d v="2024-09-24T10:29:51"/>
    <n v="100000"/>
    <n v="50000"/>
    <n v="19000"/>
    <n v="17000"/>
    <n v="0"/>
    <n v="0"/>
    <n v="20000"/>
    <n v="0"/>
    <n v="0"/>
    <n v="4000"/>
    <n v="4000"/>
    <n v="-14000"/>
    <n v="0"/>
    <n v="0"/>
    <n v="0"/>
    <n v="0"/>
    <n v="2"/>
    <n v="1"/>
    <n v="1"/>
    <n v="1"/>
    <n v="6"/>
    <n v="170000"/>
    <n v="170000"/>
    <n v="153000"/>
    <n v="0"/>
    <n v="0"/>
    <n v="170000"/>
    <n v="136000"/>
    <m/>
    <m/>
    <n v="8"/>
    <n v="10"/>
    <n v="-2"/>
    <n v="-1"/>
    <n v="0"/>
    <n v="0"/>
    <s v="VIEW_SUMMARY"/>
    <n v="546"/>
    <n v="184"/>
    <n v="810"/>
    <n v="810"/>
    <m/>
    <x v="2"/>
    <n v="75"/>
    <s v="table4"/>
    <n v="16"/>
    <s v="240924_EPA_IntroDays_Ommen"/>
    <n v="21"/>
    <n v="18"/>
    <n v="0"/>
    <x v="1"/>
    <s v="(Natu-city)"/>
    <n v="-4"/>
    <n v="8000"/>
    <n v="0"/>
    <s v="(Natu-city)"/>
  </r>
  <r>
    <n v="741"/>
    <d v="2024-09-24T10:29:51"/>
    <n v="100000"/>
    <n v="50000"/>
    <n v="14000"/>
    <n v="17000"/>
    <n v="0"/>
    <n v="0"/>
    <n v="25000"/>
    <n v="0"/>
    <n v="0"/>
    <n v="0"/>
    <n v="0"/>
    <n v="-6000"/>
    <n v="0"/>
    <n v="0"/>
    <n v="0"/>
    <n v="0"/>
    <n v="0"/>
    <n v="0"/>
    <n v="1"/>
    <n v="0"/>
    <n v="6"/>
    <n v="170000"/>
    <n v="170000"/>
    <n v="136000"/>
    <n v="0"/>
    <n v="0"/>
    <n v="170000"/>
    <n v="119000"/>
    <m/>
    <m/>
    <n v="8"/>
    <n v="10"/>
    <n v="-2"/>
    <n v="-1"/>
    <n v="0"/>
    <n v="0"/>
    <s v="VIEW_SUMMARY"/>
    <n v="546"/>
    <n v="190"/>
    <n v="810"/>
    <n v="810"/>
    <m/>
    <x v="3"/>
    <n v="75"/>
    <s v="table4"/>
    <n v="16"/>
    <s v="240924_EPA_IntroDays_Ommen"/>
    <n v="21"/>
    <n v="18"/>
    <n v="0"/>
    <x v="1"/>
    <s v="(Natu-city)"/>
    <n v="-1"/>
    <n v="0"/>
    <n v="0"/>
    <s v="(Natu-city)"/>
  </r>
  <r>
    <n v="590"/>
    <d v="2024-09-24T10:29:40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47"/>
    <n v="172"/>
    <m/>
    <m/>
    <m/>
    <x v="0"/>
    <n v="75"/>
    <s v="table4"/>
    <n v="16"/>
    <s v="240924_EPA_IntroDays_Ommen"/>
    <n v="21"/>
    <n v="0"/>
    <n v="0"/>
    <x v="1"/>
    <s v=""/>
    <s v=""/>
    <n v="0"/>
    <n v="0"/>
    <s v=""/>
  </r>
  <r>
    <n v="658"/>
    <d v="2024-09-24T10:29:40"/>
    <n v="100000"/>
    <n v="50000"/>
    <n v="0"/>
    <n v="17000"/>
    <n v="0"/>
    <n v="51000"/>
    <n v="15000"/>
    <n v="0"/>
    <n v="0"/>
    <n v="0"/>
    <n v="0"/>
    <n v="-3000"/>
    <n v="0"/>
    <n v="0"/>
    <n v="0"/>
    <n v="0"/>
    <n v="0"/>
    <n v="0"/>
    <n v="0"/>
    <n v="5"/>
    <n v="6"/>
    <n v="170000"/>
    <n v="0"/>
    <n v="0"/>
    <n v="0"/>
    <n v="221000"/>
    <n v="170000"/>
    <n v="153000"/>
    <m/>
    <m/>
    <n v="8"/>
    <n v="7"/>
    <n v="0"/>
    <n v="0"/>
    <n v="0"/>
    <n v="0"/>
    <s v="VIEW_SUMMARY"/>
    <n v="547"/>
    <n v="180"/>
    <m/>
    <n v="816"/>
    <m/>
    <x v="1"/>
    <n v="75"/>
    <s v="table4"/>
    <n v="16"/>
    <s v="240924_EPA_IntroDays_Ommen"/>
    <n v="21"/>
    <n v="15"/>
    <n v="0"/>
    <x v="1"/>
    <s v="(U-village)"/>
    <n v="0"/>
    <n v="0"/>
    <n v="0"/>
    <s v="(U-village)"/>
  </r>
  <r>
    <n v="688"/>
    <d v="2024-09-24T10:29:40"/>
    <n v="100000"/>
    <n v="50000"/>
    <n v="3000"/>
    <n v="17000"/>
    <n v="0"/>
    <n v="0"/>
    <n v="15000"/>
    <n v="15000"/>
    <n v="0"/>
    <n v="8000"/>
    <n v="0"/>
    <n v="-8000"/>
    <n v="0"/>
    <n v="0"/>
    <n v="0"/>
    <n v="0"/>
    <n v="3"/>
    <n v="0"/>
    <n v="1"/>
    <n v="1"/>
    <n v="6"/>
    <n v="170000"/>
    <n v="170000"/>
    <n v="153000"/>
    <n v="0"/>
    <n v="0"/>
    <n v="170000"/>
    <n v="136000"/>
    <m/>
    <m/>
    <n v="8"/>
    <n v="7"/>
    <n v="-2"/>
    <n v="-1"/>
    <n v="1"/>
    <n v="2"/>
    <s v="VIEW_SUMMARY"/>
    <n v="547"/>
    <n v="184"/>
    <n v="816"/>
    <n v="816"/>
    <m/>
    <x v="2"/>
    <n v="75"/>
    <s v="table4"/>
    <n v="16"/>
    <s v="240924_EPA_IntroDays_Ommen"/>
    <n v="21"/>
    <n v="15"/>
    <n v="3"/>
    <x v="1"/>
    <s v="(U-village)"/>
    <n v="-4"/>
    <n v="8000"/>
    <n v="15000"/>
    <s v="(U-village)"/>
  </r>
  <r>
    <n v="737"/>
    <d v="2024-09-24T10:29:40"/>
    <n v="100000"/>
    <n v="50000"/>
    <n v="8000"/>
    <n v="17000"/>
    <n v="0"/>
    <n v="0"/>
    <n v="15000"/>
    <n v="6000"/>
    <n v="0"/>
    <n v="0"/>
    <n v="0"/>
    <n v="4000"/>
    <n v="0"/>
    <n v="0"/>
    <n v="0"/>
    <n v="0"/>
    <n v="0"/>
    <n v="0"/>
    <n v="1"/>
    <n v="0"/>
    <n v="6"/>
    <n v="170000"/>
    <n v="170000"/>
    <n v="136000"/>
    <n v="0"/>
    <n v="0"/>
    <n v="170000"/>
    <n v="119000"/>
    <m/>
    <m/>
    <n v="8"/>
    <n v="7"/>
    <n v="-2"/>
    <n v="-1"/>
    <n v="1"/>
    <n v="0"/>
    <s v="VIEW_SUMMARY"/>
    <n v="547"/>
    <n v="190"/>
    <n v="816"/>
    <n v="816"/>
    <m/>
    <x v="3"/>
    <n v="75"/>
    <s v="table4"/>
    <n v="16"/>
    <s v="240924_EPA_IntroDays_Ommen"/>
    <n v="21"/>
    <n v="15"/>
    <n v="1"/>
    <x v="1"/>
    <s v="(U-village)"/>
    <n v="-1"/>
    <n v="0"/>
    <n v="6000"/>
    <s v="(U-village)"/>
  </r>
  <r>
    <n v="620"/>
    <d v="2024-09-24T10:32:44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48"/>
    <n v="173"/>
    <m/>
    <m/>
    <m/>
    <x v="0"/>
    <n v="76"/>
    <s v="table5"/>
    <n v="16"/>
    <s v="240924_EPA_IntroDays_Ommen"/>
    <n v="21"/>
    <n v="0"/>
    <n v="0"/>
    <x v="0"/>
    <s v=""/>
    <s v=""/>
    <n v="0"/>
    <n v="0"/>
    <s v=""/>
  </r>
  <r>
    <n v="632"/>
    <d v="2024-09-24T10:32:44"/>
    <n v="65000"/>
    <n v="30000"/>
    <n v="0"/>
    <n v="7000"/>
    <n v="0"/>
    <n v="0"/>
    <n v="20000"/>
    <n v="12000"/>
    <n v="0"/>
    <n v="4000"/>
    <n v="0"/>
    <n v="-3000"/>
    <n v="0"/>
    <n v="-2"/>
    <n v="1"/>
    <n v="0"/>
    <n v="2"/>
    <n v="0"/>
    <n v="0"/>
    <n v="2"/>
    <n v="4"/>
    <n v="110000"/>
    <n v="0"/>
    <n v="0"/>
    <n v="0"/>
    <n v="70000"/>
    <n v="70000"/>
    <n v="63000"/>
    <m/>
    <m/>
    <n v="8"/>
    <n v="7"/>
    <n v="0"/>
    <n v="0"/>
    <n v="1"/>
    <n v="0"/>
    <s v="VIEW_SUMMARY"/>
    <n v="548"/>
    <n v="176"/>
    <m/>
    <n v="778"/>
    <m/>
    <x v="1"/>
    <n v="76"/>
    <s v="table5"/>
    <n v="16"/>
    <s v="240924_EPA_IntroDays_Ommen"/>
    <n v="21"/>
    <n v="15"/>
    <n v="1"/>
    <x v="0"/>
    <s v="(U-village)"/>
    <n v="-3"/>
    <n v="4000"/>
    <n v="12000"/>
    <s v="(U-village)"/>
  </r>
  <r>
    <n v="679"/>
    <d v="2024-09-24T10:32:44"/>
    <n v="65000"/>
    <n v="30000"/>
    <n v="3000"/>
    <n v="8000"/>
    <n v="7000"/>
    <n v="0"/>
    <n v="25000"/>
    <n v="6000"/>
    <n v="0"/>
    <n v="0"/>
    <n v="0"/>
    <n v="0"/>
    <n v="1"/>
    <n v="-2"/>
    <n v="0"/>
    <n v="0"/>
    <n v="0"/>
    <n v="0"/>
    <n v="1"/>
    <n v="-2"/>
    <n v="4"/>
    <n v="110000"/>
    <n v="70000"/>
    <n v="63000"/>
    <n v="70000"/>
    <n v="80000"/>
    <n v="80000"/>
    <n v="72000"/>
    <n v="26"/>
    <m/>
    <n v="6"/>
    <n v="10"/>
    <n v="-2"/>
    <n v="-1"/>
    <n v="1"/>
    <n v="0"/>
    <s v="VIEW_SUMMARY"/>
    <n v="548"/>
    <n v="182"/>
    <n v="778"/>
    <n v="826"/>
    <m/>
    <x v="2"/>
    <n v="76"/>
    <s v="table5"/>
    <n v="16"/>
    <s v="240924_EPA_IntroDays_Ommen"/>
    <n v="21"/>
    <n v="16"/>
    <n v="1"/>
    <x v="0"/>
    <s v="(Dike-town)"/>
    <n v="-4"/>
    <n v="0"/>
    <n v="6000"/>
    <s v="(Dike-town)"/>
  </r>
  <r>
    <n v="718"/>
    <d v="2024-09-24T10:32:44"/>
    <n v="65000"/>
    <n v="30000"/>
    <n v="0"/>
    <n v="10000"/>
    <n v="8000"/>
    <n v="0"/>
    <n v="20000"/>
    <n v="12000"/>
    <n v="0"/>
    <n v="0"/>
    <n v="4000"/>
    <n v="-3000"/>
    <n v="1"/>
    <n v="-1"/>
    <n v="1"/>
    <n v="0"/>
    <n v="1"/>
    <n v="1"/>
    <n v="0"/>
    <n v="-5"/>
    <n v="4"/>
    <n v="110000"/>
    <n v="80000"/>
    <n v="72000"/>
    <n v="80000"/>
    <n v="100000"/>
    <n v="100000"/>
    <n v="90000"/>
    <n v="28"/>
    <m/>
    <n v="8"/>
    <n v="10"/>
    <n v="-2"/>
    <n v="-1"/>
    <n v="1"/>
    <n v="1"/>
    <s v="VIEW_SUMMARY"/>
    <n v="548"/>
    <n v="187"/>
    <n v="826"/>
    <n v="850"/>
    <m/>
    <x v="3"/>
    <n v="76"/>
    <s v="table5"/>
    <n v="16"/>
    <s v="240924_EPA_IntroDays_Ommen"/>
    <n v="21"/>
    <n v="18"/>
    <n v="2"/>
    <x v="0"/>
    <s v="(Natu-city)"/>
    <n v="-3"/>
    <n v="4000"/>
    <n v="12000"/>
    <s v="(Natu-city)"/>
  </r>
  <r>
    <n v="602"/>
    <d v="2024-09-24T10:31:21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49"/>
    <n v="173"/>
    <m/>
    <m/>
    <m/>
    <x v="0"/>
    <n v="76"/>
    <s v="table5"/>
    <n v="16"/>
    <s v="240924_EPA_IntroDays_Ommen"/>
    <n v="21"/>
    <n v="0"/>
    <n v="0"/>
    <x v="1"/>
    <s v=""/>
    <s v=""/>
    <n v="0"/>
    <n v="0"/>
    <s v=""/>
  </r>
  <r>
    <n v="629"/>
    <d v="2024-09-24T10:31:21"/>
    <n v="100000"/>
    <n v="50000"/>
    <n v="0"/>
    <n v="12500"/>
    <n v="0"/>
    <n v="0"/>
    <n v="20000"/>
    <n v="46000"/>
    <n v="0"/>
    <n v="0"/>
    <n v="0"/>
    <n v="1500"/>
    <n v="0"/>
    <n v="-3"/>
    <n v="1"/>
    <n v="4"/>
    <n v="0"/>
    <n v="0"/>
    <n v="0"/>
    <n v="7"/>
    <n v="6"/>
    <n v="170000"/>
    <n v="0"/>
    <n v="0"/>
    <n v="0"/>
    <n v="125000"/>
    <n v="125000"/>
    <n v="112500"/>
    <m/>
    <m/>
    <n v="8"/>
    <n v="10"/>
    <n v="0"/>
    <n v="0"/>
    <n v="2"/>
    <n v="1"/>
    <s v="VIEW_SUMMARY"/>
    <n v="549"/>
    <n v="176"/>
    <m/>
    <n v="771"/>
    <m/>
    <x v="1"/>
    <n v="76"/>
    <s v="table5"/>
    <n v="16"/>
    <s v="240924_EPA_IntroDays_Ommen"/>
    <n v="21"/>
    <n v="18"/>
    <n v="3"/>
    <x v="1"/>
    <s v="(Natu-city)"/>
    <n v="2"/>
    <n v="0"/>
    <n v="46000"/>
    <s v="(Natu-city)"/>
  </r>
  <r>
    <n v="677"/>
    <d v="2024-09-24T10:31:21"/>
    <n v="100000"/>
    <n v="50000"/>
    <n v="0"/>
    <n v="12500"/>
    <n v="0"/>
    <n v="0"/>
    <n v="20000"/>
    <n v="12000"/>
    <n v="0"/>
    <n v="0"/>
    <n v="0"/>
    <n v="7000"/>
    <n v="0"/>
    <n v="0"/>
    <n v="0"/>
    <n v="0"/>
    <n v="0"/>
    <n v="0"/>
    <n v="0"/>
    <n v="7"/>
    <n v="6"/>
    <n v="170000"/>
    <n v="125000"/>
    <n v="112500"/>
    <n v="0"/>
    <n v="0"/>
    <n v="125000"/>
    <n v="100000"/>
    <m/>
    <m/>
    <n v="8"/>
    <n v="10"/>
    <n v="-2"/>
    <n v="-1"/>
    <n v="1"/>
    <n v="1"/>
    <s v="VIEW_SUMMARY"/>
    <n v="549"/>
    <n v="182"/>
    <n v="771"/>
    <n v="771"/>
    <m/>
    <x v="2"/>
    <n v="76"/>
    <s v="table5"/>
    <n v="16"/>
    <s v="240924_EPA_IntroDays_Ommen"/>
    <n v="21"/>
    <n v="18"/>
    <n v="2"/>
    <x v="1"/>
    <s v="(Natu-city)"/>
    <n v="0"/>
    <n v="0"/>
    <n v="12000"/>
    <s v="(Natu-city)"/>
  </r>
  <r>
    <n v="714"/>
    <d v="2024-09-24T10:31:21"/>
    <n v="100000"/>
    <n v="50000"/>
    <n v="0"/>
    <n v="12500"/>
    <n v="0"/>
    <n v="0"/>
    <n v="20000"/>
    <n v="0"/>
    <n v="0"/>
    <n v="4000"/>
    <n v="4000"/>
    <n v="16500"/>
    <n v="0"/>
    <n v="0"/>
    <n v="0"/>
    <n v="0"/>
    <n v="2"/>
    <n v="1"/>
    <n v="0"/>
    <n v="4"/>
    <n v="6"/>
    <n v="170000"/>
    <n v="125000"/>
    <n v="100000"/>
    <n v="0"/>
    <n v="0"/>
    <n v="125000"/>
    <n v="87500"/>
    <m/>
    <m/>
    <n v="8"/>
    <n v="10"/>
    <n v="-2"/>
    <n v="-1"/>
    <n v="0"/>
    <n v="0"/>
    <s v="VIEW_SUMMARY"/>
    <n v="549"/>
    <n v="187"/>
    <n v="771"/>
    <n v="771"/>
    <m/>
    <x v="3"/>
    <n v="76"/>
    <s v="table5"/>
    <n v="16"/>
    <s v="240924_EPA_IntroDays_Ommen"/>
    <n v="21"/>
    <n v="18"/>
    <n v="0"/>
    <x v="1"/>
    <s v="(Natu-city)"/>
    <n v="-3"/>
    <n v="8000"/>
    <n v="0"/>
    <s v="(Natu-city)"/>
  </r>
  <r>
    <n v="606"/>
    <d v="2024-09-24T10:31:49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50"/>
    <n v="173"/>
    <m/>
    <m/>
    <m/>
    <x v="0"/>
    <n v="76"/>
    <s v="table5"/>
    <n v="16"/>
    <s v="240924_EPA_IntroDays_Ommen"/>
    <n v="21"/>
    <n v="0"/>
    <n v="0"/>
    <x v="2"/>
    <s v=""/>
    <s v=""/>
    <n v="0"/>
    <n v="0"/>
    <s v=""/>
  </r>
  <r>
    <n v="631"/>
    <d v="2024-09-24T10:31:49"/>
    <n v="50000"/>
    <n v="20000"/>
    <n v="0"/>
    <n v="8000"/>
    <n v="0"/>
    <n v="0"/>
    <n v="15000"/>
    <n v="6000"/>
    <n v="0"/>
    <n v="0"/>
    <n v="4000"/>
    <n v="-3000"/>
    <n v="0"/>
    <n v="-1"/>
    <n v="0"/>
    <n v="0"/>
    <n v="0"/>
    <n v="1"/>
    <n v="0"/>
    <n v="3"/>
    <n v="3"/>
    <n v="80000"/>
    <n v="0"/>
    <n v="0"/>
    <n v="0"/>
    <n v="80000"/>
    <n v="80000"/>
    <n v="72000"/>
    <m/>
    <m/>
    <n v="6"/>
    <n v="10"/>
    <n v="0"/>
    <n v="0"/>
    <n v="1"/>
    <n v="0"/>
    <s v="VIEW_SUMMARY"/>
    <n v="550"/>
    <n v="176"/>
    <m/>
    <n v="775"/>
    <m/>
    <x v="1"/>
    <n v="76"/>
    <s v="table5"/>
    <n v="16"/>
    <s v="240924_EPA_IntroDays_Ommen"/>
    <n v="21"/>
    <n v="16"/>
    <n v="1"/>
    <x v="2"/>
    <s v="(Dike-town)"/>
    <n v="-2"/>
    <n v="4000"/>
    <n v="6000"/>
    <s v="(Dike-town)"/>
  </r>
  <r>
    <n v="678"/>
    <d v="2024-09-24T10:31:49"/>
    <n v="50000"/>
    <n v="20000"/>
    <n v="3000"/>
    <n v="8000"/>
    <n v="0"/>
    <n v="0"/>
    <n v="25000"/>
    <n v="0"/>
    <n v="0"/>
    <n v="0"/>
    <n v="0"/>
    <n v="-6000"/>
    <n v="0"/>
    <n v="0"/>
    <n v="0"/>
    <n v="0"/>
    <n v="0"/>
    <n v="0"/>
    <n v="1"/>
    <n v="2"/>
    <n v="3"/>
    <n v="80000"/>
    <n v="80000"/>
    <n v="72000"/>
    <n v="0"/>
    <n v="0"/>
    <n v="80000"/>
    <n v="64000"/>
    <m/>
    <m/>
    <n v="6"/>
    <n v="10"/>
    <n v="-2"/>
    <n v="-1"/>
    <n v="0"/>
    <n v="0"/>
    <s v="VIEW_SUMMARY"/>
    <n v="550"/>
    <n v="182"/>
    <n v="775"/>
    <n v="775"/>
    <m/>
    <x v="2"/>
    <n v="76"/>
    <s v="table5"/>
    <n v="16"/>
    <s v="240924_EPA_IntroDays_Ommen"/>
    <n v="21"/>
    <n v="16"/>
    <n v="0"/>
    <x v="2"/>
    <s v="(Dike-town)"/>
    <n v="-1"/>
    <n v="0"/>
    <n v="0"/>
    <s v="(Dike-town)"/>
  </r>
  <r>
    <n v="717"/>
    <d v="2024-09-24T10:31:49"/>
    <n v="50000"/>
    <n v="20000"/>
    <n v="6000"/>
    <n v="8000"/>
    <n v="0"/>
    <n v="0"/>
    <n v="15000"/>
    <n v="0"/>
    <n v="0"/>
    <n v="4000"/>
    <n v="4000"/>
    <n v="-7000"/>
    <n v="0"/>
    <n v="0"/>
    <n v="0"/>
    <n v="0"/>
    <n v="2"/>
    <n v="1"/>
    <n v="1"/>
    <n v="-2"/>
    <n v="3"/>
    <n v="80000"/>
    <n v="80000"/>
    <n v="64000"/>
    <n v="0"/>
    <n v="0"/>
    <n v="80000"/>
    <n v="56000"/>
    <m/>
    <m/>
    <n v="6"/>
    <n v="10"/>
    <n v="-2"/>
    <n v="-1"/>
    <n v="0"/>
    <n v="0"/>
    <s v="VIEW_SUMMARY"/>
    <n v="550"/>
    <n v="187"/>
    <n v="775"/>
    <n v="775"/>
    <m/>
    <x v="3"/>
    <n v="76"/>
    <s v="table5"/>
    <n v="16"/>
    <s v="240924_EPA_IntroDays_Ommen"/>
    <n v="21"/>
    <n v="16"/>
    <n v="0"/>
    <x v="2"/>
    <s v="(Dike-town)"/>
    <n v="-4"/>
    <n v="8000"/>
    <n v="0"/>
    <s v="(Dike-town)"/>
  </r>
  <r>
    <n v="604"/>
    <d v="2024-09-24T10:31:38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51"/>
    <n v="173"/>
    <m/>
    <m/>
    <m/>
    <x v="0"/>
    <n v="76"/>
    <s v="table5"/>
    <n v="16"/>
    <s v="240924_EPA_IntroDays_Ommen"/>
    <n v="21"/>
    <n v="0"/>
    <n v="0"/>
    <x v="3"/>
    <s v=""/>
    <s v=""/>
    <n v="0"/>
    <n v="0"/>
    <s v=""/>
  </r>
  <r>
    <n v="627"/>
    <d v="2024-09-24T10:31:38"/>
    <n v="80000"/>
    <n v="40000"/>
    <n v="0"/>
    <n v="13000"/>
    <n v="0"/>
    <n v="30000"/>
    <n v="15000"/>
    <n v="0"/>
    <n v="0"/>
    <n v="0"/>
    <n v="4000"/>
    <n v="-7000"/>
    <n v="0"/>
    <n v="0"/>
    <n v="0"/>
    <n v="0"/>
    <n v="0"/>
    <n v="1"/>
    <n v="0"/>
    <n v="4"/>
    <n v="5"/>
    <n v="130000"/>
    <n v="0"/>
    <n v="0"/>
    <n v="0"/>
    <n v="160000"/>
    <n v="130000"/>
    <n v="117000"/>
    <m/>
    <m/>
    <n v="6"/>
    <n v="10"/>
    <n v="0"/>
    <n v="0"/>
    <n v="0"/>
    <n v="0"/>
    <s v="VIEW_SUMMARY"/>
    <n v="551"/>
    <n v="176"/>
    <m/>
    <n v="774"/>
    <m/>
    <x v="1"/>
    <n v="76"/>
    <s v="table5"/>
    <n v="16"/>
    <s v="240924_EPA_IntroDays_Ommen"/>
    <n v="21"/>
    <n v="16"/>
    <n v="0"/>
    <x v="3"/>
    <s v="(Dike-town)"/>
    <n v="-1"/>
    <n v="4000"/>
    <n v="0"/>
    <s v="(Dike-town)"/>
  </r>
  <r>
    <n v="672"/>
    <d v="2024-09-24T10:31:38"/>
    <n v="80000"/>
    <n v="40000"/>
    <n v="7000"/>
    <n v="13000"/>
    <n v="0"/>
    <n v="0"/>
    <n v="25000"/>
    <n v="0"/>
    <n v="0"/>
    <n v="0"/>
    <n v="0"/>
    <n v="-5000"/>
    <n v="0"/>
    <n v="0"/>
    <n v="0"/>
    <n v="0"/>
    <n v="0"/>
    <n v="0"/>
    <n v="1"/>
    <n v="3"/>
    <n v="5"/>
    <n v="130000"/>
    <n v="130000"/>
    <n v="117000"/>
    <n v="0"/>
    <n v="0"/>
    <n v="130000"/>
    <n v="104000"/>
    <m/>
    <m/>
    <n v="6"/>
    <n v="10"/>
    <n v="-2"/>
    <n v="-1"/>
    <n v="0"/>
    <n v="0"/>
    <s v="VIEW_SUMMARY"/>
    <n v="551"/>
    <n v="182"/>
    <n v="774"/>
    <n v="774"/>
    <m/>
    <x v="2"/>
    <n v="76"/>
    <s v="table5"/>
    <n v="16"/>
    <s v="240924_EPA_IntroDays_Ommen"/>
    <n v="21"/>
    <n v="16"/>
    <n v="0"/>
    <x v="3"/>
    <s v="(Dike-town)"/>
    <n v="-1"/>
    <n v="0"/>
    <n v="0"/>
    <s v="(Dike-town)"/>
  </r>
  <r>
    <n v="715"/>
    <d v="2024-09-24T10:31:38"/>
    <n v="80000"/>
    <n v="40000"/>
    <n v="5000"/>
    <n v="13000"/>
    <n v="0"/>
    <n v="0"/>
    <n v="15000"/>
    <n v="0"/>
    <n v="0"/>
    <n v="4000"/>
    <n v="4000"/>
    <n v="-1000"/>
    <n v="0"/>
    <n v="0"/>
    <n v="0"/>
    <n v="0"/>
    <n v="2"/>
    <n v="1"/>
    <n v="1"/>
    <n v="-1"/>
    <n v="5"/>
    <n v="130000"/>
    <n v="130000"/>
    <n v="104000"/>
    <n v="0"/>
    <n v="0"/>
    <n v="130000"/>
    <n v="91000"/>
    <m/>
    <m/>
    <n v="6"/>
    <n v="10"/>
    <n v="-2"/>
    <n v="-1"/>
    <n v="0"/>
    <n v="0"/>
    <s v="VIEW_SUMMARY"/>
    <n v="551"/>
    <n v="187"/>
    <n v="774"/>
    <n v="774"/>
    <m/>
    <x v="3"/>
    <n v="76"/>
    <s v="table5"/>
    <n v="16"/>
    <s v="240924_EPA_IntroDays_Ommen"/>
    <n v="21"/>
    <n v="16"/>
    <n v="0"/>
    <x v="3"/>
    <s v="(Dike-town)"/>
    <n v="-4"/>
    <n v="8000"/>
    <n v="0"/>
    <s v="(Dike-town)"/>
  </r>
  <r>
    <n v="623"/>
    <d v="2024-09-24T10:33:00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52"/>
    <n v="173"/>
    <m/>
    <m/>
    <m/>
    <x v="0"/>
    <n v="76"/>
    <s v="table5"/>
    <n v="16"/>
    <s v="240924_EPA_IntroDays_Ommen"/>
    <n v="21"/>
    <n v="0"/>
    <n v="0"/>
    <x v="4"/>
    <s v=""/>
    <s v=""/>
    <n v="0"/>
    <n v="0"/>
    <s v=""/>
  </r>
  <r>
    <n v="628"/>
    <d v="2024-09-24T10:33:00"/>
    <n v="120000"/>
    <n v="65000"/>
    <n v="0"/>
    <n v="16000"/>
    <n v="0"/>
    <n v="0"/>
    <n v="15000"/>
    <n v="40000"/>
    <n v="0"/>
    <n v="0"/>
    <n v="4000"/>
    <n v="30000"/>
    <n v="0"/>
    <n v="-2"/>
    <n v="2"/>
    <n v="0"/>
    <n v="0"/>
    <n v="1"/>
    <n v="0"/>
    <n v="4"/>
    <n v="7"/>
    <n v="200000"/>
    <n v="0"/>
    <n v="0"/>
    <n v="0"/>
    <n v="160000"/>
    <n v="160000"/>
    <n v="144000"/>
    <m/>
    <m/>
    <n v="6"/>
    <n v="10"/>
    <n v="0"/>
    <n v="0"/>
    <n v="2"/>
    <n v="1"/>
    <s v="VIEW_SUMMARY"/>
    <n v="552"/>
    <n v="176"/>
    <m/>
    <n v="773"/>
    <m/>
    <x v="1"/>
    <n v="76"/>
    <s v="table5"/>
    <n v="16"/>
    <s v="240924_EPA_IntroDays_Ommen"/>
    <n v="21"/>
    <n v="16"/>
    <n v="3"/>
    <x v="4"/>
    <s v="(Dike-town)"/>
    <n v="-1"/>
    <n v="4000"/>
    <n v="40000"/>
    <s v="(Dike-town)"/>
  </r>
  <r>
    <n v="676"/>
    <d v="2024-09-24T10:33:00"/>
    <n v="120000"/>
    <n v="65000"/>
    <n v="0"/>
    <n v="16000"/>
    <n v="0"/>
    <n v="0"/>
    <n v="25000"/>
    <n v="30000"/>
    <n v="0"/>
    <n v="0"/>
    <n v="0"/>
    <n v="14000"/>
    <n v="0"/>
    <n v="0"/>
    <n v="1"/>
    <n v="0"/>
    <n v="0"/>
    <n v="0"/>
    <n v="0"/>
    <n v="5"/>
    <n v="7"/>
    <n v="200000"/>
    <n v="160000"/>
    <n v="144000"/>
    <n v="0"/>
    <n v="0"/>
    <n v="160000"/>
    <n v="128000"/>
    <m/>
    <m/>
    <n v="6"/>
    <n v="10"/>
    <n v="-2"/>
    <n v="-1"/>
    <n v="3"/>
    <n v="1"/>
    <s v="VIEW_SUMMARY"/>
    <n v="552"/>
    <n v="182"/>
    <n v="773"/>
    <n v="773"/>
    <m/>
    <x v="2"/>
    <n v="76"/>
    <s v="table5"/>
    <n v="16"/>
    <s v="240924_EPA_IntroDays_Ommen"/>
    <n v="21"/>
    <n v="16"/>
    <n v="4"/>
    <x v="4"/>
    <s v="(Dike-town)"/>
    <n v="1"/>
    <n v="0"/>
    <n v="30000"/>
    <s v="(Dike-town)"/>
  </r>
  <r>
    <n v="713"/>
    <d v="2024-09-24T10:33:00"/>
    <n v="120000"/>
    <n v="65000"/>
    <n v="0"/>
    <n v="16000"/>
    <n v="0"/>
    <n v="0"/>
    <n v="15000"/>
    <n v="27000"/>
    <n v="0"/>
    <n v="0"/>
    <n v="4000"/>
    <n v="7000"/>
    <n v="0"/>
    <n v="0"/>
    <n v="0"/>
    <n v="3"/>
    <n v="1"/>
    <n v="1"/>
    <n v="0"/>
    <n v="6"/>
    <n v="7"/>
    <n v="200000"/>
    <n v="160000"/>
    <n v="128000"/>
    <n v="0"/>
    <n v="0"/>
    <n v="160000"/>
    <n v="112000"/>
    <m/>
    <m/>
    <n v="6"/>
    <n v="10"/>
    <n v="-2"/>
    <n v="-1"/>
    <n v="0"/>
    <n v="1"/>
    <s v="VIEW_DAMAGE"/>
    <n v="552"/>
    <n v="187"/>
    <n v="773"/>
    <n v="773"/>
    <m/>
    <x v="3"/>
    <n v="76"/>
    <s v="table5"/>
    <n v="16"/>
    <s v="240924_EPA_IntroDays_Ommen"/>
    <n v="21"/>
    <n v="16"/>
    <n v="1"/>
    <x v="4"/>
    <s v="(Dike-town)"/>
    <n v="1"/>
    <n v="4000"/>
    <n v="27000"/>
    <s v="(Dike-town)"/>
  </r>
  <r>
    <n v="605"/>
    <d v="2024-09-24T10:31:39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53"/>
    <n v="173"/>
    <m/>
    <m/>
    <m/>
    <x v="0"/>
    <n v="76"/>
    <s v="table5"/>
    <n v="16"/>
    <s v="240924_EPA_IntroDays_Ommen"/>
    <n v="21"/>
    <n v="0"/>
    <n v="0"/>
    <x v="5"/>
    <s v=""/>
    <s v=""/>
    <n v="0"/>
    <n v="0"/>
    <s v=""/>
  </r>
  <r>
    <n v="626"/>
    <d v="2024-09-24T10:31:39"/>
    <n v="180000"/>
    <n v="105000"/>
    <n v="0"/>
    <n v="30000"/>
    <n v="0"/>
    <n v="0"/>
    <n v="15000"/>
    <n v="64000"/>
    <n v="0"/>
    <n v="0"/>
    <n v="0"/>
    <n v="46000"/>
    <n v="0"/>
    <n v="0"/>
    <n v="3"/>
    <n v="0"/>
    <n v="0"/>
    <n v="0"/>
    <n v="0"/>
    <n v="8"/>
    <n v="8"/>
    <n v="300000"/>
    <n v="0"/>
    <n v="0"/>
    <n v="0"/>
    <n v="300000"/>
    <n v="300000"/>
    <n v="270000"/>
    <m/>
    <m/>
    <n v="6"/>
    <n v="10"/>
    <n v="0"/>
    <n v="0"/>
    <n v="4"/>
    <n v="2"/>
    <s v="VIEW_SUMMARY"/>
    <n v="553"/>
    <n v="176"/>
    <m/>
    <n v="772"/>
    <m/>
    <x v="1"/>
    <n v="76"/>
    <s v="table5"/>
    <n v="16"/>
    <s v="240924_EPA_IntroDays_Ommen"/>
    <n v="21"/>
    <n v="16"/>
    <n v="6"/>
    <x v="5"/>
    <s v="(Dike-town)"/>
    <n v="3"/>
    <n v="0"/>
    <n v="64000"/>
    <s v="(Dike-town)"/>
  </r>
  <r>
    <n v="674"/>
    <d v="2024-09-24T10:31:39"/>
    <n v="180000"/>
    <n v="105000"/>
    <n v="0"/>
    <n v="30000"/>
    <n v="0"/>
    <n v="0"/>
    <n v="25000"/>
    <n v="39000"/>
    <n v="0"/>
    <n v="0"/>
    <n v="0"/>
    <n v="27000"/>
    <n v="0"/>
    <n v="0"/>
    <n v="0"/>
    <n v="2"/>
    <n v="0"/>
    <n v="0"/>
    <n v="0"/>
    <n v="10"/>
    <n v="8"/>
    <n v="300000"/>
    <n v="300000"/>
    <n v="270000"/>
    <n v="0"/>
    <n v="0"/>
    <n v="300000"/>
    <n v="240000"/>
    <m/>
    <m/>
    <n v="6"/>
    <n v="10"/>
    <n v="-2"/>
    <n v="-1"/>
    <n v="1"/>
    <n v="1"/>
    <s v="VIEW_SUMMARY"/>
    <n v="553"/>
    <n v="182"/>
    <n v="772"/>
    <n v="772"/>
    <m/>
    <x v="2"/>
    <n v="76"/>
    <s v="table5"/>
    <n v="16"/>
    <s v="240924_EPA_IntroDays_Ommen"/>
    <n v="21"/>
    <n v="16"/>
    <n v="2"/>
    <x v="5"/>
    <s v="(Dike-town)"/>
    <n v="2"/>
    <n v="0"/>
    <n v="39000"/>
    <s v="(Dike-town)"/>
  </r>
  <r>
    <n v="716"/>
    <d v="2024-09-24T10:31:39"/>
    <n v="180000"/>
    <n v="105000"/>
    <n v="0"/>
    <n v="30000"/>
    <n v="0"/>
    <n v="0"/>
    <n v="15000"/>
    <n v="15000"/>
    <n v="0"/>
    <n v="4000"/>
    <n v="4000"/>
    <n v="34000"/>
    <n v="0"/>
    <n v="0"/>
    <n v="0"/>
    <n v="1"/>
    <n v="2"/>
    <n v="1"/>
    <n v="0"/>
    <n v="8"/>
    <n v="8"/>
    <n v="300000"/>
    <n v="300000"/>
    <n v="240000"/>
    <n v="0"/>
    <n v="0"/>
    <n v="300000"/>
    <n v="210000"/>
    <m/>
    <m/>
    <n v="6"/>
    <n v="10"/>
    <n v="-2"/>
    <n v="-1"/>
    <n v="0"/>
    <n v="0"/>
    <s v="VIEW_SUMMARY"/>
    <n v="553"/>
    <n v="187"/>
    <n v="772"/>
    <n v="772"/>
    <m/>
    <x v="3"/>
    <n v="76"/>
    <s v="table5"/>
    <n v="16"/>
    <s v="240924_EPA_IntroDays_Ommen"/>
    <n v="21"/>
    <n v="16"/>
    <n v="0"/>
    <x v="5"/>
    <s v="(Dike-town)"/>
    <n v="-2"/>
    <n v="8000"/>
    <n v="15000"/>
    <s v="(Dike-town)"/>
  </r>
  <r>
    <n v="603"/>
    <d v="2024-09-24T10:31:33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54"/>
    <n v="173"/>
    <m/>
    <m/>
    <m/>
    <x v="0"/>
    <n v="76"/>
    <s v="table5"/>
    <n v="16"/>
    <s v="240924_EPA_IntroDays_Ommen"/>
    <n v="21"/>
    <n v="0"/>
    <n v="0"/>
    <x v="1"/>
    <s v=""/>
    <s v=""/>
    <n v="0"/>
    <n v="0"/>
    <s v=""/>
  </r>
  <r>
    <n v="625"/>
    <d v="2024-09-24T10:31:33"/>
    <n v="100000"/>
    <n v="50000"/>
    <n v="0"/>
    <n v="17000"/>
    <n v="0"/>
    <n v="90000"/>
    <n v="20000"/>
    <n v="0"/>
    <n v="0"/>
    <n v="0"/>
    <n v="4000"/>
    <n v="-51000"/>
    <n v="0"/>
    <n v="0"/>
    <n v="0"/>
    <n v="0"/>
    <n v="0"/>
    <n v="1"/>
    <n v="0"/>
    <n v="4"/>
    <n v="6"/>
    <n v="170000"/>
    <n v="0"/>
    <n v="0"/>
    <n v="0"/>
    <n v="260000"/>
    <n v="170000"/>
    <n v="153000"/>
    <m/>
    <m/>
    <n v="8"/>
    <n v="10"/>
    <n v="0"/>
    <n v="0"/>
    <n v="0"/>
    <n v="0"/>
    <s v="VIEW_SUMMARY"/>
    <n v="554"/>
    <n v="176"/>
    <m/>
    <n v="770"/>
    <m/>
    <x v="1"/>
    <n v="76"/>
    <s v="table5"/>
    <n v="16"/>
    <s v="240924_EPA_IntroDays_Ommen"/>
    <n v="21"/>
    <n v="18"/>
    <n v="0"/>
    <x v="1"/>
    <s v="(Natu-city)"/>
    <n v="-1"/>
    <n v="4000"/>
    <n v="0"/>
    <s v="(Natu-city)"/>
  </r>
  <r>
    <n v="673"/>
    <d v="2024-09-24T10:31:33"/>
    <n v="100000"/>
    <n v="50000"/>
    <n v="50000"/>
    <n v="17000"/>
    <n v="0"/>
    <n v="0"/>
    <n v="20000"/>
    <n v="0"/>
    <n v="0"/>
    <n v="0"/>
    <n v="0"/>
    <n v="-38000"/>
    <n v="0"/>
    <n v="0"/>
    <n v="0"/>
    <n v="0"/>
    <n v="0"/>
    <n v="0"/>
    <n v="1"/>
    <n v="3"/>
    <n v="6"/>
    <n v="170000"/>
    <n v="170000"/>
    <n v="153000"/>
    <n v="0"/>
    <n v="0"/>
    <n v="170000"/>
    <n v="136000"/>
    <m/>
    <m/>
    <n v="8"/>
    <n v="10"/>
    <n v="-2"/>
    <n v="-1"/>
    <n v="0"/>
    <n v="0"/>
    <s v="VIEW_SUMMARY"/>
    <n v="554"/>
    <n v="182"/>
    <n v="770"/>
    <n v="770"/>
    <m/>
    <x v="2"/>
    <n v="76"/>
    <s v="table5"/>
    <n v="16"/>
    <s v="240924_EPA_IntroDays_Ommen"/>
    <n v="21"/>
    <n v="18"/>
    <n v="0"/>
    <x v="1"/>
    <s v="(Natu-city)"/>
    <n v="-1"/>
    <n v="0"/>
    <n v="0"/>
    <s v="(Natu-city)"/>
  </r>
  <r>
    <n v="712"/>
    <d v="2024-09-24T10:31:33"/>
    <n v="100000"/>
    <n v="50000"/>
    <n v="38000"/>
    <n v="17000"/>
    <n v="0"/>
    <n v="0"/>
    <n v="20000"/>
    <n v="0"/>
    <n v="0"/>
    <n v="4000"/>
    <n v="4000"/>
    <n v="-33000"/>
    <n v="0"/>
    <n v="0"/>
    <n v="0"/>
    <n v="0"/>
    <n v="2"/>
    <n v="1"/>
    <n v="1"/>
    <n v="-1"/>
    <n v="6"/>
    <n v="170000"/>
    <n v="170000"/>
    <n v="136000"/>
    <n v="0"/>
    <n v="0"/>
    <n v="170000"/>
    <n v="119000"/>
    <m/>
    <m/>
    <n v="8"/>
    <n v="10"/>
    <n v="-2"/>
    <n v="-1"/>
    <n v="0"/>
    <n v="0"/>
    <s v="VIEW_SUMMARY"/>
    <n v="554"/>
    <n v="187"/>
    <n v="770"/>
    <n v="770"/>
    <m/>
    <x v="3"/>
    <n v="76"/>
    <s v="table5"/>
    <n v="16"/>
    <s v="240924_EPA_IntroDays_Ommen"/>
    <n v="21"/>
    <n v="18"/>
    <n v="0"/>
    <x v="1"/>
    <s v="(Natu-city)"/>
    <n v="-4"/>
    <n v="8000"/>
    <n v="0"/>
    <s v="(Natu-city)"/>
  </r>
  <r>
    <n v="613"/>
    <d v="2024-09-24T10:32:17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55"/>
    <n v="173"/>
    <m/>
    <m/>
    <m/>
    <x v="0"/>
    <n v="76"/>
    <s v="table5"/>
    <n v="16"/>
    <s v="240924_EPA_IntroDays_Ommen"/>
    <n v="21"/>
    <n v="0"/>
    <n v="0"/>
    <x v="1"/>
    <s v=""/>
    <s v=""/>
    <n v="0"/>
    <n v="0"/>
    <s v=""/>
  </r>
  <r>
    <n v="630"/>
    <d v="2024-09-24T10:32:17"/>
    <n v="100000"/>
    <n v="50000"/>
    <n v="0"/>
    <n v="17000"/>
    <n v="0"/>
    <n v="30000"/>
    <n v="20000"/>
    <n v="13000"/>
    <n v="0"/>
    <n v="0"/>
    <n v="4000"/>
    <n v="-4000"/>
    <n v="0"/>
    <n v="0"/>
    <n v="0"/>
    <n v="1"/>
    <n v="1"/>
    <n v="1"/>
    <n v="0"/>
    <n v="4"/>
    <n v="6"/>
    <n v="170000"/>
    <n v="0"/>
    <n v="0"/>
    <n v="0"/>
    <n v="200000"/>
    <n v="170000"/>
    <n v="153000"/>
    <m/>
    <m/>
    <n v="8"/>
    <n v="7"/>
    <n v="0"/>
    <n v="0"/>
    <n v="0"/>
    <n v="1"/>
    <s v="VIEW_SUMMARY"/>
    <n v="555"/>
    <n v="176"/>
    <m/>
    <n v="776"/>
    <m/>
    <x v="1"/>
    <n v="76"/>
    <s v="table5"/>
    <n v="16"/>
    <s v="240924_EPA_IntroDays_Ommen"/>
    <n v="21"/>
    <n v="15"/>
    <n v="1"/>
    <x v="1"/>
    <s v="(U-village)"/>
    <n v="-1"/>
    <n v="4000"/>
    <n v="13000"/>
    <s v="(U-village)"/>
  </r>
  <r>
    <n v="675"/>
    <d v="2024-09-24T10:32:17"/>
    <n v="100000"/>
    <n v="50000"/>
    <n v="4000"/>
    <n v="12500"/>
    <n v="47000"/>
    <n v="0"/>
    <n v="20000"/>
    <n v="51250"/>
    <n v="0"/>
    <n v="4000"/>
    <n v="0"/>
    <n v="5250"/>
    <n v="1"/>
    <n v="-2"/>
    <n v="1"/>
    <n v="3"/>
    <n v="2"/>
    <n v="0"/>
    <n v="1"/>
    <n v="2"/>
    <n v="6"/>
    <n v="170000"/>
    <n v="170000"/>
    <n v="153000"/>
    <n v="200000"/>
    <n v="125000"/>
    <n v="125000"/>
    <n v="112500"/>
    <n v="30"/>
    <m/>
    <n v="8"/>
    <n v="7"/>
    <n v="-2"/>
    <n v="-1"/>
    <n v="1"/>
    <n v="1"/>
    <s v="VIEW_SUMMARY"/>
    <n v="555"/>
    <n v="182"/>
    <n v="776"/>
    <n v="827"/>
    <m/>
    <x v="2"/>
    <n v="76"/>
    <s v="table5"/>
    <n v="16"/>
    <s v="240924_EPA_IntroDays_Ommen"/>
    <n v="21"/>
    <n v="15"/>
    <n v="2"/>
    <x v="1"/>
    <s v="(U-village)"/>
    <n v="-2"/>
    <n v="4000"/>
    <n v="51250"/>
    <s v="(U-village)"/>
  </r>
  <r>
    <n v="711"/>
    <d v="2024-09-24T10:32:17"/>
    <n v="100000"/>
    <n v="50000"/>
    <n v="0"/>
    <n v="12500"/>
    <n v="0"/>
    <n v="0"/>
    <n v="20000"/>
    <n v="9000"/>
    <n v="0"/>
    <n v="12000"/>
    <n v="4000"/>
    <n v="-2250"/>
    <n v="0"/>
    <n v="0"/>
    <n v="0"/>
    <n v="0"/>
    <n v="4"/>
    <n v="1"/>
    <n v="0"/>
    <n v="-3"/>
    <n v="6"/>
    <n v="170000"/>
    <n v="125000"/>
    <n v="112500"/>
    <n v="0"/>
    <n v="0"/>
    <n v="125000"/>
    <n v="100000"/>
    <m/>
    <m/>
    <n v="8"/>
    <n v="7"/>
    <n v="-2"/>
    <n v="-1"/>
    <n v="1"/>
    <n v="1"/>
    <s v="VIEW_SUMMARY"/>
    <n v="555"/>
    <n v="187"/>
    <n v="827"/>
    <n v="827"/>
    <m/>
    <x v="3"/>
    <n v="76"/>
    <s v="table5"/>
    <n v="16"/>
    <s v="240924_EPA_IntroDays_Ommen"/>
    <n v="21"/>
    <n v="15"/>
    <n v="2"/>
    <x v="1"/>
    <s v="(U-village)"/>
    <n v="-5"/>
    <n v="16000"/>
    <n v="9000"/>
    <s v="(U-village)"/>
  </r>
  <r>
    <n v="764"/>
    <d v="2024-09-24T14:22:21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56"/>
    <n v="175"/>
    <m/>
    <m/>
    <m/>
    <x v="0"/>
    <n v="77"/>
    <s v="table6"/>
    <n v="16"/>
    <s v="240924_EPA_IntroDays_Ommen"/>
    <n v="21"/>
    <n v="0"/>
    <n v="0"/>
    <x v="0"/>
    <s v=""/>
    <s v=""/>
    <n v="0"/>
    <n v="0"/>
    <s v=""/>
  </r>
  <r>
    <n v="789"/>
    <d v="2024-09-24T14:22:21"/>
    <n v="65000"/>
    <n v="30000"/>
    <n v="0"/>
    <n v="11000"/>
    <n v="0"/>
    <n v="22000"/>
    <n v="20000"/>
    <n v="0"/>
    <n v="0"/>
    <n v="0"/>
    <n v="4000"/>
    <n v="-17000"/>
    <n v="0"/>
    <n v="-1"/>
    <n v="0"/>
    <n v="0"/>
    <n v="0"/>
    <n v="1"/>
    <n v="0"/>
    <n v="3"/>
    <n v="4"/>
    <n v="110000"/>
    <n v="0"/>
    <n v="0"/>
    <n v="0"/>
    <n v="132000"/>
    <n v="110000"/>
    <n v="99000"/>
    <m/>
    <m/>
    <n v="8"/>
    <n v="10"/>
    <n v="0"/>
    <n v="0"/>
    <n v="0"/>
    <n v="0"/>
    <s v="VIEW_SUMMARY"/>
    <n v="556"/>
    <n v="197"/>
    <m/>
    <n v="896"/>
    <m/>
    <x v="1"/>
    <n v="77"/>
    <s v="table6"/>
    <n v="16"/>
    <s v="240924_EPA_IntroDays_Ommen"/>
    <n v="21"/>
    <n v="18"/>
    <n v="0"/>
    <x v="0"/>
    <s v="(Natu-city)"/>
    <n v="-2"/>
    <n v="4000"/>
    <n v="0"/>
    <s v="(Natu-city)"/>
  </r>
  <r>
    <n v="837"/>
    <d v="2024-09-24T14:22:21"/>
    <n v="65000"/>
    <n v="30000"/>
    <n v="17000"/>
    <n v="11000"/>
    <n v="0"/>
    <n v="0"/>
    <n v="20000"/>
    <n v="0"/>
    <n v="0"/>
    <n v="0"/>
    <n v="4000"/>
    <n v="-50000"/>
    <n v="0"/>
    <n v="0"/>
    <n v="0"/>
    <n v="0"/>
    <n v="0"/>
    <n v="1"/>
    <n v="1"/>
    <n v="1"/>
    <n v="4"/>
    <n v="110000"/>
    <n v="110000"/>
    <n v="99000"/>
    <n v="0"/>
    <n v="0"/>
    <n v="110000"/>
    <n v="55000"/>
    <m/>
    <m/>
    <n v="8"/>
    <n v="10"/>
    <n v="-2"/>
    <n v="-1"/>
    <n v="0"/>
    <n v="0"/>
    <s v="VIEW_SUMMARY"/>
    <n v="556"/>
    <n v="202"/>
    <n v="896"/>
    <n v="896"/>
    <m/>
    <x v="2"/>
    <n v="77"/>
    <s v="table6"/>
    <n v="16"/>
    <s v="240924_EPA_IntroDays_Ommen"/>
    <n v="21"/>
    <n v="18"/>
    <n v="0"/>
    <x v="0"/>
    <s v="(Natu-city)"/>
    <n v="-2"/>
    <n v="4000"/>
    <n v="0"/>
    <s v="(Natu-city)"/>
  </r>
  <r>
    <n v="879"/>
    <d v="2024-09-24T14:22:21"/>
    <n v="65000"/>
    <n v="30000"/>
    <n v="35000"/>
    <n v="11000"/>
    <n v="0"/>
    <n v="0"/>
    <n v="25000"/>
    <n v="0"/>
    <n v="0"/>
    <n v="0"/>
    <n v="0"/>
    <n v="-51000"/>
    <n v="0"/>
    <n v="0"/>
    <n v="0"/>
    <n v="0"/>
    <n v="0"/>
    <n v="0"/>
    <n v="1"/>
    <n v="0"/>
    <n v="4"/>
    <n v="110000"/>
    <n v="110000"/>
    <n v="55000"/>
    <n v="0"/>
    <n v="0"/>
    <n v="110000"/>
    <n v="44000"/>
    <m/>
    <m/>
    <n v="8"/>
    <n v="10"/>
    <n v="-2"/>
    <n v="-1"/>
    <n v="0"/>
    <n v="0"/>
    <s v="VIEW_SUMMARY"/>
    <n v="556"/>
    <n v="207"/>
    <n v="896"/>
    <n v="896"/>
    <m/>
    <x v="3"/>
    <n v="77"/>
    <s v="table6"/>
    <n v="16"/>
    <s v="240924_EPA_IntroDays_Ommen"/>
    <n v="21"/>
    <n v="18"/>
    <n v="0"/>
    <x v="0"/>
    <s v="(Natu-city)"/>
    <n v="-1"/>
    <n v="0"/>
    <n v="0"/>
    <s v="(Natu-city)"/>
  </r>
  <r>
    <n v="769"/>
    <d v="2024-09-24T14:23:22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57"/>
    <n v="175"/>
    <m/>
    <m/>
    <m/>
    <x v="0"/>
    <n v="77"/>
    <s v="table6"/>
    <n v="16"/>
    <s v="240924_EPA_IntroDays_Ommen"/>
    <n v="21"/>
    <n v="0"/>
    <n v="0"/>
    <x v="1"/>
    <s v=""/>
    <s v=""/>
    <n v="0"/>
    <n v="0"/>
    <s v=""/>
  </r>
  <r>
    <n v="802"/>
    <d v="2024-09-24T14:23:22"/>
    <n v="100000"/>
    <n v="50000"/>
    <n v="0"/>
    <n v="17000"/>
    <n v="0"/>
    <n v="25000"/>
    <n v="15000"/>
    <n v="16000"/>
    <n v="0"/>
    <n v="0"/>
    <n v="4000"/>
    <n v="3000"/>
    <n v="0"/>
    <n v="-1"/>
    <n v="0"/>
    <n v="2"/>
    <n v="0"/>
    <n v="1"/>
    <n v="0"/>
    <n v="5"/>
    <n v="6"/>
    <n v="170000"/>
    <n v="0"/>
    <n v="0"/>
    <n v="0"/>
    <n v="195000"/>
    <n v="170000"/>
    <n v="153000"/>
    <m/>
    <m/>
    <n v="6"/>
    <n v="10"/>
    <n v="0"/>
    <n v="0"/>
    <n v="0"/>
    <n v="0"/>
    <s v="VIEW_SUMMARY"/>
    <n v="557"/>
    <n v="197"/>
    <m/>
    <n v="899"/>
    <m/>
    <x v="1"/>
    <n v="77"/>
    <s v="table6"/>
    <n v="16"/>
    <s v="240924_EPA_IntroDays_Ommen"/>
    <n v="21"/>
    <n v="16"/>
    <n v="0"/>
    <x v="1"/>
    <s v="(Dike-town)"/>
    <n v="0"/>
    <n v="4000"/>
    <n v="16000"/>
    <s v="(Dike-town)"/>
  </r>
  <r>
    <n v="850"/>
    <d v="2024-09-24T14:23:22"/>
    <n v="100000"/>
    <n v="50000"/>
    <n v="0"/>
    <n v="17000"/>
    <n v="0"/>
    <n v="0"/>
    <n v="15000"/>
    <n v="12000"/>
    <n v="0"/>
    <n v="0"/>
    <n v="4000"/>
    <n v="5000"/>
    <n v="0"/>
    <n v="0"/>
    <n v="1"/>
    <n v="0"/>
    <n v="0"/>
    <n v="1"/>
    <n v="0"/>
    <n v="5"/>
    <n v="6"/>
    <n v="170000"/>
    <n v="170000"/>
    <n v="153000"/>
    <n v="0"/>
    <n v="0"/>
    <n v="170000"/>
    <n v="136000"/>
    <m/>
    <m/>
    <n v="6"/>
    <n v="10"/>
    <n v="-2"/>
    <n v="-1"/>
    <n v="1"/>
    <n v="0"/>
    <s v="VIEW_SUMMARY"/>
    <n v="557"/>
    <n v="202"/>
    <n v="899"/>
    <n v="899"/>
    <m/>
    <x v="2"/>
    <n v="77"/>
    <s v="table6"/>
    <n v="16"/>
    <s v="240924_EPA_IntroDays_Ommen"/>
    <n v="21"/>
    <n v="16"/>
    <n v="1"/>
    <x v="1"/>
    <s v="(Dike-town)"/>
    <n v="0"/>
    <n v="4000"/>
    <n v="12000"/>
    <s v="(Dike-town)"/>
  </r>
  <r>
    <n v="882"/>
    <d v="2024-09-24T14:23:22"/>
    <n v="100000"/>
    <n v="50000"/>
    <n v="0"/>
    <n v="17000"/>
    <n v="0"/>
    <n v="0"/>
    <n v="15000"/>
    <n v="20000"/>
    <n v="0"/>
    <n v="0"/>
    <n v="4000"/>
    <n v="-1000"/>
    <n v="0"/>
    <n v="0"/>
    <n v="1"/>
    <n v="0"/>
    <n v="0"/>
    <n v="1"/>
    <n v="0"/>
    <n v="5"/>
    <n v="6"/>
    <n v="170000"/>
    <n v="170000"/>
    <n v="136000"/>
    <n v="0"/>
    <n v="0"/>
    <n v="170000"/>
    <n v="119000"/>
    <m/>
    <m/>
    <n v="6"/>
    <n v="10"/>
    <n v="-2"/>
    <n v="-1"/>
    <n v="1"/>
    <n v="0"/>
    <s v="VIEW_SUMMARY"/>
    <n v="557"/>
    <n v="207"/>
    <n v="899"/>
    <n v="899"/>
    <m/>
    <x v="3"/>
    <n v="77"/>
    <s v="table6"/>
    <n v="16"/>
    <s v="240924_EPA_IntroDays_Ommen"/>
    <n v="21"/>
    <n v="16"/>
    <n v="1"/>
    <x v="1"/>
    <s v="(Dike-town)"/>
    <n v="0"/>
    <n v="4000"/>
    <n v="20000"/>
    <s v="(Dike-town)"/>
  </r>
  <r>
    <n v="759"/>
    <d v="2024-09-24T14:21:34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58"/>
    <n v="175"/>
    <m/>
    <m/>
    <m/>
    <x v="0"/>
    <n v="77"/>
    <s v="table6"/>
    <n v="16"/>
    <s v="240924_EPA_IntroDays_Ommen"/>
    <n v="21"/>
    <n v="0"/>
    <n v="0"/>
    <x v="2"/>
    <s v=""/>
    <s v=""/>
    <n v="0"/>
    <n v="0"/>
    <s v=""/>
  </r>
  <r>
    <n v="799"/>
    <d v="2024-09-24T14:21:34"/>
    <n v="50000"/>
    <n v="20000"/>
    <n v="0"/>
    <n v="8000"/>
    <n v="0"/>
    <n v="0"/>
    <n v="15000"/>
    <n v="7000"/>
    <n v="0"/>
    <n v="0"/>
    <n v="4000"/>
    <n v="-4000"/>
    <n v="0"/>
    <n v="-1"/>
    <n v="0"/>
    <n v="1"/>
    <n v="0"/>
    <n v="1"/>
    <n v="0"/>
    <n v="4"/>
    <n v="3"/>
    <n v="80000"/>
    <n v="0"/>
    <n v="0"/>
    <n v="0"/>
    <n v="80000"/>
    <n v="80000"/>
    <n v="72000"/>
    <m/>
    <m/>
    <n v="6"/>
    <n v="10"/>
    <n v="0"/>
    <n v="0"/>
    <n v="0"/>
    <n v="1"/>
    <s v="VIEW_SUMMARY"/>
    <n v="558"/>
    <n v="197"/>
    <m/>
    <n v="900"/>
    <m/>
    <x v="1"/>
    <n v="77"/>
    <s v="table6"/>
    <n v="16"/>
    <s v="240924_EPA_IntroDays_Ommen"/>
    <n v="21"/>
    <n v="16"/>
    <n v="1"/>
    <x v="2"/>
    <s v="(Dike-town)"/>
    <n v="-1"/>
    <n v="4000"/>
    <n v="7000"/>
    <s v="(Dike-town)"/>
  </r>
  <r>
    <n v="839"/>
    <d v="2024-09-24T14:21:34"/>
    <n v="50000"/>
    <n v="20000"/>
    <n v="4000"/>
    <n v="7000"/>
    <n v="8000"/>
    <n v="0"/>
    <n v="15000"/>
    <n v="12000"/>
    <n v="0"/>
    <n v="0"/>
    <n v="0"/>
    <n v="0"/>
    <n v="1"/>
    <n v="-1"/>
    <n v="0"/>
    <n v="0"/>
    <n v="0"/>
    <n v="0"/>
    <n v="1"/>
    <n v="1"/>
    <n v="3"/>
    <n v="80000"/>
    <n v="80000"/>
    <n v="72000"/>
    <n v="80000"/>
    <n v="70000"/>
    <n v="70000"/>
    <n v="63000"/>
    <n v="30"/>
    <m/>
    <n v="8"/>
    <n v="7"/>
    <n v="-2"/>
    <n v="-1"/>
    <n v="1"/>
    <n v="1"/>
    <s v="VIEW_SUMMARY"/>
    <n v="558"/>
    <n v="202"/>
    <n v="900"/>
    <n v="938"/>
    <m/>
    <x v="2"/>
    <n v="77"/>
    <s v="table6"/>
    <n v="16"/>
    <s v="240924_EPA_IntroDays_Ommen"/>
    <n v="21"/>
    <n v="15"/>
    <n v="2"/>
    <x v="2"/>
    <s v="(U-village)"/>
    <n v="-3"/>
    <n v="0"/>
    <n v="12000"/>
    <s v="(U-village)"/>
  </r>
  <r>
    <n v="878"/>
    <d v="2024-09-24T14:21:34"/>
    <n v="50000"/>
    <n v="20000"/>
    <n v="0"/>
    <n v="7000"/>
    <n v="0"/>
    <n v="0"/>
    <n v="20000"/>
    <n v="0"/>
    <n v="0"/>
    <n v="0"/>
    <n v="0"/>
    <n v="3000"/>
    <n v="0"/>
    <n v="0"/>
    <n v="0"/>
    <n v="0"/>
    <n v="0"/>
    <n v="0"/>
    <n v="0"/>
    <n v="1"/>
    <n v="3"/>
    <n v="80000"/>
    <n v="70000"/>
    <n v="63000"/>
    <n v="0"/>
    <n v="0"/>
    <n v="70000"/>
    <n v="56000"/>
    <m/>
    <m/>
    <n v="8"/>
    <n v="7"/>
    <n v="-2"/>
    <n v="-1"/>
    <n v="0"/>
    <n v="0"/>
    <s v="VIEW_SUMMARY"/>
    <n v="558"/>
    <n v="207"/>
    <n v="938"/>
    <n v="938"/>
    <m/>
    <x v="3"/>
    <n v="77"/>
    <s v="table6"/>
    <n v="16"/>
    <s v="240924_EPA_IntroDays_Ommen"/>
    <n v="21"/>
    <n v="15"/>
    <n v="0"/>
    <x v="2"/>
    <s v="(U-village)"/>
    <n v="0"/>
    <n v="0"/>
    <n v="0"/>
    <s v="(U-village)"/>
  </r>
  <r>
    <n v="772"/>
    <d v="2024-09-24T14:23:57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59"/>
    <n v="175"/>
    <m/>
    <m/>
    <m/>
    <x v="0"/>
    <n v="77"/>
    <s v="table6"/>
    <n v="16"/>
    <s v="240924_EPA_IntroDays_Ommen"/>
    <n v="21"/>
    <n v="0"/>
    <n v="0"/>
    <x v="3"/>
    <s v=""/>
    <s v=""/>
    <n v="0"/>
    <n v="0"/>
    <s v=""/>
  </r>
  <r>
    <n v="800"/>
    <d v="2024-09-24T14:23:57"/>
    <n v="80000"/>
    <n v="40000"/>
    <n v="0"/>
    <n v="12500"/>
    <n v="0"/>
    <n v="0"/>
    <n v="20000"/>
    <n v="21250"/>
    <n v="0"/>
    <n v="0"/>
    <n v="4000"/>
    <n v="-2750"/>
    <n v="0"/>
    <n v="-1"/>
    <n v="1"/>
    <n v="1"/>
    <n v="0"/>
    <n v="1"/>
    <n v="0"/>
    <n v="5"/>
    <n v="5"/>
    <n v="130000"/>
    <n v="0"/>
    <n v="0"/>
    <n v="0"/>
    <n v="125000"/>
    <n v="125000"/>
    <n v="112500"/>
    <m/>
    <m/>
    <n v="8"/>
    <n v="7"/>
    <n v="0"/>
    <n v="0"/>
    <n v="1"/>
    <n v="1"/>
    <s v="VIEW_SUMMARY"/>
    <n v="559"/>
    <n v="197"/>
    <m/>
    <n v="902"/>
    <m/>
    <x v="1"/>
    <n v="77"/>
    <s v="table6"/>
    <n v="16"/>
    <s v="240924_EPA_IntroDays_Ommen"/>
    <n v="21"/>
    <n v="15"/>
    <n v="2"/>
    <x v="3"/>
    <s v="(U-village)"/>
    <n v="0"/>
    <n v="4000"/>
    <n v="21250"/>
    <s v="(U-village)"/>
  </r>
  <r>
    <n v="840"/>
    <d v="2024-09-24T14:23:57"/>
    <n v="80000"/>
    <n v="40000"/>
    <n v="2750"/>
    <n v="12500"/>
    <n v="0"/>
    <n v="0"/>
    <n v="15000"/>
    <n v="6000"/>
    <n v="0"/>
    <n v="0"/>
    <n v="0"/>
    <n v="3750"/>
    <n v="0"/>
    <n v="0"/>
    <n v="0"/>
    <n v="0"/>
    <n v="0"/>
    <n v="0"/>
    <n v="1"/>
    <n v="4"/>
    <n v="5"/>
    <n v="130000"/>
    <n v="125000"/>
    <n v="112500"/>
    <n v="0"/>
    <n v="0"/>
    <n v="125000"/>
    <n v="100000"/>
    <m/>
    <m/>
    <n v="8"/>
    <n v="7"/>
    <n v="-2"/>
    <n v="-1"/>
    <n v="1"/>
    <n v="0"/>
    <s v="VIEW_SUMMARY"/>
    <n v="559"/>
    <n v="202"/>
    <n v="902"/>
    <n v="902"/>
    <m/>
    <x v="2"/>
    <n v="77"/>
    <s v="table6"/>
    <n v="16"/>
    <s v="240924_EPA_IntroDays_Ommen"/>
    <n v="21"/>
    <n v="15"/>
    <n v="1"/>
    <x v="3"/>
    <s v="(U-village)"/>
    <n v="-1"/>
    <n v="0"/>
    <n v="6000"/>
    <s v="(U-village)"/>
  </r>
  <r>
    <n v="876"/>
    <d v="2024-09-24T14:23:57"/>
    <n v="80000"/>
    <n v="40000"/>
    <n v="0"/>
    <n v="13000"/>
    <n v="15000"/>
    <n v="30000"/>
    <n v="15000"/>
    <n v="0"/>
    <n v="0"/>
    <n v="0"/>
    <n v="4000"/>
    <n v="-3250"/>
    <n v="1"/>
    <n v="0"/>
    <n v="0"/>
    <n v="0"/>
    <n v="0"/>
    <n v="1"/>
    <n v="0"/>
    <n v="2"/>
    <n v="5"/>
    <n v="130000"/>
    <n v="125000"/>
    <n v="100000"/>
    <n v="115000"/>
    <n v="160000"/>
    <n v="130000"/>
    <n v="117000"/>
    <n v="30"/>
    <m/>
    <n v="6"/>
    <n v="10"/>
    <n v="-2"/>
    <n v="-1"/>
    <n v="1"/>
    <n v="0"/>
    <s v="VIEW_SUMMARY"/>
    <n v="559"/>
    <n v="207"/>
    <n v="902"/>
    <n v="963"/>
    <m/>
    <x v="3"/>
    <n v="77"/>
    <s v="table6"/>
    <n v="16"/>
    <s v="240924_EPA_IntroDays_Ommen"/>
    <n v="21"/>
    <n v="16"/>
    <n v="1"/>
    <x v="3"/>
    <s v="(Dike-town)"/>
    <n v="-2"/>
    <n v="4000"/>
    <n v="0"/>
    <s v="(Dike-town)"/>
  </r>
  <r>
    <n v="766"/>
    <d v="2024-09-24T14:22:58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60"/>
    <n v="175"/>
    <m/>
    <m/>
    <m/>
    <x v="0"/>
    <n v="77"/>
    <s v="table6"/>
    <n v="16"/>
    <s v="240924_EPA_IntroDays_Ommen"/>
    <n v="21"/>
    <n v="0"/>
    <n v="0"/>
    <x v="4"/>
    <s v=""/>
    <s v=""/>
    <n v="0"/>
    <n v="0"/>
    <s v=""/>
  </r>
  <r>
    <n v="801"/>
    <d v="2024-09-24T14:22:58"/>
    <n v="120000"/>
    <n v="65000"/>
    <n v="0"/>
    <n v="20000"/>
    <n v="0"/>
    <n v="60000"/>
    <n v="20000"/>
    <n v="3000"/>
    <n v="0"/>
    <n v="0"/>
    <n v="4000"/>
    <n v="-2000"/>
    <n v="0"/>
    <n v="-1"/>
    <n v="0"/>
    <n v="0"/>
    <n v="0"/>
    <n v="1"/>
    <n v="0"/>
    <n v="3"/>
    <n v="7"/>
    <n v="200000"/>
    <n v="0"/>
    <n v="0"/>
    <n v="0"/>
    <n v="260000"/>
    <n v="200000"/>
    <n v="180000"/>
    <m/>
    <m/>
    <n v="8"/>
    <n v="10"/>
    <n v="0"/>
    <n v="0"/>
    <n v="0"/>
    <n v="1"/>
    <s v="VIEW_SUMMARY"/>
    <n v="560"/>
    <n v="197"/>
    <m/>
    <n v="895"/>
    <m/>
    <x v="1"/>
    <n v="77"/>
    <s v="table6"/>
    <n v="16"/>
    <s v="240924_EPA_IntroDays_Ommen"/>
    <n v="21"/>
    <n v="18"/>
    <n v="1"/>
    <x v="4"/>
    <s v="(Natu-city)"/>
    <n v="-2"/>
    <n v="4000"/>
    <n v="3000"/>
    <s v="(Natu-city)"/>
  </r>
  <r>
    <n v="838"/>
    <d v="2024-09-24T14:22:58"/>
    <n v="120000"/>
    <n v="65000"/>
    <n v="2000"/>
    <n v="20000"/>
    <n v="0"/>
    <n v="0"/>
    <n v="20000"/>
    <n v="6000"/>
    <n v="0"/>
    <n v="0"/>
    <n v="0"/>
    <n v="7000"/>
    <n v="0"/>
    <n v="0"/>
    <n v="0"/>
    <n v="0"/>
    <n v="0"/>
    <n v="0"/>
    <n v="1"/>
    <n v="2"/>
    <n v="7"/>
    <n v="200000"/>
    <n v="200000"/>
    <n v="180000"/>
    <n v="0"/>
    <n v="0"/>
    <n v="200000"/>
    <n v="160000"/>
    <m/>
    <m/>
    <n v="8"/>
    <n v="10"/>
    <n v="-2"/>
    <n v="-1"/>
    <n v="1"/>
    <n v="0"/>
    <s v="VIEW_SUMMARY"/>
    <n v="560"/>
    <n v="202"/>
    <n v="895"/>
    <n v="895"/>
    <m/>
    <x v="2"/>
    <n v="77"/>
    <s v="table6"/>
    <n v="16"/>
    <s v="240924_EPA_IntroDays_Ommen"/>
    <n v="21"/>
    <n v="18"/>
    <n v="1"/>
    <x v="4"/>
    <s v="(Natu-city)"/>
    <n v="-1"/>
    <n v="0"/>
    <n v="6000"/>
    <s v="(Natu-city)"/>
  </r>
  <r>
    <n v="880"/>
    <d v="2024-09-24T14:22:58"/>
    <n v="120000"/>
    <n v="65000"/>
    <n v="0"/>
    <n v="20000"/>
    <n v="0"/>
    <n v="0"/>
    <n v="25000"/>
    <n v="10000"/>
    <n v="0"/>
    <n v="0"/>
    <n v="0"/>
    <n v="7000"/>
    <n v="0"/>
    <n v="0"/>
    <n v="0"/>
    <n v="1"/>
    <n v="0"/>
    <n v="0"/>
    <n v="0"/>
    <n v="3"/>
    <n v="7"/>
    <n v="200000"/>
    <n v="200000"/>
    <n v="160000"/>
    <n v="0"/>
    <n v="0"/>
    <n v="200000"/>
    <n v="140000"/>
    <m/>
    <m/>
    <n v="8"/>
    <n v="10"/>
    <n v="-2"/>
    <n v="-1"/>
    <n v="0"/>
    <n v="0"/>
    <s v="VIEW_SUMMARY"/>
    <n v="560"/>
    <n v="207"/>
    <n v="895"/>
    <n v="895"/>
    <m/>
    <x v="3"/>
    <n v="77"/>
    <s v="table6"/>
    <n v="16"/>
    <s v="240924_EPA_IntroDays_Ommen"/>
    <n v="21"/>
    <n v="18"/>
    <n v="0"/>
    <x v="4"/>
    <s v="(Natu-city)"/>
    <n v="1"/>
    <n v="0"/>
    <n v="10000"/>
    <s v="(Natu-city)"/>
  </r>
  <r>
    <n v="761"/>
    <d v="2024-09-24T14:21:44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61"/>
    <n v="175"/>
    <m/>
    <m/>
    <m/>
    <x v="0"/>
    <n v="77"/>
    <s v="table6"/>
    <n v="16"/>
    <s v="240924_EPA_IntroDays_Ommen"/>
    <n v="21"/>
    <n v="0"/>
    <n v="0"/>
    <x v="5"/>
    <s v=""/>
    <s v=""/>
    <n v="0"/>
    <n v="0"/>
    <s v=""/>
  </r>
  <r>
    <n v="792"/>
    <d v="2024-09-24T14:21:44"/>
    <n v="180000"/>
    <n v="105000"/>
    <n v="0"/>
    <n v="30000"/>
    <n v="0"/>
    <n v="61000"/>
    <n v="15000"/>
    <n v="47000"/>
    <n v="0"/>
    <n v="0"/>
    <n v="4000"/>
    <n v="-2000"/>
    <n v="0"/>
    <n v="0"/>
    <n v="2"/>
    <n v="1"/>
    <n v="0"/>
    <n v="1"/>
    <n v="0"/>
    <n v="7"/>
    <n v="8"/>
    <n v="300000"/>
    <n v="0"/>
    <n v="0"/>
    <n v="0"/>
    <n v="361000"/>
    <n v="300000"/>
    <n v="270000"/>
    <m/>
    <m/>
    <n v="6"/>
    <n v="10"/>
    <n v="0"/>
    <n v="0"/>
    <n v="2"/>
    <n v="1"/>
    <s v="VIEW_SUMMARY"/>
    <n v="561"/>
    <n v="197"/>
    <m/>
    <n v="897"/>
    <m/>
    <x v="1"/>
    <n v="77"/>
    <s v="table6"/>
    <n v="16"/>
    <s v="240924_EPA_IntroDays_Ommen"/>
    <n v="21"/>
    <n v="16"/>
    <n v="3"/>
    <x v="5"/>
    <s v="(Dike-town)"/>
    <n v="2"/>
    <n v="4000"/>
    <n v="47000"/>
    <s v="(Dike-town)"/>
  </r>
  <r>
    <n v="849"/>
    <d v="2024-09-24T14:21:44"/>
    <n v="180000"/>
    <n v="105000"/>
    <n v="2000"/>
    <n v="30000"/>
    <n v="0"/>
    <n v="0"/>
    <n v="15000"/>
    <n v="21000"/>
    <n v="0"/>
    <n v="0"/>
    <n v="4000"/>
    <n v="3000"/>
    <n v="0"/>
    <n v="0"/>
    <n v="0"/>
    <n v="0"/>
    <n v="0"/>
    <n v="1"/>
    <n v="1"/>
    <n v="5"/>
    <n v="8"/>
    <n v="300000"/>
    <n v="300000"/>
    <n v="270000"/>
    <n v="0"/>
    <n v="0"/>
    <n v="300000"/>
    <n v="240000"/>
    <m/>
    <m/>
    <n v="6"/>
    <n v="10"/>
    <n v="-2"/>
    <n v="-1"/>
    <n v="2"/>
    <n v="2"/>
    <s v="VIEW_SUMMARY"/>
    <n v="561"/>
    <n v="202"/>
    <n v="897"/>
    <n v="897"/>
    <m/>
    <x v="2"/>
    <n v="77"/>
    <s v="table6"/>
    <n v="16"/>
    <s v="240924_EPA_IntroDays_Ommen"/>
    <n v="21"/>
    <n v="16"/>
    <n v="4"/>
    <x v="5"/>
    <s v="(Dike-town)"/>
    <n v="-2"/>
    <n v="4000"/>
    <n v="21000"/>
    <s v="(Dike-town)"/>
  </r>
  <r>
    <n v="881"/>
    <d v="2024-09-24T14:21:44"/>
    <n v="180000"/>
    <n v="105000"/>
    <n v="0"/>
    <n v="30000"/>
    <n v="0"/>
    <n v="0"/>
    <n v="15000"/>
    <n v="30000"/>
    <n v="0"/>
    <n v="0"/>
    <n v="4000"/>
    <n v="-1000"/>
    <n v="0"/>
    <n v="0"/>
    <n v="0"/>
    <n v="2"/>
    <n v="0"/>
    <n v="1"/>
    <n v="0"/>
    <n v="6"/>
    <n v="8"/>
    <n v="300000"/>
    <n v="300000"/>
    <n v="240000"/>
    <n v="0"/>
    <n v="0"/>
    <n v="300000"/>
    <n v="210000"/>
    <m/>
    <m/>
    <n v="6"/>
    <n v="10"/>
    <n v="-2"/>
    <n v="-1"/>
    <n v="0"/>
    <n v="0"/>
    <s v="VIEW_SUMMARY"/>
    <n v="561"/>
    <n v="207"/>
    <n v="897"/>
    <n v="897"/>
    <m/>
    <x v="3"/>
    <n v="77"/>
    <s v="table6"/>
    <n v="16"/>
    <s v="240924_EPA_IntroDays_Ommen"/>
    <n v="21"/>
    <n v="16"/>
    <n v="0"/>
    <x v="5"/>
    <s v="(Dike-town)"/>
    <n v="1"/>
    <n v="4000"/>
    <n v="30000"/>
    <s v="(Dike-town)"/>
  </r>
  <r>
    <n v="762"/>
    <d v="2024-09-24T14:21:50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62"/>
    <n v="175"/>
    <m/>
    <m/>
    <m/>
    <x v="0"/>
    <n v="77"/>
    <s v="table6"/>
    <n v="16"/>
    <s v="240924_EPA_IntroDays_Ommen"/>
    <n v="21"/>
    <n v="0"/>
    <n v="0"/>
    <x v="1"/>
    <s v=""/>
    <s v=""/>
    <n v="0"/>
    <n v="0"/>
    <s v=""/>
  </r>
  <r>
    <n v="791"/>
    <d v="2024-09-24T14:21:50"/>
    <n v="100000"/>
    <n v="50000"/>
    <n v="0"/>
    <n v="17000"/>
    <n v="0"/>
    <n v="30000"/>
    <n v="20000"/>
    <n v="12000"/>
    <n v="0"/>
    <n v="0"/>
    <n v="4000"/>
    <n v="-3000"/>
    <n v="0"/>
    <n v="0"/>
    <n v="0"/>
    <n v="0"/>
    <n v="0"/>
    <n v="1"/>
    <n v="0"/>
    <n v="4"/>
    <n v="6"/>
    <n v="170000"/>
    <n v="0"/>
    <n v="0"/>
    <n v="0"/>
    <n v="200000"/>
    <n v="170000"/>
    <n v="153000"/>
    <m/>
    <m/>
    <n v="8"/>
    <n v="7"/>
    <n v="0"/>
    <n v="0"/>
    <n v="1"/>
    <n v="1"/>
    <s v="VIEW_SUMMARY"/>
    <n v="562"/>
    <n v="197"/>
    <m/>
    <n v="901"/>
    <m/>
    <x v="1"/>
    <n v="77"/>
    <s v="table6"/>
    <n v="16"/>
    <s v="240924_EPA_IntroDays_Ommen"/>
    <n v="21"/>
    <n v="15"/>
    <n v="2"/>
    <x v="1"/>
    <s v="(U-village)"/>
    <n v="-1"/>
    <n v="4000"/>
    <n v="12000"/>
    <s v="(U-village)"/>
  </r>
  <r>
    <n v="836"/>
    <d v="2024-09-24T14:21:50"/>
    <n v="100000"/>
    <n v="50000"/>
    <n v="3000"/>
    <n v="17000"/>
    <n v="0"/>
    <n v="0"/>
    <n v="15000"/>
    <n v="13000"/>
    <n v="0"/>
    <n v="0"/>
    <n v="4000"/>
    <n v="-2000"/>
    <n v="0"/>
    <n v="0"/>
    <n v="0"/>
    <n v="1"/>
    <n v="0"/>
    <n v="1"/>
    <n v="1"/>
    <n v="3"/>
    <n v="6"/>
    <n v="170000"/>
    <n v="170000"/>
    <n v="153000"/>
    <n v="0"/>
    <n v="0"/>
    <n v="170000"/>
    <n v="136000"/>
    <m/>
    <m/>
    <n v="8"/>
    <n v="7"/>
    <n v="-2"/>
    <n v="-1"/>
    <n v="0"/>
    <n v="1"/>
    <s v="VIEW_SUMMARY"/>
    <n v="562"/>
    <n v="202"/>
    <n v="901"/>
    <n v="901"/>
    <m/>
    <x v="2"/>
    <n v="77"/>
    <s v="table6"/>
    <n v="16"/>
    <s v="240924_EPA_IntroDays_Ommen"/>
    <n v="21"/>
    <n v="15"/>
    <n v="1"/>
    <x v="1"/>
    <s v="(U-village)"/>
    <n v="-1"/>
    <n v="4000"/>
    <n v="13000"/>
    <s v="(U-village)"/>
  </r>
  <r>
    <n v="877"/>
    <d v="2024-09-24T14:21:50"/>
    <n v="100000"/>
    <n v="50000"/>
    <n v="2000"/>
    <n v="17000"/>
    <n v="0"/>
    <n v="0"/>
    <n v="20000"/>
    <n v="0"/>
    <n v="0"/>
    <n v="0"/>
    <n v="0"/>
    <n v="11000"/>
    <n v="0"/>
    <n v="0"/>
    <n v="0"/>
    <n v="0"/>
    <n v="0"/>
    <n v="0"/>
    <n v="1"/>
    <n v="2"/>
    <n v="6"/>
    <n v="170000"/>
    <n v="170000"/>
    <n v="136000"/>
    <n v="0"/>
    <n v="0"/>
    <n v="170000"/>
    <n v="119000"/>
    <m/>
    <m/>
    <n v="8"/>
    <n v="7"/>
    <n v="-2"/>
    <n v="-1"/>
    <n v="0"/>
    <n v="0"/>
    <s v="VIEW_SUMMARY"/>
    <n v="562"/>
    <n v="207"/>
    <n v="901"/>
    <n v="901"/>
    <m/>
    <x v="3"/>
    <n v="77"/>
    <s v="table6"/>
    <n v="16"/>
    <s v="240924_EPA_IntroDays_Ommen"/>
    <n v="21"/>
    <n v="15"/>
    <n v="0"/>
    <x v="1"/>
    <s v="(U-village)"/>
    <n v="-1"/>
    <n v="0"/>
    <n v="0"/>
    <s v="(U-village)"/>
  </r>
  <r>
    <n v="768"/>
    <d v="2024-09-24T14:23:08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63"/>
    <n v="175"/>
    <m/>
    <m/>
    <m/>
    <x v="0"/>
    <n v="77"/>
    <s v="table6"/>
    <n v="16"/>
    <s v="240924_EPA_IntroDays_Ommen"/>
    <n v="21"/>
    <n v="0"/>
    <n v="0"/>
    <x v="1"/>
    <s v=""/>
    <s v=""/>
    <n v="0"/>
    <n v="0"/>
    <s v=""/>
  </r>
  <r>
    <n v="790"/>
    <d v="2024-09-24T14:23:08"/>
    <n v="100000"/>
    <n v="50000"/>
    <n v="0"/>
    <n v="17000"/>
    <n v="0"/>
    <n v="20000"/>
    <n v="15000"/>
    <n v="28000"/>
    <n v="0"/>
    <n v="0"/>
    <n v="4000"/>
    <n v="-4000"/>
    <n v="0"/>
    <n v="-1"/>
    <n v="1"/>
    <n v="2"/>
    <n v="0"/>
    <n v="1"/>
    <n v="0"/>
    <n v="6"/>
    <n v="6"/>
    <n v="170000"/>
    <n v="0"/>
    <n v="0"/>
    <n v="0"/>
    <n v="190000"/>
    <n v="170000"/>
    <n v="153000"/>
    <m/>
    <m/>
    <n v="6"/>
    <n v="10"/>
    <n v="0"/>
    <n v="0"/>
    <n v="1"/>
    <n v="0"/>
    <s v="VIEW_SUMMARY"/>
    <n v="563"/>
    <n v="197"/>
    <m/>
    <n v="898"/>
    <m/>
    <x v="1"/>
    <n v="77"/>
    <s v="table6"/>
    <n v="16"/>
    <s v="240924_EPA_IntroDays_Ommen"/>
    <n v="21"/>
    <n v="16"/>
    <n v="1"/>
    <x v="1"/>
    <s v="(Dike-town)"/>
    <n v="1"/>
    <n v="4000"/>
    <n v="28000"/>
    <s v="(Dike-town)"/>
  </r>
  <r>
    <n v="841"/>
    <d v="2024-09-24T14:23:08"/>
    <n v="100000"/>
    <n v="50000"/>
    <n v="4000"/>
    <n v="17000"/>
    <n v="0"/>
    <n v="0"/>
    <n v="15000"/>
    <n v="9000"/>
    <n v="0"/>
    <n v="0"/>
    <n v="4000"/>
    <n v="1000"/>
    <n v="0"/>
    <n v="0"/>
    <n v="0"/>
    <n v="0"/>
    <n v="0"/>
    <n v="1"/>
    <n v="1"/>
    <n v="4"/>
    <n v="6"/>
    <n v="170000"/>
    <n v="170000"/>
    <n v="153000"/>
    <n v="0"/>
    <n v="0"/>
    <n v="170000"/>
    <n v="136000"/>
    <m/>
    <m/>
    <n v="6"/>
    <n v="10"/>
    <n v="-2"/>
    <n v="-1"/>
    <n v="1"/>
    <n v="1"/>
    <s v="VIEW_SUMMARY"/>
    <n v="563"/>
    <n v="202"/>
    <n v="898"/>
    <n v="898"/>
    <m/>
    <x v="2"/>
    <n v="77"/>
    <s v="table6"/>
    <n v="16"/>
    <s v="240924_EPA_IntroDays_Ommen"/>
    <n v="21"/>
    <n v="16"/>
    <n v="2"/>
    <x v="1"/>
    <s v="(Dike-town)"/>
    <n v="-2"/>
    <n v="4000"/>
    <n v="9000"/>
    <s v="(Dike-town)"/>
  </r>
  <r>
    <n v="875"/>
    <d v="2024-09-24T14:23:08"/>
    <n v="100000"/>
    <n v="50000"/>
    <n v="0"/>
    <n v="17000"/>
    <n v="0"/>
    <n v="0"/>
    <n v="15000"/>
    <n v="0"/>
    <n v="0"/>
    <n v="0"/>
    <n v="4000"/>
    <n v="15000"/>
    <n v="0"/>
    <n v="0"/>
    <n v="0"/>
    <n v="0"/>
    <n v="0"/>
    <n v="1"/>
    <n v="0"/>
    <n v="3"/>
    <n v="6"/>
    <n v="170000"/>
    <n v="170000"/>
    <n v="136000"/>
    <n v="0"/>
    <n v="0"/>
    <n v="170000"/>
    <n v="119000"/>
    <m/>
    <m/>
    <n v="6"/>
    <n v="10"/>
    <n v="-2"/>
    <n v="-1"/>
    <n v="0"/>
    <n v="0"/>
    <s v="VIEW_SUMMARY"/>
    <n v="563"/>
    <n v="207"/>
    <n v="898"/>
    <n v="898"/>
    <m/>
    <x v="3"/>
    <n v="77"/>
    <s v="table6"/>
    <n v="16"/>
    <s v="240924_EPA_IntroDays_Ommen"/>
    <n v="21"/>
    <n v="16"/>
    <n v="0"/>
    <x v="1"/>
    <s v="(Dike-town)"/>
    <n v="-1"/>
    <n v="4000"/>
    <n v="0"/>
    <s v="(Dike-town)"/>
  </r>
  <r>
    <n v="748"/>
    <d v="2024-09-24T14:21:00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64"/>
    <n v="194"/>
    <m/>
    <m/>
    <m/>
    <x v="0"/>
    <n v="78"/>
    <s v="table7"/>
    <n v="16"/>
    <s v="240924_EPA_IntroDays_Ommen"/>
    <n v="21"/>
    <n v="0"/>
    <n v="0"/>
    <x v="0"/>
    <s v=""/>
    <s v=""/>
    <n v="0"/>
    <n v="0"/>
    <s v=""/>
  </r>
  <r>
    <n v="781"/>
    <d v="2024-09-24T14:21:00"/>
    <n v="65000"/>
    <n v="30000"/>
    <n v="0"/>
    <n v="7000"/>
    <n v="0"/>
    <n v="0"/>
    <n v="15000"/>
    <n v="3500"/>
    <n v="0"/>
    <n v="0"/>
    <n v="0"/>
    <n v="14500"/>
    <n v="0"/>
    <n v="-2"/>
    <n v="0"/>
    <n v="1"/>
    <n v="0"/>
    <n v="0"/>
    <n v="0"/>
    <n v="4"/>
    <n v="4"/>
    <n v="110000"/>
    <n v="0"/>
    <n v="0"/>
    <n v="0"/>
    <n v="70000"/>
    <n v="70000"/>
    <n v="63000"/>
    <m/>
    <m/>
    <n v="8"/>
    <n v="7"/>
    <n v="0"/>
    <n v="0"/>
    <n v="0"/>
    <n v="0"/>
    <s v="VIEW_SUMMARY"/>
    <n v="564"/>
    <n v="196"/>
    <m/>
    <n v="893"/>
    <m/>
    <x v="1"/>
    <n v="78"/>
    <s v="table7"/>
    <n v="16"/>
    <s v="240924_EPA_IntroDays_Ommen"/>
    <n v="21"/>
    <n v="15"/>
    <n v="0"/>
    <x v="0"/>
    <s v="(U-village)"/>
    <n v="-1"/>
    <n v="0"/>
    <n v="3500"/>
    <s v="(U-village)"/>
  </r>
  <r>
    <n v="829"/>
    <d v="2024-09-24T14:21:00"/>
    <n v="65000"/>
    <n v="30000"/>
    <n v="0"/>
    <n v="7000"/>
    <n v="0"/>
    <n v="0"/>
    <n v="15000"/>
    <n v="12000"/>
    <n v="0"/>
    <n v="0"/>
    <n v="4000"/>
    <n v="11500"/>
    <n v="0"/>
    <n v="0"/>
    <n v="0"/>
    <n v="0"/>
    <n v="1"/>
    <n v="1"/>
    <n v="0"/>
    <n v="2"/>
    <n v="4"/>
    <n v="110000"/>
    <n v="70000"/>
    <n v="63000"/>
    <n v="0"/>
    <n v="0"/>
    <n v="70000"/>
    <n v="56000"/>
    <m/>
    <m/>
    <n v="8"/>
    <n v="7"/>
    <n v="-2"/>
    <n v="-1"/>
    <n v="1"/>
    <n v="1"/>
    <s v="VIEW_SUMMARY"/>
    <n v="564"/>
    <n v="201"/>
    <n v="893"/>
    <n v="893"/>
    <m/>
    <x v="2"/>
    <n v="78"/>
    <s v="table7"/>
    <n v="16"/>
    <s v="240924_EPA_IntroDays_Ommen"/>
    <n v="21"/>
    <n v="15"/>
    <n v="2"/>
    <x v="0"/>
    <s v="(U-village)"/>
    <n v="-2"/>
    <n v="4000"/>
    <n v="12000"/>
    <s v="(U-village)"/>
  </r>
  <r>
    <n v="854"/>
    <d v="2024-09-24T14:21:00"/>
    <n v="65000"/>
    <n v="30000"/>
    <n v="0"/>
    <n v="7000"/>
    <n v="0"/>
    <n v="0"/>
    <n v="15000"/>
    <n v="14000"/>
    <n v="0"/>
    <n v="12000"/>
    <n v="4000"/>
    <n v="-5500"/>
    <n v="0"/>
    <n v="0"/>
    <n v="0"/>
    <n v="2"/>
    <n v="4"/>
    <n v="1"/>
    <n v="0"/>
    <n v="-1"/>
    <n v="4"/>
    <n v="110000"/>
    <n v="70000"/>
    <n v="56000"/>
    <n v="0"/>
    <n v="0"/>
    <n v="70000"/>
    <n v="49000"/>
    <m/>
    <m/>
    <n v="8"/>
    <n v="7"/>
    <n v="-2"/>
    <n v="-1"/>
    <n v="0"/>
    <n v="0"/>
    <s v="VIEW_SUMMARY"/>
    <n v="564"/>
    <n v="204"/>
    <n v="893"/>
    <n v="893"/>
    <m/>
    <x v="3"/>
    <n v="78"/>
    <s v="table7"/>
    <n v="16"/>
    <s v="240924_EPA_IntroDays_Ommen"/>
    <n v="21"/>
    <n v="15"/>
    <n v="0"/>
    <x v="0"/>
    <s v="(U-village)"/>
    <n v="-3"/>
    <n v="16000"/>
    <n v="14000"/>
    <s v="(U-village)"/>
  </r>
  <r>
    <n v="755"/>
    <d v="2024-09-24T14:21:19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65"/>
    <n v="194"/>
    <m/>
    <m/>
    <m/>
    <x v="0"/>
    <n v="78"/>
    <s v="table7"/>
    <n v="16"/>
    <s v="240924_EPA_IntroDays_Ommen"/>
    <n v="21"/>
    <n v="0"/>
    <n v="0"/>
    <x v="1"/>
    <s v=""/>
    <s v=""/>
    <n v="0"/>
    <n v="0"/>
    <s v=""/>
  </r>
  <r>
    <n v="785"/>
    <d v="2024-09-24T14:21:19"/>
    <n v="100000"/>
    <n v="50000"/>
    <n v="0"/>
    <n v="17000"/>
    <n v="0"/>
    <n v="55000"/>
    <n v="20000"/>
    <n v="0"/>
    <n v="0"/>
    <n v="0"/>
    <n v="0"/>
    <n v="-12000"/>
    <n v="0"/>
    <n v="0"/>
    <n v="0"/>
    <n v="0"/>
    <n v="0"/>
    <n v="0"/>
    <n v="0"/>
    <n v="5"/>
    <n v="6"/>
    <n v="170000"/>
    <n v="0"/>
    <n v="0"/>
    <n v="0"/>
    <n v="225000"/>
    <n v="170000"/>
    <n v="153000"/>
    <m/>
    <m/>
    <n v="8"/>
    <n v="10"/>
    <n v="0"/>
    <n v="0"/>
    <n v="0"/>
    <n v="0"/>
    <s v="VIEW_SUMMARY"/>
    <n v="565"/>
    <n v="196"/>
    <m/>
    <n v="885"/>
    <m/>
    <x v="1"/>
    <n v="78"/>
    <s v="table7"/>
    <n v="16"/>
    <s v="240924_EPA_IntroDays_Ommen"/>
    <n v="21"/>
    <n v="18"/>
    <n v="0"/>
    <x v="1"/>
    <s v="(Natu-city)"/>
    <n v="0"/>
    <n v="0"/>
    <n v="0"/>
    <s v="(Natu-city)"/>
  </r>
  <r>
    <n v="833"/>
    <d v="2024-09-24T14:21:19"/>
    <n v="100000"/>
    <n v="50000"/>
    <n v="12000"/>
    <n v="17000"/>
    <n v="0"/>
    <n v="0"/>
    <n v="20000"/>
    <n v="0"/>
    <n v="0"/>
    <n v="0"/>
    <n v="4000"/>
    <n v="-3000"/>
    <n v="0"/>
    <n v="0"/>
    <n v="0"/>
    <n v="0"/>
    <n v="0"/>
    <n v="1"/>
    <n v="1"/>
    <n v="3"/>
    <n v="6"/>
    <n v="170000"/>
    <n v="170000"/>
    <n v="153000"/>
    <n v="0"/>
    <n v="0"/>
    <n v="170000"/>
    <n v="136000"/>
    <m/>
    <m/>
    <n v="8"/>
    <n v="10"/>
    <n v="-2"/>
    <n v="-1"/>
    <n v="0"/>
    <n v="0"/>
    <s v="VIEW_SUMMARY"/>
    <n v="565"/>
    <n v="201"/>
    <n v="885"/>
    <n v="885"/>
    <m/>
    <x v="2"/>
    <n v="78"/>
    <s v="table7"/>
    <n v="16"/>
    <s v="240924_EPA_IntroDays_Ommen"/>
    <n v="21"/>
    <n v="18"/>
    <n v="0"/>
    <x v="1"/>
    <s v="(Natu-city)"/>
    <n v="-2"/>
    <n v="4000"/>
    <n v="0"/>
    <s v="(Natu-city)"/>
  </r>
  <r>
    <n v="859"/>
    <d v="2024-09-24T14:21:19"/>
    <n v="100000"/>
    <n v="50000"/>
    <n v="3000"/>
    <n v="17000"/>
    <n v="0"/>
    <n v="0"/>
    <n v="25000"/>
    <n v="0"/>
    <n v="0"/>
    <n v="0"/>
    <n v="4000"/>
    <n v="1000"/>
    <n v="0"/>
    <n v="0"/>
    <n v="0"/>
    <n v="0"/>
    <n v="0"/>
    <n v="1"/>
    <n v="1"/>
    <n v="1"/>
    <n v="6"/>
    <n v="170000"/>
    <n v="170000"/>
    <n v="136000"/>
    <n v="0"/>
    <n v="0"/>
    <n v="170000"/>
    <n v="119000"/>
    <m/>
    <m/>
    <n v="8"/>
    <n v="10"/>
    <n v="-2"/>
    <n v="-1"/>
    <n v="0"/>
    <n v="0"/>
    <s v="VIEW_SUMMARY"/>
    <n v="565"/>
    <n v="204"/>
    <n v="885"/>
    <n v="885"/>
    <m/>
    <x v="3"/>
    <n v="78"/>
    <s v="table7"/>
    <n v="16"/>
    <s v="240924_EPA_IntroDays_Ommen"/>
    <n v="21"/>
    <n v="18"/>
    <n v="0"/>
    <x v="1"/>
    <s v="(Natu-city)"/>
    <n v="-2"/>
    <n v="4000"/>
    <n v="0"/>
    <s v="(Natu-city)"/>
  </r>
  <r>
    <n v="754"/>
    <d v="2024-09-24T14:21:15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66"/>
    <n v="194"/>
    <m/>
    <m/>
    <m/>
    <x v="0"/>
    <n v="78"/>
    <s v="table7"/>
    <n v="16"/>
    <s v="240924_EPA_IntroDays_Ommen"/>
    <n v="21"/>
    <n v="0"/>
    <n v="0"/>
    <x v="2"/>
    <s v=""/>
    <s v=""/>
    <n v="0"/>
    <n v="0"/>
    <s v=""/>
  </r>
  <r>
    <n v="783"/>
    <d v="2024-09-24T14:21:15"/>
    <n v="50000"/>
    <n v="20000"/>
    <n v="0"/>
    <n v="8000"/>
    <n v="0"/>
    <n v="20000"/>
    <n v="20000"/>
    <n v="0"/>
    <n v="0"/>
    <n v="0"/>
    <n v="0"/>
    <n v="-18000"/>
    <n v="0"/>
    <n v="0"/>
    <n v="0"/>
    <n v="0"/>
    <n v="0"/>
    <n v="0"/>
    <n v="0"/>
    <n v="5"/>
    <n v="3"/>
    <n v="80000"/>
    <n v="0"/>
    <n v="0"/>
    <n v="0"/>
    <n v="100000"/>
    <n v="80000"/>
    <n v="72000"/>
    <m/>
    <m/>
    <n v="8"/>
    <n v="10"/>
    <n v="0"/>
    <n v="0"/>
    <n v="0"/>
    <n v="0"/>
    <s v="VIEW_SUMMARY"/>
    <n v="566"/>
    <n v="196"/>
    <m/>
    <n v="886"/>
    <m/>
    <x v="1"/>
    <n v="78"/>
    <s v="table7"/>
    <n v="16"/>
    <s v="240924_EPA_IntroDays_Ommen"/>
    <n v="21"/>
    <n v="18"/>
    <n v="0"/>
    <x v="2"/>
    <s v="(Natu-city)"/>
    <n v="0"/>
    <n v="0"/>
    <n v="0"/>
    <s v="(Natu-city)"/>
  </r>
  <r>
    <n v="827"/>
    <d v="2024-09-24T14:21:15"/>
    <n v="50000"/>
    <n v="20000"/>
    <n v="18000"/>
    <n v="8000"/>
    <n v="0"/>
    <n v="0"/>
    <n v="20000"/>
    <n v="0"/>
    <n v="0"/>
    <n v="0"/>
    <n v="4000"/>
    <n v="-20000"/>
    <n v="0"/>
    <n v="0"/>
    <n v="0"/>
    <n v="0"/>
    <n v="0"/>
    <n v="1"/>
    <n v="1"/>
    <n v="3"/>
    <n v="3"/>
    <n v="80000"/>
    <n v="80000"/>
    <n v="72000"/>
    <n v="0"/>
    <n v="0"/>
    <n v="80000"/>
    <n v="64000"/>
    <m/>
    <m/>
    <n v="8"/>
    <n v="10"/>
    <n v="-2"/>
    <n v="-1"/>
    <n v="0"/>
    <n v="0"/>
    <s v="VIEW_SUMMARY"/>
    <n v="566"/>
    <n v="201"/>
    <n v="886"/>
    <n v="886"/>
    <m/>
    <x v="2"/>
    <n v="78"/>
    <s v="table7"/>
    <n v="16"/>
    <s v="240924_EPA_IntroDays_Ommen"/>
    <n v="21"/>
    <n v="18"/>
    <n v="0"/>
    <x v="2"/>
    <s v="(Natu-city)"/>
    <n v="-2"/>
    <n v="4000"/>
    <n v="0"/>
    <s v="(Natu-city)"/>
  </r>
  <r>
    <n v="858"/>
    <d v="2024-09-24T14:21:15"/>
    <n v="50000"/>
    <n v="20000"/>
    <n v="20000"/>
    <n v="8000"/>
    <n v="0"/>
    <n v="0"/>
    <n v="25000"/>
    <n v="0"/>
    <n v="0"/>
    <n v="0"/>
    <n v="4000"/>
    <n v="-27000"/>
    <n v="0"/>
    <n v="0"/>
    <n v="0"/>
    <n v="0"/>
    <n v="0"/>
    <n v="1"/>
    <n v="1"/>
    <n v="1"/>
    <n v="3"/>
    <n v="80000"/>
    <n v="80000"/>
    <n v="64000"/>
    <n v="0"/>
    <n v="0"/>
    <n v="80000"/>
    <n v="56000"/>
    <m/>
    <m/>
    <n v="8"/>
    <n v="10"/>
    <n v="-2"/>
    <n v="-1"/>
    <n v="0"/>
    <n v="0"/>
    <s v="VIEW_SUMMARY"/>
    <n v="566"/>
    <n v="204"/>
    <n v="886"/>
    <n v="886"/>
    <m/>
    <x v="3"/>
    <n v="78"/>
    <s v="table7"/>
    <n v="16"/>
    <s v="240924_EPA_IntroDays_Ommen"/>
    <n v="21"/>
    <n v="18"/>
    <n v="0"/>
    <x v="2"/>
    <s v="(Natu-city)"/>
    <n v="-2"/>
    <n v="4000"/>
    <n v="0"/>
    <s v="(Natu-city)"/>
  </r>
  <r>
    <n v="767"/>
    <d v="2024-09-24T14:22:59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67"/>
    <n v="194"/>
    <m/>
    <m/>
    <m/>
    <x v="0"/>
    <n v="78"/>
    <s v="table7"/>
    <n v="16"/>
    <s v="240924_EPA_IntroDays_Ommen"/>
    <n v="21"/>
    <n v="0"/>
    <n v="0"/>
    <x v="3"/>
    <s v=""/>
    <s v=""/>
    <n v="0"/>
    <n v="0"/>
    <s v=""/>
  </r>
  <r>
    <n v="784"/>
    <d v="2024-09-24T14:22:59"/>
    <n v="80000"/>
    <n v="40000"/>
    <n v="0"/>
    <n v="13000"/>
    <n v="0"/>
    <n v="30000"/>
    <n v="15000"/>
    <n v="0"/>
    <n v="0"/>
    <n v="0"/>
    <n v="0"/>
    <n v="-3000"/>
    <n v="0"/>
    <n v="0"/>
    <n v="0"/>
    <n v="0"/>
    <n v="0"/>
    <n v="0"/>
    <n v="0"/>
    <n v="5"/>
    <n v="5"/>
    <n v="130000"/>
    <n v="0"/>
    <n v="0"/>
    <n v="0"/>
    <n v="160000"/>
    <n v="130000"/>
    <n v="117000"/>
    <m/>
    <m/>
    <n v="6"/>
    <n v="10"/>
    <n v="0"/>
    <n v="0"/>
    <n v="0"/>
    <n v="0"/>
    <s v="VIEW_SUMMARY"/>
    <n v="567"/>
    <n v="196"/>
    <m/>
    <n v="888"/>
    <m/>
    <x v="1"/>
    <n v="78"/>
    <s v="table7"/>
    <n v="16"/>
    <s v="240924_EPA_IntroDays_Ommen"/>
    <n v="21"/>
    <n v="16"/>
    <n v="0"/>
    <x v="3"/>
    <s v="(Dike-town)"/>
    <n v="0"/>
    <n v="0"/>
    <n v="0"/>
    <s v="(Dike-town)"/>
  </r>
  <r>
    <n v="831"/>
    <d v="2024-09-24T14:22:59"/>
    <n v="80000"/>
    <n v="40000"/>
    <n v="3000"/>
    <n v="13000"/>
    <n v="0"/>
    <n v="0"/>
    <n v="15000"/>
    <n v="6000"/>
    <n v="0"/>
    <n v="0"/>
    <n v="4000"/>
    <n v="-1000"/>
    <n v="0"/>
    <n v="0"/>
    <n v="0"/>
    <n v="0"/>
    <n v="0"/>
    <n v="1"/>
    <n v="1"/>
    <n v="3"/>
    <n v="5"/>
    <n v="130000"/>
    <n v="130000"/>
    <n v="117000"/>
    <n v="0"/>
    <n v="0"/>
    <n v="130000"/>
    <n v="104000"/>
    <m/>
    <m/>
    <n v="6"/>
    <n v="10"/>
    <n v="-2"/>
    <n v="-1"/>
    <n v="1"/>
    <n v="0"/>
    <s v="VIEW_SUMMARY"/>
    <n v="567"/>
    <n v="201"/>
    <n v="888"/>
    <n v="888"/>
    <m/>
    <x v="2"/>
    <n v="78"/>
    <s v="table7"/>
    <n v="16"/>
    <s v="240924_EPA_IntroDays_Ommen"/>
    <n v="21"/>
    <n v="16"/>
    <n v="1"/>
    <x v="3"/>
    <s v="(Dike-town)"/>
    <n v="-2"/>
    <n v="4000"/>
    <n v="6000"/>
    <s v="(Dike-town)"/>
  </r>
  <r>
    <n v="856"/>
    <d v="2024-09-24T14:22:59"/>
    <n v="80000"/>
    <n v="40000"/>
    <n v="1000"/>
    <n v="13000"/>
    <n v="0"/>
    <n v="0"/>
    <n v="15000"/>
    <n v="0"/>
    <n v="0"/>
    <n v="0"/>
    <n v="4000"/>
    <n v="7000"/>
    <n v="0"/>
    <n v="0"/>
    <n v="0"/>
    <n v="0"/>
    <n v="0"/>
    <n v="1"/>
    <n v="1"/>
    <n v="1"/>
    <n v="5"/>
    <n v="130000"/>
    <n v="130000"/>
    <n v="104000"/>
    <n v="0"/>
    <n v="0"/>
    <n v="130000"/>
    <n v="91000"/>
    <m/>
    <m/>
    <n v="6"/>
    <n v="10"/>
    <n v="-2"/>
    <n v="-1"/>
    <n v="0"/>
    <n v="0"/>
    <s v="VIEW_DAMAGE"/>
    <n v="567"/>
    <n v="204"/>
    <n v="888"/>
    <n v="888"/>
    <m/>
    <x v="3"/>
    <n v="78"/>
    <s v="table7"/>
    <n v="16"/>
    <s v="240924_EPA_IntroDays_Ommen"/>
    <n v="21"/>
    <n v="16"/>
    <n v="0"/>
    <x v="3"/>
    <s v="(Dike-town)"/>
    <n v="-2"/>
    <n v="4000"/>
    <n v="0"/>
    <s v="(Dike-town)"/>
  </r>
  <r>
    <n v="752"/>
    <d v="2024-09-24T14:21:08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68"/>
    <n v="194"/>
    <m/>
    <m/>
    <m/>
    <x v="0"/>
    <n v="78"/>
    <s v="table7"/>
    <n v="16"/>
    <s v="240924_EPA_IntroDays_Ommen"/>
    <n v="21"/>
    <n v="0"/>
    <n v="0"/>
    <x v="4"/>
    <s v=""/>
    <s v=""/>
    <n v="0"/>
    <n v="0"/>
    <s v=""/>
  </r>
  <r>
    <n v="786"/>
    <d v="2024-09-24T14:21:08"/>
    <n v="120000"/>
    <n v="65000"/>
    <n v="0"/>
    <n v="16000"/>
    <n v="0"/>
    <n v="0"/>
    <n v="15000"/>
    <n v="28000"/>
    <n v="0"/>
    <n v="0"/>
    <n v="0"/>
    <n v="46000"/>
    <n v="0"/>
    <n v="-2"/>
    <n v="1"/>
    <n v="2"/>
    <n v="0"/>
    <n v="0"/>
    <n v="0"/>
    <n v="6"/>
    <n v="7"/>
    <n v="200000"/>
    <n v="0"/>
    <n v="0"/>
    <n v="0"/>
    <n v="160000"/>
    <n v="160000"/>
    <n v="144000"/>
    <m/>
    <m/>
    <n v="6"/>
    <n v="10"/>
    <n v="0"/>
    <n v="0"/>
    <n v="1"/>
    <n v="0"/>
    <s v="VIEW_SUMMARY"/>
    <n v="568"/>
    <n v="196"/>
    <m/>
    <n v="889"/>
    <m/>
    <x v="1"/>
    <n v="78"/>
    <s v="table7"/>
    <n v="16"/>
    <s v="240924_EPA_IntroDays_Ommen"/>
    <n v="21"/>
    <n v="16"/>
    <n v="1"/>
    <x v="4"/>
    <s v="(Dike-town)"/>
    <n v="1"/>
    <n v="0"/>
    <n v="28000"/>
    <s v="(Dike-town)"/>
  </r>
  <r>
    <n v="832"/>
    <d v="2024-09-24T14:21:08"/>
    <n v="120000"/>
    <n v="65000"/>
    <n v="0"/>
    <n v="16000"/>
    <n v="0"/>
    <n v="0"/>
    <n v="15000"/>
    <n v="22000"/>
    <n v="0"/>
    <n v="0"/>
    <n v="4000"/>
    <n v="44000"/>
    <n v="0"/>
    <n v="0"/>
    <n v="0"/>
    <n v="0"/>
    <n v="0"/>
    <n v="1"/>
    <n v="0"/>
    <n v="5"/>
    <n v="7"/>
    <n v="200000"/>
    <n v="160000"/>
    <n v="144000"/>
    <n v="0"/>
    <n v="0"/>
    <n v="160000"/>
    <n v="128000"/>
    <m/>
    <m/>
    <n v="6"/>
    <n v="10"/>
    <n v="-2"/>
    <n v="-1"/>
    <n v="1"/>
    <n v="0"/>
    <s v="VIEW_SUMMARY"/>
    <n v="568"/>
    <n v="201"/>
    <n v="889"/>
    <n v="889"/>
    <m/>
    <x v="2"/>
    <n v="78"/>
    <s v="table7"/>
    <n v="16"/>
    <s v="240924_EPA_IntroDays_Ommen"/>
    <n v="21"/>
    <n v="16"/>
    <n v="1"/>
    <x v="4"/>
    <s v="(Dike-town)"/>
    <n v="-1"/>
    <n v="4000"/>
    <n v="22000"/>
    <s v="(Dike-town)"/>
  </r>
  <r>
    <n v="853"/>
    <d v="2024-09-24T14:21:08"/>
    <n v="120000"/>
    <n v="65000"/>
    <n v="0"/>
    <n v="16000"/>
    <n v="0"/>
    <n v="0"/>
    <n v="15000"/>
    <n v="35000"/>
    <n v="0"/>
    <n v="0"/>
    <n v="4000"/>
    <n v="29000"/>
    <n v="0"/>
    <n v="0"/>
    <n v="0"/>
    <n v="2"/>
    <n v="0"/>
    <n v="1"/>
    <n v="0"/>
    <n v="6"/>
    <n v="7"/>
    <n v="200000"/>
    <n v="160000"/>
    <n v="128000"/>
    <n v="0"/>
    <n v="0"/>
    <n v="160000"/>
    <n v="112000"/>
    <m/>
    <m/>
    <n v="6"/>
    <n v="10"/>
    <n v="-2"/>
    <n v="-1"/>
    <n v="1"/>
    <n v="2"/>
    <s v="VIEW_SUMMARY"/>
    <n v="568"/>
    <n v="204"/>
    <n v="889"/>
    <n v="889"/>
    <m/>
    <x v="3"/>
    <n v="78"/>
    <s v="table7"/>
    <n v="16"/>
    <s v="240924_EPA_IntroDays_Ommen"/>
    <n v="21"/>
    <n v="16"/>
    <n v="3"/>
    <x v="4"/>
    <s v="(Dike-town)"/>
    <n v="1"/>
    <n v="4000"/>
    <n v="35000"/>
    <s v="(Dike-town)"/>
  </r>
  <r>
    <n v="747"/>
    <d v="2024-09-24T14:20:58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69"/>
    <n v="194"/>
    <m/>
    <m/>
    <m/>
    <x v="0"/>
    <n v="78"/>
    <s v="table7"/>
    <n v="16"/>
    <s v="240924_EPA_IntroDays_Ommen"/>
    <n v="21"/>
    <n v="0"/>
    <n v="0"/>
    <x v="5"/>
    <s v=""/>
    <s v=""/>
    <n v="0"/>
    <n v="0"/>
    <s v=""/>
  </r>
  <r>
    <n v="782"/>
    <d v="2024-09-24T14:20:58"/>
    <n v="180000"/>
    <n v="105000"/>
    <n v="0"/>
    <n v="30000"/>
    <n v="0"/>
    <n v="0"/>
    <n v="15000"/>
    <n v="32000"/>
    <n v="0"/>
    <n v="0"/>
    <n v="0"/>
    <n v="78000"/>
    <n v="0"/>
    <n v="0"/>
    <n v="2"/>
    <n v="0"/>
    <n v="0"/>
    <n v="0"/>
    <n v="0"/>
    <n v="7"/>
    <n v="8"/>
    <n v="300000"/>
    <n v="0"/>
    <n v="0"/>
    <n v="0"/>
    <n v="300000"/>
    <n v="300000"/>
    <n v="270000"/>
    <m/>
    <m/>
    <n v="6"/>
    <n v="10"/>
    <n v="0"/>
    <n v="0"/>
    <n v="2"/>
    <n v="0"/>
    <s v="VIEW_SUMMARY"/>
    <n v="569"/>
    <n v="196"/>
    <m/>
    <n v="887"/>
    <m/>
    <x v="1"/>
    <n v="78"/>
    <s v="table7"/>
    <n v="16"/>
    <s v="240924_EPA_IntroDays_Ommen"/>
    <n v="21"/>
    <n v="16"/>
    <n v="2"/>
    <x v="5"/>
    <s v="(Dike-town)"/>
    <n v="2"/>
    <n v="0"/>
    <n v="32000"/>
    <s v="(Dike-town)"/>
  </r>
  <r>
    <n v="828"/>
    <d v="2024-09-24T14:20:58"/>
    <n v="180000"/>
    <n v="105000"/>
    <n v="0"/>
    <n v="30000"/>
    <n v="0"/>
    <n v="0"/>
    <n v="15000"/>
    <n v="53000"/>
    <n v="0"/>
    <n v="0"/>
    <n v="4000"/>
    <n v="51000"/>
    <n v="0"/>
    <n v="0"/>
    <n v="1"/>
    <n v="1"/>
    <n v="0"/>
    <n v="1"/>
    <n v="0"/>
    <n v="8"/>
    <n v="8"/>
    <n v="300000"/>
    <n v="300000"/>
    <n v="270000"/>
    <n v="0"/>
    <n v="0"/>
    <n v="300000"/>
    <n v="240000"/>
    <m/>
    <m/>
    <n v="6"/>
    <n v="10"/>
    <n v="-2"/>
    <n v="-1"/>
    <n v="3"/>
    <n v="2"/>
    <s v="VIEW_SUMMARY"/>
    <n v="569"/>
    <n v="201"/>
    <n v="887"/>
    <n v="887"/>
    <m/>
    <x v="2"/>
    <n v="78"/>
    <s v="table7"/>
    <n v="16"/>
    <s v="240924_EPA_IntroDays_Ommen"/>
    <n v="21"/>
    <n v="16"/>
    <n v="5"/>
    <x v="5"/>
    <s v="(Dike-town)"/>
    <n v="1"/>
    <n v="4000"/>
    <n v="53000"/>
    <s v="(Dike-town)"/>
  </r>
  <r>
    <n v="852"/>
    <d v="2024-09-24T14:20:58"/>
    <n v="180000"/>
    <n v="105000"/>
    <n v="0"/>
    <n v="30000"/>
    <n v="0"/>
    <n v="0"/>
    <n v="15000"/>
    <n v="48000"/>
    <n v="0"/>
    <n v="0"/>
    <n v="4000"/>
    <n v="29000"/>
    <n v="0"/>
    <n v="0"/>
    <n v="0"/>
    <n v="3"/>
    <n v="0"/>
    <n v="1"/>
    <n v="0"/>
    <n v="10"/>
    <n v="8"/>
    <n v="300000"/>
    <n v="300000"/>
    <n v="240000"/>
    <n v="0"/>
    <n v="0"/>
    <n v="300000"/>
    <n v="210000"/>
    <m/>
    <m/>
    <n v="6"/>
    <n v="10"/>
    <n v="-2"/>
    <n v="-1"/>
    <n v="0"/>
    <n v="0"/>
    <s v="VIEW_SUMMARY"/>
    <n v="569"/>
    <n v="204"/>
    <n v="887"/>
    <n v="887"/>
    <m/>
    <x v="3"/>
    <n v="78"/>
    <s v="table7"/>
    <n v="16"/>
    <s v="240924_EPA_IntroDays_Ommen"/>
    <n v="21"/>
    <n v="16"/>
    <n v="0"/>
    <x v="5"/>
    <s v="(Dike-town)"/>
    <n v="2"/>
    <n v="4000"/>
    <n v="48000"/>
    <s v="(Dike-town)"/>
  </r>
  <r>
    <n v="757"/>
    <d v="2024-09-24T14:21:26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70"/>
    <n v="194"/>
    <m/>
    <m/>
    <m/>
    <x v="0"/>
    <n v="78"/>
    <s v="table7"/>
    <n v="16"/>
    <s v="240924_EPA_IntroDays_Ommen"/>
    <n v="21"/>
    <n v="0"/>
    <n v="0"/>
    <x v="1"/>
    <s v=""/>
    <s v=""/>
    <n v="0"/>
    <n v="0"/>
    <s v=""/>
  </r>
  <r>
    <n v="787"/>
    <d v="2024-09-24T14:21:26"/>
    <n v="100000"/>
    <n v="50000"/>
    <n v="0"/>
    <n v="17000"/>
    <n v="0"/>
    <n v="30000"/>
    <n v="15000"/>
    <n v="18000"/>
    <n v="0"/>
    <n v="0"/>
    <n v="0"/>
    <n v="0"/>
    <n v="0"/>
    <n v="0"/>
    <n v="1"/>
    <n v="0"/>
    <n v="0"/>
    <n v="0"/>
    <n v="0"/>
    <n v="6"/>
    <n v="6"/>
    <n v="170000"/>
    <n v="0"/>
    <n v="0"/>
    <n v="0"/>
    <n v="200000"/>
    <n v="170000"/>
    <n v="153000"/>
    <m/>
    <m/>
    <n v="8"/>
    <n v="7"/>
    <n v="0"/>
    <n v="0"/>
    <n v="2"/>
    <n v="0"/>
    <s v="VIEW_SUMMARY"/>
    <n v="570"/>
    <n v="196"/>
    <m/>
    <n v="891"/>
    <m/>
    <x v="1"/>
    <n v="78"/>
    <s v="table7"/>
    <n v="16"/>
    <s v="240924_EPA_IntroDays_Ommen"/>
    <n v="21"/>
    <n v="15"/>
    <n v="2"/>
    <x v="1"/>
    <s v="(U-village)"/>
    <n v="1"/>
    <n v="0"/>
    <n v="18000"/>
    <s v="(U-village)"/>
  </r>
  <r>
    <n v="830"/>
    <d v="2024-09-24T14:21:26"/>
    <n v="100000"/>
    <n v="50000"/>
    <n v="0"/>
    <n v="17000"/>
    <n v="0"/>
    <n v="0"/>
    <n v="15000"/>
    <n v="15000"/>
    <n v="0"/>
    <n v="0"/>
    <n v="4000"/>
    <n v="-1000"/>
    <n v="0"/>
    <n v="0"/>
    <n v="0"/>
    <n v="0"/>
    <n v="1"/>
    <n v="1"/>
    <n v="0"/>
    <n v="4"/>
    <n v="6"/>
    <n v="170000"/>
    <n v="170000"/>
    <n v="153000"/>
    <n v="0"/>
    <n v="0"/>
    <n v="170000"/>
    <n v="136000"/>
    <m/>
    <m/>
    <n v="8"/>
    <n v="7"/>
    <n v="-2"/>
    <n v="-1"/>
    <n v="1"/>
    <n v="2"/>
    <s v="VIEW_SUMMARY"/>
    <n v="570"/>
    <n v="201"/>
    <n v="891"/>
    <n v="891"/>
    <m/>
    <x v="2"/>
    <n v="78"/>
    <s v="table7"/>
    <n v="16"/>
    <s v="240924_EPA_IntroDays_Ommen"/>
    <n v="21"/>
    <n v="15"/>
    <n v="3"/>
    <x v="1"/>
    <s v="(U-village)"/>
    <n v="-2"/>
    <n v="4000"/>
    <n v="15000"/>
    <s v="(U-village)"/>
  </r>
  <r>
    <n v="855"/>
    <d v="2024-09-24T14:21:26"/>
    <n v="100000"/>
    <n v="50000"/>
    <n v="1000"/>
    <n v="17000"/>
    <n v="0"/>
    <n v="0"/>
    <n v="15000"/>
    <n v="10000"/>
    <n v="0"/>
    <n v="12000"/>
    <n v="4000"/>
    <n v="-9000"/>
    <n v="0"/>
    <n v="0"/>
    <n v="0"/>
    <n v="1"/>
    <n v="4"/>
    <n v="1"/>
    <n v="1"/>
    <n v="-1"/>
    <n v="6"/>
    <n v="170000"/>
    <n v="170000"/>
    <n v="136000"/>
    <n v="0"/>
    <n v="0"/>
    <n v="170000"/>
    <n v="119000"/>
    <m/>
    <m/>
    <n v="8"/>
    <n v="7"/>
    <n v="-2"/>
    <n v="-1"/>
    <n v="0"/>
    <n v="0"/>
    <s v="VIEW_DAMAGE"/>
    <n v="570"/>
    <n v="204"/>
    <n v="891"/>
    <n v="891"/>
    <m/>
    <x v="3"/>
    <n v="78"/>
    <s v="table7"/>
    <n v="16"/>
    <s v="240924_EPA_IntroDays_Ommen"/>
    <n v="21"/>
    <n v="15"/>
    <n v="0"/>
    <x v="1"/>
    <s v="(U-village)"/>
    <n v="-5"/>
    <n v="16000"/>
    <n v="10000"/>
    <s v="(U-village)"/>
  </r>
  <r>
    <n v="750"/>
    <d v="2024-09-24T14:21:00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71"/>
    <n v="194"/>
    <m/>
    <m/>
    <m/>
    <x v="0"/>
    <n v="78"/>
    <s v="table7"/>
    <n v="16"/>
    <s v="240924_EPA_IntroDays_Ommen"/>
    <n v="21"/>
    <n v="0"/>
    <n v="0"/>
    <x v="1"/>
    <s v=""/>
    <s v=""/>
    <n v="0"/>
    <n v="0"/>
    <s v=""/>
  </r>
  <r>
    <n v="780"/>
    <d v="2024-09-24T14:21:00"/>
    <n v="100000"/>
    <n v="50000"/>
    <n v="0"/>
    <n v="12500"/>
    <n v="0"/>
    <n v="0"/>
    <n v="15000"/>
    <n v="36500"/>
    <n v="0"/>
    <n v="0"/>
    <n v="0"/>
    <n v="16000"/>
    <n v="0"/>
    <n v="-2"/>
    <n v="1"/>
    <n v="2"/>
    <n v="0"/>
    <n v="0"/>
    <n v="0"/>
    <n v="6"/>
    <n v="6"/>
    <n v="170000"/>
    <n v="0"/>
    <n v="0"/>
    <n v="0"/>
    <n v="125000"/>
    <n v="125000"/>
    <n v="112500"/>
    <m/>
    <m/>
    <n v="8"/>
    <n v="7"/>
    <n v="0"/>
    <n v="0"/>
    <n v="2"/>
    <n v="1"/>
    <s v="VIEW_SUMMARY"/>
    <n v="571"/>
    <n v="196"/>
    <m/>
    <n v="892"/>
    <m/>
    <x v="1"/>
    <n v="78"/>
    <s v="table7"/>
    <n v="16"/>
    <s v="240924_EPA_IntroDays_Ommen"/>
    <n v="21"/>
    <n v="15"/>
    <n v="3"/>
    <x v="1"/>
    <s v="(U-village)"/>
    <n v="1"/>
    <n v="0"/>
    <n v="36500"/>
    <s v="(U-village)"/>
  </r>
  <r>
    <n v="826"/>
    <d v="2024-09-24T14:21:00"/>
    <n v="100000"/>
    <n v="50000"/>
    <n v="0"/>
    <n v="12500"/>
    <n v="0"/>
    <n v="0"/>
    <n v="15000"/>
    <n v="20000"/>
    <n v="0"/>
    <n v="0"/>
    <n v="4000"/>
    <n v="14500"/>
    <n v="0"/>
    <n v="0"/>
    <n v="1"/>
    <n v="0"/>
    <n v="1"/>
    <n v="1"/>
    <n v="0"/>
    <n v="5"/>
    <n v="6"/>
    <n v="170000"/>
    <n v="125000"/>
    <n v="112500"/>
    <n v="0"/>
    <n v="0"/>
    <n v="125000"/>
    <n v="100000"/>
    <m/>
    <m/>
    <n v="8"/>
    <n v="7"/>
    <n v="-2"/>
    <n v="-1"/>
    <n v="1"/>
    <n v="1"/>
    <s v="VIEW_SUMMARY"/>
    <n v="571"/>
    <n v="201"/>
    <n v="892"/>
    <n v="892"/>
    <m/>
    <x v="2"/>
    <n v="78"/>
    <s v="table7"/>
    <n v="16"/>
    <s v="240924_EPA_IntroDays_Ommen"/>
    <n v="21"/>
    <n v="15"/>
    <n v="2"/>
    <x v="1"/>
    <s v="(U-village)"/>
    <n v="-1"/>
    <n v="4000"/>
    <n v="20000"/>
    <s v="(U-village)"/>
  </r>
  <r>
    <n v="857"/>
    <d v="2024-09-24T14:21:00"/>
    <n v="100000"/>
    <n v="50000"/>
    <n v="0"/>
    <n v="12500"/>
    <n v="0"/>
    <n v="0"/>
    <n v="15000"/>
    <n v="23000"/>
    <n v="0"/>
    <n v="8000"/>
    <n v="4000"/>
    <n v="2000"/>
    <n v="0"/>
    <n v="0"/>
    <n v="1"/>
    <n v="0"/>
    <n v="3"/>
    <n v="1"/>
    <n v="0"/>
    <n v="2"/>
    <n v="6"/>
    <n v="170000"/>
    <n v="125000"/>
    <n v="100000"/>
    <n v="0"/>
    <n v="0"/>
    <n v="125000"/>
    <n v="87500"/>
    <m/>
    <m/>
    <n v="8"/>
    <n v="7"/>
    <n v="-2"/>
    <n v="-1"/>
    <n v="1"/>
    <n v="1"/>
    <s v="VIEW_SUMMARY"/>
    <n v="571"/>
    <n v="204"/>
    <n v="892"/>
    <n v="892"/>
    <m/>
    <x v="3"/>
    <n v="78"/>
    <s v="table7"/>
    <n v="16"/>
    <s v="240924_EPA_IntroDays_Ommen"/>
    <n v="21"/>
    <n v="15"/>
    <n v="2"/>
    <x v="1"/>
    <s v="(U-village)"/>
    <n v="-3"/>
    <n v="12000"/>
    <n v="23000"/>
    <s v="(U-village)"/>
  </r>
  <r>
    <n v="809"/>
    <d v="2024-09-24T14:28:34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72"/>
    <n v="191"/>
    <m/>
    <m/>
    <m/>
    <x v="0"/>
    <n v="79"/>
    <s v="table8"/>
    <n v="16"/>
    <s v="240924_EPA_IntroDays_Ommen"/>
    <n v="21"/>
    <n v="0"/>
    <n v="0"/>
    <x v="0"/>
    <s v=""/>
    <s v=""/>
    <n v="0"/>
    <n v="0"/>
    <s v=""/>
  </r>
  <r>
    <n v="813"/>
    <d v="2024-09-24T14:28:34"/>
    <n v="65000"/>
    <n v="30000"/>
    <n v="0"/>
    <n v="11000"/>
    <n v="0"/>
    <n v="15000"/>
    <n v="20000"/>
    <n v="0"/>
    <n v="0"/>
    <n v="0"/>
    <n v="0"/>
    <n v="-6000"/>
    <n v="0"/>
    <n v="0"/>
    <n v="0"/>
    <n v="0"/>
    <n v="0"/>
    <n v="0"/>
    <n v="0"/>
    <n v="5"/>
    <n v="4"/>
    <n v="110000"/>
    <n v="0"/>
    <n v="0"/>
    <n v="0"/>
    <n v="125000"/>
    <n v="110000"/>
    <n v="99000"/>
    <m/>
    <m/>
    <n v="8"/>
    <n v="7"/>
    <n v="0"/>
    <n v="0"/>
    <n v="0"/>
    <n v="0"/>
    <s v="VIEW_SUMMARY"/>
    <n v="572"/>
    <n v="199"/>
    <m/>
    <n v="922"/>
    <m/>
    <x v="1"/>
    <n v="79"/>
    <s v="table8"/>
    <n v="16"/>
    <s v="240924_EPA_IntroDays_Ommen"/>
    <n v="21"/>
    <n v="15"/>
    <n v="0"/>
    <x v="0"/>
    <s v="(U-village)"/>
    <n v="0"/>
    <n v="0"/>
    <n v="0"/>
    <s v="(U-village)"/>
  </r>
  <r>
    <n v="862"/>
    <d v="2024-09-24T14:28:34"/>
    <n v="65000"/>
    <n v="30000"/>
    <n v="6000"/>
    <n v="11000"/>
    <n v="0"/>
    <n v="0"/>
    <n v="20000"/>
    <n v="0"/>
    <n v="0"/>
    <n v="12000"/>
    <n v="4000"/>
    <n v="-18000"/>
    <n v="0"/>
    <n v="0"/>
    <n v="0"/>
    <n v="0"/>
    <n v="4"/>
    <n v="1"/>
    <n v="1"/>
    <n v="-1"/>
    <n v="4"/>
    <n v="110000"/>
    <n v="110000"/>
    <n v="99000"/>
    <n v="0"/>
    <n v="0"/>
    <n v="110000"/>
    <n v="88000"/>
    <m/>
    <m/>
    <n v="8"/>
    <n v="7"/>
    <n v="-2"/>
    <n v="-1"/>
    <n v="0"/>
    <n v="0"/>
    <s v="VIEW_SUMMARY"/>
    <n v="572"/>
    <n v="205"/>
    <n v="922"/>
    <n v="922"/>
    <m/>
    <x v="2"/>
    <n v="79"/>
    <s v="table8"/>
    <n v="16"/>
    <s v="240924_EPA_IntroDays_Ommen"/>
    <n v="21"/>
    <n v="15"/>
    <n v="0"/>
    <x v="0"/>
    <s v="(U-village)"/>
    <n v="-6"/>
    <n v="16000"/>
    <n v="0"/>
    <s v="(U-village)"/>
  </r>
  <r>
    <n v="892"/>
    <d v="2024-09-24T14:28:34"/>
    <n v="65000"/>
    <n v="30000"/>
    <n v="18000"/>
    <n v="11000"/>
    <n v="0"/>
    <n v="0"/>
    <n v="20000"/>
    <n v="0"/>
    <n v="0"/>
    <n v="0"/>
    <n v="4000"/>
    <n v="-18000"/>
    <n v="0"/>
    <n v="0"/>
    <n v="0"/>
    <n v="0"/>
    <n v="0"/>
    <n v="1"/>
    <n v="1"/>
    <n v="-3"/>
    <n v="4"/>
    <n v="110000"/>
    <n v="110000"/>
    <n v="88000"/>
    <n v="0"/>
    <n v="0"/>
    <n v="110000"/>
    <n v="77000"/>
    <m/>
    <m/>
    <n v="8"/>
    <n v="7"/>
    <n v="-2"/>
    <n v="-1"/>
    <n v="0"/>
    <n v="0"/>
    <s v="VIEW_SUMMARY"/>
    <n v="572"/>
    <n v="209"/>
    <n v="922"/>
    <n v="922"/>
    <m/>
    <x v="3"/>
    <n v="79"/>
    <s v="table8"/>
    <n v="16"/>
    <s v="240924_EPA_IntroDays_Ommen"/>
    <n v="21"/>
    <n v="15"/>
    <n v="0"/>
    <x v="0"/>
    <s v="(U-village)"/>
    <n v="-2"/>
    <n v="4000"/>
    <n v="0"/>
    <s v="(U-village)"/>
  </r>
  <r>
    <n v="803"/>
    <d v="2024-09-24T14:28:01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73"/>
    <n v="191"/>
    <m/>
    <m/>
    <m/>
    <x v="0"/>
    <n v="79"/>
    <s v="table8"/>
    <n v="16"/>
    <s v="240924_EPA_IntroDays_Ommen"/>
    <n v="21"/>
    <n v="0"/>
    <n v="0"/>
    <x v="1"/>
    <s v=""/>
    <s v=""/>
    <n v="0"/>
    <n v="0"/>
    <s v=""/>
  </r>
  <r>
    <n v="814"/>
    <d v="2024-09-24T14:28:01"/>
    <n v="100000"/>
    <n v="50000"/>
    <n v="0"/>
    <n v="16000"/>
    <n v="0"/>
    <n v="0"/>
    <n v="15000"/>
    <n v="12000"/>
    <n v="0"/>
    <n v="0"/>
    <n v="0"/>
    <n v="37000"/>
    <n v="0"/>
    <n v="-1"/>
    <n v="1"/>
    <n v="0"/>
    <n v="0"/>
    <n v="0"/>
    <n v="0"/>
    <n v="5"/>
    <n v="6"/>
    <n v="170000"/>
    <n v="0"/>
    <n v="0"/>
    <n v="0"/>
    <n v="160000"/>
    <n v="160000"/>
    <n v="144000"/>
    <m/>
    <m/>
    <n v="6"/>
    <n v="10"/>
    <n v="0"/>
    <n v="0"/>
    <n v="1"/>
    <n v="0"/>
    <s v="VIEW_SUMMARY"/>
    <n v="573"/>
    <n v="199"/>
    <m/>
    <n v="918"/>
    <m/>
    <x v="1"/>
    <n v="79"/>
    <s v="table8"/>
    <n v="16"/>
    <s v="240924_EPA_IntroDays_Ommen"/>
    <n v="21"/>
    <n v="16"/>
    <n v="1"/>
    <x v="1"/>
    <s v="(Dike-town)"/>
    <n v="0"/>
    <n v="0"/>
    <n v="12000"/>
    <s v="(Dike-town)"/>
  </r>
  <r>
    <n v="867"/>
    <d v="2024-09-24T14:28:01"/>
    <n v="100000"/>
    <n v="50000"/>
    <n v="0"/>
    <n v="16000"/>
    <n v="0"/>
    <n v="0"/>
    <n v="15000"/>
    <n v="12000"/>
    <n v="0"/>
    <n v="0"/>
    <n v="4000"/>
    <n v="40000"/>
    <n v="0"/>
    <n v="0"/>
    <n v="0"/>
    <n v="0"/>
    <n v="0"/>
    <n v="1"/>
    <n v="0"/>
    <n v="4"/>
    <n v="6"/>
    <n v="170000"/>
    <n v="160000"/>
    <n v="144000"/>
    <n v="0"/>
    <n v="0"/>
    <n v="160000"/>
    <n v="128000"/>
    <m/>
    <m/>
    <n v="6"/>
    <n v="10"/>
    <n v="-2"/>
    <n v="-1"/>
    <n v="1"/>
    <n v="1"/>
    <s v="VIEW_SUMMARY"/>
    <n v="573"/>
    <n v="205"/>
    <n v="918"/>
    <n v="918"/>
    <m/>
    <x v="2"/>
    <n v="79"/>
    <s v="table8"/>
    <n v="16"/>
    <s v="240924_EPA_IntroDays_Ommen"/>
    <n v="21"/>
    <n v="16"/>
    <n v="2"/>
    <x v="1"/>
    <s v="(Dike-town)"/>
    <n v="-1"/>
    <n v="4000"/>
    <n v="12000"/>
    <s v="(Dike-town)"/>
  </r>
  <r>
    <n v="890"/>
    <d v="2024-09-24T14:28:01"/>
    <n v="100000"/>
    <n v="50000"/>
    <n v="0"/>
    <n v="16000"/>
    <n v="0"/>
    <n v="0"/>
    <n v="15000"/>
    <n v="54000"/>
    <n v="0"/>
    <n v="0"/>
    <n v="4000"/>
    <n v="1000"/>
    <n v="0"/>
    <n v="0"/>
    <n v="1"/>
    <n v="4"/>
    <n v="0"/>
    <n v="1"/>
    <n v="0"/>
    <n v="8"/>
    <n v="6"/>
    <n v="170000"/>
    <n v="160000"/>
    <n v="128000"/>
    <n v="0"/>
    <n v="0"/>
    <n v="160000"/>
    <n v="112000"/>
    <m/>
    <m/>
    <n v="6"/>
    <n v="10"/>
    <n v="-2"/>
    <n v="-1"/>
    <n v="1"/>
    <n v="0"/>
    <s v="VIEW_SUMMARY"/>
    <n v="573"/>
    <n v="209"/>
    <n v="918"/>
    <n v="918"/>
    <m/>
    <x v="3"/>
    <n v="79"/>
    <s v="table8"/>
    <n v="16"/>
    <s v="240924_EPA_IntroDays_Ommen"/>
    <n v="21"/>
    <n v="16"/>
    <n v="1"/>
    <x v="1"/>
    <s v="(Dike-town)"/>
    <n v="4"/>
    <n v="4000"/>
    <n v="54000"/>
    <s v="(Dike-town)"/>
  </r>
  <r>
    <n v="805"/>
    <d v="2024-09-24T14:28:06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74"/>
    <n v="191"/>
    <m/>
    <m/>
    <m/>
    <x v="0"/>
    <n v="79"/>
    <s v="table8"/>
    <n v="16"/>
    <s v="240924_EPA_IntroDays_Ommen"/>
    <n v="21"/>
    <n v="0"/>
    <n v="0"/>
    <x v="2"/>
    <s v=""/>
    <s v=""/>
    <n v="0"/>
    <n v="0"/>
    <s v=""/>
  </r>
  <r>
    <n v="816"/>
    <d v="2024-09-24T14:28:06"/>
    <n v="50000"/>
    <n v="20000"/>
    <n v="0"/>
    <n v="8000"/>
    <n v="0"/>
    <n v="20000"/>
    <n v="15000"/>
    <n v="0"/>
    <n v="0"/>
    <n v="0"/>
    <n v="0"/>
    <n v="-13000"/>
    <n v="0"/>
    <n v="0"/>
    <n v="0"/>
    <n v="0"/>
    <n v="0"/>
    <n v="0"/>
    <n v="0"/>
    <n v="5"/>
    <n v="3"/>
    <n v="80000"/>
    <n v="0"/>
    <n v="0"/>
    <n v="0"/>
    <n v="100000"/>
    <n v="80000"/>
    <n v="72000"/>
    <m/>
    <m/>
    <n v="8"/>
    <n v="10"/>
    <n v="0"/>
    <n v="0"/>
    <n v="0"/>
    <n v="0"/>
    <s v="VIEW_SUMMARY"/>
    <n v="574"/>
    <n v="199"/>
    <m/>
    <n v="916"/>
    <m/>
    <x v="1"/>
    <n v="79"/>
    <s v="table8"/>
    <n v="16"/>
    <s v="240924_EPA_IntroDays_Ommen"/>
    <n v="21"/>
    <n v="18"/>
    <n v="0"/>
    <x v="2"/>
    <s v="(Natu-city)"/>
    <n v="0"/>
    <n v="0"/>
    <n v="0"/>
    <s v="(Natu-city)"/>
  </r>
  <r>
    <n v="860"/>
    <d v="2024-09-24T14:28:06"/>
    <n v="50000"/>
    <n v="20000"/>
    <n v="13000"/>
    <n v="8000"/>
    <n v="0"/>
    <n v="0"/>
    <n v="15000"/>
    <n v="0"/>
    <n v="0"/>
    <n v="0"/>
    <n v="4000"/>
    <n v="-10000"/>
    <n v="0"/>
    <n v="0"/>
    <n v="0"/>
    <n v="0"/>
    <n v="0"/>
    <n v="1"/>
    <n v="1"/>
    <n v="3"/>
    <n v="3"/>
    <n v="80000"/>
    <n v="80000"/>
    <n v="72000"/>
    <n v="0"/>
    <n v="0"/>
    <n v="80000"/>
    <n v="64000"/>
    <m/>
    <m/>
    <n v="8"/>
    <n v="10"/>
    <n v="-2"/>
    <n v="-1"/>
    <n v="0"/>
    <n v="0"/>
    <s v="VIEW_SUMMARY"/>
    <n v="574"/>
    <n v="205"/>
    <n v="916"/>
    <n v="916"/>
    <m/>
    <x v="2"/>
    <n v="79"/>
    <s v="table8"/>
    <n v="16"/>
    <s v="240924_EPA_IntroDays_Ommen"/>
    <n v="21"/>
    <n v="18"/>
    <n v="0"/>
    <x v="2"/>
    <s v="(Natu-city)"/>
    <n v="-2"/>
    <n v="4000"/>
    <n v="0"/>
    <s v="(Natu-city)"/>
  </r>
  <r>
    <n v="896"/>
    <d v="2024-09-24T14:28:06"/>
    <n v="50000"/>
    <n v="20000"/>
    <n v="10000"/>
    <n v="8000"/>
    <n v="0"/>
    <n v="0"/>
    <n v="20000"/>
    <n v="0"/>
    <n v="0"/>
    <n v="0"/>
    <n v="4000"/>
    <n v="-12000"/>
    <n v="0"/>
    <n v="0"/>
    <n v="0"/>
    <n v="0"/>
    <n v="0"/>
    <n v="1"/>
    <n v="1"/>
    <n v="1"/>
    <n v="3"/>
    <n v="80000"/>
    <n v="80000"/>
    <n v="64000"/>
    <n v="0"/>
    <n v="0"/>
    <n v="80000"/>
    <n v="56000"/>
    <m/>
    <m/>
    <n v="8"/>
    <n v="10"/>
    <n v="-2"/>
    <n v="-1"/>
    <n v="0"/>
    <n v="0"/>
    <s v="VIEW_DAMAGE"/>
    <n v="574"/>
    <n v="209"/>
    <n v="916"/>
    <n v="916"/>
    <m/>
    <x v="3"/>
    <n v="79"/>
    <s v="table8"/>
    <n v="16"/>
    <s v="240924_EPA_IntroDays_Ommen"/>
    <n v="21"/>
    <n v="18"/>
    <n v="0"/>
    <x v="2"/>
    <s v="(Natu-city)"/>
    <n v="-2"/>
    <n v="4000"/>
    <n v="0"/>
    <s v="(Natu-city)"/>
  </r>
  <r>
    <n v="806"/>
    <d v="2024-09-24T14:28:13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75"/>
    <n v="191"/>
    <m/>
    <m/>
    <m/>
    <x v="0"/>
    <n v="79"/>
    <s v="table8"/>
    <n v="16"/>
    <s v="240924_EPA_IntroDays_Ommen"/>
    <n v="21"/>
    <n v="0"/>
    <n v="0"/>
    <x v="3"/>
    <s v=""/>
    <s v=""/>
    <n v="0"/>
    <n v="0"/>
    <s v=""/>
  </r>
  <r>
    <n v="818"/>
    <d v="2024-09-24T14:28:13"/>
    <n v="80000"/>
    <n v="40000"/>
    <n v="0"/>
    <n v="10500"/>
    <n v="0"/>
    <n v="0"/>
    <n v="15000"/>
    <n v="24000"/>
    <n v="0"/>
    <n v="0"/>
    <n v="0"/>
    <n v="5500"/>
    <n v="0"/>
    <n v="-3"/>
    <n v="1"/>
    <n v="1"/>
    <n v="0"/>
    <n v="0"/>
    <n v="0"/>
    <n v="4"/>
    <n v="5"/>
    <n v="130000"/>
    <n v="0"/>
    <n v="0"/>
    <n v="0"/>
    <n v="105000"/>
    <n v="105000"/>
    <n v="94500"/>
    <m/>
    <m/>
    <n v="6"/>
    <n v="10"/>
    <n v="0"/>
    <n v="0"/>
    <n v="1"/>
    <n v="0"/>
    <s v="VIEW_SUMMARY"/>
    <n v="575"/>
    <n v="199"/>
    <m/>
    <n v="920"/>
    <m/>
    <x v="1"/>
    <n v="79"/>
    <s v="table8"/>
    <n v="16"/>
    <s v="240924_EPA_IntroDays_Ommen"/>
    <n v="21"/>
    <n v="16"/>
    <n v="1"/>
    <x v="3"/>
    <s v="(Dike-town)"/>
    <n v="-1"/>
    <n v="0"/>
    <n v="24000"/>
    <s v="(Dike-town)"/>
  </r>
  <r>
    <n v="866"/>
    <d v="2024-09-24T14:28:13"/>
    <n v="80000"/>
    <n v="40000"/>
    <n v="0"/>
    <n v="10500"/>
    <n v="0"/>
    <n v="0"/>
    <n v="15000"/>
    <n v="20000"/>
    <n v="0"/>
    <n v="0"/>
    <n v="4000"/>
    <n v="-4000"/>
    <n v="0"/>
    <n v="0"/>
    <n v="1"/>
    <n v="0"/>
    <n v="0"/>
    <n v="1"/>
    <n v="0"/>
    <n v="4"/>
    <n v="5"/>
    <n v="130000"/>
    <n v="105000"/>
    <n v="94500"/>
    <n v="0"/>
    <n v="0"/>
    <n v="105000"/>
    <n v="84000"/>
    <m/>
    <m/>
    <n v="6"/>
    <n v="10"/>
    <n v="-2"/>
    <n v="-1"/>
    <n v="1"/>
    <n v="1"/>
    <s v="VIEW_SUMMARY"/>
    <n v="575"/>
    <n v="205"/>
    <n v="920"/>
    <n v="920"/>
    <m/>
    <x v="2"/>
    <n v="79"/>
    <s v="table8"/>
    <n v="16"/>
    <s v="240924_EPA_IntroDays_Ommen"/>
    <n v="21"/>
    <n v="16"/>
    <n v="2"/>
    <x v="3"/>
    <s v="(Dike-town)"/>
    <n v="0"/>
    <n v="4000"/>
    <n v="20000"/>
    <s v="(Dike-town)"/>
  </r>
  <r>
    <n v="897"/>
    <d v="2024-09-24T14:28:13"/>
    <n v="80000"/>
    <n v="40000"/>
    <n v="4000"/>
    <n v="10500"/>
    <n v="0"/>
    <n v="0"/>
    <n v="15000"/>
    <n v="8000"/>
    <n v="0"/>
    <n v="0"/>
    <n v="4000"/>
    <n v="-1500"/>
    <n v="0"/>
    <n v="0"/>
    <n v="0"/>
    <n v="2"/>
    <n v="0"/>
    <n v="1"/>
    <n v="1"/>
    <n v="4"/>
    <n v="5"/>
    <n v="130000"/>
    <n v="105000"/>
    <n v="84000"/>
    <n v="0"/>
    <n v="0"/>
    <n v="105000"/>
    <n v="73500"/>
    <m/>
    <m/>
    <n v="6"/>
    <n v="10"/>
    <n v="-2"/>
    <n v="-1"/>
    <n v="0"/>
    <n v="0"/>
    <s v="VIEW_DAMAGE"/>
    <n v="575"/>
    <n v="209"/>
    <n v="920"/>
    <n v="920"/>
    <m/>
    <x v="3"/>
    <n v="79"/>
    <s v="table8"/>
    <n v="16"/>
    <s v="240924_EPA_IntroDays_Ommen"/>
    <n v="21"/>
    <n v="16"/>
    <n v="0"/>
    <x v="3"/>
    <s v="(Dike-town)"/>
    <n v="0"/>
    <n v="4000"/>
    <n v="8000"/>
    <s v="(Dike-town)"/>
  </r>
  <r>
    <n v="808"/>
    <d v="2024-09-24T14:28:26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76"/>
    <n v="191"/>
    <m/>
    <m/>
    <m/>
    <x v="0"/>
    <n v="79"/>
    <s v="table8"/>
    <n v="16"/>
    <s v="240924_EPA_IntroDays_Ommen"/>
    <n v="21"/>
    <n v="0"/>
    <n v="0"/>
    <x v="4"/>
    <s v=""/>
    <s v=""/>
    <n v="0"/>
    <n v="0"/>
    <s v=""/>
  </r>
  <r>
    <n v="815"/>
    <d v="2024-09-24T14:28:26"/>
    <n v="120000"/>
    <n v="65000"/>
    <n v="0"/>
    <n v="20000"/>
    <n v="0"/>
    <n v="55000"/>
    <n v="15000"/>
    <n v="12000"/>
    <n v="0"/>
    <n v="0"/>
    <n v="0"/>
    <n v="3000"/>
    <n v="0"/>
    <n v="-1"/>
    <n v="1"/>
    <n v="0"/>
    <n v="0"/>
    <n v="0"/>
    <n v="0"/>
    <n v="5"/>
    <n v="7"/>
    <n v="200000"/>
    <n v="0"/>
    <n v="0"/>
    <n v="0"/>
    <n v="255000"/>
    <n v="200000"/>
    <n v="180000"/>
    <m/>
    <m/>
    <n v="8"/>
    <n v="10"/>
    <n v="0"/>
    <n v="0"/>
    <n v="1"/>
    <n v="0"/>
    <s v="VIEW_SUMMARY"/>
    <n v="576"/>
    <n v="199"/>
    <m/>
    <n v="915"/>
    <m/>
    <x v="1"/>
    <n v="79"/>
    <s v="table8"/>
    <n v="16"/>
    <s v="240924_EPA_IntroDays_Ommen"/>
    <n v="21"/>
    <n v="18"/>
    <n v="1"/>
    <x v="4"/>
    <s v="(Natu-city)"/>
    <n v="0"/>
    <n v="0"/>
    <n v="12000"/>
    <s v="(Natu-city)"/>
  </r>
  <r>
    <n v="865"/>
    <d v="2024-09-24T14:28:26"/>
    <n v="120000"/>
    <n v="65000"/>
    <n v="0"/>
    <n v="20000"/>
    <n v="0"/>
    <n v="0"/>
    <n v="15000"/>
    <n v="20000"/>
    <n v="0"/>
    <n v="0"/>
    <n v="4000"/>
    <n v="-1000"/>
    <n v="0"/>
    <n v="0"/>
    <n v="1"/>
    <n v="0"/>
    <n v="0"/>
    <n v="1"/>
    <n v="0"/>
    <n v="5"/>
    <n v="7"/>
    <n v="200000"/>
    <n v="200000"/>
    <n v="180000"/>
    <n v="0"/>
    <n v="0"/>
    <n v="200000"/>
    <n v="160000"/>
    <m/>
    <m/>
    <n v="8"/>
    <n v="10"/>
    <n v="-2"/>
    <n v="-1"/>
    <n v="1"/>
    <n v="1"/>
    <s v="VIEW_SUMMARY"/>
    <n v="576"/>
    <n v="205"/>
    <n v="915"/>
    <n v="915"/>
    <m/>
    <x v="2"/>
    <n v="79"/>
    <s v="table8"/>
    <n v="16"/>
    <s v="240924_EPA_IntroDays_Ommen"/>
    <n v="21"/>
    <n v="18"/>
    <n v="2"/>
    <x v="4"/>
    <s v="(Natu-city)"/>
    <n v="0"/>
    <n v="4000"/>
    <n v="20000"/>
    <s v="(Natu-city)"/>
  </r>
  <r>
    <n v="893"/>
    <d v="2024-09-24T14:28:26"/>
    <n v="120000"/>
    <n v="65000"/>
    <n v="1000"/>
    <n v="20000"/>
    <n v="0"/>
    <n v="0"/>
    <n v="20000"/>
    <n v="10000"/>
    <n v="0"/>
    <n v="0"/>
    <n v="4000"/>
    <n v="0"/>
    <n v="0"/>
    <n v="0"/>
    <n v="0"/>
    <n v="1"/>
    <n v="0"/>
    <n v="1"/>
    <n v="1"/>
    <n v="4"/>
    <n v="7"/>
    <n v="200000"/>
    <n v="200000"/>
    <n v="160000"/>
    <n v="0"/>
    <n v="0"/>
    <n v="200000"/>
    <n v="140000"/>
    <m/>
    <m/>
    <n v="8"/>
    <n v="10"/>
    <n v="-2"/>
    <n v="-1"/>
    <n v="0"/>
    <n v="0"/>
    <s v="SURVEY_COMPLETED"/>
    <n v="576"/>
    <n v="209"/>
    <n v="915"/>
    <n v="915"/>
    <m/>
    <x v="3"/>
    <n v="79"/>
    <s v="table8"/>
    <n v="16"/>
    <s v="240924_EPA_IntroDays_Ommen"/>
    <n v="21"/>
    <n v="18"/>
    <n v="0"/>
    <x v="4"/>
    <s v="(Natu-city)"/>
    <n v="-1"/>
    <n v="4000"/>
    <n v="10000"/>
    <s v="(Natu-city)"/>
  </r>
  <r>
    <n v="807"/>
    <d v="2024-09-24T14:28:18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77"/>
    <n v="191"/>
    <m/>
    <m/>
    <m/>
    <x v="0"/>
    <n v="79"/>
    <s v="table8"/>
    <n v="16"/>
    <s v="240924_EPA_IntroDays_Ommen"/>
    <n v="21"/>
    <n v="0"/>
    <n v="0"/>
    <x v="5"/>
    <s v=""/>
    <s v=""/>
    <n v="0"/>
    <n v="0"/>
    <s v=""/>
  </r>
  <r>
    <n v="820"/>
    <d v="2024-09-24T14:28:18"/>
    <n v="180000"/>
    <n v="105000"/>
    <n v="0"/>
    <n v="30000"/>
    <n v="0"/>
    <n v="125000"/>
    <n v="15000"/>
    <n v="0"/>
    <n v="0"/>
    <n v="0"/>
    <n v="0"/>
    <n v="-15000"/>
    <n v="0"/>
    <n v="1"/>
    <n v="0"/>
    <n v="0"/>
    <n v="0"/>
    <n v="0"/>
    <n v="0"/>
    <n v="6"/>
    <n v="8"/>
    <n v="300000"/>
    <n v="0"/>
    <n v="0"/>
    <n v="0"/>
    <n v="425000"/>
    <n v="300000"/>
    <n v="270000"/>
    <m/>
    <m/>
    <n v="8"/>
    <n v="10"/>
    <n v="0"/>
    <n v="0"/>
    <n v="0"/>
    <n v="0"/>
    <s v="VIEW_SUMMARY"/>
    <n v="577"/>
    <n v="199"/>
    <m/>
    <n v="914"/>
    <m/>
    <x v="1"/>
    <n v="79"/>
    <s v="table8"/>
    <n v="16"/>
    <s v="240924_EPA_IntroDays_Ommen"/>
    <n v="21"/>
    <n v="18"/>
    <n v="0"/>
    <x v="5"/>
    <s v="(Natu-city)"/>
    <n v="1"/>
    <n v="0"/>
    <n v="0"/>
    <s v="(Natu-city)"/>
  </r>
  <r>
    <n v="863"/>
    <d v="2024-09-24T14:28:18"/>
    <n v="180000"/>
    <n v="105000"/>
    <n v="15000"/>
    <n v="30000"/>
    <n v="0"/>
    <n v="0"/>
    <n v="15000"/>
    <n v="15000"/>
    <n v="0"/>
    <n v="0"/>
    <n v="4000"/>
    <n v="-4000"/>
    <n v="0"/>
    <n v="0"/>
    <n v="1"/>
    <n v="0"/>
    <n v="0"/>
    <n v="1"/>
    <n v="1"/>
    <n v="5"/>
    <n v="8"/>
    <n v="300000"/>
    <n v="300000"/>
    <n v="270000"/>
    <n v="0"/>
    <n v="0"/>
    <n v="300000"/>
    <n v="240000"/>
    <m/>
    <m/>
    <n v="8"/>
    <n v="10"/>
    <n v="-2"/>
    <n v="-1"/>
    <n v="1"/>
    <n v="1"/>
    <s v="VIEW_SUMMARY"/>
    <n v="577"/>
    <n v="205"/>
    <n v="914"/>
    <n v="914"/>
    <m/>
    <x v="2"/>
    <n v="79"/>
    <s v="table8"/>
    <n v="16"/>
    <s v="240924_EPA_IntroDays_Ommen"/>
    <n v="21"/>
    <n v="18"/>
    <n v="2"/>
    <x v="5"/>
    <s v="(Natu-city)"/>
    <n v="-1"/>
    <n v="4000"/>
    <n v="15000"/>
    <s v="(Natu-city)"/>
  </r>
  <r>
    <n v="894"/>
    <d v="2024-09-24T14:28:18"/>
    <n v="180000"/>
    <n v="105000"/>
    <n v="4000"/>
    <n v="30000"/>
    <n v="0"/>
    <n v="0"/>
    <n v="20000"/>
    <n v="20000"/>
    <n v="0"/>
    <n v="0"/>
    <n v="4000"/>
    <n v="-3000"/>
    <n v="0"/>
    <n v="0"/>
    <n v="1"/>
    <n v="0"/>
    <n v="0"/>
    <n v="1"/>
    <n v="1"/>
    <n v="4"/>
    <n v="8"/>
    <n v="300000"/>
    <n v="300000"/>
    <n v="240000"/>
    <n v="0"/>
    <n v="0"/>
    <n v="300000"/>
    <n v="210000"/>
    <m/>
    <m/>
    <n v="8"/>
    <n v="10"/>
    <n v="-2"/>
    <n v="-1"/>
    <n v="1"/>
    <n v="1"/>
    <s v="VIEW_DAMAGE"/>
    <n v="577"/>
    <n v="209"/>
    <n v="914"/>
    <n v="914"/>
    <m/>
    <x v="3"/>
    <n v="79"/>
    <s v="table8"/>
    <n v="16"/>
    <s v="240924_EPA_IntroDays_Ommen"/>
    <n v="21"/>
    <n v="18"/>
    <n v="2"/>
    <x v="5"/>
    <s v="(Natu-city)"/>
    <n v="-1"/>
    <n v="4000"/>
    <n v="20000"/>
    <s v="(Natu-city)"/>
  </r>
  <r>
    <n v="812"/>
    <d v="2024-09-24T14:30:29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78"/>
    <n v="191"/>
    <m/>
    <m/>
    <m/>
    <x v="0"/>
    <n v="79"/>
    <s v="table8"/>
    <n v="16"/>
    <s v="240924_EPA_IntroDays_Ommen"/>
    <n v="21"/>
    <n v="0"/>
    <n v="0"/>
    <x v="1"/>
    <s v=""/>
    <s v=""/>
    <n v="0"/>
    <n v="0"/>
    <s v=""/>
  </r>
  <r>
    <n v="817"/>
    <d v="2024-09-24T14:30:29"/>
    <n v="100000"/>
    <n v="50000"/>
    <n v="0"/>
    <n v="17000"/>
    <n v="0"/>
    <n v="40000"/>
    <n v="20000"/>
    <n v="3000"/>
    <n v="0"/>
    <n v="0"/>
    <n v="0"/>
    <n v="0"/>
    <n v="0"/>
    <n v="0"/>
    <n v="0"/>
    <n v="0"/>
    <n v="0"/>
    <n v="0"/>
    <n v="0"/>
    <n v="5"/>
    <n v="6"/>
    <n v="170000"/>
    <n v="0"/>
    <n v="0"/>
    <n v="0"/>
    <n v="210000"/>
    <n v="170000"/>
    <n v="153000"/>
    <m/>
    <m/>
    <n v="8"/>
    <n v="7"/>
    <n v="0"/>
    <n v="0"/>
    <n v="0"/>
    <n v="1"/>
    <s v="VIEW_SUMMARY"/>
    <n v="578"/>
    <n v="199"/>
    <m/>
    <n v="921"/>
    <m/>
    <x v="1"/>
    <n v="79"/>
    <s v="table8"/>
    <n v="16"/>
    <s v="240924_EPA_IntroDays_Ommen"/>
    <n v="21"/>
    <n v="15"/>
    <n v="1"/>
    <x v="1"/>
    <s v="(U-village)"/>
    <n v="0"/>
    <n v="0"/>
    <n v="3000"/>
    <s v="(U-village)"/>
  </r>
  <r>
    <n v="864"/>
    <d v="2024-09-24T14:30:29"/>
    <n v="100000"/>
    <n v="50000"/>
    <n v="0"/>
    <n v="17000"/>
    <n v="0"/>
    <n v="0"/>
    <n v="20000"/>
    <n v="12000"/>
    <n v="0"/>
    <n v="8000"/>
    <n v="4000"/>
    <n v="-11000"/>
    <n v="0"/>
    <n v="0"/>
    <n v="0"/>
    <n v="0"/>
    <n v="3"/>
    <n v="1"/>
    <n v="0"/>
    <n v="1"/>
    <n v="6"/>
    <n v="170000"/>
    <n v="170000"/>
    <n v="153000"/>
    <n v="0"/>
    <n v="0"/>
    <n v="170000"/>
    <n v="136000"/>
    <m/>
    <m/>
    <n v="8"/>
    <n v="7"/>
    <n v="-2"/>
    <n v="-1"/>
    <n v="1"/>
    <n v="1"/>
    <s v="VIEW_SUMMARY"/>
    <n v="578"/>
    <n v="205"/>
    <n v="921"/>
    <n v="921"/>
    <m/>
    <x v="2"/>
    <n v="79"/>
    <s v="table8"/>
    <n v="16"/>
    <s v="240924_EPA_IntroDays_Ommen"/>
    <n v="21"/>
    <n v="15"/>
    <n v="2"/>
    <x v="1"/>
    <s v="(U-village)"/>
    <n v="-4"/>
    <n v="12000"/>
    <n v="12000"/>
    <s v="(U-village)"/>
  </r>
  <r>
    <n v="895"/>
    <d v="2024-09-24T14:30:29"/>
    <n v="100000"/>
    <n v="50000"/>
    <n v="11000"/>
    <n v="17000"/>
    <n v="0"/>
    <n v="0"/>
    <n v="20000"/>
    <n v="0"/>
    <n v="0"/>
    <n v="0"/>
    <n v="4000"/>
    <n v="-2000"/>
    <n v="0"/>
    <n v="0"/>
    <n v="0"/>
    <n v="0"/>
    <n v="0"/>
    <n v="1"/>
    <n v="1"/>
    <n v="-1"/>
    <n v="6"/>
    <n v="170000"/>
    <n v="170000"/>
    <n v="136000"/>
    <n v="0"/>
    <n v="0"/>
    <n v="170000"/>
    <n v="119000"/>
    <m/>
    <m/>
    <n v="8"/>
    <n v="7"/>
    <n v="-2"/>
    <n v="-1"/>
    <n v="0"/>
    <n v="0"/>
    <s v="VIEW_DAMAGE"/>
    <n v="578"/>
    <n v="209"/>
    <n v="921"/>
    <n v="921"/>
    <m/>
    <x v="3"/>
    <n v="79"/>
    <s v="table8"/>
    <n v="16"/>
    <s v="240924_EPA_IntroDays_Ommen"/>
    <n v="21"/>
    <n v="15"/>
    <n v="0"/>
    <x v="1"/>
    <s v="(U-village)"/>
    <n v="-2"/>
    <n v="4000"/>
    <n v="0"/>
    <s v="(U-village)"/>
  </r>
  <r>
    <n v="811"/>
    <d v="2024-09-24T14:29:10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79"/>
    <n v="191"/>
    <m/>
    <m/>
    <m/>
    <x v="0"/>
    <n v="79"/>
    <s v="table8"/>
    <n v="16"/>
    <s v="240924_EPA_IntroDays_Ommen"/>
    <n v="21"/>
    <n v="0"/>
    <n v="0"/>
    <x v="1"/>
    <s v=""/>
    <s v=""/>
    <n v="0"/>
    <n v="0"/>
    <s v=""/>
  </r>
  <r>
    <n v="819"/>
    <d v="2024-09-24T14:29:10"/>
    <n v="100000"/>
    <n v="50000"/>
    <n v="0"/>
    <n v="16000"/>
    <n v="0"/>
    <n v="0"/>
    <n v="15000"/>
    <n v="46000"/>
    <n v="0"/>
    <n v="0"/>
    <n v="0"/>
    <n v="3000"/>
    <n v="0"/>
    <n v="-1"/>
    <n v="2"/>
    <n v="1"/>
    <n v="0"/>
    <n v="0"/>
    <n v="0"/>
    <n v="7"/>
    <n v="6"/>
    <n v="170000"/>
    <n v="0"/>
    <n v="0"/>
    <n v="0"/>
    <n v="160000"/>
    <n v="160000"/>
    <n v="144000"/>
    <m/>
    <m/>
    <n v="6"/>
    <n v="10"/>
    <n v="0"/>
    <n v="0"/>
    <n v="3"/>
    <n v="0"/>
    <s v="VIEW_SUMMARY"/>
    <n v="579"/>
    <n v="199"/>
    <m/>
    <n v="919"/>
    <m/>
    <x v="1"/>
    <n v="79"/>
    <s v="table8"/>
    <n v="16"/>
    <s v="240924_EPA_IntroDays_Ommen"/>
    <n v="21"/>
    <n v="16"/>
    <n v="3"/>
    <x v="1"/>
    <s v="(Dike-town)"/>
    <n v="2"/>
    <n v="0"/>
    <n v="46000"/>
    <s v="(Dike-town)"/>
  </r>
  <r>
    <n v="861"/>
    <d v="2024-09-24T14:29:10"/>
    <n v="100000"/>
    <n v="50000"/>
    <n v="0"/>
    <n v="16000"/>
    <n v="0"/>
    <n v="0"/>
    <n v="15000"/>
    <n v="20000"/>
    <n v="0"/>
    <n v="0"/>
    <n v="4000"/>
    <n v="-2000"/>
    <n v="0"/>
    <n v="0"/>
    <n v="1"/>
    <n v="0"/>
    <n v="0"/>
    <n v="1"/>
    <n v="0"/>
    <n v="7"/>
    <n v="6"/>
    <n v="170000"/>
    <n v="160000"/>
    <n v="144000"/>
    <n v="0"/>
    <n v="0"/>
    <n v="160000"/>
    <n v="128000"/>
    <m/>
    <m/>
    <n v="6"/>
    <n v="10"/>
    <n v="-2"/>
    <n v="-1"/>
    <n v="1"/>
    <n v="1"/>
    <s v="VIEW_SUMMARY"/>
    <n v="579"/>
    <n v="205"/>
    <n v="919"/>
    <n v="919"/>
    <m/>
    <x v="2"/>
    <n v="79"/>
    <s v="table8"/>
    <n v="16"/>
    <s v="240924_EPA_IntroDays_Ommen"/>
    <n v="21"/>
    <n v="16"/>
    <n v="2"/>
    <x v="1"/>
    <s v="(Dike-town)"/>
    <n v="0"/>
    <n v="4000"/>
    <n v="20000"/>
    <s v="(Dike-town)"/>
  </r>
  <r>
    <n v="891"/>
    <d v="2024-09-24T14:29:10"/>
    <n v="100000"/>
    <n v="50000"/>
    <n v="2000"/>
    <n v="16000"/>
    <n v="0"/>
    <n v="0"/>
    <n v="15000"/>
    <n v="16000"/>
    <n v="0"/>
    <n v="0"/>
    <n v="4000"/>
    <n v="-3000"/>
    <n v="0"/>
    <n v="0"/>
    <n v="0"/>
    <n v="2"/>
    <n v="0"/>
    <n v="1"/>
    <n v="1"/>
    <n v="7"/>
    <n v="6"/>
    <n v="170000"/>
    <n v="160000"/>
    <n v="128000"/>
    <n v="0"/>
    <n v="0"/>
    <n v="160000"/>
    <n v="112000"/>
    <m/>
    <m/>
    <n v="6"/>
    <n v="10"/>
    <n v="-2"/>
    <n v="-1"/>
    <n v="0"/>
    <n v="0"/>
    <s v="VIEW_DAMAGE"/>
    <n v="579"/>
    <n v="209"/>
    <n v="919"/>
    <n v="919"/>
    <m/>
    <x v="3"/>
    <n v="79"/>
    <s v="table8"/>
    <n v="16"/>
    <s v="240924_EPA_IntroDays_Ommen"/>
    <n v="21"/>
    <n v="16"/>
    <n v="0"/>
    <x v="1"/>
    <s v="(Dike-town)"/>
    <n v="0"/>
    <n v="4000"/>
    <n v="16000"/>
    <s v="(Dike-town)"/>
  </r>
  <r>
    <n v="742"/>
    <d v="2024-09-24T14:18:21"/>
    <n v="65000"/>
    <n v="30000"/>
    <n v="0"/>
    <n v="0"/>
    <n v="0"/>
    <n v="0"/>
    <n v="0"/>
    <n v="0"/>
    <n v="0"/>
    <n v="0"/>
    <n v="0"/>
    <n v="5000"/>
    <n v="0"/>
    <n v="0"/>
    <n v="0"/>
    <n v="0"/>
    <n v="0"/>
    <n v="0"/>
    <n v="0"/>
    <n v="5"/>
    <n v="4"/>
    <n v="110000"/>
    <n v="0"/>
    <n v="0"/>
    <n v="0"/>
    <n v="0"/>
    <n v="0"/>
    <n v="0"/>
    <m/>
    <m/>
    <n v="0"/>
    <n v="0"/>
    <n v="0"/>
    <n v="0"/>
    <n v="0"/>
    <n v="0"/>
    <s v="LOGIN"/>
    <n v="580"/>
    <n v="192"/>
    <m/>
    <m/>
    <m/>
    <x v="0"/>
    <n v="80"/>
    <s v="table9"/>
    <n v="16"/>
    <s v="240924_EPA_IntroDays_Ommen"/>
    <n v="21"/>
    <n v="0"/>
    <n v="0"/>
    <x v="0"/>
    <s v=""/>
    <s v=""/>
    <n v="0"/>
    <n v="0"/>
    <s v=""/>
  </r>
  <r>
    <n v="804"/>
    <d v="2024-09-24T14:18:21"/>
    <n v="65000"/>
    <n v="30000"/>
    <n v="0"/>
    <n v="8000"/>
    <n v="0"/>
    <n v="0"/>
    <n v="15000"/>
    <n v="14000"/>
    <n v="0"/>
    <n v="0"/>
    <n v="4000"/>
    <n v="-1000"/>
    <n v="0"/>
    <n v="-2"/>
    <n v="0"/>
    <n v="0"/>
    <n v="0"/>
    <n v="1"/>
    <n v="0"/>
    <n v="2"/>
    <n v="4"/>
    <n v="110000"/>
    <n v="0"/>
    <n v="0"/>
    <n v="0"/>
    <n v="80000"/>
    <n v="80000"/>
    <n v="72000"/>
    <m/>
    <m/>
    <n v="6"/>
    <n v="10"/>
    <n v="0"/>
    <n v="0"/>
    <n v="1"/>
    <n v="0"/>
    <s v="VIEW_SUMMARY"/>
    <n v="580"/>
    <n v="198"/>
    <m/>
    <n v="910"/>
    <m/>
    <x v="1"/>
    <n v="80"/>
    <s v="table9"/>
    <n v="16"/>
    <s v="240924_EPA_IntroDays_Ommen"/>
    <n v="21"/>
    <n v="16"/>
    <n v="1"/>
    <x v="0"/>
    <s v="(Dike-town)"/>
    <n v="-3"/>
    <n v="4000"/>
    <n v="14000"/>
    <s v="(Dike-town)"/>
  </r>
  <r>
    <n v="842"/>
    <d v="2024-09-24T14:18:21"/>
    <n v="65000"/>
    <n v="30000"/>
    <n v="1000"/>
    <n v="8000"/>
    <n v="0"/>
    <n v="0"/>
    <n v="15000"/>
    <n v="3000"/>
    <n v="0"/>
    <n v="0"/>
    <n v="4000"/>
    <n v="4000"/>
    <n v="0"/>
    <n v="0"/>
    <n v="0"/>
    <n v="0"/>
    <n v="0"/>
    <n v="1"/>
    <n v="1"/>
    <n v="0"/>
    <n v="4"/>
    <n v="110000"/>
    <n v="80000"/>
    <n v="72000"/>
    <n v="0"/>
    <n v="0"/>
    <n v="80000"/>
    <n v="64000"/>
    <m/>
    <m/>
    <n v="6"/>
    <n v="10"/>
    <n v="-2"/>
    <n v="-1"/>
    <n v="0"/>
    <n v="1"/>
    <s v="VIEW_SUMMARY"/>
    <n v="580"/>
    <n v="203"/>
    <n v="910"/>
    <n v="910"/>
    <m/>
    <x v="2"/>
    <n v="80"/>
    <s v="table9"/>
    <n v="16"/>
    <s v="240924_EPA_IntroDays_Ommen"/>
    <n v="21"/>
    <n v="16"/>
    <n v="1"/>
    <x v="0"/>
    <s v="(Dike-town)"/>
    <n v="-2"/>
    <n v="4000"/>
    <n v="3000"/>
    <s v="(Dike-town)"/>
  </r>
  <r>
    <n v="887"/>
    <d v="2024-09-24T14:18:21"/>
    <n v="65000"/>
    <n v="30000"/>
    <n v="0"/>
    <n v="8000"/>
    <n v="0"/>
    <n v="0"/>
    <n v="15000"/>
    <n v="12000"/>
    <n v="0"/>
    <n v="4000"/>
    <n v="4000"/>
    <n v="-42000"/>
    <n v="0"/>
    <n v="0"/>
    <n v="0"/>
    <n v="3"/>
    <n v="2"/>
    <n v="1"/>
    <n v="0"/>
    <n v="-3"/>
    <n v="4"/>
    <n v="110000"/>
    <n v="80000"/>
    <n v="64000"/>
    <n v="0"/>
    <n v="0"/>
    <n v="80000"/>
    <n v="56000"/>
    <m/>
    <m/>
    <n v="6"/>
    <n v="10"/>
    <n v="-2"/>
    <n v="-1"/>
    <n v="0"/>
    <n v="0"/>
    <s v="VIEW_SUMMARY"/>
    <n v="580"/>
    <n v="208"/>
    <n v="910"/>
    <n v="910"/>
    <m/>
    <x v="3"/>
    <n v="80"/>
    <s v="table9"/>
    <n v="16"/>
    <s v="240924_EPA_IntroDays_Ommen"/>
    <n v="21"/>
    <n v="16"/>
    <n v="0"/>
    <x v="0"/>
    <s v="(Dike-town)"/>
    <n v="-3"/>
    <n v="8000"/>
    <n v="12000"/>
    <s v="(Dike-town)"/>
  </r>
  <r>
    <n v="753"/>
    <d v="2024-09-24T14:21:13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81"/>
    <n v="192"/>
    <m/>
    <m/>
    <m/>
    <x v="0"/>
    <n v="80"/>
    <s v="table9"/>
    <n v="16"/>
    <s v="240924_EPA_IntroDays_Ommen"/>
    <n v="21"/>
    <n v="0"/>
    <n v="0"/>
    <x v="1"/>
    <s v=""/>
    <s v=""/>
    <n v="0"/>
    <n v="0"/>
    <s v=""/>
  </r>
  <r>
    <n v="798"/>
    <d v="2024-09-24T14:21:13"/>
    <n v="100000"/>
    <n v="50000"/>
    <n v="0"/>
    <n v="10000"/>
    <n v="0"/>
    <n v="0"/>
    <n v="20000"/>
    <n v="20000"/>
    <n v="0"/>
    <n v="0"/>
    <n v="0"/>
    <n v="30000"/>
    <n v="0"/>
    <n v="-3"/>
    <n v="1"/>
    <n v="0"/>
    <n v="0"/>
    <n v="0"/>
    <n v="0"/>
    <n v="3"/>
    <n v="6"/>
    <n v="170000"/>
    <n v="0"/>
    <n v="0"/>
    <n v="0"/>
    <n v="100000"/>
    <n v="100000"/>
    <n v="90000"/>
    <m/>
    <m/>
    <n v="8"/>
    <n v="10"/>
    <n v="0"/>
    <n v="0"/>
    <n v="1"/>
    <n v="1"/>
    <s v="VIEW_SUMMARY"/>
    <n v="581"/>
    <n v="198"/>
    <m/>
    <n v="906"/>
    <m/>
    <x v="1"/>
    <n v="80"/>
    <s v="table9"/>
    <n v="16"/>
    <s v="240924_EPA_IntroDays_Ommen"/>
    <n v="21"/>
    <n v="18"/>
    <n v="2"/>
    <x v="1"/>
    <s v="(Natu-city)"/>
    <n v="-2"/>
    <n v="0"/>
    <n v="20000"/>
    <s v="(Natu-city)"/>
  </r>
  <r>
    <n v="844"/>
    <d v="2024-09-24T14:21:13"/>
    <n v="100000"/>
    <n v="50000"/>
    <n v="0"/>
    <n v="10000"/>
    <n v="0"/>
    <n v="0"/>
    <n v="15000"/>
    <n v="10000"/>
    <n v="0"/>
    <n v="0"/>
    <n v="4000"/>
    <n v="41000"/>
    <n v="0"/>
    <n v="0"/>
    <n v="0"/>
    <n v="1"/>
    <n v="0"/>
    <n v="1"/>
    <n v="0"/>
    <n v="3"/>
    <n v="6"/>
    <n v="170000"/>
    <n v="100000"/>
    <n v="90000"/>
    <n v="0"/>
    <n v="0"/>
    <n v="100000"/>
    <n v="80000"/>
    <m/>
    <m/>
    <n v="8"/>
    <n v="10"/>
    <n v="-2"/>
    <n v="-1"/>
    <n v="0"/>
    <n v="0"/>
    <s v="VIEW_SUMMARY"/>
    <n v="581"/>
    <n v="203"/>
    <n v="906"/>
    <n v="906"/>
    <m/>
    <x v="2"/>
    <n v="80"/>
    <s v="table9"/>
    <n v="16"/>
    <s v="240924_EPA_IntroDays_Ommen"/>
    <n v="21"/>
    <n v="18"/>
    <n v="0"/>
    <x v="1"/>
    <s v="(Natu-city)"/>
    <n v="0"/>
    <n v="4000"/>
    <n v="10000"/>
    <s v="(Natu-city)"/>
  </r>
  <r>
    <n v="888"/>
    <d v="2024-09-24T14:21:13"/>
    <n v="100000"/>
    <n v="50000"/>
    <n v="0"/>
    <n v="17000"/>
    <n v="20000"/>
    <n v="30000"/>
    <n v="15000"/>
    <n v="40000"/>
    <n v="0"/>
    <n v="8000"/>
    <n v="4000"/>
    <n v="-55000"/>
    <n v="3"/>
    <n v="0"/>
    <n v="1"/>
    <n v="2"/>
    <n v="3"/>
    <n v="1"/>
    <n v="0"/>
    <n v="-5"/>
    <n v="6"/>
    <n v="170000"/>
    <n v="100000"/>
    <n v="80000"/>
    <n v="100000"/>
    <n v="200000"/>
    <n v="170000"/>
    <n v="153000"/>
    <n v="27"/>
    <m/>
    <n v="8"/>
    <n v="7"/>
    <n v="-2"/>
    <n v="-1"/>
    <n v="2"/>
    <n v="2"/>
    <s v="VIEW_SUMMARY"/>
    <n v="581"/>
    <n v="208"/>
    <n v="906"/>
    <n v="970"/>
    <m/>
    <x v="3"/>
    <n v="80"/>
    <s v="table9"/>
    <n v="16"/>
    <s v="240924_EPA_IntroDays_Ommen"/>
    <n v="21"/>
    <n v="15"/>
    <n v="4"/>
    <x v="1"/>
    <s v="(U-village)"/>
    <n v="-8"/>
    <n v="12000"/>
    <n v="40000"/>
    <s v="(U-village)"/>
  </r>
  <r>
    <n v="751"/>
    <d v="2024-09-24T14:21:02"/>
    <n v="5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80000"/>
    <n v="0"/>
    <n v="0"/>
    <n v="0"/>
    <n v="0"/>
    <n v="0"/>
    <n v="0"/>
    <m/>
    <m/>
    <n v="0"/>
    <n v="0"/>
    <n v="0"/>
    <n v="0"/>
    <n v="0"/>
    <n v="0"/>
    <s v="LOGIN"/>
    <n v="582"/>
    <n v="192"/>
    <m/>
    <m/>
    <m/>
    <x v="0"/>
    <n v="80"/>
    <s v="table9"/>
    <n v="16"/>
    <s v="240924_EPA_IntroDays_Ommen"/>
    <n v="21"/>
    <n v="0"/>
    <n v="0"/>
    <x v="2"/>
    <s v=""/>
    <s v=""/>
    <n v="0"/>
    <n v="0"/>
    <s v=""/>
  </r>
  <r>
    <n v="796"/>
    <d v="2024-09-24T14:21:02"/>
    <n v="50000"/>
    <n v="20000"/>
    <n v="0"/>
    <n v="7000"/>
    <n v="0"/>
    <n v="0"/>
    <n v="20000"/>
    <n v="3000"/>
    <n v="0"/>
    <n v="8000"/>
    <n v="4000"/>
    <n v="-12000"/>
    <n v="0"/>
    <n v="-1"/>
    <n v="0"/>
    <n v="0"/>
    <n v="3"/>
    <n v="1"/>
    <n v="0"/>
    <n v="0"/>
    <n v="3"/>
    <n v="80000"/>
    <n v="0"/>
    <n v="0"/>
    <n v="0"/>
    <n v="70000"/>
    <n v="70000"/>
    <n v="63000"/>
    <m/>
    <m/>
    <n v="8"/>
    <n v="7"/>
    <n v="0"/>
    <n v="0"/>
    <n v="0"/>
    <n v="1"/>
    <s v="VIEW_SUMMARY"/>
    <n v="582"/>
    <n v="198"/>
    <m/>
    <n v="913"/>
    <m/>
    <x v="1"/>
    <n v="80"/>
    <s v="table9"/>
    <n v="16"/>
    <s v="240924_EPA_IntroDays_Ommen"/>
    <n v="21"/>
    <n v="15"/>
    <n v="1"/>
    <x v="2"/>
    <s v="(U-village)"/>
    <n v="-5"/>
    <n v="12000"/>
    <n v="3000"/>
    <s v="(U-village)"/>
  </r>
  <r>
    <n v="848"/>
    <d v="2024-09-24T14:21:02"/>
    <n v="50000"/>
    <n v="20000"/>
    <n v="12000"/>
    <n v="7000"/>
    <n v="0"/>
    <n v="0"/>
    <n v="20000"/>
    <n v="0"/>
    <n v="0"/>
    <n v="8000"/>
    <n v="4000"/>
    <n v="-21000"/>
    <n v="0"/>
    <n v="0"/>
    <n v="0"/>
    <n v="0"/>
    <n v="3"/>
    <n v="1"/>
    <n v="1"/>
    <n v="-5"/>
    <n v="3"/>
    <n v="80000"/>
    <n v="70000"/>
    <n v="63000"/>
    <n v="0"/>
    <n v="0"/>
    <n v="70000"/>
    <n v="56000"/>
    <m/>
    <m/>
    <n v="8"/>
    <n v="7"/>
    <n v="-2"/>
    <n v="-1"/>
    <n v="0"/>
    <n v="0"/>
    <s v="VIEW_SUMMARY"/>
    <n v="582"/>
    <n v="203"/>
    <n v="913"/>
    <n v="913"/>
    <m/>
    <x v="2"/>
    <n v="80"/>
    <s v="table9"/>
    <n v="16"/>
    <s v="240924_EPA_IntroDays_Ommen"/>
    <n v="21"/>
    <n v="15"/>
    <n v="0"/>
    <x v="2"/>
    <s v="(U-village)"/>
    <n v="-5"/>
    <n v="12000"/>
    <n v="0"/>
    <s v="(U-village)"/>
  </r>
  <r>
    <n v="884"/>
    <d v="2024-09-24T14:21:02"/>
    <n v="50000"/>
    <n v="20000"/>
    <n v="21000"/>
    <n v="7000"/>
    <n v="0"/>
    <n v="0"/>
    <n v="15000"/>
    <n v="0"/>
    <n v="0"/>
    <n v="16000"/>
    <n v="4000"/>
    <n v="-93000"/>
    <n v="0"/>
    <n v="0"/>
    <n v="0"/>
    <n v="0"/>
    <n v="5"/>
    <n v="1"/>
    <n v="1"/>
    <n v="-18"/>
    <n v="3"/>
    <n v="80000"/>
    <n v="70000"/>
    <n v="56000"/>
    <n v="0"/>
    <n v="0"/>
    <n v="70000"/>
    <n v="49000"/>
    <m/>
    <m/>
    <n v="8"/>
    <n v="7"/>
    <n v="-2"/>
    <n v="-1"/>
    <n v="0"/>
    <n v="0"/>
    <s v="VIEW_SUMMARY"/>
    <n v="582"/>
    <n v="208"/>
    <n v="913"/>
    <n v="913"/>
    <m/>
    <x v="3"/>
    <n v="80"/>
    <s v="table9"/>
    <n v="16"/>
    <s v="240924_EPA_IntroDays_Ommen"/>
    <n v="21"/>
    <n v="15"/>
    <n v="0"/>
    <x v="2"/>
    <s v="(U-village)"/>
    <n v="-13"/>
    <n v="20000"/>
    <n v="0"/>
    <s v="(U-village)"/>
  </r>
  <r>
    <n v="760"/>
    <d v="2024-09-24T14:21:37"/>
    <n v="80000"/>
    <n v="40000"/>
    <n v="0"/>
    <n v="0"/>
    <n v="0"/>
    <n v="0"/>
    <n v="0"/>
    <n v="0"/>
    <n v="0"/>
    <n v="0"/>
    <n v="0"/>
    <n v="15000"/>
    <n v="0"/>
    <n v="0"/>
    <n v="0"/>
    <n v="0"/>
    <n v="0"/>
    <n v="0"/>
    <n v="0"/>
    <n v="5"/>
    <n v="5"/>
    <n v="130000"/>
    <n v="0"/>
    <n v="0"/>
    <n v="0"/>
    <n v="0"/>
    <n v="0"/>
    <n v="0"/>
    <m/>
    <m/>
    <n v="0"/>
    <n v="0"/>
    <n v="0"/>
    <n v="0"/>
    <n v="0"/>
    <n v="0"/>
    <s v="LOGIN"/>
    <n v="583"/>
    <n v="192"/>
    <m/>
    <m/>
    <m/>
    <x v="0"/>
    <n v="80"/>
    <s v="table9"/>
    <n v="16"/>
    <s v="240924_EPA_IntroDays_Ommen"/>
    <n v="21"/>
    <n v="0"/>
    <n v="0"/>
    <x v="3"/>
    <s v=""/>
    <s v=""/>
    <n v="0"/>
    <n v="0"/>
    <s v=""/>
  </r>
  <r>
    <n v="794"/>
    <d v="2024-09-24T14:21:37"/>
    <n v="80000"/>
    <n v="40000"/>
    <n v="0"/>
    <n v="13000"/>
    <n v="0"/>
    <n v="30000"/>
    <n v="15000"/>
    <n v="0"/>
    <n v="0"/>
    <n v="0"/>
    <n v="4000"/>
    <n v="-7000"/>
    <n v="0"/>
    <n v="0"/>
    <n v="0"/>
    <n v="0"/>
    <n v="0"/>
    <n v="1"/>
    <n v="0"/>
    <n v="4"/>
    <n v="5"/>
    <n v="130000"/>
    <n v="0"/>
    <n v="0"/>
    <n v="0"/>
    <n v="160000"/>
    <n v="130000"/>
    <n v="117000"/>
    <m/>
    <m/>
    <n v="6"/>
    <n v="10"/>
    <n v="0"/>
    <n v="0"/>
    <n v="0"/>
    <n v="0"/>
    <s v="VIEW_SUMMARY"/>
    <n v="583"/>
    <n v="198"/>
    <m/>
    <n v="908"/>
    <m/>
    <x v="1"/>
    <n v="80"/>
    <s v="table9"/>
    <n v="16"/>
    <s v="240924_EPA_IntroDays_Ommen"/>
    <n v="21"/>
    <n v="16"/>
    <n v="0"/>
    <x v="3"/>
    <s v="(Dike-town)"/>
    <n v="-1"/>
    <n v="4000"/>
    <n v="0"/>
    <s v="(Dike-town)"/>
  </r>
  <r>
    <n v="843"/>
    <d v="2024-09-24T14:21:37"/>
    <n v="80000"/>
    <n v="40000"/>
    <n v="7000"/>
    <n v="13000"/>
    <n v="0"/>
    <n v="0"/>
    <n v="15000"/>
    <n v="3000"/>
    <n v="0"/>
    <n v="0"/>
    <n v="4000"/>
    <n v="-2000"/>
    <n v="0"/>
    <n v="0"/>
    <n v="0"/>
    <n v="0"/>
    <n v="0"/>
    <n v="1"/>
    <n v="1"/>
    <n v="2"/>
    <n v="5"/>
    <n v="130000"/>
    <n v="130000"/>
    <n v="117000"/>
    <n v="0"/>
    <n v="0"/>
    <n v="130000"/>
    <n v="104000"/>
    <m/>
    <m/>
    <n v="6"/>
    <n v="10"/>
    <n v="-2"/>
    <n v="-1"/>
    <n v="0"/>
    <n v="1"/>
    <s v="VIEW_SUMMARY"/>
    <n v="583"/>
    <n v="203"/>
    <n v="908"/>
    <n v="908"/>
    <m/>
    <x v="2"/>
    <n v="80"/>
    <s v="table9"/>
    <n v="16"/>
    <s v="240924_EPA_IntroDays_Ommen"/>
    <n v="21"/>
    <n v="16"/>
    <n v="1"/>
    <x v="3"/>
    <s v="(Dike-town)"/>
    <n v="-2"/>
    <n v="4000"/>
    <n v="3000"/>
    <s v="(Dike-town)"/>
  </r>
  <r>
    <n v="885"/>
    <d v="2024-09-24T14:21:37"/>
    <n v="80000"/>
    <n v="40000"/>
    <n v="2000"/>
    <n v="13000"/>
    <n v="0"/>
    <n v="0"/>
    <n v="15000"/>
    <n v="8000"/>
    <n v="0"/>
    <n v="4000"/>
    <n v="4000"/>
    <n v="-44000"/>
    <n v="0"/>
    <n v="0"/>
    <n v="0"/>
    <n v="1"/>
    <n v="2"/>
    <n v="1"/>
    <n v="1"/>
    <n v="-4"/>
    <n v="5"/>
    <n v="130000"/>
    <n v="130000"/>
    <n v="104000"/>
    <n v="0"/>
    <n v="0"/>
    <n v="130000"/>
    <n v="91000"/>
    <m/>
    <m/>
    <n v="6"/>
    <n v="10"/>
    <n v="-2"/>
    <n v="-1"/>
    <n v="0"/>
    <n v="0"/>
    <s v="VIEW_SUMMARY"/>
    <n v="583"/>
    <n v="208"/>
    <n v="908"/>
    <n v="908"/>
    <m/>
    <x v="3"/>
    <n v="80"/>
    <s v="table9"/>
    <n v="16"/>
    <s v="240924_EPA_IntroDays_Ommen"/>
    <n v="21"/>
    <n v="16"/>
    <n v="0"/>
    <x v="3"/>
    <s v="(Dike-town)"/>
    <n v="-6"/>
    <n v="8000"/>
    <n v="8000"/>
    <s v="(Dike-town)"/>
  </r>
  <r>
    <n v="788"/>
    <d v="2024-09-24T14:24:47"/>
    <n v="120000"/>
    <n v="65000"/>
    <n v="0"/>
    <n v="0"/>
    <n v="0"/>
    <n v="0"/>
    <n v="0"/>
    <n v="0"/>
    <n v="0"/>
    <n v="0"/>
    <n v="0"/>
    <n v="50000"/>
    <n v="0"/>
    <n v="0"/>
    <n v="0"/>
    <n v="0"/>
    <n v="0"/>
    <n v="0"/>
    <n v="0"/>
    <n v="5"/>
    <n v="7"/>
    <n v="200000"/>
    <n v="0"/>
    <n v="0"/>
    <n v="0"/>
    <n v="0"/>
    <n v="0"/>
    <n v="0"/>
    <m/>
    <m/>
    <n v="0"/>
    <n v="0"/>
    <n v="0"/>
    <n v="0"/>
    <n v="0"/>
    <n v="0"/>
    <s v="LOGIN"/>
    <n v="584"/>
    <n v="192"/>
    <m/>
    <m/>
    <m/>
    <x v="0"/>
    <n v="80"/>
    <s v="table9"/>
    <n v="16"/>
    <s v="240924_EPA_IntroDays_Ommen"/>
    <n v="21"/>
    <n v="0"/>
    <n v="0"/>
    <x v="4"/>
    <s v=""/>
    <s v=""/>
    <n v="0"/>
    <n v="0"/>
    <s v=""/>
  </r>
  <r>
    <n v="793"/>
    <d v="2024-09-24T14:24:47"/>
    <n v="120000"/>
    <n v="65000"/>
    <n v="0"/>
    <n v="20000"/>
    <n v="0"/>
    <n v="51000"/>
    <n v="20000"/>
    <n v="10000"/>
    <n v="0"/>
    <n v="0"/>
    <n v="4000"/>
    <n v="0"/>
    <n v="0"/>
    <n v="-1"/>
    <n v="0"/>
    <n v="1"/>
    <n v="0"/>
    <n v="1"/>
    <n v="0"/>
    <n v="4"/>
    <n v="7"/>
    <n v="200000"/>
    <n v="0"/>
    <n v="0"/>
    <n v="0"/>
    <n v="251000"/>
    <n v="200000"/>
    <n v="180000"/>
    <m/>
    <m/>
    <n v="8"/>
    <n v="10"/>
    <n v="0"/>
    <n v="0"/>
    <n v="0"/>
    <n v="0"/>
    <s v="VIEW_SUMMARY"/>
    <n v="584"/>
    <n v="198"/>
    <m/>
    <n v="905"/>
    <m/>
    <x v="1"/>
    <n v="80"/>
    <s v="table9"/>
    <n v="16"/>
    <s v="240924_EPA_IntroDays_Ommen"/>
    <n v="21"/>
    <n v="18"/>
    <n v="0"/>
    <x v="4"/>
    <s v="(Natu-city)"/>
    <n v="-1"/>
    <n v="4000"/>
    <n v="10000"/>
    <s v="(Natu-city)"/>
  </r>
  <r>
    <n v="847"/>
    <d v="2024-09-24T14:24:47"/>
    <n v="120000"/>
    <n v="65000"/>
    <n v="0"/>
    <n v="20000"/>
    <n v="0"/>
    <n v="0"/>
    <n v="15000"/>
    <n v="20000"/>
    <n v="0"/>
    <n v="0"/>
    <n v="4000"/>
    <n v="-4000"/>
    <n v="0"/>
    <n v="0"/>
    <n v="1"/>
    <n v="0"/>
    <n v="0"/>
    <n v="1"/>
    <n v="0"/>
    <n v="4"/>
    <n v="7"/>
    <n v="200000"/>
    <n v="200000"/>
    <n v="180000"/>
    <n v="0"/>
    <n v="0"/>
    <n v="200000"/>
    <n v="160000"/>
    <m/>
    <m/>
    <n v="8"/>
    <n v="10"/>
    <n v="-2"/>
    <n v="-1"/>
    <n v="1"/>
    <n v="1"/>
    <s v="VIEW_SUMMARY"/>
    <n v="584"/>
    <n v="203"/>
    <n v="905"/>
    <n v="905"/>
    <m/>
    <x v="2"/>
    <n v="80"/>
    <s v="table9"/>
    <n v="16"/>
    <s v="240924_EPA_IntroDays_Ommen"/>
    <n v="21"/>
    <n v="18"/>
    <n v="2"/>
    <x v="4"/>
    <s v="(Natu-city)"/>
    <n v="0"/>
    <n v="4000"/>
    <n v="20000"/>
    <s v="(Natu-city)"/>
  </r>
  <r>
    <n v="889"/>
    <d v="2024-09-24T14:24:47"/>
    <n v="120000"/>
    <n v="65000"/>
    <n v="4000"/>
    <n v="20000"/>
    <n v="0"/>
    <n v="0"/>
    <n v="25000"/>
    <n v="6000"/>
    <n v="0"/>
    <n v="4000"/>
    <n v="4000"/>
    <n v="-66000"/>
    <n v="0"/>
    <n v="0"/>
    <n v="0"/>
    <n v="0"/>
    <n v="2"/>
    <n v="1"/>
    <n v="1"/>
    <n v="-3"/>
    <n v="7"/>
    <n v="200000"/>
    <n v="200000"/>
    <n v="160000"/>
    <n v="0"/>
    <n v="0"/>
    <n v="200000"/>
    <n v="140000"/>
    <m/>
    <m/>
    <n v="8"/>
    <n v="10"/>
    <n v="-2"/>
    <n v="-1"/>
    <n v="1"/>
    <n v="0"/>
    <s v="VIEW_SUMMARY"/>
    <n v="584"/>
    <n v="208"/>
    <n v="905"/>
    <n v="905"/>
    <m/>
    <x v="3"/>
    <n v="80"/>
    <s v="table9"/>
    <n v="16"/>
    <s v="240924_EPA_IntroDays_Ommen"/>
    <n v="21"/>
    <n v="18"/>
    <n v="1"/>
    <x v="4"/>
    <s v="(Natu-city)"/>
    <n v="-7"/>
    <n v="8000"/>
    <n v="6000"/>
    <s v="(Natu-city)"/>
  </r>
  <r>
    <n v="744"/>
    <d v="2024-09-24T14:19:43"/>
    <n v="180000"/>
    <n v="105000"/>
    <n v="0"/>
    <n v="0"/>
    <n v="0"/>
    <n v="0"/>
    <n v="0"/>
    <n v="0"/>
    <n v="0"/>
    <n v="0"/>
    <n v="0"/>
    <n v="80000"/>
    <n v="0"/>
    <n v="0"/>
    <n v="0"/>
    <n v="0"/>
    <n v="0"/>
    <n v="0"/>
    <n v="0"/>
    <n v="5"/>
    <n v="8"/>
    <n v="300000"/>
    <n v="0"/>
    <n v="0"/>
    <n v="0"/>
    <n v="0"/>
    <n v="0"/>
    <n v="0"/>
    <m/>
    <m/>
    <n v="0"/>
    <n v="0"/>
    <n v="0"/>
    <n v="0"/>
    <n v="0"/>
    <n v="0"/>
    <s v="LOGIN"/>
    <n v="585"/>
    <n v="192"/>
    <m/>
    <m/>
    <m/>
    <x v="0"/>
    <n v="80"/>
    <s v="table9"/>
    <n v="16"/>
    <s v="240924_EPA_IntroDays_Ommen"/>
    <n v="21"/>
    <n v="0"/>
    <n v="0"/>
    <x v="5"/>
    <s v=""/>
    <s v=""/>
    <n v="0"/>
    <n v="0"/>
    <s v=""/>
  </r>
  <r>
    <n v="797"/>
    <d v="2024-09-24T14:19:43"/>
    <n v="180000"/>
    <n v="105000"/>
    <n v="0"/>
    <n v="30000"/>
    <n v="0"/>
    <n v="0"/>
    <n v="15000"/>
    <n v="63000"/>
    <n v="0"/>
    <n v="0"/>
    <n v="4000"/>
    <n v="43000"/>
    <n v="0"/>
    <n v="0"/>
    <n v="0"/>
    <n v="2"/>
    <n v="0"/>
    <n v="1"/>
    <n v="0"/>
    <n v="6"/>
    <n v="8"/>
    <n v="300000"/>
    <n v="0"/>
    <n v="0"/>
    <n v="0"/>
    <n v="300000"/>
    <n v="300000"/>
    <n v="270000"/>
    <m/>
    <m/>
    <n v="6"/>
    <n v="10"/>
    <n v="0"/>
    <n v="0"/>
    <n v="0"/>
    <n v="1"/>
    <s v="VIEW_SUMMARY"/>
    <n v="585"/>
    <n v="198"/>
    <m/>
    <n v="907"/>
    <m/>
    <x v="1"/>
    <n v="80"/>
    <s v="table9"/>
    <n v="16"/>
    <s v="240924_EPA_IntroDays_Ommen"/>
    <n v="21"/>
    <n v="16"/>
    <n v="1"/>
    <x v="5"/>
    <s v="(Dike-town)"/>
    <n v="1"/>
    <n v="4000"/>
    <n v="63000"/>
    <s v="(Dike-town)"/>
  </r>
  <r>
    <n v="845"/>
    <d v="2024-09-24T14:19:43"/>
    <n v="180000"/>
    <n v="105000"/>
    <n v="0"/>
    <n v="30000"/>
    <n v="0"/>
    <n v="0"/>
    <n v="15000"/>
    <n v="38000"/>
    <n v="0"/>
    <n v="0"/>
    <n v="4000"/>
    <n v="31000"/>
    <n v="0"/>
    <n v="0"/>
    <n v="2"/>
    <n v="0"/>
    <n v="0"/>
    <n v="1"/>
    <n v="0"/>
    <n v="7"/>
    <n v="8"/>
    <n v="300000"/>
    <n v="300000"/>
    <n v="270000"/>
    <n v="0"/>
    <n v="0"/>
    <n v="300000"/>
    <n v="240000"/>
    <m/>
    <m/>
    <n v="6"/>
    <n v="10"/>
    <n v="-2"/>
    <n v="-1"/>
    <n v="3"/>
    <n v="0"/>
    <s v="VIEW_SUMMARY"/>
    <n v="585"/>
    <n v="203"/>
    <n v="907"/>
    <n v="907"/>
    <m/>
    <x v="2"/>
    <n v="80"/>
    <s v="table9"/>
    <n v="16"/>
    <s v="240924_EPA_IntroDays_Ommen"/>
    <n v="21"/>
    <n v="16"/>
    <n v="3"/>
    <x v="5"/>
    <s v="(Dike-town)"/>
    <n v="1"/>
    <n v="4000"/>
    <n v="38000"/>
    <s v="(Dike-town)"/>
  </r>
  <r>
    <n v="883"/>
    <d v="2024-09-24T14:19:43"/>
    <n v="180000"/>
    <n v="105000"/>
    <n v="0"/>
    <n v="30000"/>
    <n v="0"/>
    <n v="0"/>
    <n v="15000"/>
    <n v="15000"/>
    <n v="0"/>
    <n v="4000"/>
    <n v="4000"/>
    <n v="0"/>
    <n v="0"/>
    <n v="0"/>
    <n v="0"/>
    <n v="1"/>
    <n v="2"/>
    <n v="1"/>
    <n v="0"/>
    <n v="2"/>
    <n v="8"/>
    <n v="300000"/>
    <n v="300000"/>
    <n v="240000"/>
    <n v="0"/>
    <n v="0"/>
    <n v="300000"/>
    <n v="210000"/>
    <m/>
    <m/>
    <n v="6"/>
    <n v="10"/>
    <n v="-2"/>
    <n v="-1"/>
    <n v="0"/>
    <n v="0"/>
    <s v="VIEW_SUMMARY"/>
    <n v="585"/>
    <n v="208"/>
    <n v="907"/>
    <n v="907"/>
    <m/>
    <x v="3"/>
    <n v="80"/>
    <s v="table9"/>
    <n v="16"/>
    <s v="240924_EPA_IntroDays_Ommen"/>
    <n v="21"/>
    <n v="16"/>
    <n v="0"/>
    <x v="5"/>
    <s v="(Dike-town)"/>
    <n v="-5"/>
    <n v="8000"/>
    <n v="15000"/>
    <s v="(Dike-town)"/>
  </r>
  <r>
    <n v="743"/>
    <d v="2024-09-24T14:19:18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86"/>
    <n v="192"/>
    <m/>
    <m/>
    <m/>
    <x v="0"/>
    <n v="80"/>
    <s v="table9"/>
    <n v="16"/>
    <s v="240924_EPA_IntroDays_Ommen"/>
    <n v="21"/>
    <n v="0"/>
    <n v="0"/>
    <x v="1"/>
    <s v=""/>
    <s v=""/>
    <n v="0"/>
    <n v="0"/>
    <s v=""/>
  </r>
  <r>
    <n v="810"/>
    <d v="2024-09-24T14:19:18"/>
    <n v="100000"/>
    <n v="50000"/>
    <n v="0"/>
    <n v="17000"/>
    <n v="0"/>
    <n v="30000"/>
    <n v="20000"/>
    <n v="12000"/>
    <n v="0"/>
    <n v="8000"/>
    <n v="0"/>
    <n v="-7000"/>
    <n v="0"/>
    <n v="0"/>
    <n v="0"/>
    <n v="0"/>
    <n v="3"/>
    <n v="0"/>
    <n v="0"/>
    <n v="2"/>
    <n v="6"/>
    <n v="170000"/>
    <n v="0"/>
    <n v="0"/>
    <n v="0"/>
    <n v="200000"/>
    <n v="170000"/>
    <n v="153000"/>
    <m/>
    <m/>
    <n v="8"/>
    <n v="7"/>
    <n v="0"/>
    <n v="0"/>
    <n v="1"/>
    <n v="1"/>
    <s v="VIEW_SUMMARY"/>
    <n v="586"/>
    <n v="198"/>
    <m/>
    <n v="911"/>
    <m/>
    <x v="1"/>
    <n v="80"/>
    <s v="table9"/>
    <n v="16"/>
    <s v="240924_EPA_IntroDays_Ommen"/>
    <n v="21"/>
    <n v="15"/>
    <n v="2"/>
    <x v="1"/>
    <s v="(U-village)"/>
    <n v="-3"/>
    <n v="8000"/>
    <n v="12000"/>
    <s v="(U-village)"/>
  </r>
  <r>
    <n v="851"/>
    <d v="2024-09-24T14:19:18"/>
    <n v="100000"/>
    <n v="50000"/>
    <n v="7000"/>
    <n v="17000"/>
    <n v="0"/>
    <n v="0"/>
    <n v="20000"/>
    <n v="6000"/>
    <n v="0"/>
    <n v="8000"/>
    <n v="4000"/>
    <n v="-12000"/>
    <n v="0"/>
    <n v="0"/>
    <n v="0"/>
    <n v="0"/>
    <n v="3"/>
    <n v="1"/>
    <n v="1"/>
    <n v="-3"/>
    <n v="6"/>
    <n v="170000"/>
    <n v="170000"/>
    <n v="153000"/>
    <n v="0"/>
    <n v="0"/>
    <n v="170000"/>
    <n v="136000"/>
    <m/>
    <m/>
    <n v="8"/>
    <n v="7"/>
    <n v="-2"/>
    <n v="-1"/>
    <n v="1"/>
    <n v="0"/>
    <s v="VIEW_SUMMARY"/>
    <n v="586"/>
    <n v="203"/>
    <n v="911"/>
    <n v="911"/>
    <m/>
    <x v="2"/>
    <n v="80"/>
    <s v="table9"/>
    <n v="16"/>
    <s v="240924_EPA_IntroDays_Ommen"/>
    <n v="21"/>
    <n v="15"/>
    <n v="1"/>
    <x v="1"/>
    <s v="(U-village)"/>
    <n v="-5"/>
    <n v="12000"/>
    <n v="6000"/>
    <s v="(U-village)"/>
  </r>
  <r>
    <n v="898"/>
    <d v="2024-09-24T14:19:18"/>
    <n v="100000"/>
    <n v="50000"/>
    <n v="12000"/>
    <n v="17000"/>
    <n v="86000"/>
    <n v="20000"/>
    <n v="15000"/>
    <n v="115000"/>
    <n v="0"/>
    <n v="8000"/>
    <n v="0"/>
    <n v="10000"/>
    <n v="1"/>
    <n v="0"/>
    <n v="3"/>
    <n v="4"/>
    <n v="3"/>
    <n v="0"/>
    <n v="1"/>
    <n v="-5"/>
    <n v="6"/>
    <n v="170000"/>
    <n v="170000"/>
    <n v="136000"/>
    <n v="222000"/>
    <n v="190000"/>
    <n v="170000"/>
    <n v="153000"/>
    <n v="29"/>
    <m/>
    <n v="8"/>
    <n v="7"/>
    <n v="-2"/>
    <n v="-1"/>
    <n v="3"/>
    <n v="2"/>
    <s v="VIEW_SUMMARY"/>
    <n v="586"/>
    <n v="208"/>
    <n v="911"/>
    <n v="911"/>
    <m/>
    <x v="3"/>
    <n v="80"/>
    <s v="table9"/>
    <n v="16"/>
    <s v="240924_EPA_IntroDays_Ommen"/>
    <n v="21"/>
    <n v="15"/>
    <n v="5"/>
    <x v="1"/>
    <s v="(U-village)"/>
    <n v="-2"/>
    <n v="8000"/>
    <n v="115000"/>
    <s v="(U-village)"/>
  </r>
  <r>
    <n v="758"/>
    <d v="2024-09-24T14:21:29"/>
    <n v="100000"/>
    <n v="50000"/>
    <n v="0"/>
    <n v="0"/>
    <n v="0"/>
    <n v="0"/>
    <n v="0"/>
    <n v="0"/>
    <n v="0"/>
    <n v="0"/>
    <n v="0"/>
    <n v="30000"/>
    <n v="0"/>
    <n v="0"/>
    <n v="0"/>
    <n v="0"/>
    <n v="0"/>
    <n v="0"/>
    <n v="0"/>
    <n v="5"/>
    <n v="6"/>
    <n v="170000"/>
    <n v="0"/>
    <n v="0"/>
    <n v="0"/>
    <n v="0"/>
    <n v="0"/>
    <n v="0"/>
    <m/>
    <m/>
    <n v="0"/>
    <n v="0"/>
    <n v="0"/>
    <n v="0"/>
    <n v="0"/>
    <n v="0"/>
    <s v="LOGIN"/>
    <n v="587"/>
    <n v="192"/>
    <m/>
    <m/>
    <m/>
    <x v="0"/>
    <n v="80"/>
    <s v="table9"/>
    <n v="16"/>
    <s v="240924_EPA_IntroDays_Ommen"/>
    <n v="21"/>
    <n v="0"/>
    <n v="0"/>
    <x v="1"/>
    <s v=""/>
    <s v=""/>
    <n v="0"/>
    <n v="0"/>
    <s v=""/>
  </r>
  <r>
    <n v="795"/>
    <d v="2024-09-24T14:21:29"/>
    <n v="100000"/>
    <n v="50000"/>
    <n v="0"/>
    <n v="16000"/>
    <n v="0"/>
    <n v="0"/>
    <n v="15000"/>
    <n v="16000"/>
    <n v="0"/>
    <n v="0"/>
    <n v="4000"/>
    <n v="29000"/>
    <n v="0"/>
    <n v="-1"/>
    <n v="0"/>
    <n v="2"/>
    <n v="0"/>
    <n v="1"/>
    <n v="0"/>
    <n v="5"/>
    <n v="6"/>
    <n v="170000"/>
    <n v="0"/>
    <n v="0"/>
    <n v="0"/>
    <n v="160000"/>
    <n v="160000"/>
    <n v="144000"/>
    <m/>
    <m/>
    <n v="6"/>
    <n v="10"/>
    <n v="0"/>
    <n v="0"/>
    <n v="0"/>
    <n v="0"/>
    <s v="VIEW_SUMMARY"/>
    <n v="587"/>
    <n v="198"/>
    <m/>
    <n v="909"/>
    <m/>
    <x v="1"/>
    <n v="80"/>
    <s v="table9"/>
    <n v="16"/>
    <s v="240924_EPA_IntroDays_Ommen"/>
    <n v="21"/>
    <n v="16"/>
    <n v="0"/>
    <x v="1"/>
    <s v="(Dike-town)"/>
    <n v="0"/>
    <n v="4000"/>
    <n v="16000"/>
    <s v="(Dike-town)"/>
  </r>
  <r>
    <n v="846"/>
    <d v="2024-09-24T14:21:29"/>
    <n v="100000"/>
    <n v="50000"/>
    <n v="0"/>
    <n v="17000"/>
    <n v="20000"/>
    <n v="30000"/>
    <n v="15000"/>
    <n v="29000"/>
    <n v="0"/>
    <n v="0"/>
    <n v="4000"/>
    <n v="4000"/>
    <n v="1"/>
    <n v="0"/>
    <n v="1"/>
    <n v="0"/>
    <n v="0"/>
    <n v="1"/>
    <n v="0"/>
    <n v="4"/>
    <n v="6"/>
    <n v="170000"/>
    <n v="160000"/>
    <n v="144000"/>
    <n v="164000"/>
    <n v="200000"/>
    <n v="170000"/>
    <n v="153000"/>
    <n v="28"/>
    <m/>
    <n v="8"/>
    <n v="10"/>
    <n v="-2"/>
    <n v="-1"/>
    <n v="2"/>
    <n v="2"/>
    <s v="VIEW_SUMMARY"/>
    <n v="587"/>
    <n v="203"/>
    <n v="909"/>
    <n v="939"/>
    <m/>
    <x v="2"/>
    <n v="80"/>
    <s v="table9"/>
    <n v="16"/>
    <s v="240924_EPA_IntroDays_Ommen"/>
    <n v="21"/>
    <n v="18"/>
    <n v="4"/>
    <x v="1"/>
    <s v="(Natu-city)"/>
    <n v="-1"/>
    <n v="4000"/>
    <n v="29000"/>
    <s v="(Natu-city)"/>
  </r>
  <r>
    <n v="886"/>
    <d v="2024-09-24T14:21:29"/>
    <n v="100000"/>
    <n v="50000"/>
    <n v="0"/>
    <n v="17000"/>
    <n v="0"/>
    <n v="0"/>
    <n v="25000"/>
    <n v="0"/>
    <n v="0"/>
    <n v="4000"/>
    <n v="4000"/>
    <n v="-54000"/>
    <n v="0"/>
    <n v="0"/>
    <n v="0"/>
    <n v="0"/>
    <n v="2"/>
    <n v="1"/>
    <n v="0"/>
    <n v="-2"/>
    <n v="6"/>
    <n v="170000"/>
    <n v="170000"/>
    <n v="153000"/>
    <n v="0"/>
    <n v="0"/>
    <n v="170000"/>
    <n v="136000"/>
    <m/>
    <m/>
    <n v="8"/>
    <n v="10"/>
    <n v="-2"/>
    <n v="-1"/>
    <n v="0"/>
    <n v="0"/>
    <s v="VIEW_SUMMARY"/>
    <n v="587"/>
    <n v="208"/>
    <n v="939"/>
    <n v="939"/>
    <m/>
    <x v="3"/>
    <n v="80"/>
    <s v="table9"/>
    <n v="16"/>
    <s v="240924_EPA_IntroDays_Ommen"/>
    <n v="21"/>
    <n v="18"/>
    <n v="0"/>
    <x v="1"/>
    <s v="(Natu-city)"/>
    <n v="-6"/>
    <n v="8000"/>
    <n v="0"/>
    <s v="(Natu-city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0BD3F-80AE-4FCC-AF39-4EBCC8B47816}" name="Draaitabel12" cacheId="3" applyNumberFormats="0" applyBorderFormats="0" applyFontFormats="0" applyPatternFormats="0" applyAlignmentFormats="0" applyWidthHeightFormats="1" dataCaption="Waarden" updatedVersion="8" minRefreshableVersion="3" useAutoFormatting="1" subtotalHiddenItems="1" itemPrintTitles="1" createdVersion="8" indent="0" outline="1" outlineData="1" multipleFieldFilters="0" chartFormat="2">
  <location ref="A3:H8" firstHeaderRow="1" firstDataRow="2" firstDataCol="1"/>
  <pivotFields count="3">
    <pivotField axis="axisRow" allDrilled="1" subtotalTop="0" showAll="0" dataSourceSort="1" defaultSubtotal="0" defaultAttributeDrillState="1">
      <items count="3">
        <item n="15 (U-village)" s="1" x="0"/>
        <item n="16 (Dike-town)" s="1" x="1"/>
        <item n="18 (Natu-city)" s="1" x="2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 van Added_pluvial_fluvial_house_delta" fld="1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</chartFormats>
  <pivotHierarchies count="8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layerround!$AY$1:$BA$314">
        <x15:activeTabTopLevelEntity name="[Berei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413D9-52CB-4E4A-81F5-DA0399BDA801}" name="Draaitabel7" cacheId="2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7">
  <location ref="A3:D10" firstHeaderRow="0" firstDataRow="1" firstDataCol="1"/>
  <pivotFields count="4">
    <pivotField axis="axisRow" showAll="0">
      <items count="7">
        <item x="2"/>
        <item x="0"/>
        <item x="3"/>
        <item x="1"/>
        <item x="4"/>
        <item x="5"/>
        <item t="default"/>
      </items>
    </pivotField>
    <pivotField dataField="1" showAll="0">
      <items count="16">
        <item x="13"/>
        <item x="12"/>
        <item x="14"/>
        <item x="11"/>
        <item x="10"/>
        <item x="9"/>
        <item x="8"/>
        <item x="4"/>
        <item x="2"/>
        <item x="1"/>
        <item x="3"/>
        <item x="5"/>
        <item x="6"/>
        <item x="7"/>
        <item x="0"/>
        <item t="default"/>
      </items>
    </pivotField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emiddelde van Added_total_damage" fld="2" subtotal="average" baseField="0" baseItem="0"/>
    <dataField name="Gemiddelde van cost_house_measures_bought" fld="3" subtotal="average" baseField="0" baseItem="0"/>
    <dataField name="Gemiddelde van Added_delta_satisfaction" fld="1" subtotal="average" baseField="0" baseItem="4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6ABF6-5742-4401-8B26-228A9998EA07}" name="Draaitabel4" cacheId="4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6">
  <location ref="A3:H8" firstHeaderRow="1" firstDataRow="2" firstDataCol="1"/>
  <pivotFields count="3">
    <pivotField dataField="1" showAll="0"/>
    <pivotField axis="axisCol" showAll="0">
      <items count="7">
        <item x="2"/>
        <item x="0"/>
        <item x="3"/>
        <item x="1"/>
        <item x="4"/>
        <item x="5"/>
        <item t="default"/>
      </items>
    </pivotField>
    <pivotField axis="axisRow" showAll="0">
      <items count="5">
        <item h="1" x="0"/>
        <item x="2"/>
        <item x="1"/>
        <item x="3"/>
        <item t="default"/>
      </items>
    </pivotField>
  </pivotFields>
  <rowFields count="1">
    <field x="2"/>
  </rowFields>
  <rowItems count="4"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 van Added_pluvial_fluvial_house_delta" fld="0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1EA776-DB7D-4B8E-8022-54BFE7A19AEF}" name="Draaitabel7" cacheId="55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7">
  <location ref="A3:H10" firstHeaderRow="0" firstDataRow="1" firstDataCol="1" rowPageCount="1" colPageCount="1"/>
  <pivotFields count="58">
    <pivotField showAll="0"/>
    <pivotField numFmtId="164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5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44" item="3" hier="-1"/>
  </pageFields>
  <dataFields count="7">
    <dataField name="Gemiddelde van paid_debt" fld="4" subtotal="average" baseField="52" baseItem="0"/>
    <dataField name="Gemiddelde van mortgage_payment" fld="5" subtotal="average" baseField="52" baseItem="0"/>
    <dataField name="Gemiddelde van spent_savings_for_buying_house" fld="7" subtotal="average" baseField="52" baseItem="0"/>
    <dataField name="Gemiddelde van Added_total_damage" fld="55" subtotal="average" baseField="52" baseItem="0"/>
    <dataField name="Gemiddelde van cost_house_measures_bought" fld="9" subtotal="average" baseField="52" baseItem="0"/>
    <dataField name="Gemiddelde van cost_personal_measures_bought" fld="10" subtotal="average" baseField="52" baseItem="0"/>
    <dataField name="Gemiddelde van satisfaction_total" fld="21" subtotal="average" baseField="52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654B1-80D7-4E9C-AA39-B713F5D35293}" name="Draaitabel9" cacheId="55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5">
  <location ref="A3:D10" firstHeaderRow="0" firstDataRow="1" firstDataCol="1"/>
  <pivotFields count="5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</pivotFields>
  <rowFields count="1">
    <field x="5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emiddelde van cost_personal_measures_bought" fld="10" subtotal="average" baseField="52" baseItem="0"/>
    <dataField name="Gemiddelde van cost_house_measures_bought" fld="9" subtotal="average" baseField="52" baseItem="0"/>
    <dataField name="Gemiddelde van satisfaction_total" fld="21" subtotal="average" baseField="5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589AC-EAA0-4D0A-AD55-BDC088C1C550}" name="Draaitabel12" cacheId="55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 chartFormat="10">
  <location ref="A3:D10" firstHeaderRow="0" firstDataRow="1" firstDataCol="1" rowPageCount="1" colPageCount="1"/>
  <pivotFields count="5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3"/>
        <item x="1"/>
        <item x="4"/>
        <item x="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5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4" hier="-1"/>
  </pageFields>
  <dataFields count="3">
    <dataField name="Gemiddelde van cost_house_measures_bought" fld="9" subtotal="average" baseField="0" baseItem="1"/>
    <dataField name="Gemiddelde van Added_total_damage" fld="55" subtotal="average" baseField="0" baseItem="1"/>
    <dataField name="Gemiddelde van satisfaction_total" fld="21" subtotal="average" baseField="0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4"/>
  <sheetViews>
    <sheetView topLeftCell="Q1" zoomScale="99" zoomScaleNormal="10" workbookViewId="0">
      <selection activeCell="T2" sqref="T2"/>
    </sheetView>
  </sheetViews>
  <sheetFormatPr defaultRowHeight="14.4" x14ac:dyDescent="0.3"/>
  <cols>
    <col min="1" max="1" width="14" bestFit="1" customWidth="1"/>
    <col min="2" max="2" width="8.77734375" customWidth="1"/>
    <col min="3" max="3" width="13.77734375" bestFit="1" customWidth="1"/>
    <col min="4" max="4" width="25.21875" bestFit="1" customWidth="1"/>
    <col min="5" max="5" width="13.44140625" bestFit="1" customWidth="1"/>
    <col min="6" max="6" width="10.6640625" bestFit="1" customWidth="1"/>
    <col min="7" max="7" width="9.5546875" bestFit="1" customWidth="1"/>
    <col min="8" max="8" width="16.33203125" bestFit="1" customWidth="1"/>
    <col min="9" max="9" width="29.6640625" bestFit="1" customWidth="1"/>
    <col min="10" max="10" width="9.77734375" bestFit="1" customWidth="1"/>
    <col min="11" max="11" width="17.88671875" bestFit="1" customWidth="1"/>
    <col min="12" max="12" width="27.109375" bestFit="1" customWidth="1"/>
    <col min="13" max="13" width="29.21875" bestFit="1" customWidth="1"/>
    <col min="14" max="14" width="18.5546875" bestFit="1" customWidth="1"/>
    <col min="15" max="15" width="25.109375" bestFit="1" customWidth="1"/>
    <col min="16" max="16" width="23.44140625" bestFit="1" customWidth="1"/>
    <col min="17" max="17" width="13.44140625" bestFit="1" customWidth="1"/>
    <col min="18" max="18" width="21.109375" bestFit="1" customWidth="1"/>
    <col min="19" max="19" width="20.33203125" bestFit="1" customWidth="1"/>
    <col min="20" max="20" width="20.21875" bestFit="1" customWidth="1"/>
    <col min="21" max="21" width="19.6640625" bestFit="1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184</v>
      </c>
      <c r="U1" s="1" t="s">
        <v>185</v>
      </c>
    </row>
    <row r="2" spans="1:21" x14ac:dyDescent="0.3">
      <c r="A2">
        <v>746</v>
      </c>
      <c r="B2">
        <v>588</v>
      </c>
      <c r="C2">
        <v>193</v>
      </c>
      <c r="D2">
        <v>0</v>
      </c>
      <c r="E2">
        <v>65000</v>
      </c>
      <c r="F2">
        <v>30000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s">
        <v>19</v>
      </c>
      <c r="R2">
        <v>30000</v>
      </c>
      <c r="S2">
        <v>5000</v>
      </c>
      <c r="T2" cm="1">
        <f t="array" ref="T2:T314">+VLOOKUP(B2:B314,player!1:1048576,5,0)</f>
        <v>118</v>
      </c>
      <c r="U2">
        <f>N2+O2</f>
        <v>0</v>
      </c>
    </row>
    <row r="3" spans="1:21" x14ac:dyDescent="0.3">
      <c r="A3">
        <v>774</v>
      </c>
      <c r="B3">
        <v>588</v>
      </c>
      <c r="C3">
        <v>195</v>
      </c>
      <c r="D3">
        <v>1</v>
      </c>
      <c r="E3">
        <v>65000</v>
      </c>
      <c r="F3">
        <v>30000</v>
      </c>
      <c r="G3">
        <v>0</v>
      </c>
      <c r="H3">
        <v>0</v>
      </c>
      <c r="I3">
        <v>15000</v>
      </c>
      <c r="J3">
        <v>20000</v>
      </c>
      <c r="K3">
        <v>11000</v>
      </c>
      <c r="L3">
        <v>0</v>
      </c>
      <c r="M3">
        <v>0</v>
      </c>
      <c r="N3">
        <v>0</v>
      </c>
      <c r="O3">
        <v>4000</v>
      </c>
      <c r="P3">
        <v>-10000</v>
      </c>
      <c r="Q3" t="s">
        <v>19</v>
      </c>
      <c r="R3">
        <v>80000</v>
      </c>
      <c r="S3">
        <v>-10000</v>
      </c>
      <c r="T3">
        <v>118</v>
      </c>
      <c r="U3">
        <f t="shared" ref="U3:U66" si="0">N3+O3</f>
        <v>4000</v>
      </c>
    </row>
    <row r="4" spans="1:21" x14ac:dyDescent="0.3">
      <c r="A4">
        <v>823</v>
      </c>
      <c r="B4">
        <v>588</v>
      </c>
      <c r="C4">
        <v>200</v>
      </c>
      <c r="D4">
        <v>2</v>
      </c>
      <c r="E4">
        <v>65000</v>
      </c>
      <c r="F4">
        <v>30000</v>
      </c>
      <c r="G4">
        <v>10000</v>
      </c>
      <c r="H4">
        <v>26000</v>
      </c>
      <c r="I4">
        <v>0</v>
      </c>
      <c r="J4">
        <v>15000</v>
      </c>
      <c r="K4">
        <v>8000</v>
      </c>
      <c r="L4">
        <v>24000</v>
      </c>
      <c r="M4">
        <v>0</v>
      </c>
      <c r="N4">
        <v>0</v>
      </c>
      <c r="O4">
        <v>4000</v>
      </c>
      <c r="P4">
        <v>0</v>
      </c>
      <c r="Q4" t="s">
        <v>19</v>
      </c>
      <c r="R4">
        <v>81000</v>
      </c>
      <c r="S4">
        <v>0</v>
      </c>
      <c r="T4">
        <v>118</v>
      </c>
      <c r="U4">
        <f t="shared" si="0"/>
        <v>4000</v>
      </c>
    </row>
    <row r="5" spans="1:21" x14ac:dyDescent="0.3">
      <c r="A5">
        <v>871</v>
      </c>
      <c r="B5">
        <v>588</v>
      </c>
      <c r="C5">
        <v>206</v>
      </c>
      <c r="D5">
        <v>3</v>
      </c>
      <c r="E5">
        <v>65000</v>
      </c>
      <c r="F5">
        <v>30000</v>
      </c>
      <c r="G5">
        <v>0</v>
      </c>
      <c r="H5">
        <v>0</v>
      </c>
      <c r="I5">
        <v>0</v>
      </c>
      <c r="J5">
        <v>20000</v>
      </c>
      <c r="K5">
        <v>8000</v>
      </c>
      <c r="L5">
        <v>3000</v>
      </c>
      <c r="M5">
        <v>0</v>
      </c>
      <c r="N5">
        <v>0</v>
      </c>
      <c r="O5">
        <v>0</v>
      </c>
      <c r="P5">
        <v>4000</v>
      </c>
      <c r="Q5" t="s">
        <v>19</v>
      </c>
      <c r="R5">
        <v>61000</v>
      </c>
      <c r="S5">
        <v>4000</v>
      </c>
      <c r="T5">
        <v>118</v>
      </c>
      <c r="U5">
        <f t="shared" si="0"/>
        <v>0</v>
      </c>
    </row>
    <row r="6" spans="1:21" x14ac:dyDescent="0.3">
      <c r="A6">
        <v>745</v>
      </c>
      <c r="B6">
        <v>589</v>
      </c>
      <c r="C6">
        <v>193</v>
      </c>
      <c r="D6">
        <v>0</v>
      </c>
      <c r="E6">
        <v>100000</v>
      </c>
      <c r="F6">
        <v>50000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30000</v>
      </c>
      <c r="Q6" t="s">
        <v>20</v>
      </c>
      <c r="R6">
        <v>50000</v>
      </c>
      <c r="S6">
        <v>30000</v>
      </c>
      <c r="T6">
        <v>120</v>
      </c>
      <c r="U6">
        <f t="shared" si="0"/>
        <v>0</v>
      </c>
    </row>
    <row r="7" spans="1:21" x14ac:dyDescent="0.3">
      <c r="A7">
        <v>773</v>
      </c>
      <c r="B7">
        <v>589</v>
      </c>
      <c r="C7">
        <v>195</v>
      </c>
      <c r="D7">
        <v>1</v>
      </c>
      <c r="E7">
        <v>100000</v>
      </c>
      <c r="F7">
        <v>50000</v>
      </c>
      <c r="G7">
        <v>0</v>
      </c>
      <c r="H7">
        <v>0</v>
      </c>
      <c r="I7">
        <v>0</v>
      </c>
      <c r="J7">
        <v>20000</v>
      </c>
      <c r="K7">
        <v>10000</v>
      </c>
      <c r="L7">
        <v>12000</v>
      </c>
      <c r="M7">
        <v>0</v>
      </c>
      <c r="N7">
        <v>0</v>
      </c>
      <c r="O7">
        <v>0</v>
      </c>
      <c r="P7">
        <v>38000</v>
      </c>
      <c r="Q7" t="s">
        <v>20</v>
      </c>
      <c r="R7">
        <v>92000</v>
      </c>
      <c r="S7">
        <v>38000</v>
      </c>
      <c r="T7">
        <v>120</v>
      </c>
      <c r="U7">
        <f t="shared" si="0"/>
        <v>0</v>
      </c>
    </row>
    <row r="8" spans="1:21" x14ac:dyDescent="0.3">
      <c r="A8">
        <v>825</v>
      </c>
      <c r="B8">
        <v>589</v>
      </c>
      <c r="C8">
        <v>200</v>
      </c>
      <c r="D8">
        <v>2</v>
      </c>
      <c r="E8">
        <v>100000</v>
      </c>
      <c r="F8">
        <v>50000</v>
      </c>
      <c r="G8">
        <v>0</v>
      </c>
      <c r="H8">
        <v>0</v>
      </c>
      <c r="I8">
        <v>0</v>
      </c>
      <c r="J8">
        <v>15000</v>
      </c>
      <c r="K8">
        <v>10000</v>
      </c>
      <c r="L8">
        <v>20000</v>
      </c>
      <c r="M8">
        <v>0</v>
      </c>
      <c r="N8">
        <v>0</v>
      </c>
      <c r="O8">
        <v>4000</v>
      </c>
      <c r="P8">
        <v>39000</v>
      </c>
      <c r="Q8" t="s">
        <v>20</v>
      </c>
      <c r="R8">
        <v>99000</v>
      </c>
      <c r="S8">
        <v>39000</v>
      </c>
      <c r="T8">
        <v>120</v>
      </c>
      <c r="U8">
        <f t="shared" si="0"/>
        <v>4000</v>
      </c>
    </row>
    <row r="9" spans="1:21" x14ac:dyDescent="0.3">
      <c r="A9">
        <v>870</v>
      </c>
      <c r="B9">
        <v>589</v>
      </c>
      <c r="C9">
        <v>206</v>
      </c>
      <c r="D9">
        <v>3</v>
      </c>
      <c r="E9">
        <v>100000</v>
      </c>
      <c r="F9">
        <v>50000</v>
      </c>
      <c r="G9">
        <v>0</v>
      </c>
      <c r="H9">
        <v>0</v>
      </c>
      <c r="I9">
        <v>0</v>
      </c>
      <c r="J9">
        <v>20000</v>
      </c>
      <c r="K9">
        <v>10000</v>
      </c>
      <c r="L9">
        <v>56000</v>
      </c>
      <c r="M9">
        <v>0</v>
      </c>
      <c r="N9">
        <v>0</v>
      </c>
      <c r="O9">
        <v>0</v>
      </c>
      <c r="P9">
        <v>3000</v>
      </c>
      <c r="Q9" t="s">
        <v>20</v>
      </c>
      <c r="R9">
        <v>136000</v>
      </c>
      <c r="S9">
        <v>3000</v>
      </c>
      <c r="T9">
        <v>120</v>
      </c>
      <c r="U9">
        <f t="shared" si="0"/>
        <v>0</v>
      </c>
    </row>
    <row r="10" spans="1:21" x14ac:dyDescent="0.3">
      <c r="A10">
        <v>765</v>
      </c>
      <c r="B10">
        <v>590</v>
      </c>
      <c r="C10">
        <v>193</v>
      </c>
      <c r="D10">
        <v>0</v>
      </c>
      <c r="E10">
        <v>50000</v>
      </c>
      <c r="F10">
        <v>20000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21</v>
      </c>
      <c r="R10">
        <v>20000</v>
      </c>
      <c r="S10">
        <v>0</v>
      </c>
      <c r="T10">
        <v>117</v>
      </c>
      <c r="U10">
        <f t="shared" si="0"/>
        <v>0</v>
      </c>
    </row>
    <row r="11" spans="1:21" x14ac:dyDescent="0.3">
      <c r="A11">
        <v>777</v>
      </c>
      <c r="B11">
        <v>590</v>
      </c>
      <c r="C11">
        <v>195</v>
      </c>
      <c r="D11">
        <v>1</v>
      </c>
      <c r="E11">
        <v>50000</v>
      </c>
      <c r="F11">
        <v>20000</v>
      </c>
      <c r="G11">
        <v>0</v>
      </c>
      <c r="H11">
        <v>0</v>
      </c>
      <c r="I11">
        <v>0</v>
      </c>
      <c r="J11">
        <v>15000</v>
      </c>
      <c r="K11">
        <v>8000</v>
      </c>
      <c r="L11">
        <v>3000</v>
      </c>
      <c r="M11">
        <v>0</v>
      </c>
      <c r="N11">
        <v>0</v>
      </c>
      <c r="O11">
        <v>4000</v>
      </c>
      <c r="P11">
        <v>0</v>
      </c>
      <c r="Q11" t="s">
        <v>21</v>
      </c>
      <c r="R11">
        <v>50000</v>
      </c>
      <c r="S11">
        <v>0</v>
      </c>
      <c r="T11">
        <v>117</v>
      </c>
      <c r="U11">
        <f t="shared" si="0"/>
        <v>4000</v>
      </c>
    </row>
    <row r="12" spans="1:21" x14ac:dyDescent="0.3">
      <c r="A12">
        <v>824</v>
      </c>
      <c r="B12">
        <v>590</v>
      </c>
      <c r="C12">
        <v>200</v>
      </c>
      <c r="D12">
        <v>2</v>
      </c>
      <c r="E12">
        <v>50000</v>
      </c>
      <c r="F12">
        <v>20000</v>
      </c>
      <c r="G12">
        <v>0</v>
      </c>
      <c r="H12">
        <v>0</v>
      </c>
      <c r="I12">
        <v>0</v>
      </c>
      <c r="J12">
        <v>15000</v>
      </c>
      <c r="K12">
        <v>8000</v>
      </c>
      <c r="L12">
        <v>4000</v>
      </c>
      <c r="M12">
        <v>0</v>
      </c>
      <c r="N12">
        <v>0</v>
      </c>
      <c r="O12">
        <v>4000</v>
      </c>
      <c r="P12">
        <v>-1000</v>
      </c>
      <c r="Q12" t="s">
        <v>21</v>
      </c>
      <c r="R12">
        <v>51000</v>
      </c>
      <c r="S12">
        <v>-1000</v>
      </c>
      <c r="T12">
        <v>117</v>
      </c>
      <c r="U12">
        <f t="shared" si="0"/>
        <v>4000</v>
      </c>
    </row>
    <row r="13" spans="1:21" x14ac:dyDescent="0.3">
      <c r="A13">
        <v>869</v>
      </c>
      <c r="B13">
        <v>590</v>
      </c>
      <c r="C13">
        <v>206</v>
      </c>
      <c r="D13">
        <v>3</v>
      </c>
      <c r="E13">
        <v>50000</v>
      </c>
      <c r="F13">
        <v>20000</v>
      </c>
      <c r="G13">
        <v>1000</v>
      </c>
      <c r="H13">
        <v>0</v>
      </c>
      <c r="I13">
        <v>0</v>
      </c>
      <c r="J13">
        <v>20000</v>
      </c>
      <c r="K13">
        <v>8000</v>
      </c>
      <c r="L13">
        <v>0</v>
      </c>
      <c r="M13">
        <v>0</v>
      </c>
      <c r="N13">
        <v>0</v>
      </c>
      <c r="O13">
        <v>0</v>
      </c>
      <c r="P13">
        <v>1000</v>
      </c>
      <c r="Q13" t="s">
        <v>21</v>
      </c>
      <c r="R13">
        <v>48000</v>
      </c>
      <c r="S13">
        <v>1000</v>
      </c>
      <c r="T13">
        <v>117</v>
      </c>
      <c r="U13">
        <f t="shared" si="0"/>
        <v>0</v>
      </c>
    </row>
    <row r="14" spans="1:21" x14ac:dyDescent="0.3">
      <c r="A14">
        <v>770</v>
      </c>
      <c r="B14">
        <v>591</v>
      </c>
      <c r="C14">
        <v>193</v>
      </c>
      <c r="D14">
        <v>0</v>
      </c>
      <c r="E14">
        <v>80000</v>
      </c>
      <c r="F14">
        <v>40000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15000</v>
      </c>
      <c r="Q14" t="s">
        <v>22</v>
      </c>
      <c r="R14">
        <v>40000</v>
      </c>
      <c r="S14">
        <v>15000</v>
      </c>
      <c r="T14">
        <v>119</v>
      </c>
      <c r="U14">
        <f t="shared" si="0"/>
        <v>0</v>
      </c>
    </row>
    <row r="15" spans="1:21" x14ac:dyDescent="0.3">
      <c r="A15">
        <v>779</v>
      </c>
      <c r="B15">
        <v>591</v>
      </c>
      <c r="C15">
        <v>195</v>
      </c>
      <c r="D15">
        <v>1</v>
      </c>
      <c r="E15">
        <v>80000</v>
      </c>
      <c r="F15">
        <v>40000</v>
      </c>
      <c r="G15">
        <v>0</v>
      </c>
      <c r="H15">
        <v>0</v>
      </c>
      <c r="I15">
        <v>30000</v>
      </c>
      <c r="J15">
        <v>15000</v>
      </c>
      <c r="K15">
        <v>13000</v>
      </c>
      <c r="L15">
        <v>0</v>
      </c>
      <c r="M15">
        <v>0</v>
      </c>
      <c r="N15">
        <v>0</v>
      </c>
      <c r="O15">
        <v>4000</v>
      </c>
      <c r="P15">
        <v>-7000</v>
      </c>
      <c r="Q15" t="s">
        <v>22</v>
      </c>
      <c r="R15">
        <v>102000</v>
      </c>
      <c r="S15">
        <v>-7000</v>
      </c>
      <c r="T15">
        <v>119</v>
      </c>
      <c r="U15">
        <f t="shared" si="0"/>
        <v>4000</v>
      </c>
    </row>
    <row r="16" spans="1:21" x14ac:dyDescent="0.3">
      <c r="A16">
        <v>834</v>
      </c>
      <c r="B16">
        <v>591</v>
      </c>
      <c r="C16">
        <v>200</v>
      </c>
      <c r="D16">
        <v>2</v>
      </c>
      <c r="E16">
        <v>80000</v>
      </c>
      <c r="F16">
        <v>40000</v>
      </c>
      <c r="G16">
        <v>7000</v>
      </c>
      <c r="H16">
        <v>0</v>
      </c>
      <c r="I16">
        <v>0</v>
      </c>
      <c r="J16">
        <v>15000</v>
      </c>
      <c r="K16">
        <v>13000</v>
      </c>
      <c r="L16">
        <v>0</v>
      </c>
      <c r="M16">
        <v>0</v>
      </c>
      <c r="N16">
        <v>0</v>
      </c>
      <c r="O16">
        <v>4000</v>
      </c>
      <c r="P16">
        <v>1000</v>
      </c>
      <c r="Q16" t="s">
        <v>22</v>
      </c>
      <c r="R16">
        <v>72000</v>
      </c>
      <c r="S16">
        <v>1000</v>
      </c>
      <c r="T16">
        <v>119</v>
      </c>
      <c r="U16">
        <f t="shared" si="0"/>
        <v>4000</v>
      </c>
    </row>
    <row r="17" spans="1:21" x14ac:dyDescent="0.3">
      <c r="A17">
        <v>874</v>
      </c>
      <c r="B17">
        <v>591</v>
      </c>
      <c r="C17">
        <v>206</v>
      </c>
      <c r="D17">
        <v>3</v>
      </c>
      <c r="E17">
        <v>80000</v>
      </c>
      <c r="F17">
        <v>40000</v>
      </c>
      <c r="G17">
        <v>0</v>
      </c>
      <c r="H17">
        <v>56000</v>
      </c>
      <c r="I17">
        <v>0</v>
      </c>
      <c r="J17">
        <v>20000</v>
      </c>
      <c r="K17">
        <v>12500</v>
      </c>
      <c r="L17">
        <v>63250</v>
      </c>
      <c r="M17">
        <v>0</v>
      </c>
      <c r="N17">
        <v>0</v>
      </c>
      <c r="O17">
        <v>0</v>
      </c>
      <c r="P17">
        <v>1250</v>
      </c>
      <c r="Q17" t="s">
        <v>22</v>
      </c>
      <c r="R17">
        <v>135750</v>
      </c>
      <c r="S17">
        <v>1250</v>
      </c>
      <c r="T17">
        <v>119</v>
      </c>
      <c r="U17">
        <f t="shared" si="0"/>
        <v>0</v>
      </c>
    </row>
    <row r="18" spans="1:21" x14ac:dyDescent="0.3">
      <c r="A18">
        <v>763</v>
      </c>
      <c r="B18">
        <v>592</v>
      </c>
      <c r="C18">
        <v>193</v>
      </c>
      <c r="D18">
        <v>0</v>
      </c>
      <c r="E18">
        <v>120000</v>
      </c>
      <c r="F18">
        <v>65000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50000</v>
      </c>
      <c r="Q18" t="s">
        <v>23</v>
      </c>
      <c r="R18">
        <v>65000</v>
      </c>
      <c r="S18">
        <v>50000</v>
      </c>
      <c r="T18">
        <v>121</v>
      </c>
      <c r="U18">
        <f t="shared" si="0"/>
        <v>0</v>
      </c>
    </row>
    <row r="19" spans="1:21" x14ac:dyDescent="0.3">
      <c r="A19">
        <v>778</v>
      </c>
      <c r="B19">
        <v>592</v>
      </c>
      <c r="C19">
        <v>195</v>
      </c>
      <c r="D19">
        <v>1</v>
      </c>
      <c r="E19">
        <v>120000</v>
      </c>
      <c r="F19">
        <v>65000</v>
      </c>
      <c r="G19">
        <v>0</v>
      </c>
      <c r="H19">
        <v>0</v>
      </c>
      <c r="I19">
        <v>0</v>
      </c>
      <c r="J19">
        <v>15000</v>
      </c>
      <c r="K19">
        <v>16000</v>
      </c>
      <c r="L19">
        <v>28000</v>
      </c>
      <c r="M19">
        <v>0</v>
      </c>
      <c r="N19">
        <v>0</v>
      </c>
      <c r="O19">
        <v>4000</v>
      </c>
      <c r="P19">
        <v>42000</v>
      </c>
      <c r="Q19" t="s">
        <v>23</v>
      </c>
      <c r="R19">
        <v>128000</v>
      </c>
      <c r="S19">
        <v>42000</v>
      </c>
      <c r="T19">
        <v>121</v>
      </c>
      <c r="U19">
        <f t="shared" si="0"/>
        <v>4000</v>
      </c>
    </row>
    <row r="20" spans="1:21" x14ac:dyDescent="0.3">
      <c r="A20">
        <v>835</v>
      </c>
      <c r="B20">
        <v>592</v>
      </c>
      <c r="C20">
        <v>200</v>
      </c>
      <c r="D20">
        <v>2</v>
      </c>
      <c r="E20">
        <v>120000</v>
      </c>
      <c r="F20">
        <v>65000</v>
      </c>
      <c r="G20">
        <v>0</v>
      </c>
      <c r="H20">
        <v>16000</v>
      </c>
      <c r="I20">
        <v>0</v>
      </c>
      <c r="J20">
        <v>15000</v>
      </c>
      <c r="K20">
        <v>20000</v>
      </c>
      <c r="L20">
        <v>20000</v>
      </c>
      <c r="M20">
        <v>0</v>
      </c>
      <c r="N20">
        <v>0</v>
      </c>
      <c r="O20">
        <v>4000</v>
      </c>
      <c r="P20">
        <v>54000</v>
      </c>
      <c r="Q20" t="s">
        <v>23</v>
      </c>
      <c r="R20">
        <v>124000</v>
      </c>
      <c r="S20">
        <v>54000</v>
      </c>
      <c r="T20">
        <v>121</v>
      </c>
      <c r="U20">
        <f t="shared" si="0"/>
        <v>4000</v>
      </c>
    </row>
    <row r="21" spans="1:21" x14ac:dyDescent="0.3">
      <c r="A21">
        <v>873</v>
      </c>
      <c r="B21">
        <v>592</v>
      </c>
      <c r="C21">
        <v>206</v>
      </c>
      <c r="D21">
        <v>3</v>
      </c>
      <c r="E21">
        <v>120000</v>
      </c>
      <c r="F21">
        <v>65000</v>
      </c>
      <c r="G21">
        <v>0</v>
      </c>
      <c r="H21">
        <v>0</v>
      </c>
      <c r="I21">
        <v>0</v>
      </c>
      <c r="J21">
        <v>20000</v>
      </c>
      <c r="K21">
        <v>20000</v>
      </c>
      <c r="L21">
        <v>32000</v>
      </c>
      <c r="M21">
        <v>0</v>
      </c>
      <c r="N21">
        <v>0</v>
      </c>
      <c r="O21">
        <v>0</v>
      </c>
      <c r="P21">
        <v>37000</v>
      </c>
      <c r="Q21" t="s">
        <v>23</v>
      </c>
      <c r="R21">
        <v>137000</v>
      </c>
      <c r="S21">
        <v>37000</v>
      </c>
      <c r="T21">
        <v>121</v>
      </c>
      <c r="U21">
        <f t="shared" si="0"/>
        <v>0</v>
      </c>
    </row>
    <row r="22" spans="1:21" x14ac:dyDescent="0.3">
      <c r="A22">
        <v>771</v>
      </c>
      <c r="B22">
        <v>593</v>
      </c>
      <c r="C22">
        <v>193</v>
      </c>
      <c r="D22">
        <v>0</v>
      </c>
      <c r="E22">
        <v>180000</v>
      </c>
      <c r="F22">
        <v>105000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80000</v>
      </c>
      <c r="Q22" t="s">
        <v>24</v>
      </c>
      <c r="R22">
        <v>105000</v>
      </c>
      <c r="S22">
        <v>80000</v>
      </c>
      <c r="T22">
        <v>122</v>
      </c>
      <c r="U22">
        <f t="shared" si="0"/>
        <v>0</v>
      </c>
    </row>
    <row r="23" spans="1:21" x14ac:dyDescent="0.3">
      <c r="A23">
        <v>775</v>
      </c>
      <c r="B23">
        <v>593</v>
      </c>
      <c r="C23">
        <v>195</v>
      </c>
      <c r="D23">
        <v>1</v>
      </c>
      <c r="E23">
        <v>180000</v>
      </c>
      <c r="F23">
        <v>105000</v>
      </c>
      <c r="G23">
        <v>0</v>
      </c>
      <c r="H23">
        <v>0</v>
      </c>
      <c r="I23">
        <v>0</v>
      </c>
      <c r="J23">
        <v>20000</v>
      </c>
      <c r="K23">
        <v>20000</v>
      </c>
      <c r="L23">
        <v>40000</v>
      </c>
      <c r="M23">
        <v>0</v>
      </c>
      <c r="N23">
        <v>0</v>
      </c>
      <c r="O23">
        <v>0</v>
      </c>
      <c r="P23">
        <v>75000</v>
      </c>
      <c r="Q23" t="s">
        <v>24</v>
      </c>
      <c r="R23">
        <v>185000</v>
      </c>
      <c r="S23">
        <v>75000</v>
      </c>
      <c r="T23">
        <v>122</v>
      </c>
      <c r="U23">
        <f t="shared" si="0"/>
        <v>0</v>
      </c>
    </row>
    <row r="24" spans="1:21" x14ac:dyDescent="0.3">
      <c r="A24">
        <v>821</v>
      </c>
      <c r="B24">
        <v>593</v>
      </c>
      <c r="C24">
        <v>200</v>
      </c>
      <c r="D24">
        <v>2</v>
      </c>
      <c r="E24">
        <v>180000</v>
      </c>
      <c r="F24">
        <v>105000</v>
      </c>
      <c r="G24">
        <v>0</v>
      </c>
      <c r="H24">
        <v>0</v>
      </c>
      <c r="I24">
        <v>0</v>
      </c>
      <c r="J24">
        <v>15000</v>
      </c>
      <c r="K24">
        <v>20000</v>
      </c>
      <c r="L24">
        <v>68000</v>
      </c>
      <c r="M24">
        <v>0</v>
      </c>
      <c r="N24">
        <v>0</v>
      </c>
      <c r="O24">
        <v>4000</v>
      </c>
      <c r="P24">
        <v>43000</v>
      </c>
      <c r="Q24" t="s">
        <v>24</v>
      </c>
      <c r="R24">
        <v>212000</v>
      </c>
      <c r="S24">
        <v>43000</v>
      </c>
      <c r="T24">
        <v>122</v>
      </c>
      <c r="U24">
        <f t="shared" si="0"/>
        <v>4000</v>
      </c>
    </row>
    <row r="25" spans="1:21" x14ac:dyDescent="0.3">
      <c r="A25">
        <v>872</v>
      </c>
      <c r="B25">
        <v>593</v>
      </c>
      <c r="C25">
        <v>206</v>
      </c>
      <c r="D25">
        <v>3</v>
      </c>
      <c r="E25">
        <v>180000</v>
      </c>
      <c r="F25">
        <v>105000</v>
      </c>
      <c r="G25">
        <v>0</v>
      </c>
      <c r="H25">
        <v>0</v>
      </c>
      <c r="I25">
        <v>0</v>
      </c>
      <c r="J25">
        <v>20000</v>
      </c>
      <c r="K25">
        <v>20000</v>
      </c>
      <c r="L25">
        <v>33000</v>
      </c>
      <c r="M25">
        <v>0</v>
      </c>
      <c r="N25">
        <v>0</v>
      </c>
      <c r="O25">
        <v>0</v>
      </c>
      <c r="P25">
        <v>45000</v>
      </c>
      <c r="Q25" t="s">
        <v>24</v>
      </c>
      <c r="R25">
        <v>178000</v>
      </c>
      <c r="S25">
        <v>45000</v>
      </c>
      <c r="T25">
        <v>122</v>
      </c>
      <c r="U25">
        <f t="shared" si="0"/>
        <v>0</v>
      </c>
    </row>
    <row r="26" spans="1:21" x14ac:dyDescent="0.3">
      <c r="A26">
        <v>749</v>
      </c>
      <c r="B26">
        <v>594</v>
      </c>
      <c r="C26">
        <v>193</v>
      </c>
      <c r="D26">
        <v>0</v>
      </c>
      <c r="E26">
        <v>100000</v>
      </c>
      <c r="F26">
        <v>50000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30000</v>
      </c>
      <c r="Q26" t="s">
        <v>25</v>
      </c>
      <c r="R26">
        <v>50000</v>
      </c>
      <c r="S26">
        <v>30000</v>
      </c>
      <c r="T26">
        <v>120</v>
      </c>
      <c r="U26">
        <f t="shared" si="0"/>
        <v>0</v>
      </c>
    </row>
    <row r="27" spans="1:21" x14ac:dyDescent="0.3">
      <c r="A27">
        <v>776</v>
      </c>
      <c r="B27">
        <v>594</v>
      </c>
      <c r="C27">
        <v>195</v>
      </c>
      <c r="D27">
        <v>1</v>
      </c>
      <c r="E27">
        <v>100000</v>
      </c>
      <c r="F27">
        <v>50000</v>
      </c>
      <c r="G27">
        <v>0</v>
      </c>
      <c r="H27">
        <v>0</v>
      </c>
      <c r="I27">
        <v>30000</v>
      </c>
      <c r="J27">
        <v>20000</v>
      </c>
      <c r="K27">
        <v>17000</v>
      </c>
      <c r="L27">
        <v>6000</v>
      </c>
      <c r="M27">
        <v>0</v>
      </c>
      <c r="N27">
        <v>0</v>
      </c>
      <c r="O27">
        <v>0</v>
      </c>
      <c r="P27">
        <v>7000</v>
      </c>
      <c r="Q27" t="s">
        <v>25</v>
      </c>
      <c r="R27">
        <v>123000</v>
      </c>
      <c r="S27">
        <v>7000</v>
      </c>
      <c r="T27">
        <v>120</v>
      </c>
      <c r="U27">
        <f t="shared" si="0"/>
        <v>0</v>
      </c>
    </row>
    <row r="28" spans="1:21" x14ac:dyDescent="0.3">
      <c r="A28">
        <v>822</v>
      </c>
      <c r="B28">
        <v>594</v>
      </c>
      <c r="C28">
        <v>200</v>
      </c>
      <c r="D28">
        <v>2</v>
      </c>
      <c r="E28">
        <v>100000</v>
      </c>
      <c r="F28">
        <v>50000</v>
      </c>
      <c r="G28">
        <v>0</v>
      </c>
      <c r="H28">
        <v>0</v>
      </c>
      <c r="I28">
        <v>0</v>
      </c>
      <c r="J28">
        <v>20000</v>
      </c>
      <c r="K28">
        <v>17000</v>
      </c>
      <c r="L28">
        <v>15000</v>
      </c>
      <c r="M28">
        <v>0</v>
      </c>
      <c r="N28">
        <v>0</v>
      </c>
      <c r="O28">
        <v>4000</v>
      </c>
      <c r="P28">
        <v>1000</v>
      </c>
      <c r="Q28" t="s">
        <v>25</v>
      </c>
      <c r="R28">
        <v>106000</v>
      </c>
      <c r="S28">
        <v>1000</v>
      </c>
      <c r="T28">
        <v>120</v>
      </c>
      <c r="U28">
        <f t="shared" si="0"/>
        <v>4000</v>
      </c>
    </row>
    <row r="29" spans="1:21" x14ac:dyDescent="0.3">
      <c r="A29">
        <v>868</v>
      </c>
      <c r="B29">
        <v>594</v>
      </c>
      <c r="C29">
        <v>206</v>
      </c>
      <c r="D29">
        <v>3</v>
      </c>
      <c r="E29">
        <v>100000</v>
      </c>
      <c r="F29">
        <v>50000</v>
      </c>
      <c r="G29">
        <v>0</v>
      </c>
      <c r="H29">
        <v>0</v>
      </c>
      <c r="I29">
        <v>0</v>
      </c>
      <c r="J29">
        <v>20000</v>
      </c>
      <c r="K29">
        <v>17000</v>
      </c>
      <c r="L29">
        <v>12000</v>
      </c>
      <c r="M29">
        <v>0</v>
      </c>
      <c r="N29">
        <v>0</v>
      </c>
      <c r="O29">
        <v>0</v>
      </c>
      <c r="P29">
        <v>2000</v>
      </c>
      <c r="Q29" t="s">
        <v>25</v>
      </c>
      <c r="R29">
        <v>99000</v>
      </c>
      <c r="S29">
        <v>2000</v>
      </c>
      <c r="T29">
        <v>120</v>
      </c>
      <c r="U29">
        <f t="shared" si="0"/>
        <v>0</v>
      </c>
    </row>
    <row r="30" spans="1:21" x14ac:dyDescent="0.3">
      <c r="A30">
        <v>756</v>
      </c>
      <c r="B30">
        <v>595</v>
      </c>
      <c r="C30">
        <v>193</v>
      </c>
      <c r="D30">
        <v>0</v>
      </c>
      <c r="E30">
        <v>100000</v>
      </c>
      <c r="F30">
        <v>50000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30000</v>
      </c>
      <c r="Q30" t="s">
        <v>26</v>
      </c>
      <c r="R30">
        <v>50000</v>
      </c>
      <c r="S30">
        <v>30000</v>
      </c>
      <c r="T30">
        <v>120</v>
      </c>
      <c r="U30">
        <f t="shared" si="0"/>
        <v>0</v>
      </c>
    </row>
    <row r="31" spans="1:21" x14ac:dyDescent="0.3">
      <c r="A31">
        <v>610</v>
      </c>
      <c r="B31">
        <v>516</v>
      </c>
      <c r="C31">
        <v>170</v>
      </c>
      <c r="D31">
        <v>0</v>
      </c>
      <c r="E31">
        <v>65000</v>
      </c>
      <c r="F31">
        <v>30000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5000</v>
      </c>
      <c r="Q31" t="s">
        <v>27</v>
      </c>
      <c r="R31">
        <v>30000</v>
      </c>
      <c r="S31">
        <v>5000</v>
      </c>
      <c r="T31">
        <v>118</v>
      </c>
      <c r="U31">
        <f t="shared" si="0"/>
        <v>0</v>
      </c>
    </row>
    <row r="32" spans="1:21" x14ac:dyDescent="0.3">
      <c r="A32">
        <v>655</v>
      </c>
      <c r="B32">
        <v>516</v>
      </c>
      <c r="C32">
        <v>179</v>
      </c>
      <c r="D32">
        <v>1</v>
      </c>
      <c r="E32">
        <v>65000</v>
      </c>
      <c r="F32">
        <v>30000</v>
      </c>
      <c r="G32">
        <v>0</v>
      </c>
      <c r="H32">
        <v>0</v>
      </c>
      <c r="I32">
        <v>1000</v>
      </c>
      <c r="J32">
        <v>15000</v>
      </c>
      <c r="K32">
        <v>11000</v>
      </c>
      <c r="L32">
        <v>12000</v>
      </c>
      <c r="M32">
        <v>0</v>
      </c>
      <c r="N32">
        <v>0</v>
      </c>
      <c r="O32">
        <v>0</v>
      </c>
      <c r="P32">
        <v>1000</v>
      </c>
      <c r="Q32" t="s">
        <v>27</v>
      </c>
      <c r="R32">
        <v>69000</v>
      </c>
      <c r="S32">
        <v>1000</v>
      </c>
      <c r="T32">
        <v>118</v>
      </c>
      <c r="U32">
        <f t="shared" si="0"/>
        <v>0</v>
      </c>
    </row>
    <row r="33" spans="1:21" x14ac:dyDescent="0.3">
      <c r="A33">
        <v>685</v>
      </c>
      <c r="B33">
        <v>516</v>
      </c>
      <c r="C33">
        <v>183</v>
      </c>
      <c r="D33">
        <v>2</v>
      </c>
      <c r="E33">
        <v>65000</v>
      </c>
      <c r="F33">
        <v>30000</v>
      </c>
      <c r="G33">
        <v>0</v>
      </c>
      <c r="H33">
        <v>0</v>
      </c>
      <c r="I33">
        <v>0</v>
      </c>
      <c r="J33">
        <v>15000</v>
      </c>
      <c r="K33">
        <v>11000</v>
      </c>
      <c r="L33">
        <v>0</v>
      </c>
      <c r="M33">
        <v>0</v>
      </c>
      <c r="N33">
        <v>0</v>
      </c>
      <c r="O33">
        <v>0</v>
      </c>
      <c r="P33">
        <v>-1000</v>
      </c>
      <c r="Q33" t="s">
        <v>27</v>
      </c>
      <c r="R33">
        <v>56000</v>
      </c>
      <c r="S33">
        <v>10000</v>
      </c>
      <c r="T33">
        <v>118</v>
      </c>
      <c r="U33">
        <f t="shared" si="0"/>
        <v>0</v>
      </c>
    </row>
    <row r="34" spans="1:21" x14ac:dyDescent="0.3">
      <c r="A34">
        <v>719</v>
      </c>
      <c r="B34">
        <v>516</v>
      </c>
      <c r="C34">
        <v>188</v>
      </c>
      <c r="D34">
        <v>3</v>
      </c>
      <c r="E34">
        <v>65000</v>
      </c>
      <c r="F34">
        <v>30000</v>
      </c>
      <c r="G34">
        <v>1000</v>
      </c>
      <c r="H34">
        <v>0</v>
      </c>
      <c r="I34">
        <v>0</v>
      </c>
      <c r="J34">
        <v>30000</v>
      </c>
      <c r="K34">
        <v>11000</v>
      </c>
      <c r="L34">
        <v>0</v>
      </c>
      <c r="M34">
        <v>0</v>
      </c>
      <c r="N34">
        <v>0</v>
      </c>
      <c r="O34">
        <v>0</v>
      </c>
      <c r="P34">
        <v>-7000</v>
      </c>
      <c r="Q34" t="s">
        <v>27</v>
      </c>
      <c r="R34">
        <v>71000</v>
      </c>
      <c r="S34">
        <v>4000</v>
      </c>
      <c r="T34">
        <v>118</v>
      </c>
      <c r="U34">
        <f t="shared" si="0"/>
        <v>0</v>
      </c>
    </row>
    <row r="35" spans="1:21" x14ac:dyDescent="0.3">
      <c r="A35">
        <v>611</v>
      </c>
      <c r="B35">
        <v>517</v>
      </c>
      <c r="C35">
        <v>170</v>
      </c>
      <c r="D35">
        <v>0</v>
      </c>
      <c r="E35">
        <v>100000</v>
      </c>
      <c r="F35">
        <v>50000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30000</v>
      </c>
      <c r="Q35" t="s">
        <v>28</v>
      </c>
      <c r="R35">
        <v>50000</v>
      </c>
      <c r="S35">
        <v>30000</v>
      </c>
      <c r="T35">
        <v>120</v>
      </c>
      <c r="U35">
        <f t="shared" si="0"/>
        <v>0</v>
      </c>
    </row>
    <row r="36" spans="1:21" x14ac:dyDescent="0.3">
      <c r="A36">
        <v>651</v>
      </c>
      <c r="B36">
        <v>517</v>
      </c>
      <c r="C36">
        <v>179</v>
      </c>
      <c r="D36">
        <v>1</v>
      </c>
      <c r="E36">
        <v>100000</v>
      </c>
      <c r="F36">
        <v>50000</v>
      </c>
      <c r="G36">
        <v>0</v>
      </c>
      <c r="H36">
        <v>0</v>
      </c>
      <c r="I36">
        <v>0</v>
      </c>
      <c r="J36">
        <v>20000</v>
      </c>
      <c r="K36">
        <v>16000</v>
      </c>
      <c r="L36">
        <v>32000</v>
      </c>
      <c r="M36">
        <v>0</v>
      </c>
      <c r="N36">
        <v>0</v>
      </c>
      <c r="O36">
        <v>0</v>
      </c>
      <c r="P36">
        <v>12000</v>
      </c>
      <c r="Q36" t="s">
        <v>28</v>
      </c>
      <c r="R36">
        <v>118000</v>
      </c>
      <c r="S36">
        <v>12000</v>
      </c>
      <c r="T36">
        <v>120</v>
      </c>
      <c r="U36">
        <f t="shared" si="0"/>
        <v>0</v>
      </c>
    </row>
    <row r="37" spans="1:21" x14ac:dyDescent="0.3">
      <c r="A37">
        <v>681</v>
      </c>
      <c r="B37">
        <v>517</v>
      </c>
      <c r="C37">
        <v>183</v>
      </c>
      <c r="D37">
        <v>2</v>
      </c>
      <c r="E37">
        <v>100000</v>
      </c>
      <c r="F37">
        <v>50000</v>
      </c>
      <c r="G37">
        <v>0</v>
      </c>
      <c r="H37">
        <v>0</v>
      </c>
      <c r="I37">
        <v>0</v>
      </c>
      <c r="J37">
        <v>20000</v>
      </c>
      <c r="K37">
        <v>16000</v>
      </c>
      <c r="L37">
        <v>18000</v>
      </c>
      <c r="M37">
        <v>0</v>
      </c>
      <c r="N37">
        <v>0</v>
      </c>
      <c r="O37">
        <v>0</v>
      </c>
      <c r="P37">
        <v>8000</v>
      </c>
      <c r="Q37" t="s">
        <v>28</v>
      </c>
      <c r="R37">
        <v>104000</v>
      </c>
      <c r="S37">
        <v>8000</v>
      </c>
      <c r="T37">
        <v>120</v>
      </c>
      <c r="U37">
        <f t="shared" si="0"/>
        <v>0</v>
      </c>
    </row>
    <row r="38" spans="1:21" x14ac:dyDescent="0.3">
      <c r="A38">
        <v>724</v>
      </c>
      <c r="B38">
        <v>517</v>
      </c>
      <c r="C38">
        <v>188</v>
      </c>
      <c r="D38">
        <v>3</v>
      </c>
      <c r="E38">
        <v>100000</v>
      </c>
      <c r="F38">
        <v>50000</v>
      </c>
      <c r="G38">
        <v>0</v>
      </c>
      <c r="H38">
        <v>0</v>
      </c>
      <c r="I38">
        <v>0</v>
      </c>
      <c r="J38">
        <v>20000</v>
      </c>
      <c r="K38">
        <v>16000</v>
      </c>
      <c r="L38">
        <v>16000</v>
      </c>
      <c r="M38">
        <v>0</v>
      </c>
      <c r="N38">
        <v>0</v>
      </c>
      <c r="O38">
        <v>4000</v>
      </c>
      <c r="P38">
        <v>2000</v>
      </c>
      <c r="Q38" t="s">
        <v>28</v>
      </c>
      <c r="R38">
        <v>106000</v>
      </c>
      <c r="S38">
        <v>2000</v>
      </c>
      <c r="T38">
        <v>120</v>
      </c>
      <c r="U38">
        <f t="shared" si="0"/>
        <v>4000</v>
      </c>
    </row>
    <row r="39" spans="1:21" x14ac:dyDescent="0.3">
      <c r="A39">
        <v>612</v>
      </c>
      <c r="B39">
        <v>518</v>
      </c>
      <c r="C39">
        <v>170</v>
      </c>
      <c r="D39">
        <v>0</v>
      </c>
      <c r="E39">
        <v>50000</v>
      </c>
      <c r="F39">
        <v>20000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29</v>
      </c>
      <c r="R39">
        <v>20000</v>
      </c>
      <c r="S39">
        <v>0</v>
      </c>
      <c r="T39">
        <v>117</v>
      </c>
      <c r="U39">
        <f t="shared" si="0"/>
        <v>0</v>
      </c>
    </row>
    <row r="40" spans="1:21" x14ac:dyDescent="0.3">
      <c r="A40">
        <v>653</v>
      </c>
      <c r="B40">
        <v>518</v>
      </c>
      <c r="C40">
        <v>179</v>
      </c>
      <c r="D40">
        <v>1</v>
      </c>
      <c r="E40">
        <v>50000</v>
      </c>
      <c r="F40">
        <v>20000</v>
      </c>
      <c r="G40">
        <v>0</v>
      </c>
      <c r="H40">
        <v>0</v>
      </c>
      <c r="I40">
        <v>0</v>
      </c>
      <c r="J40">
        <v>20000</v>
      </c>
      <c r="K40">
        <v>7000</v>
      </c>
      <c r="L40">
        <v>3000</v>
      </c>
      <c r="M40">
        <v>0</v>
      </c>
      <c r="N40">
        <v>0</v>
      </c>
      <c r="O40">
        <v>0</v>
      </c>
      <c r="P40">
        <v>0</v>
      </c>
      <c r="Q40" t="s">
        <v>29</v>
      </c>
      <c r="R40">
        <v>50000</v>
      </c>
      <c r="S40">
        <v>0</v>
      </c>
      <c r="T40">
        <v>117</v>
      </c>
      <c r="U40">
        <f t="shared" si="0"/>
        <v>0</v>
      </c>
    </row>
    <row r="41" spans="1:21" x14ac:dyDescent="0.3">
      <c r="A41">
        <v>682</v>
      </c>
      <c r="B41">
        <v>518</v>
      </c>
      <c r="C41">
        <v>183</v>
      </c>
      <c r="D41">
        <v>2</v>
      </c>
      <c r="E41">
        <v>50000</v>
      </c>
      <c r="F41">
        <v>20000</v>
      </c>
      <c r="G41">
        <v>0</v>
      </c>
      <c r="H41">
        <v>0</v>
      </c>
      <c r="I41">
        <v>0</v>
      </c>
      <c r="J41">
        <v>20000</v>
      </c>
      <c r="K41">
        <v>7000</v>
      </c>
      <c r="L41">
        <v>0</v>
      </c>
      <c r="M41">
        <v>0</v>
      </c>
      <c r="N41">
        <v>0</v>
      </c>
      <c r="O41">
        <v>0</v>
      </c>
      <c r="P41">
        <v>3000</v>
      </c>
      <c r="Q41" t="s">
        <v>29</v>
      </c>
      <c r="R41">
        <v>47000</v>
      </c>
      <c r="S41">
        <v>3000</v>
      </c>
      <c r="T41">
        <v>117</v>
      </c>
      <c r="U41">
        <f t="shared" si="0"/>
        <v>0</v>
      </c>
    </row>
    <row r="42" spans="1:21" x14ac:dyDescent="0.3">
      <c r="A42">
        <v>722</v>
      </c>
      <c r="B42">
        <v>518</v>
      </c>
      <c r="C42">
        <v>188</v>
      </c>
      <c r="D42">
        <v>3</v>
      </c>
      <c r="E42">
        <v>50000</v>
      </c>
      <c r="F42">
        <v>20000</v>
      </c>
      <c r="G42">
        <v>0</v>
      </c>
      <c r="H42">
        <v>9000</v>
      </c>
      <c r="I42">
        <v>20000</v>
      </c>
      <c r="J42">
        <v>30000</v>
      </c>
      <c r="K42">
        <v>8000</v>
      </c>
      <c r="L42">
        <v>0</v>
      </c>
      <c r="M42">
        <v>0</v>
      </c>
      <c r="N42">
        <v>0</v>
      </c>
      <c r="O42">
        <v>0</v>
      </c>
      <c r="P42">
        <v>-16000</v>
      </c>
      <c r="Q42" t="s">
        <v>29</v>
      </c>
      <c r="R42">
        <v>78000</v>
      </c>
      <c r="S42">
        <v>-16000</v>
      </c>
      <c r="T42">
        <v>117</v>
      </c>
      <c r="U42">
        <f t="shared" si="0"/>
        <v>0</v>
      </c>
    </row>
    <row r="43" spans="1:21" x14ac:dyDescent="0.3">
      <c r="A43">
        <v>616</v>
      </c>
      <c r="B43">
        <v>519</v>
      </c>
      <c r="C43">
        <v>170</v>
      </c>
      <c r="D43">
        <v>0</v>
      </c>
      <c r="E43">
        <v>80000</v>
      </c>
      <c r="F43">
        <v>40000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15000</v>
      </c>
      <c r="Q43" t="s">
        <v>30</v>
      </c>
      <c r="R43">
        <v>40000</v>
      </c>
      <c r="S43">
        <v>15000</v>
      </c>
      <c r="T43">
        <v>119</v>
      </c>
      <c r="U43">
        <f t="shared" si="0"/>
        <v>0</v>
      </c>
    </row>
    <row r="44" spans="1:21" x14ac:dyDescent="0.3">
      <c r="A44">
        <v>654</v>
      </c>
      <c r="B44">
        <v>519</v>
      </c>
      <c r="C44">
        <v>179</v>
      </c>
      <c r="D44">
        <v>1</v>
      </c>
      <c r="E44">
        <v>80000</v>
      </c>
      <c r="F44">
        <v>40000</v>
      </c>
      <c r="G44">
        <v>0</v>
      </c>
      <c r="H44">
        <v>0</v>
      </c>
      <c r="I44">
        <v>0</v>
      </c>
      <c r="J44">
        <v>20000</v>
      </c>
      <c r="K44">
        <v>12500</v>
      </c>
      <c r="L44">
        <v>15000</v>
      </c>
      <c r="M44">
        <v>0</v>
      </c>
      <c r="N44">
        <v>0</v>
      </c>
      <c r="O44">
        <v>0</v>
      </c>
      <c r="P44">
        <v>7500</v>
      </c>
      <c r="Q44" t="s">
        <v>30</v>
      </c>
      <c r="R44">
        <v>87500</v>
      </c>
      <c r="S44">
        <v>7500</v>
      </c>
      <c r="T44">
        <v>119</v>
      </c>
      <c r="U44">
        <f t="shared" si="0"/>
        <v>0</v>
      </c>
    </row>
    <row r="45" spans="1:21" x14ac:dyDescent="0.3">
      <c r="A45">
        <v>684</v>
      </c>
      <c r="B45">
        <v>519</v>
      </c>
      <c r="C45">
        <v>183</v>
      </c>
      <c r="D45">
        <v>2</v>
      </c>
      <c r="E45">
        <v>80000</v>
      </c>
      <c r="F45">
        <v>40000</v>
      </c>
      <c r="G45">
        <v>0</v>
      </c>
      <c r="H45">
        <v>0</v>
      </c>
      <c r="I45">
        <v>0</v>
      </c>
      <c r="J45">
        <v>20000</v>
      </c>
      <c r="K45">
        <v>12500</v>
      </c>
      <c r="L45">
        <v>6250</v>
      </c>
      <c r="M45">
        <v>0</v>
      </c>
      <c r="N45">
        <v>0</v>
      </c>
      <c r="O45">
        <v>0</v>
      </c>
      <c r="P45">
        <v>8750</v>
      </c>
      <c r="Q45" t="s">
        <v>30</v>
      </c>
      <c r="R45">
        <v>78750</v>
      </c>
      <c r="S45">
        <v>8750</v>
      </c>
      <c r="T45">
        <v>119</v>
      </c>
      <c r="U45">
        <f t="shared" si="0"/>
        <v>0</v>
      </c>
    </row>
    <row r="46" spans="1:21" x14ac:dyDescent="0.3">
      <c r="A46">
        <v>723</v>
      </c>
      <c r="B46">
        <v>519</v>
      </c>
      <c r="C46">
        <v>188</v>
      </c>
      <c r="D46">
        <v>3</v>
      </c>
      <c r="E46">
        <v>80000</v>
      </c>
      <c r="F46">
        <v>40000</v>
      </c>
      <c r="G46">
        <v>0</v>
      </c>
      <c r="H46">
        <v>20000</v>
      </c>
      <c r="I46">
        <v>0</v>
      </c>
      <c r="J46">
        <v>20000</v>
      </c>
      <c r="K46">
        <v>12500</v>
      </c>
      <c r="L46">
        <v>23500</v>
      </c>
      <c r="M46">
        <v>0</v>
      </c>
      <c r="N46">
        <v>0</v>
      </c>
      <c r="O46">
        <v>0</v>
      </c>
      <c r="P46">
        <v>12750</v>
      </c>
      <c r="Q46" t="s">
        <v>30</v>
      </c>
      <c r="R46">
        <v>96000</v>
      </c>
      <c r="S46">
        <v>12750</v>
      </c>
      <c r="T46">
        <v>119</v>
      </c>
      <c r="U46">
        <f t="shared" si="0"/>
        <v>0</v>
      </c>
    </row>
    <row r="47" spans="1:21" x14ac:dyDescent="0.3">
      <c r="A47">
        <v>618</v>
      </c>
      <c r="B47">
        <v>520</v>
      </c>
      <c r="C47">
        <v>170</v>
      </c>
      <c r="D47">
        <v>0</v>
      </c>
      <c r="E47">
        <v>120000</v>
      </c>
      <c r="F47">
        <v>65000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50000</v>
      </c>
      <c r="Q47" t="s">
        <v>31</v>
      </c>
      <c r="R47">
        <v>65000</v>
      </c>
      <c r="S47">
        <v>50000</v>
      </c>
      <c r="T47">
        <v>121</v>
      </c>
      <c r="U47">
        <f t="shared" si="0"/>
        <v>0</v>
      </c>
    </row>
    <row r="48" spans="1:21" x14ac:dyDescent="0.3">
      <c r="A48">
        <v>650</v>
      </c>
      <c r="B48">
        <v>520</v>
      </c>
      <c r="C48">
        <v>179</v>
      </c>
      <c r="D48">
        <v>1</v>
      </c>
      <c r="E48">
        <v>120000</v>
      </c>
      <c r="F48">
        <v>65000</v>
      </c>
      <c r="G48">
        <v>0</v>
      </c>
      <c r="H48">
        <v>0</v>
      </c>
      <c r="I48">
        <v>0</v>
      </c>
      <c r="J48">
        <v>15000</v>
      </c>
      <c r="K48">
        <v>20000</v>
      </c>
      <c r="L48">
        <v>58000</v>
      </c>
      <c r="M48">
        <v>0</v>
      </c>
      <c r="N48">
        <v>0</v>
      </c>
      <c r="O48">
        <v>0</v>
      </c>
      <c r="P48">
        <v>12000</v>
      </c>
      <c r="Q48" t="s">
        <v>31</v>
      </c>
      <c r="R48">
        <v>158000</v>
      </c>
      <c r="S48">
        <v>12000</v>
      </c>
      <c r="T48">
        <v>121</v>
      </c>
      <c r="U48">
        <f t="shared" si="0"/>
        <v>0</v>
      </c>
    </row>
    <row r="49" spans="1:21" x14ac:dyDescent="0.3">
      <c r="A49">
        <v>683</v>
      </c>
      <c r="B49">
        <v>520</v>
      </c>
      <c r="C49">
        <v>183</v>
      </c>
      <c r="D49">
        <v>2</v>
      </c>
      <c r="E49">
        <v>120000</v>
      </c>
      <c r="F49">
        <v>65000</v>
      </c>
      <c r="G49">
        <v>0</v>
      </c>
      <c r="H49">
        <v>0</v>
      </c>
      <c r="I49">
        <v>0</v>
      </c>
      <c r="J49">
        <v>15000</v>
      </c>
      <c r="K49">
        <v>20000</v>
      </c>
      <c r="L49">
        <v>12000</v>
      </c>
      <c r="M49">
        <v>0</v>
      </c>
      <c r="N49">
        <v>0</v>
      </c>
      <c r="O49">
        <v>0</v>
      </c>
      <c r="P49">
        <v>20000</v>
      </c>
      <c r="Q49" t="s">
        <v>31</v>
      </c>
      <c r="R49">
        <v>112000</v>
      </c>
      <c r="S49">
        <v>20000</v>
      </c>
      <c r="T49">
        <v>121</v>
      </c>
      <c r="U49">
        <f t="shared" si="0"/>
        <v>0</v>
      </c>
    </row>
    <row r="50" spans="1:21" x14ac:dyDescent="0.3">
      <c r="A50">
        <v>721</v>
      </c>
      <c r="B50">
        <v>520</v>
      </c>
      <c r="C50">
        <v>188</v>
      </c>
      <c r="D50">
        <v>3</v>
      </c>
      <c r="E50">
        <v>120000</v>
      </c>
      <c r="F50">
        <v>65000</v>
      </c>
      <c r="G50">
        <v>0</v>
      </c>
      <c r="H50">
        <v>0</v>
      </c>
      <c r="I50">
        <v>0</v>
      </c>
      <c r="J50">
        <v>30000</v>
      </c>
      <c r="K50">
        <v>20000</v>
      </c>
      <c r="L50">
        <v>22000</v>
      </c>
      <c r="M50">
        <v>0</v>
      </c>
      <c r="N50">
        <v>0</v>
      </c>
      <c r="O50">
        <v>0</v>
      </c>
      <c r="P50">
        <v>3000</v>
      </c>
      <c r="Q50" t="s">
        <v>31</v>
      </c>
      <c r="R50">
        <v>137000</v>
      </c>
      <c r="S50">
        <v>3000</v>
      </c>
      <c r="T50">
        <v>121</v>
      </c>
      <c r="U50">
        <f t="shared" si="0"/>
        <v>0</v>
      </c>
    </row>
    <row r="51" spans="1:21" x14ac:dyDescent="0.3">
      <c r="A51">
        <v>622</v>
      </c>
      <c r="B51">
        <v>521</v>
      </c>
      <c r="C51">
        <v>170</v>
      </c>
      <c r="D51">
        <v>0</v>
      </c>
      <c r="E51">
        <v>180000</v>
      </c>
      <c r="F51">
        <v>105000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80000</v>
      </c>
      <c r="Q51" t="s">
        <v>32</v>
      </c>
      <c r="R51">
        <v>105000</v>
      </c>
      <c r="S51">
        <v>80000</v>
      </c>
      <c r="T51">
        <v>122</v>
      </c>
      <c r="U51">
        <f t="shared" si="0"/>
        <v>0</v>
      </c>
    </row>
    <row r="52" spans="1:21" x14ac:dyDescent="0.3">
      <c r="A52">
        <v>649</v>
      </c>
      <c r="B52">
        <v>521</v>
      </c>
      <c r="C52">
        <v>179</v>
      </c>
      <c r="D52">
        <v>1</v>
      </c>
      <c r="E52">
        <v>180000</v>
      </c>
      <c r="F52">
        <v>105000</v>
      </c>
      <c r="G52">
        <v>0</v>
      </c>
      <c r="H52">
        <v>0</v>
      </c>
      <c r="I52">
        <v>125000</v>
      </c>
      <c r="J52">
        <v>15000</v>
      </c>
      <c r="K52">
        <v>30000</v>
      </c>
      <c r="L52">
        <v>0</v>
      </c>
      <c r="M52">
        <v>0</v>
      </c>
      <c r="N52">
        <v>0</v>
      </c>
      <c r="O52">
        <v>0</v>
      </c>
      <c r="P52">
        <v>-15000</v>
      </c>
      <c r="Q52" t="s">
        <v>32</v>
      </c>
      <c r="R52">
        <v>275000</v>
      </c>
      <c r="S52">
        <v>-15000</v>
      </c>
      <c r="T52">
        <v>122</v>
      </c>
      <c r="U52">
        <f t="shared" si="0"/>
        <v>0</v>
      </c>
    </row>
    <row r="53" spans="1:21" x14ac:dyDescent="0.3">
      <c r="A53">
        <v>680</v>
      </c>
      <c r="B53">
        <v>521</v>
      </c>
      <c r="C53">
        <v>183</v>
      </c>
      <c r="D53">
        <v>2</v>
      </c>
      <c r="E53">
        <v>180000</v>
      </c>
      <c r="F53">
        <v>105000</v>
      </c>
      <c r="G53">
        <v>15000</v>
      </c>
      <c r="H53">
        <v>0</v>
      </c>
      <c r="I53">
        <v>0</v>
      </c>
      <c r="J53">
        <v>15000</v>
      </c>
      <c r="K53">
        <v>30000</v>
      </c>
      <c r="L53">
        <v>15000</v>
      </c>
      <c r="M53">
        <v>0</v>
      </c>
      <c r="N53">
        <v>0</v>
      </c>
      <c r="O53">
        <v>0</v>
      </c>
      <c r="P53">
        <v>0</v>
      </c>
      <c r="Q53" t="s">
        <v>32</v>
      </c>
      <c r="R53">
        <v>165000</v>
      </c>
      <c r="S53">
        <v>0</v>
      </c>
      <c r="T53">
        <v>122</v>
      </c>
      <c r="U53">
        <f t="shared" si="0"/>
        <v>0</v>
      </c>
    </row>
    <row r="54" spans="1:21" x14ac:dyDescent="0.3">
      <c r="A54">
        <v>720</v>
      </c>
      <c r="B54">
        <v>521</v>
      </c>
      <c r="C54">
        <v>188</v>
      </c>
      <c r="D54">
        <v>3</v>
      </c>
      <c r="E54">
        <v>180000</v>
      </c>
      <c r="F54">
        <v>105000</v>
      </c>
      <c r="G54">
        <v>0</v>
      </c>
      <c r="H54">
        <v>0</v>
      </c>
      <c r="I54">
        <v>0</v>
      </c>
      <c r="J54">
        <v>30000</v>
      </c>
      <c r="K54">
        <v>30000</v>
      </c>
      <c r="L54">
        <v>12000</v>
      </c>
      <c r="M54">
        <v>0</v>
      </c>
      <c r="N54">
        <v>0</v>
      </c>
      <c r="O54">
        <v>0</v>
      </c>
      <c r="P54">
        <v>3000</v>
      </c>
      <c r="Q54" t="s">
        <v>32</v>
      </c>
      <c r="R54">
        <v>177000</v>
      </c>
      <c r="S54">
        <v>3000</v>
      </c>
      <c r="T54">
        <v>122</v>
      </c>
      <c r="U54">
        <f t="shared" si="0"/>
        <v>0</v>
      </c>
    </row>
    <row r="55" spans="1:21" x14ac:dyDescent="0.3">
      <c r="A55">
        <v>617</v>
      </c>
      <c r="B55">
        <v>522</v>
      </c>
      <c r="C55">
        <v>170</v>
      </c>
      <c r="D55">
        <v>0</v>
      </c>
      <c r="E55">
        <v>100000</v>
      </c>
      <c r="F55">
        <v>50000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30000</v>
      </c>
      <c r="Q55" t="s">
        <v>33</v>
      </c>
      <c r="R55">
        <v>50000</v>
      </c>
      <c r="S55">
        <v>30000</v>
      </c>
      <c r="T55">
        <v>120</v>
      </c>
      <c r="U55">
        <f t="shared" si="0"/>
        <v>0</v>
      </c>
    </row>
    <row r="56" spans="1:21" x14ac:dyDescent="0.3">
      <c r="A56">
        <v>652</v>
      </c>
      <c r="B56">
        <v>522</v>
      </c>
      <c r="C56">
        <v>179</v>
      </c>
      <c r="D56">
        <v>1</v>
      </c>
      <c r="E56">
        <v>100000</v>
      </c>
      <c r="F56">
        <v>50000</v>
      </c>
      <c r="G56">
        <v>0</v>
      </c>
      <c r="H56">
        <v>0</v>
      </c>
      <c r="I56">
        <v>0</v>
      </c>
      <c r="J56">
        <v>20000</v>
      </c>
      <c r="K56">
        <v>16000</v>
      </c>
      <c r="L56">
        <v>14000</v>
      </c>
      <c r="M56">
        <v>0</v>
      </c>
      <c r="N56">
        <v>0</v>
      </c>
      <c r="O56">
        <v>0</v>
      </c>
      <c r="P56">
        <v>30000</v>
      </c>
      <c r="Q56" t="s">
        <v>33</v>
      </c>
      <c r="R56">
        <v>100000</v>
      </c>
      <c r="S56">
        <v>30000</v>
      </c>
      <c r="T56">
        <v>120</v>
      </c>
      <c r="U56">
        <f t="shared" si="0"/>
        <v>0</v>
      </c>
    </row>
    <row r="57" spans="1:21" x14ac:dyDescent="0.3">
      <c r="A57">
        <v>702</v>
      </c>
      <c r="B57">
        <v>522</v>
      </c>
      <c r="C57">
        <v>183</v>
      </c>
      <c r="D57">
        <v>2</v>
      </c>
      <c r="E57">
        <v>100000</v>
      </c>
      <c r="F57">
        <v>50000</v>
      </c>
      <c r="G57">
        <v>0</v>
      </c>
      <c r="H57">
        <v>0</v>
      </c>
      <c r="I57">
        <v>0</v>
      </c>
      <c r="J57">
        <v>20000</v>
      </c>
      <c r="K57">
        <v>16000</v>
      </c>
      <c r="L57">
        <v>28000</v>
      </c>
      <c r="M57">
        <v>0</v>
      </c>
      <c r="N57">
        <v>0</v>
      </c>
      <c r="O57">
        <v>0</v>
      </c>
      <c r="P57">
        <v>16000</v>
      </c>
      <c r="Q57" t="s">
        <v>33</v>
      </c>
      <c r="R57">
        <v>114000</v>
      </c>
      <c r="S57">
        <v>16000</v>
      </c>
      <c r="T57">
        <v>120</v>
      </c>
      <c r="U57">
        <f t="shared" si="0"/>
        <v>0</v>
      </c>
    </row>
    <row r="58" spans="1:21" x14ac:dyDescent="0.3">
      <c r="A58">
        <v>725</v>
      </c>
      <c r="B58">
        <v>522</v>
      </c>
      <c r="C58">
        <v>188</v>
      </c>
      <c r="D58">
        <v>3</v>
      </c>
      <c r="E58">
        <v>100000</v>
      </c>
      <c r="F58">
        <v>50000</v>
      </c>
      <c r="G58">
        <v>0</v>
      </c>
      <c r="H58">
        <v>0</v>
      </c>
      <c r="I58">
        <v>0</v>
      </c>
      <c r="J58">
        <v>20000</v>
      </c>
      <c r="K58">
        <v>16000</v>
      </c>
      <c r="L58">
        <v>3000</v>
      </c>
      <c r="M58">
        <v>0</v>
      </c>
      <c r="N58">
        <v>0</v>
      </c>
      <c r="O58">
        <v>4000</v>
      </c>
      <c r="P58">
        <v>23000</v>
      </c>
      <c r="Q58" t="s">
        <v>33</v>
      </c>
      <c r="R58">
        <v>93000</v>
      </c>
      <c r="S58">
        <v>23000</v>
      </c>
      <c r="T58">
        <v>120</v>
      </c>
      <c r="U58">
        <f t="shared" si="0"/>
        <v>4000</v>
      </c>
    </row>
    <row r="59" spans="1:21" x14ac:dyDescent="0.3">
      <c r="A59">
        <v>600</v>
      </c>
      <c r="B59">
        <v>524</v>
      </c>
      <c r="C59">
        <v>174</v>
      </c>
      <c r="D59">
        <v>0</v>
      </c>
      <c r="E59">
        <v>65000</v>
      </c>
      <c r="F59">
        <v>30000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5000</v>
      </c>
      <c r="Q59" t="s">
        <v>34</v>
      </c>
      <c r="R59">
        <v>30000</v>
      </c>
      <c r="S59">
        <v>5000</v>
      </c>
      <c r="T59">
        <v>118</v>
      </c>
      <c r="U59">
        <f t="shared" si="0"/>
        <v>0</v>
      </c>
    </row>
    <row r="60" spans="1:21" x14ac:dyDescent="0.3">
      <c r="A60">
        <v>633</v>
      </c>
      <c r="B60">
        <v>524</v>
      </c>
      <c r="C60">
        <v>177</v>
      </c>
      <c r="D60">
        <v>1</v>
      </c>
      <c r="E60">
        <v>65000</v>
      </c>
      <c r="F60">
        <v>30000</v>
      </c>
      <c r="G60">
        <v>0</v>
      </c>
      <c r="H60">
        <v>0</v>
      </c>
      <c r="I60">
        <v>0</v>
      </c>
      <c r="J60">
        <v>20000</v>
      </c>
      <c r="K60">
        <v>10000</v>
      </c>
      <c r="L60">
        <v>8000</v>
      </c>
      <c r="M60">
        <v>0</v>
      </c>
      <c r="N60">
        <v>0</v>
      </c>
      <c r="O60">
        <v>0</v>
      </c>
      <c r="P60">
        <v>2000</v>
      </c>
      <c r="Q60" t="s">
        <v>34</v>
      </c>
      <c r="R60">
        <v>68000</v>
      </c>
      <c r="S60">
        <v>2000</v>
      </c>
      <c r="T60">
        <v>118</v>
      </c>
      <c r="U60">
        <f t="shared" si="0"/>
        <v>0</v>
      </c>
    </row>
    <row r="61" spans="1:21" x14ac:dyDescent="0.3">
      <c r="A61">
        <v>666</v>
      </c>
      <c r="B61">
        <v>524</v>
      </c>
      <c r="C61">
        <v>181</v>
      </c>
      <c r="D61">
        <v>2</v>
      </c>
      <c r="E61">
        <v>65000</v>
      </c>
      <c r="F61">
        <v>30000</v>
      </c>
      <c r="G61">
        <v>0</v>
      </c>
      <c r="H61">
        <v>0</v>
      </c>
      <c r="I61">
        <v>0</v>
      </c>
      <c r="J61">
        <v>20000</v>
      </c>
      <c r="K61">
        <v>10000</v>
      </c>
      <c r="L61">
        <v>0</v>
      </c>
      <c r="M61">
        <v>0</v>
      </c>
      <c r="N61">
        <v>0</v>
      </c>
      <c r="O61">
        <v>0</v>
      </c>
      <c r="P61">
        <v>7000</v>
      </c>
      <c r="Q61" t="s">
        <v>34</v>
      </c>
      <c r="R61">
        <v>60000</v>
      </c>
      <c r="S61">
        <v>7000</v>
      </c>
      <c r="T61">
        <v>118</v>
      </c>
      <c r="U61">
        <f t="shared" si="0"/>
        <v>0</v>
      </c>
    </row>
    <row r="62" spans="1:21" x14ac:dyDescent="0.3">
      <c r="A62">
        <v>704</v>
      </c>
      <c r="B62">
        <v>524</v>
      </c>
      <c r="C62">
        <v>186</v>
      </c>
      <c r="D62">
        <v>3</v>
      </c>
      <c r="E62">
        <v>65000</v>
      </c>
      <c r="F62">
        <v>30000</v>
      </c>
      <c r="G62">
        <v>0</v>
      </c>
      <c r="H62">
        <v>0</v>
      </c>
      <c r="I62">
        <v>0</v>
      </c>
      <c r="J62">
        <v>20000</v>
      </c>
      <c r="K62">
        <v>10000</v>
      </c>
      <c r="L62">
        <v>12000</v>
      </c>
      <c r="M62">
        <v>0</v>
      </c>
      <c r="N62">
        <v>0</v>
      </c>
      <c r="O62">
        <v>0</v>
      </c>
      <c r="P62">
        <v>0</v>
      </c>
      <c r="Q62" t="s">
        <v>34</v>
      </c>
      <c r="R62">
        <v>72000</v>
      </c>
      <c r="S62">
        <v>0</v>
      </c>
      <c r="T62">
        <v>118</v>
      </c>
      <c r="U62">
        <f t="shared" si="0"/>
        <v>0</v>
      </c>
    </row>
    <row r="63" spans="1:21" x14ac:dyDescent="0.3">
      <c r="A63">
        <v>594</v>
      </c>
      <c r="B63">
        <v>525</v>
      </c>
      <c r="C63">
        <v>174</v>
      </c>
      <c r="D63">
        <v>0</v>
      </c>
      <c r="E63">
        <v>100000</v>
      </c>
      <c r="F63">
        <v>50000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30000</v>
      </c>
      <c r="Q63" t="s">
        <v>35</v>
      </c>
      <c r="R63">
        <v>50000</v>
      </c>
      <c r="S63">
        <v>30000</v>
      </c>
      <c r="T63">
        <v>120</v>
      </c>
      <c r="U63">
        <f t="shared" si="0"/>
        <v>0</v>
      </c>
    </row>
    <row r="64" spans="1:21" x14ac:dyDescent="0.3">
      <c r="A64">
        <v>637</v>
      </c>
      <c r="B64">
        <v>525</v>
      </c>
      <c r="C64">
        <v>177</v>
      </c>
      <c r="D64">
        <v>1</v>
      </c>
      <c r="E64">
        <v>100000</v>
      </c>
      <c r="F64">
        <v>50000</v>
      </c>
      <c r="G64">
        <v>0</v>
      </c>
      <c r="H64">
        <v>0</v>
      </c>
      <c r="I64">
        <v>30000</v>
      </c>
      <c r="J64">
        <v>20000</v>
      </c>
      <c r="K64">
        <v>17000</v>
      </c>
      <c r="L64">
        <v>0</v>
      </c>
      <c r="M64">
        <v>0</v>
      </c>
      <c r="N64">
        <v>0</v>
      </c>
      <c r="O64">
        <v>0</v>
      </c>
      <c r="P64">
        <v>13000</v>
      </c>
      <c r="Q64" t="s">
        <v>35</v>
      </c>
      <c r="R64">
        <v>117000</v>
      </c>
      <c r="S64">
        <v>13000</v>
      </c>
      <c r="T64">
        <v>120</v>
      </c>
      <c r="U64">
        <f t="shared" si="0"/>
        <v>0</v>
      </c>
    </row>
    <row r="65" spans="1:21" x14ac:dyDescent="0.3">
      <c r="A65">
        <v>667</v>
      </c>
      <c r="B65">
        <v>525</v>
      </c>
      <c r="C65">
        <v>181</v>
      </c>
      <c r="D65">
        <v>2</v>
      </c>
      <c r="E65">
        <v>100000</v>
      </c>
      <c r="F65">
        <v>50000</v>
      </c>
      <c r="G65">
        <v>0</v>
      </c>
      <c r="H65">
        <v>0</v>
      </c>
      <c r="I65">
        <v>0</v>
      </c>
      <c r="J65">
        <v>20000</v>
      </c>
      <c r="K65">
        <v>17000</v>
      </c>
      <c r="L65">
        <v>6000</v>
      </c>
      <c r="M65">
        <v>0</v>
      </c>
      <c r="N65">
        <v>0</v>
      </c>
      <c r="O65">
        <v>0</v>
      </c>
      <c r="P65">
        <v>20000</v>
      </c>
      <c r="Q65" t="s">
        <v>35</v>
      </c>
      <c r="R65">
        <v>93000</v>
      </c>
      <c r="S65">
        <v>20000</v>
      </c>
      <c r="T65">
        <v>120</v>
      </c>
      <c r="U65">
        <f t="shared" si="0"/>
        <v>0</v>
      </c>
    </row>
    <row r="66" spans="1:21" x14ac:dyDescent="0.3">
      <c r="A66">
        <v>705</v>
      </c>
      <c r="B66">
        <v>525</v>
      </c>
      <c r="C66">
        <v>186</v>
      </c>
      <c r="D66">
        <v>3</v>
      </c>
      <c r="E66">
        <v>100000</v>
      </c>
      <c r="F66">
        <v>50000</v>
      </c>
      <c r="G66">
        <v>0</v>
      </c>
      <c r="H66">
        <v>0</v>
      </c>
      <c r="I66">
        <v>0</v>
      </c>
      <c r="J66">
        <v>20000</v>
      </c>
      <c r="K66">
        <v>17000</v>
      </c>
      <c r="L66">
        <v>20000</v>
      </c>
      <c r="M66">
        <v>0</v>
      </c>
      <c r="N66">
        <v>0</v>
      </c>
      <c r="O66">
        <v>0</v>
      </c>
      <c r="P66">
        <v>13000</v>
      </c>
      <c r="Q66" t="s">
        <v>35</v>
      </c>
      <c r="R66">
        <v>107000</v>
      </c>
      <c r="S66">
        <v>13000</v>
      </c>
      <c r="T66">
        <v>120</v>
      </c>
      <c r="U66">
        <f t="shared" si="0"/>
        <v>0</v>
      </c>
    </row>
    <row r="67" spans="1:21" x14ac:dyDescent="0.3">
      <c r="A67">
        <v>597</v>
      </c>
      <c r="B67">
        <v>526</v>
      </c>
      <c r="C67">
        <v>174</v>
      </c>
      <c r="D67">
        <v>0</v>
      </c>
      <c r="E67">
        <v>50000</v>
      </c>
      <c r="F67">
        <v>20000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36</v>
      </c>
      <c r="R67">
        <v>20000</v>
      </c>
      <c r="S67">
        <v>0</v>
      </c>
      <c r="T67">
        <v>117</v>
      </c>
      <c r="U67">
        <f t="shared" ref="U67:U130" si="1">N67+O67</f>
        <v>0</v>
      </c>
    </row>
    <row r="68" spans="1:21" x14ac:dyDescent="0.3">
      <c r="A68">
        <v>635</v>
      </c>
      <c r="B68">
        <v>526</v>
      </c>
      <c r="C68">
        <v>177</v>
      </c>
      <c r="D68">
        <v>1</v>
      </c>
      <c r="E68">
        <v>50000</v>
      </c>
      <c r="F68">
        <v>20000</v>
      </c>
      <c r="G68">
        <v>0</v>
      </c>
      <c r="H68">
        <v>0</v>
      </c>
      <c r="I68">
        <v>0</v>
      </c>
      <c r="J68">
        <v>15000</v>
      </c>
      <c r="K68">
        <v>7000</v>
      </c>
      <c r="L68">
        <v>6000</v>
      </c>
      <c r="M68">
        <v>0</v>
      </c>
      <c r="N68">
        <v>0</v>
      </c>
      <c r="O68">
        <v>0</v>
      </c>
      <c r="P68">
        <v>2000</v>
      </c>
      <c r="Q68" t="s">
        <v>36</v>
      </c>
      <c r="R68">
        <v>48000</v>
      </c>
      <c r="S68">
        <v>2000</v>
      </c>
      <c r="T68">
        <v>117</v>
      </c>
      <c r="U68">
        <f t="shared" si="1"/>
        <v>0</v>
      </c>
    </row>
    <row r="69" spans="1:21" x14ac:dyDescent="0.3">
      <c r="A69">
        <v>669</v>
      </c>
      <c r="B69">
        <v>526</v>
      </c>
      <c r="C69">
        <v>181</v>
      </c>
      <c r="D69">
        <v>2</v>
      </c>
      <c r="E69">
        <v>50000</v>
      </c>
      <c r="F69">
        <v>20000</v>
      </c>
      <c r="G69">
        <v>0</v>
      </c>
      <c r="H69">
        <v>0</v>
      </c>
      <c r="I69">
        <v>0</v>
      </c>
      <c r="J69">
        <v>15000</v>
      </c>
      <c r="K69">
        <v>7000</v>
      </c>
      <c r="L69">
        <v>7000</v>
      </c>
      <c r="M69">
        <v>0</v>
      </c>
      <c r="N69">
        <v>8000</v>
      </c>
      <c r="O69">
        <v>0</v>
      </c>
      <c r="P69">
        <v>-5000</v>
      </c>
      <c r="Q69" t="s">
        <v>36</v>
      </c>
      <c r="R69">
        <v>57000</v>
      </c>
      <c r="S69">
        <v>-5000</v>
      </c>
      <c r="T69">
        <v>117</v>
      </c>
      <c r="U69">
        <f t="shared" si="1"/>
        <v>8000</v>
      </c>
    </row>
    <row r="70" spans="1:21" x14ac:dyDescent="0.3">
      <c r="A70">
        <v>707</v>
      </c>
      <c r="B70">
        <v>526</v>
      </c>
      <c r="C70">
        <v>186</v>
      </c>
      <c r="D70">
        <v>3</v>
      </c>
      <c r="E70">
        <v>50000</v>
      </c>
      <c r="F70">
        <v>20000</v>
      </c>
      <c r="G70">
        <v>5000</v>
      </c>
      <c r="H70">
        <v>0</v>
      </c>
      <c r="I70">
        <v>0</v>
      </c>
      <c r="J70">
        <v>15000</v>
      </c>
      <c r="K70">
        <v>7000</v>
      </c>
      <c r="L70">
        <v>3000</v>
      </c>
      <c r="M70">
        <v>0</v>
      </c>
      <c r="N70">
        <v>0</v>
      </c>
      <c r="O70">
        <v>0</v>
      </c>
      <c r="P70">
        <v>0</v>
      </c>
      <c r="Q70" t="s">
        <v>36</v>
      </c>
      <c r="R70">
        <v>45000</v>
      </c>
      <c r="S70">
        <v>0</v>
      </c>
      <c r="T70">
        <v>117</v>
      </c>
      <c r="U70">
        <f t="shared" si="1"/>
        <v>0</v>
      </c>
    </row>
    <row r="71" spans="1:21" x14ac:dyDescent="0.3">
      <c r="A71">
        <v>598</v>
      </c>
      <c r="B71">
        <v>527</v>
      </c>
      <c r="C71">
        <v>174</v>
      </c>
      <c r="D71">
        <v>0</v>
      </c>
      <c r="E71">
        <v>80000</v>
      </c>
      <c r="F71">
        <v>40000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15000</v>
      </c>
      <c r="Q71" t="s">
        <v>37</v>
      </c>
      <c r="R71">
        <v>40000</v>
      </c>
      <c r="S71">
        <v>15000</v>
      </c>
      <c r="T71">
        <v>119</v>
      </c>
      <c r="U71">
        <f t="shared" si="1"/>
        <v>0</v>
      </c>
    </row>
    <row r="72" spans="1:21" x14ac:dyDescent="0.3">
      <c r="A72">
        <v>640</v>
      </c>
      <c r="B72">
        <v>527</v>
      </c>
      <c r="C72">
        <v>177</v>
      </c>
      <c r="D72">
        <v>1</v>
      </c>
      <c r="E72">
        <v>80000</v>
      </c>
      <c r="F72">
        <v>40000</v>
      </c>
      <c r="G72">
        <v>0</v>
      </c>
      <c r="H72">
        <v>0</v>
      </c>
      <c r="I72">
        <v>0</v>
      </c>
      <c r="J72">
        <v>15000</v>
      </c>
      <c r="K72">
        <v>12500</v>
      </c>
      <c r="L72">
        <v>12000</v>
      </c>
      <c r="M72">
        <v>0</v>
      </c>
      <c r="N72">
        <v>0</v>
      </c>
      <c r="O72">
        <v>0</v>
      </c>
      <c r="P72">
        <v>15500</v>
      </c>
      <c r="Q72" t="s">
        <v>37</v>
      </c>
      <c r="R72">
        <v>79500</v>
      </c>
      <c r="S72">
        <v>15500</v>
      </c>
      <c r="T72">
        <v>119</v>
      </c>
      <c r="U72">
        <f t="shared" si="1"/>
        <v>0</v>
      </c>
    </row>
    <row r="73" spans="1:21" x14ac:dyDescent="0.3">
      <c r="A73">
        <v>665</v>
      </c>
      <c r="B73">
        <v>527</v>
      </c>
      <c r="C73">
        <v>181</v>
      </c>
      <c r="D73">
        <v>2</v>
      </c>
      <c r="E73">
        <v>80000</v>
      </c>
      <c r="F73">
        <v>40000</v>
      </c>
      <c r="G73">
        <v>0</v>
      </c>
      <c r="H73">
        <v>0</v>
      </c>
      <c r="I73">
        <v>0</v>
      </c>
      <c r="J73">
        <v>15000</v>
      </c>
      <c r="K73">
        <v>12500</v>
      </c>
      <c r="L73">
        <v>12500</v>
      </c>
      <c r="M73">
        <v>0</v>
      </c>
      <c r="N73">
        <v>8000</v>
      </c>
      <c r="O73">
        <v>0</v>
      </c>
      <c r="P73">
        <v>7500</v>
      </c>
      <c r="Q73" t="s">
        <v>37</v>
      </c>
      <c r="R73">
        <v>88000</v>
      </c>
      <c r="S73">
        <v>7500</v>
      </c>
      <c r="T73">
        <v>119</v>
      </c>
      <c r="U73">
        <f t="shared" si="1"/>
        <v>8000</v>
      </c>
    </row>
    <row r="74" spans="1:21" x14ac:dyDescent="0.3">
      <c r="A74">
        <v>703</v>
      </c>
      <c r="B74">
        <v>527</v>
      </c>
      <c r="C74">
        <v>186</v>
      </c>
      <c r="D74">
        <v>3</v>
      </c>
      <c r="E74">
        <v>80000</v>
      </c>
      <c r="F74">
        <v>40000</v>
      </c>
      <c r="G74">
        <v>0</v>
      </c>
      <c r="H74">
        <v>0</v>
      </c>
      <c r="I74">
        <v>0</v>
      </c>
      <c r="J74">
        <v>15000</v>
      </c>
      <c r="K74">
        <v>12500</v>
      </c>
      <c r="L74">
        <v>12000</v>
      </c>
      <c r="M74">
        <v>0</v>
      </c>
      <c r="N74">
        <v>0</v>
      </c>
      <c r="O74">
        <v>0</v>
      </c>
      <c r="P74">
        <v>8000</v>
      </c>
      <c r="Q74" t="s">
        <v>37</v>
      </c>
      <c r="R74">
        <v>79500</v>
      </c>
      <c r="S74">
        <v>8000</v>
      </c>
      <c r="T74">
        <v>119</v>
      </c>
      <c r="U74">
        <f t="shared" si="1"/>
        <v>0</v>
      </c>
    </row>
    <row r="75" spans="1:21" x14ac:dyDescent="0.3">
      <c r="A75">
        <v>599</v>
      </c>
      <c r="B75">
        <v>528</v>
      </c>
      <c r="C75">
        <v>174</v>
      </c>
      <c r="D75">
        <v>0</v>
      </c>
      <c r="E75">
        <v>120000</v>
      </c>
      <c r="F75">
        <v>65000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50000</v>
      </c>
      <c r="Q75" t="s">
        <v>38</v>
      </c>
      <c r="R75">
        <v>65000</v>
      </c>
      <c r="S75">
        <v>50000</v>
      </c>
      <c r="T75">
        <v>121</v>
      </c>
      <c r="U75">
        <f t="shared" si="1"/>
        <v>0</v>
      </c>
    </row>
    <row r="76" spans="1:21" x14ac:dyDescent="0.3">
      <c r="A76">
        <v>636</v>
      </c>
      <c r="B76">
        <v>528</v>
      </c>
      <c r="C76">
        <v>177</v>
      </c>
      <c r="D76">
        <v>1</v>
      </c>
      <c r="E76">
        <v>120000</v>
      </c>
      <c r="F76">
        <v>65000</v>
      </c>
      <c r="G76">
        <v>0</v>
      </c>
      <c r="H76">
        <v>0</v>
      </c>
      <c r="I76">
        <v>0</v>
      </c>
      <c r="J76">
        <v>15000</v>
      </c>
      <c r="K76">
        <v>8000</v>
      </c>
      <c r="L76">
        <v>20000</v>
      </c>
      <c r="M76">
        <v>0</v>
      </c>
      <c r="N76">
        <v>0</v>
      </c>
      <c r="O76">
        <v>0</v>
      </c>
      <c r="P76">
        <v>62000</v>
      </c>
      <c r="Q76" t="s">
        <v>38</v>
      </c>
      <c r="R76">
        <v>108000</v>
      </c>
      <c r="S76">
        <v>62000</v>
      </c>
      <c r="T76">
        <v>121</v>
      </c>
      <c r="U76">
        <f t="shared" si="1"/>
        <v>0</v>
      </c>
    </row>
    <row r="77" spans="1:21" x14ac:dyDescent="0.3">
      <c r="A77">
        <v>671</v>
      </c>
      <c r="B77">
        <v>528</v>
      </c>
      <c r="C77">
        <v>181</v>
      </c>
      <c r="D77">
        <v>2</v>
      </c>
      <c r="E77">
        <v>120000</v>
      </c>
      <c r="F77">
        <v>65000</v>
      </c>
      <c r="G77">
        <v>0</v>
      </c>
      <c r="H77">
        <v>0</v>
      </c>
      <c r="I77">
        <v>0</v>
      </c>
      <c r="J77">
        <v>15000</v>
      </c>
      <c r="K77">
        <v>8000</v>
      </c>
      <c r="L77">
        <v>28000</v>
      </c>
      <c r="M77">
        <v>0</v>
      </c>
      <c r="N77">
        <v>0</v>
      </c>
      <c r="O77">
        <v>0</v>
      </c>
      <c r="P77">
        <v>66000</v>
      </c>
      <c r="Q77" t="s">
        <v>38</v>
      </c>
      <c r="R77">
        <v>116000</v>
      </c>
      <c r="S77">
        <v>66000</v>
      </c>
      <c r="T77">
        <v>121</v>
      </c>
      <c r="U77">
        <f t="shared" si="1"/>
        <v>0</v>
      </c>
    </row>
    <row r="78" spans="1:21" x14ac:dyDescent="0.3">
      <c r="A78">
        <v>709</v>
      </c>
      <c r="B78">
        <v>528</v>
      </c>
      <c r="C78">
        <v>186</v>
      </c>
      <c r="D78">
        <v>3</v>
      </c>
      <c r="E78">
        <v>120000</v>
      </c>
      <c r="F78">
        <v>65000</v>
      </c>
      <c r="G78">
        <v>0</v>
      </c>
      <c r="H78">
        <v>40000</v>
      </c>
      <c r="I78">
        <v>0</v>
      </c>
      <c r="J78">
        <v>20000</v>
      </c>
      <c r="K78">
        <v>10000</v>
      </c>
      <c r="L78">
        <v>0</v>
      </c>
      <c r="M78">
        <v>0</v>
      </c>
      <c r="N78">
        <v>0</v>
      </c>
      <c r="O78">
        <v>0</v>
      </c>
      <c r="P78">
        <v>131000</v>
      </c>
      <c r="Q78" t="s">
        <v>38</v>
      </c>
      <c r="R78">
        <v>95000</v>
      </c>
      <c r="S78">
        <v>131000</v>
      </c>
      <c r="T78">
        <v>121</v>
      </c>
      <c r="U78">
        <f t="shared" si="1"/>
        <v>0</v>
      </c>
    </row>
    <row r="79" spans="1:21" x14ac:dyDescent="0.3">
      <c r="A79">
        <v>595</v>
      </c>
      <c r="B79">
        <v>529</v>
      </c>
      <c r="C79">
        <v>174</v>
      </c>
      <c r="D79">
        <v>0</v>
      </c>
      <c r="E79">
        <v>180000</v>
      </c>
      <c r="F79">
        <v>105000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80000</v>
      </c>
      <c r="Q79" t="s">
        <v>39</v>
      </c>
      <c r="R79">
        <v>105000</v>
      </c>
      <c r="S79">
        <v>80000</v>
      </c>
      <c r="T79">
        <v>122</v>
      </c>
      <c r="U79">
        <f t="shared" si="1"/>
        <v>0</v>
      </c>
    </row>
    <row r="80" spans="1:21" x14ac:dyDescent="0.3">
      <c r="A80">
        <v>638</v>
      </c>
      <c r="B80">
        <v>529</v>
      </c>
      <c r="C80">
        <v>177</v>
      </c>
      <c r="D80">
        <v>1</v>
      </c>
      <c r="E80">
        <v>180000</v>
      </c>
      <c r="F80">
        <v>105000</v>
      </c>
      <c r="G80">
        <v>0</v>
      </c>
      <c r="H80">
        <v>0</v>
      </c>
      <c r="I80">
        <v>0</v>
      </c>
      <c r="J80">
        <v>15000</v>
      </c>
      <c r="K80">
        <v>30000</v>
      </c>
      <c r="L80">
        <v>26000</v>
      </c>
      <c r="M80">
        <v>0</v>
      </c>
      <c r="N80">
        <v>0</v>
      </c>
      <c r="O80">
        <v>0</v>
      </c>
      <c r="P80">
        <v>84000</v>
      </c>
      <c r="Q80" t="s">
        <v>39</v>
      </c>
      <c r="R80">
        <v>176000</v>
      </c>
      <c r="S80">
        <v>84000</v>
      </c>
      <c r="T80">
        <v>122</v>
      </c>
      <c r="U80">
        <f t="shared" si="1"/>
        <v>0</v>
      </c>
    </row>
    <row r="81" spans="1:21" x14ac:dyDescent="0.3">
      <c r="A81">
        <v>664</v>
      </c>
      <c r="B81">
        <v>529</v>
      </c>
      <c r="C81">
        <v>181</v>
      </c>
      <c r="D81">
        <v>2</v>
      </c>
      <c r="E81">
        <v>180000</v>
      </c>
      <c r="F81">
        <v>105000</v>
      </c>
      <c r="G81">
        <v>0</v>
      </c>
      <c r="H81">
        <v>0</v>
      </c>
      <c r="I81">
        <v>0</v>
      </c>
      <c r="J81">
        <v>15000</v>
      </c>
      <c r="K81">
        <v>30000</v>
      </c>
      <c r="L81">
        <v>74000</v>
      </c>
      <c r="M81">
        <v>0</v>
      </c>
      <c r="N81">
        <v>0</v>
      </c>
      <c r="O81">
        <v>0</v>
      </c>
      <c r="P81">
        <v>40000</v>
      </c>
      <c r="Q81" t="s">
        <v>39</v>
      </c>
      <c r="R81">
        <v>224000</v>
      </c>
      <c r="S81">
        <v>40000</v>
      </c>
      <c r="T81">
        <v>122</v>
      </c>
      <c r="U81">
        <f t="shared" si="1"/>
        <v>0</v>
      </c>
    </row>
    <row r="82" spans="1:21" x14ac:dyDescent="0.3">
      <c r="A82">
        <v>708</v>
      </c>
      <c r="B82">
        <v>529</v>
      </c>
      <c r="C82">
        <v>186</v>
      </c>
      <c r="D82">
        <v>3</v>
      </c>
      <c r="E82">
        <v>180000</v>
      </c>
      <c r="F82">
        <v>105000</v>
      </c>
      <c r="G82">
        <v>0</v>
      </c>
      <c r="H82">
        <v>0</v>
      </c>
      <c r="I82">
        <v>0</v>
      </c>
      <c r="J82">
        <v>20000</v>
      </c>
      <c r="K82">
        <v>30000</v>
      </c>
      <c r="L82">
        <v>33000</v>
      </c>
      <c r="M82">
        <v>0</v>
      </c>
      <c r="N82">
        <v>0</v>
      </c>
      <c r="O82">
        <v>4000</v>
      </c>
      <c r="P82">
        <v>28000</v>
      </c>
      <c r="Q82" t="s">
        <v>39</v>
      </c>
      <c r="R82">
        <v>192000</v>
      </c>
      <c r="S82">
        <v>28000</v>
      </c>
      <c r="T82">
        <v>122</v>
      </c>
      <c r="U82">
        <f t="shared" si="1"/>
        <v>4000</v>
      </c>
    </row>
    <row r="83" spans="1:21" x14ac:dyDescent="0.3">
      <c r="A83">
        <v>624</v>
      </c>
      <c r="B83">
        <v>530</v>
      </c>
      <c r="C83">
        <v>174</v>
      </c>
      <c r="D83">
        <v>0</v>
      </c>
      <c r="E83">
        <v>100000</v>
      </c>
      <c r="F83">
        <v>50000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30000</v>
      </c>
      <c r="Q83" t="s">
        <v>40</v>
      </c>
      <c r="R83">
        <v>50000</v>
      </c>
      <c r="S83">
        <v>30000</v>
      </c>
      <c r="T83">
        <v>120</v>
      </c>
      <c r="U83">
        <f t="shared" si="1"/>
        <v>0</v>
      </c>
    </row>
    <row r="84" spans="1:21" x14ac:dyDescent="0.3">
      <c r="A84">
        <v>639</v>
      </c>
      <c r="B84">
        <v>530</v>
      </c>
      <c r="C84">
        <v>177</v>
      </c>
      <c r="D84">
        <v>1</v>
      </c>
      <c r="E84">
        <v>100000</v>
      </c>
      <c r="F84">
        <v>50000</v>
      </c>
      <c r="G84">
        <v>0</v>
      </c>
      <c r="H84">
        <v>0</v>
      </c>
      <c r="I84">
        <v>30000</v>
      </c>
      <c r="J84">
        <v>15000</v>
      </c>
      <c r="K84">
        <v>17000</v>
      </c>
      <c r="L84">
        <v>15000</v>
      </c>
      <c r="M84">
        <v>0</v>
      </c>
      <c r="N84">
        <v>0</v>
      </c>
      <c r="O84">
        <v>0</v>
      </c>
      <c r="P84">
        <v>3000</v>
      </c>
      <c r="Q84" t="s">
        <v>40</v>
      </c>
      <c r="R84">
        <v>127000</v>
      </c>
      <c r="S84">
        <v>3000</v>
      </c>
      <c r="T84">
        <v>120</v>
      </c>
      <c r="U84">
        <f t="shared" si="1"/>
        <v>0</v>
      </c>
    </row>
    <row r="85" spans="1:21" x14ac:dyDescent="0.3">
      <c r="A85">
        <v>670</v>
      </c>
      <c r="B85">
        <v>530</v>
      </c>
      <c r="C85">
        <v>181</v>
      </c>
      <c r="D85">
        <v>2</v>
      </c>
      <c r="E85">
        <v>100000</v>
      </c>
      <c r="F85">
        <v>50000</v>
      </c>
      <c r="G85">
        <v>0</v>
      </c>
      <c r="H85">
        <v>0</v>
      </c>
      <c r="I85">
        <v>0</v>
      </c>
      <c r="J85">
        <v>15000</v>
      </c>
      <c r="K85">
        <v>17000</v>
      </c>
      <c r="L85">
        <v>20000</v>
      </c>
      <c r="M85">
        <v>0</v>
      </c>
      <c r="N85">
        <v>4000</v>
      </c>
      <c r="O85">
        <v>0</v>
      </c>
      <c r="P85">
        <v>-3000</v>
      </c>
      <c r="Q85" t="s">
        <v>40</v>
      </c>
      <c r="R85">
        <v>106000</v>
      </c>
      <c r="S85">
        <v>-3000</v>
      </c>
      <c r="T85">
        <v>120</v>
      </c>
      <c r="U85">
        <f t="shared" si="1"/>
        <v>4000</v>
      </c>
    </row>
    <row r="86" spans="1:21" x14ac:dyDescent="0.3">
      <c r="A86">
        <v>710</v>
      </c>
      <c r="B86">
        <v>530</v>
      </c>
      <c r="C86">
        <v>186</v>
      </c>
      <c r="D86">
        <v>3</v>
      </c>
      <c r="E86">
        <v>100000</v>
      </c>
      <c r="F86">
        <v>50000</v>
      </c>
      <c r="G86">
        <v>3000</v>
      </c>
      <c r="H86">
        <v>0</v>
      </c>
      <c r="I86">
        <v>0</v>
      </c>
      <c r="J86">
        <v>15000</v>
      </c>
      <c r="K86">
        <v>17000</v>
      </c>
      <c r="L86">
        <v>12000</v>
      </c>
      <c r="M86">
        <v>0</v>
      </c>
      <c r="N86">
        <v>0</v>
      </c>
      <c r="O86">
        <v>0</v>
      </c>
      <c r="P86">
        <v>3000</v>
      </c>
      <c r="Q86" t="s">
        <v>40</v>
      </c>
      <c r="R86">
        <v>94000</v>
      </c>
      <c r="S86">
        <v>3000</v>
      </c>
      <c r="T86">
        <v>120</v>
      </c>
      <c r="U86">
        <f t="shared" si="1"/>
        <v>0</v>
      </c>
    </row>
    <row r="87" spans="1:21" x14ac:dyDescent="0.3">
      <c r="A87">
        <v>596</v>
      </c>
      <c r="B87">
        <v>531</v>
      </c>
      <c r="C87">
        <v>174</v>
      </c>
      <c r="D87">
        <v>0</v>
      </c>
      <c r="E87">
        <v>100000</v>
      </c>
      <c r="F87">
        <v>50000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30000</v>
      </c>
      <c r="Q87" t="s">
        <v>41</v>
      </c>
      <c r="R87">
        <v>50000</v>
      </c>
      <c r="S87">
        <v>30000</v>
      </c>
      <c r="T87">
        <v>120</v>
      </c>
      <c r="U87">
        <f t="shared" si="1"/>
        <v>0</v>
      </c>
    </row>
    <row r="88" spans="1:21" x14ac:dyDescent="0.3">
      <c r="A88">
        <v>634</v>
      </c>
      <c r="B88">
        <v>531</v>
      </c>
      <c r="C88">
        <v>177</v>
      </c>
      <c r="D88">
        <v>1</v>
      </c>
      <c r="E88">
        <v>100000</v>
      </c>
      <c r="F88">
        <v>50000</v>
      </c>
      <c r="G88">
        <v>0</v>
      </c>
      <c r="H88">
        <v>0</v>
      </c>
      <c r="I88">
        <v>0</v>
      </c>
      <c r="J88">
        <v>15000</v>
      </c>
      <c r="K88">
        <v>16000</v>
      </c>
      <c r="L88">
        <v>22000</v>
      </c>
      <c r="M88">
        <v>0</v>
      </c>
      <c r="N88">
        <v>0</v>
      </c>
      <c r="O88">
        <v>0</v>
      </c>
      <c r="P88">
        <v>27000</v>
      </c>
      <c r="Q88" t="s">
        <v>41</v>
      </c>
      <c r="R88">
        <v>103000</v>
      </c>
      <c r="S88">
        <v>27000</v>
      </c>
      <c r="T88">
        <v>120</v>
      </c>
      <c r="U88">
        <f t="shared" si="1"/>
        <v>0</v>
      </c>
    </row>
    <row r="89" spans="1:21" x14ac:dyDescent="0.3">
      <c r="A89">
        <v>668</v>
      </c>
      <c r="B89">
        <v>531</v>
      </c>
      <c r="C89">
        <v>181</v>
      </c>
      <c r="D89">
        <v>2</v>
      </c>
      <c r="E89">
        <v>100000</v>
      </c>
      <c r="F89">
        <v>50000</v>
      </c>
      <c r="G89">
        <v>0</v>
      </c>
      <c r="H89">
        <v>0</v>
      </c>
      <c r="I89">
        <v>0</v>
      </c>
      <c r="J89">
        <v>15000</v>
      </c>
      <c r="K89">
        <v>16000</v>
      </c>
      <c r="L89">
        <v>12000</v>
      </c>
      <c r="M89">
        <v>0</v>
      </c>
      <c r="N89">
        <v>0</v>
      </c>
      <c r="O89">
        <v>0</v>
      </c>
      <c r="P89">
        <v>34000</v>
      </c>
      <c r="Q89" t="s">
        <v>41</v>
      </c>
      <c r="R89">
        <v>93000</v>
      </c>
      <c r="S89">
        <v>34000</v>
      </c>
      <c r="T89">
        <v>120</v>
      </c>
      <c r="U89">
        <f t="shared" si="1"/>
        <v>0</v>
      </c>
    </row>
    <row r="90" spans="1:21" x14ac:dyDescent="0.3">
      <c r="A90">
        <v>706</v>
      </c>
      <c r="B90">
        <v>531</v>
      </c>
      <c r="C90">
        <v>186</v>
      </c>
      <c r="D90">
        <v>3</v>
      </c>
      <c r="E90">
        <v>100000</v>
      </c>
      <c r="F90">
        <v>50000</v>
      </c>
      <c r="G90">
        <v>0</v>
      </c>
      <c r="H90">
        <v>0</v>
      </c>
      <c r="I90">
        <v>0</v>
      </c>
      <c r="J90">
        <v>20000</v>
      </c>
      <c r="K90">
        <v>16000</v>
      </c>
      <c r="L90">
        <v>28000</v>
      </c>
      <c r="M90">
        <v>0</v>
      </c>
      <c r="N90">
        <v>0</v>
      </c>
      <c r="O90">
        <v>4000</v>
      </c>
      <c r="P90">
        <v>16000</v>
      </c>
      <c r="Q90" t="s">
        <v>41</v>
      </c>
      <c r="R90">
        <v>118000</v>
      </c>
      <c r="S90">
        <v>16000</v>
      </c>
      <c r="T90">
        <v>120</v>
      </c>
      <c r="U90">
        <f t="shared" si="1"/>
        <v>4000</v>
      </c>
    </row>
    <row r="91" spans="1:21" x14ac:dyDescent="0.3">
      <c r="A91">
        <v>608</v>
      </c>
      <c r="B91">
        <v>532</v>
      </c>
      <c r="C91">
        <v>171</v>
      </c>
      <c r="D91">
        <v>0</v>
      </c>
      <c r="E91">
        <v>65000</v>
      </c>
      <c r="F91">
        <v>30000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5000</v>
      </c>
      <c r="Q91" t="s">
        <v>42</v>
      </c>
      <c r="R91">
        <v>30000</v>
      </c>
      <c r="S91">
        <v>5000</v>
      </c>
      <c r="T91">
        <v>118</v>
      </c>
      <c r="U91">
        <f t="shared" si="1"/>
        <v>0</v>
      </c>
    </row>
    <row r="92" spans="1:21" x14ac:dyDescent="0.3">
      <c r="A92">
        <v>641</v>
      </c>
      <c r="B92">
        <v>532</v>
      </c>
      <c r="C92">
        <v>178</v>
      </c>
      <c r="D92">
        <v>1</v>
      </c>
      <c r="E92">
        <v>65000</v>
      </c>
      <c r="F92">
        <v>30000</v>
      </c>
      <c r="G92">
        <v>0</v>
      </c>
      <c r="H92">
        <v>0</v>
      </c>
      <c r="I92">
        <v>16000</v>
      </c>
      <c r="J92">
        <v>20000</v>
      </c>
      <c r="K92">
        <v>11000</v>
      </c>
      <c r="L92">
        <v>0</v>
      </c>
      <c r="M92">
        <v>0</v>
      </c>
      <c r="N92">
        <v>0</v>
      </c>
      <c r="O92">
        <v>0</v>
      </c>
      <c r="P92">
        <v>-7000</v>
      </c>
      <c r="Q92" t="s">
        <v>42</v>
      </c>
      <c r="R92">
        <v>77000</v>
      </c>
      <c r="S92">
        <v>-7000</v>
      </c>
      <c r="T92">
        <v>118</v>
      </c>
      <c r="U92">
        <f t="shared" si="1"/>
        <v>0</v>
      </c>
    </row>
    <row r="93" spans="1:21" x14ac:dyDescent="0.3">
      <c r="A93">
        <v>698</v>
      </c>
      <c r="B93">
        <v>532</v>
      </c>
      <c r="C93">
        <v>185</v>
      </c>
      <c r="D93">
        <v>2</v>
      </c>
      <c r="E93">
        <v>65000</v>
      </c>
      <c r="F93">
        <v>30000</v>
      </c>
      <c r="G93">
        <v>7000</v>
      </c>
      <c r="H93">
        <v>0</v>
      </c>
      <c r="I93">
        <v>0</v>
      </c>
      <c r="J93">
        <v>15000</v>
      </c>
      <c r="K93">
        <v>11000</v>
      </c>
      <c r="L93">
        <v>0</v>
      </c>
      <c r="M93">
        <v>0</v>
      </c>
      <c r="N93">
        <v>0</v>
      </c>
      <c r="O93">
        <v>0</v>
      </c>
      <c r="P93">
        <v>2000</v>
      </c>
      <c r="Q93" t="s">
        <v>42</v>
      </c>
      <c r="R93">
        <v>56000</v>
      </c>
      <c r="S93">
        <v>2000</v>
      </c>
      <c r="T93">
        <v>118</v>
      </c>
      <c r="U93">
        <f t="shared" si="1"/>
        <v>0</v>
      </c>
    </row>
    <row r="94" spans="1:21" x14ac:dyDescent="0.3">
      <c r="A94">
        <v>728</v>
      </c>
      <c r="B94">
        <v>532</v>
      </c>
      <c r="C94">
        <v>189</v>
      </c>
      <c r="D94">
        <v>3</v>
      </c>
      <c r="E94">
        <v>65000</v>
      </c>
      <c r="F94">
        <v>30000</v>
      </c>
      <c r="G94">
        <v>0</v>
      </c>
      <c r="H94">
        <v>0</v>
      </c>
      <c r="I94">
        <v>0</v>
      </c>
      <c r="J94">
        <v>30000</v>
      </c>
      <c r="K94">
        <v>11000</v>
      </c>
      <c r="L94">
        <v>0</v>
      </c>
      <c r="M94">
        <v>0</v>
      </c>
      <c r="N94">
        <v>0</v>
      </c>
      <c r="O94">
        <v>0</v>
      </c>
      <c r="P94">
        <v>-4000</v>
      </c>
      <c r="Q94" t="s">
        <v>42</v>
      </c>
      <c r="R94">
        <v>71000</v>
      </c>
      <c r="S94">
        <v>-4000</v>
      </c>
      <c r="T94">
        <v>118</v>
      </c>
      <c r="U94">
        <f t="shared" si="1"/>
        <v>0</v>
      </c>
    </row>
    <row r="95" spans="1:21" x14ac:dyDescent="0.3">
      <c r="A95">
        <v>614</v>
      </c>
      <c r="B95">
        <v>533</v>
      </c>
      <c r="C95">
        <v>171</v>
      </c>
      <c r="D95">
        <v>0</v>
      </c>
      <c r="E95">
        <v>100000</v>
      </c>
      <c r="F95">
        <v>50000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30000</v>
      </c>
      <c r="Q95" t="s">
        <v>43</v>
      </c>
      <c r="R95">
        <v>50000</v>
      </c>
      <c r="S95">
        <v>30000</v>
      </c>
      <c r="T95">
        <v>120</v>
      </c>
      <c r="U95">
        <f t="shared" si="1"/>
        <v>0</v>
      </c>
    </row>
    <row r="96" spans="1:21" x14ac:dyDescent="0.3">
      <c r="A96">
        <v>648</v>
      </c>
      <c r="B96">
        <v>533</v>
      </c>
      <c r="C96">
        <v>178</v>
      </c>
      <c r="D96">
        <v>1</v>
      </c>
      <c r="E96">
        <v>100000</v>
      </c>
      <c r="F96">
        <v>50000</v>
      </c>
      <c r="G96">
        <v>0</v>
      </c>
      <c r="H96">
        <v>0</v>
      </c>
      <c r="I96">
        <v>30000</v>
      </c>
      <c r="J96">
        <v>20000</v>
      </c>
      <c r="K96">
        <v>17000</v>
      </c>
      <c r="L96">
        <v>12000</v>
      </c>
      <c r="M96">
        <v>0</v>
      </c>
      <c r="N96">
        <v>0</v>
      </c>
      <c r="O96">
        <v>0</v>
      </c>
      <c r="P96">
        <v>1000</v>
      </c>
      <c r="Q96" t="s">
        <v>43</v>
      </c>
      <c r="R96">
        <v>129000</v>
      </c>
      <c r="S96">
        <v>1000</v>
      </c>
      <c r="T96">
        <v>120</v>
      </c>
      <c r="U96">
        <f t="shared" si="1"/>
        <v>0</v>
      </c>
    </row>
    <row r="97" spans="1:21" x14ac:dyDescent="0.3">
      <c r="A97">
        <v>696</v>
      </c>
      <c r="B97">
        <v>533</v>
      </c>
      <c r="C97">
        <v>185</v>
      </c>
      <c r="D97">
        <v>2</v>
      </c>
      <c r="E97">
        <v>100000</v>
      </c>
      <c r="F97">
        <v>50000</v>
      </c>
      <c r="G97">
        <v>0</v>
      </c>
      <c r="H97">
        <v>47000</v>
      </c>
      <c r="I97">
        <v>30000</v>
      </c>
      <c r="J97">
        <v>15000</v>
      </c>
      <c r="K97">
        <v>17000</v>
      </c>
      <c r="L97">
        <v>32000</v>
      </c>
      <c r="M97">
        <v>0</v>
      </c>
      <c r="N97">
        <v>0</v>
      </c>
      <c r="O97">
        <v>0</v>
      </c>
      <c r="P97">
        <v>4000</v>
      </c>
      <c r="Q97" t="s">
        <v>43</v>
      </c>
      <c r="R97">
        <v>144000</v>
      </c>
      <c r="S97">
        <v>4000</v>
      </c>
      <c r="T97">
        <v>120</v>
      </c>
      <c r="U97">
        <f t="shared" si="1"/>
        <v>0</v>
      </c>
    </row>
    <row r="98" spans="1:21" x14ac:dyDescent="0.3">
      <c r="A98">
        <v>729</v>
      </c>
      <c r="B98">
        <v>533</v>
      </c>
      <c r="C98">
        <v>189</v>
      </c>
      <c r="D98">
        <v>3</v>
      </c>
      <c r="E98">
        <v>100000</v>
      </c>
      <c r="F98">
        <v>50000</v>
      </c>
      <c r="G98">
        <v>0</v>
      </c>
      <c r="H98">
        <v>0</v>
      </c>
      <c r="I98">
        <v>0</v>
      </c>
      <c r="J98">
        <v>30000</v>
      </c>
      <c r="K98">
        <v>17000</v>
      </c>
      <c r="L98">
        <v>0</v>
      </c>
      <c r="M98">
        <v>0</v>
      </c>
      <c r="N98">
        <v>0</v>
      </c>
      <c r="O98">
        <v>0</v>
      </c>
      <c r="P98">
        <v>7000</v>
      </c>
      <c r="Q98" t="s">
        <v>43</v>
      </c>
      <c r="R98">
        <v>97000</v>
      </c>
      <c r="S98">
        <v>7000</v>
      </c>
      <c r="T98">
        <v>120</v>
      </c>
      <c r="U98">
        <f t="shared" si="1"/>
        <v>0</v>
      </c>
    </row>
    <row r="99" spans="1:21" x14ac:dyDescent="0.3">
      <c r="A99">
        <v>586</v>
      </c>
      <c r="B99">
        <v>534</v>
      </c>
      <c r="C99">
        <v>171</v>
      </c>
      <c r="D99">
        <v>0</v>
      </c>
      <c r="E99">
        <v>50000</v>
      </c>
      <c r="F99">
        <v>20000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44</v>
      </c>
      <c r="R99">
        <v>20000</v>
      </c>
      <c r="S99">
        <v>0</v>
      </c>
      <c r="T99">
        <v>117</v>
      </c>
      <c r="U99">
        <f t="shared" si="1"/>
        <v>0</v>
      </c>
    </row>
    <row r="100" spans="1:21" x14ac:dyDescent="0.3">
      <c r="A100">
        <v>645</v>
      </c>
      <c r="B100">
        <v>534</v>
      </c>
      <c r="C100">
        <v>178</v>
      </c>
      <c r="D100">
        <v>1</v>
      </c>
      <c r="E100">
        <v>50000</v>
      </c>
      <c r="F100">
        <v>20000</v>
      </c>
      <c r="G100">
        <v>0</v>
      </c>
      <c r="H100">
        <v>0</v>
      </c>
      <c r="I100">
        <v>0</v>
      </c>
      <c r="J100">
        <v>20000</v>
      </c>
      <c r="K100">
        <v>7000</v>
      </c>
      <c r="L100">
        <v>3000</v>
      </c>
      <c r="M100">
        <v>0</v>
      </c>
      <c r="N100">
        <v>0</v>
      </c>
      <c r="O100">
        <v>0</v>
      </c>
      <c r="P100">
        <v>0</v>
      </c>
      <c r="Q100" t="s">
        <v>44</v>
      </c>
      <c r="R100">
        <v>50000</v>
      </c>
      <c r="S100">
        <v>0</v>
      </c>
      <c r="T100">
        <v>117</v>
      </c>
      <c r="U100">
        <f t="shared" si="1"/>
        <v>0</v>
      </c>
    </row>
    <row r="101" spans="1:21" x14ac:dyDescent="0.3">
      <c r="A101">
        <v>693</v>
      </c>
      <c r="B101">
        <v>534</v>
      </c>
      <c r="C101">
        <v>185</v>
      </c>
      <c r="D101">
        <v>2</v>
      </c>
      <c r="E101">
        <v>50000</v>
      </c>
      <c r="F101">
        <v>20000</v>
      </c>
      <c r="G101">
        <v>0</v>
      </c>
      <c r="H101">
        <v>0</v>
      </c>
      <c r="I101">
        <v>0</v>
      </c>
      <c r="J101">
        <v>20000</v>
      </c>
      <c r="K101">
        <v>7000</v>
      </c>
      <c r="L101">
        <v>0</v>
      </c>
      <c r="M101">
        <v>0</v>
      </c>
      <c r="N101">
        <v>0</v>
      </c>
      <c r="O101">
        <v>0</v>
      </c>
      <c r="P101">
        <v>3000</v>
      </c>
      <c r="Q101" t="s">
        <v>44</v>
      </c>
      <c r="R101">
        <v>47000</v>
      </c>
      <c r="S101">
        <v>3000</v>
      </c>
      <c r="T101">
        <v>117</v>
      </c>
      <c r="U101">
        <f t="shared" si="1"/>
        <v>0</v>
      </c>
    </row>
    <row r="102" spans="1:21" x14ac:dyDescent="0.3">
      <c r="A102">
        <v>733</v>
      </c>
      <c r="B102">
        <v>534</v>
      </c>
      <c r="C102">
        <v>189</v>
      </c>
      <c r="D102">
        <v>3</v>
      </c>
      <c r="E102">
        <v>50000</v>
      </c>
      <c r="F102">
        <v>20000</v>
      </c>
      <c r="G102">
        <v>0</v>
      </c>
      <c r="H102">
        <v>0</v>
      </c>
      <c r="I102">
        <v>0</v>
      </c>
      <c r="J102">
        <v>20000</v>
      </c>
      <c r="K102">
        <v>7000</v>
      </c>
      <c r="L102">
        <v>5000</v>
      </c>
      <c r="M102">
        <v>0</v>
      </c>
      <c r="N102">
        <v>0</v>
      </c>
      <c r="O102">
        <v>0</v>
      </c>
      <c r="P102">
        <v>1000</v>
      </c>
      <c r="Q102" t="s">
        <v>44</v>
      </c>
      <c r="R102">
        <v>52000</v>
      </c>
      <c r="S102">
        <v>1000</v>
      </c>
      <c r="T102">
        <v>117</v>
      </c>
      <c r="U102">
        <f t="shared" si="1"/>
        <v>0</v>
      </c>
    </row>
    <row r="103" spans="1:21" x14ac:dyDescent="0.3">
      <c r="A103">
        <v>615</v>
      </c>
      <c r="B103">
        <v>535</v>
      </c>
      <c r="C103">
        <v>171</v>
      </c>
      <c r="D103">
        <v>0</v>
      </c>
      <c r="E103">
        <v>80000</v>
      </c>
      <c r="F103">
        <v>40000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15000</v>
      </c>
      <c r="Q103" t="s">
        <v>45</v>
      </c>
      <c r="R103">
        <v>40000</v>
      </c>
      <c r="S103">
        <v>15000</v>
      </c>
      <c r="T103">
        <v>119</v>
      </c>
      <c r="U103">
        <f t="shared" si="1"/>
        <v>0</v>
      </c>
    </row>
    <row r="104" spans="1:21" x14ac:dyDescent="0.3">
      <c r="A104">
        <v>644</v>
      </c>
      <c r="B104">
        <v>535</v>
      </c>
      <c r="C104">
        <v>178</v>
      </c>
      <c r="D104">
        <v>1</v>
      </c>
      <c r="E104">
        <v>80000</v>
      </c>
      <c r="F104">
        <v>40000</v>
      </c>
      <c r="G104">
        <v>0</v>
      </c>
      <c r="H104">
        <v>0</v>
      </c>
      <c r="I104">
        <v>30000</v>
      </c>
      <c r="J104">
        <v>15000</v>
      </c>
      <c r="K104">
        <v>13000</v>
      </c>
      <c r="L104">
        <v>0</v>
      </c>
      <c r="M104">
        <v>0</v>
      </c>
      <c r="N104">
        <v>0</v>
      </c>
      <c r="O104">
        <v>0</v>
      </c>
      <c r="P104">
        <v>-3000</v>
      </c>
      <c r="Q104" t="s">
        <v>45</v>
      </c>
      <c r="R104">
        <v>98000</v>
      </c>
      <c r="S104">
        <v>-3000</v>
      </c>
      <c r="T104">
        <v>119</v>
      </c>
      <c r="U104">
        <f t="shared" si="1"/>
        <v>0</v>
      </c>
    </row>
    <row r="105" spans="1:21" x14ac:dyDescent="0.3">
      <c r="A105">
        <v>700</v>
      </c>
      <c r="B105">
        <v>535</v>
      </c>
      <c r="C105">
        <v>185</v>
      </c>
      <c r="D105">
        <v>2</v>
      </c>
      <c r="E105">
        <v>80000</v>
      </c>
      <c r="F105">
        <v>40000</v>
      </c>
      <c r="G105">
        <v>3000</v>
      </c>
      <c r="H105">
        <v>0</v>
      </c>
      <c r="I105">
        <v>0</v>
      </c>
      <c r="J105">
        <v>15000</v>
      </c>
      <c r="K105">
        <v>13000</v>
      </c>
      <c r="L105">
        <v>6000</v>
      </c>
      <c r="M105">
        <v>0</v>
      </c>
      <c r="N105">
        <v>0</v>
      </c>
      <c r="O105">
        <v>0</v>
      </c>
      <c r="P105">
        <v>3000</v>
      </c>
      <c r="Q105" t="s">
        <v>45</v>
      </c>
      <c r="R105">
        <v>74000</v>
      </c>
      <c r="S105">
        <v>3000</v>
      </c>
      <c r="T105">
        <v>119</v>
      </c>
      <c r="U105">
        <f t="shared" si="1"/>
        <v>0</v>
      </c>
    </row>
    <row r="106" spans="1:21" x14ac:dyDescent="0.3">
      <c r="A106">
        <v>727</v>
      </c>
      <c r="B106">
        <v>535</v>
      </c>
      <c r="C106">
        <v>189</v>
      </c>
      <c r="D106">
        <v>3</v>
      </c>
      <c r="E106">
        <v>80000</v>
      </c>
      <c r="F106">
        <v>40000</v>
      </c>
      <c r="G106">
        <v>0</v>
      </c>
      <c r="H106">
        <v>56000</v>
      </c>
      <c r="I106">
        <v>0</v>
      </c>
      <c r="J106">
        <v>30000</v>
      </c>
      <c r="K106">
        <v>10000</v>
      </c>
      <c r="L106">
        <v>0</v>
      </c>
      <c r="M106">
        <v>0</v>
      </c>
      <c r="N106">
        <v>0</v>
      </c>
      <c r="O106">
        <v>0</v>
      </c>
      <c r="P106">
        <v>323000</v>
      </c>
      <c r="Q106" t="s">
        <v>45</v>
      </c>
      <c r="R106">
        <v>80000</v>
      </c>
      <c r="S106">
        <v>59000</v>
      </c>
      <c r="T106">
        <v>119</v>
      </c>
      <c r="U106">
        <f t="shared" si="1"/>
        <v>0</v>
      </c>
    </row>
    <row r="107" spans="1:21" x14ac:dyDescent="0.3">
      <c r="A107">
        <v>607</v>
      </c>
      <c r="B107">
        <v>536</v>
      </c>
      <c r="C107">
        <v>171</v>
      </c>
      <c r="D107">
        <v>0</v>
      </c>
      <c r="E107">
        <v>120000</v>
      </c>
      <c r="F107">
        <v>65000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50000</v>
      </c>
      <c r="Q107" t="s">
        <v>46</v>
      </c>
      <c r="R107">
        <v>65000</v>
      </c>
      <c r="S107">
        <v>50000</v>
      </c>
      <c r="T107">
        <v>121</v>
      </c>
      <c r="U107">
        <f t="shared" si="1"/>
        <v>0</v>
      </c>
    </row>
    <row r="108" spans="1:21" x14ac:dyDescent="0.3">
      <c r="A108">
        <v>642</v>
      </c>
      <c r="B108">
        <v>536</v>
      </c>
      <c r="C108">
        <v>178</v>
      </c>
      <c r="D108">
        <v>1</v>
      </c>
      <c r="E108">
        <v>120000</v>
      </c>
      <c r="F108">
        <v>65000</v>
      </c>
      <c r="G108">
        <v>0</v>
      </c>
      <c r="H108">
        <v>0</v>
      </c>
      <c r="I108">
        <v>35000</v>
      </c>
      <c r="J108">
        <v>20000</v>
      </c>
      <c r="K108">
        <v>20000</v>
      </c>
      <c r="L108">
        <v>20000</v>
      </c>
      <c r="M108">
        <v>0</v>
      </c>
      <c r="N108">
        <v>0</v>
      </c>
      <c r="O108">
        <v>0</v>
      </c>
      <c r="P108">
        <v>10000</v>
      </c>
      <c r="Q108" t="s">
        <v>46</v>
      </c>
      <c r="R108">
        <v>160000</v>
      </c>
      <c r="S108">
        <v>10000</v>
      </c>
      <c r="T108">
        <v>121</v>
      </c>
      <c r="U108">
        <f t="shared" si="1"/>
        <v>0</v>
      </c>
    </row>
    <row r="109" spans="1:21" x14ac:dyDescent="0.3">
      <c r="A109">
        <v>694</v>
      </c>
      <c r="B109">
        <v>536</v>
      </c>
      <c r="C109">
        <v>185</v>
      </c>
      <c r="D109">
        <v>2</v>
      </c>
      <c r="E109">
        <v>120000</v>
      </c>
      <c r="F109">
        <v>65000</v>
      </c>
      <c r="G109">
        <v>0</v>
      </c>
      <c r="H109">
        <v>0</v>
      </c>
      <c r="I109">
        <v>0</v>
      </c>
      <c r="J109">
        <v>15000</v>
      </c>
      <c r="K109">
        <v>20000</v>
      </c>
      <c r="L109">
        <v>22000</v>
      </c>
      <c r="M109">
        <v>0</v>
      </c>
      <c r="N109">
        <v>0</v>
      </c>
      <c r="O109">
        <v>0</v>
      </c>
      <c r="P109">
        <v>8000</v>
      </c>
      <c r="Q109" t="s">
        <v>46</v>
      </c>
      <c r="R109">
        <v>122000</v>
      </c>
      <c r="S109">
        <v>8000</v>
      </c>
      <c r="T109">
        <v>121</v>
      </c>
      <c r="U109">
        <f t="shared" si="1"/>
        <v>0</v>
      </c>
    </row>
    <row r="110" spans="1:21" x14ac:dyDescent="0.3">
      <c r="A110">
        <v>732</v>
      </c>
      <c r="B110">
        <v>536</v>
      </c>
      <c r="C110">
        <v>189</v>
      </c>
      <c r="D110">
        <v>3</v>
      </c>
      <c r="E110">
        <v>120000</v>
      </c>
      <c r="F110">
        <v>65000</v>
      </c>
      <c r="G110">
        <v>0</v>
      </c>
      <c r="H110">
        <v>0</v>
      </c>
      <c r="I110">
        <v>0</v>
      </c>
      <c r="J110">
        <v>30000</v>
      </c>
      <c r="K110">
        <v>20000</v>
      </c>
      <c r="L110">
        <v>0</v>
      </c>
      <c r="M110">
        <v>0</v>
      </c>
      <c r="N110">
        <v>0</v>
      </c>
      <c r="O110">
        <v>0</v>
      </c>
      <c r="P110">
        <v>13000</v>
      </c>
      <c r="Q110" t="s">
        <v>46</v>
      </c>
      <c r="R110">
        <v>115000</v>
      </c>
      <c r="S110">
        <v>13000</v>
      </c>
      <c r="T110">
        <v>121</v>
      </c>
      <c r="U110">
        <f t="shared" si="1"/>
        <v>0</v>
      </c>
    </row>
    <row r="111" spans="1:21" x14ac:dyDescent="0.3">
      <c r="A111">
        <v>609</v>
      </c>
      <c r="B111">
        <v>537</v>
      </c>
      <c r="C111">
        <v>171</v>
      </c>
      <c r="D111">
        <v>0</v>
      </c>
      <c r="E111">
        <v>180000</v>
      </c>
      <c r="F111">
        <v>105000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80000</v>
      </c>
      <c r="Q111" t="s">
        <v>47</v>
      </c>
      <c r="R111">
        <v>105000</v>
      </c>
      <c r="S111">
        <v>80000</v>
      </c>
      <c r="T111">
        <v>122</v>
      </c>
      <c r="U111">
        <f t="shared" si="1"/>
        <v>0</v>
      </c>
    </row>
    <row r="112" spans="1:21" x14ac:dyDescent="0.3">
      <c r="A112">
        <v>643</v>
      </c>
      <c r="B112">
        <v>537</v>
      </c>
      <c r="C112">
        <v>178</v>
      </c>
      <c r="D112">
        <v>1</v>
      </c>
      <c r="E112">
        <v>180000</v>
      </c>
      <c r="F112">
        <v>105000</v>
      </c>
      <c r="G112">
        <v>0</v>
      </c>
      <c r="H112">
        <v>0</v>
      </c>
      <c r="I112">
        <v>0</v>
      </c>
      <c r="J112">
        <v>15000</v>
      </c>
      <c r="K112">
        <v>30000</v>
      </c>
      <c r="L112">
        <v>70000</v>
      </c>
      <c r="M112">
        <v>0</v>
      </c>
      <c r="N112">
        <v>0</v>
      </c>
      <c r="O112">
        <v>0</v>
      </c>
      <c r="P112">
        <v>40000</v>
      </c>
      <c r="Q112" t="s">
        <v>47</v>
      </c>
      <c r="R112">
        <v>220000</v>
      </c>
      <c r="S112">
        <v>40000</v>
      </c>
      <c r="T112">
        <v>122</v>
      </c>
      <c r="U112">
        <f t="shared" si="1"/>
        <v>0</v>
      </c>
    </row>
    <row r="113" spans="1:21" x14ac:dyDescent="0.3">
      <c r="A113">
        <v>699</v>
      </c>
      <c r="B113">
        <v>537</v>
      </c>
      <c r="C113">
        <v>185</v>
      </c>
      <c r="D113">
        <v>2</v>
      </c>
      <c r="E113">
        <v>180000</v>
      </c>
      <c r="F113">
        <v>105000</v>
      </c>
      <c r="G113">
        <v>0</v>
      </c>
      <c r="H113">
        <v>0</v>
      </c>
      <c r="I113">
        <v>0</v>
      </c>
      <c r="J113">
        <v>15000</v>
      </c>
      <c r="K113">
        <v>30000</v>
      </c>
      <c r="L113">
        <v>33000</v>
      </c>
      <c r="M113">
        <v>0</v>
      </c>
      <c r="N113">
        <v>0</v>
      </c>
      <c r="O113">
        <v>0</v>
      </c>
      <c r="P113">
        <v>37000</v>
      </c>
      <c r="Q113" t="s">
        <v>47</v>
      </c>
      <c r="R113">
        <v>183000</v>
      </c>
      <c r="S113">
        <v>37000</v>
      </c>
      <c r="T113">
        <v>122</v>
      </c>
      <c r="U113">
        <f t="shared" si="1"/>
        <v>0</v>
      </c>
    </row>
    <row r="114" spans="1:21" x14ac:dyDescent="0.3">
      <c r="A114">
        <v>726</v>
      </c>
      <c r="B114">
        <v>537</v>
      </c>
      <c r="C114">
        <v>189</v>
      </c>
      <c r="D114">
        <v>3</v>
      </c>
      <c r="E114">
        <v>180000</v>
      </c>
      <c r="F114">
        <v>105000</v>
      </c>
      <c r="G114">
        <v>0</v>
      </c>
      <c r="H114">
        <v>0</v>
      </c>
      <c r="I114">
        <v>0</v>
      </c>
      <c r="J114">
        <v>15000</v>
      </c>
      <c r="K114">
        <v>30000</v>
      </c>
      <c r="L114">
        <v>0</v>
      </c>
      <c r="M114">
        <v>0</v>
      </c>
      <c r="N114">
        <v>0</v>
      </c>
      <c r="O114">
        <v>0</v>
      </c>
      <c r="P114">
        <v>67000</v>
      </c>
      <c r="Q114" t="s">
        <v>47</v>
      </c>
      <c r="R114">
        <v>150000</v>
      </c>
      <c r="S114">
        <v>67000</v>
      </c>
      <c r="T114">
        <v>122</v>
      </c>
      <c r="U114">
        <f t="shared" si="1"/>
        <v>0</v>
      </c>
    </row>
    <row r="115" spans="1:21" x14ac:dyDescent="0.3">
      <c r="A115">
        <v>619</v>
      </c>
      <c r="B115">
        <v>538</v>
      </c>
      <c r="C115">
        <v>171</v>
      </c>
      <c r="D115">
        <v>0</v>
      </c>
      <c r="E115">
        <v>100000</v>
      </c>
      <c r="F115">
        <v>50000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30000</v>
      </c>
      <c r="Q115" t="s">
        <v>48</v>
      </c>
      <c r="R115">
        <v>50000</v>
      </c>
      <c r="S115">
        <v>30000</v>
      </c>
      <c r="T115">
        <v>120</v>
      </c>
      <c r="U115">
        <f t="shared" si="1"/>
        <v>0</v>
      </c>
    </row>
    <row r="116" spans="1:21" x14ac:dyDescent="0.3">
      <c r="A116">
        <v>646</v>
      </c>
      <c r="B116">
        <v>538</v>
      </c>
      <c r="C116">
        <v>178</v>
      </c>
      <c r="D116">
        <v>1</v>
      </c>
      <c r="E116">
        <v>100000</v>
      </c>
      <c r="F116">
        <v>50000</v>
      </c>
      <c r="G116">
        <v>0</v>
      </c>
      <c r="H116">
        <v>0</v>
      </c>
      <c r="I116">
        <v>0</v>
      </c>
      <c r="J116">
        <v>15000</v>
      </c>
      <c r="K116">
        <v>16000</v>
      </c>
      <c r="L116">
        <v>32000</v>
      </c>
      <c r="M116">
        <v>0</v>
      </c>
      <c r="N116">
        <v>0</v>
      </c>
      <c r="O116">
        <v>0</v>
      </c>
      <c r="P116">
        <v>17000</v>
      </c>
      <c r="Q116" t="s">
        <v>48</v>
      </c>
      <c r="R116">
        <v>113000</v>
      </c>
      <c r="S116">
        <v>17000</v>
      </c>
      <c r="T116">
        <v>120</v>
      </c>
      <c r="U116">
        <f t="shared" si="1"/>
        <v>0</v>
      </c>
    </row>
    <row r="117" spans="1:21" x14ac:dyDescent="0.3">
      <c r="A117">
        <v>695</v>
      </c>
      <c r="B117">
        <v>538</v>
      </c>
      <c r="C117">
        <v>185</v>
      </c>
      <c r="D117">
        <v>2</v>
      </c>
      <c r="E117">
        <v>100000</v>
      </c>
      <c r="F117">
        <v>50000</v>
      </c>
      <c r="G117">
        <v>0</v>
      </c>
      <c r="H117">
        <v>0</v>
      </c>
      <c r="I117">
        <v>0</v>
      </c>
      <c r="J117">
        <v>15000</v>
      </c>
      <c r="K117">
        <v>16000</v>
      </c>
      <c r="L117">
        <v>20000</v>
      </c>
      <c r="M117">
        <v>0</v>
      </c>
      <c r="N117">
        <v>0</v>
      </c>
      <c r="O117">
        <v>0</v>
      </c>
      <c r="P117">
        <v>16000</v>
      </c>
      <c r="Q117" t="s">
        <v>48</v>
      </c>
      <c r="R117">
        <v>101000</v>
      </c>
      <c r="S117">
        <v>16000</v>
      </c>
      <c r="T117">
        <v>120</v>
      </c>
      <c r="U117">
        <f t="shared" si="1"/>
        <v>0</v>
      </c>
    </row>
    <row r="118" spans="1:21" x14ac:dyDescent="0.3">
      <c r="A118">
        <v>731</v>
      </c>
      <c r="B118">
        <v>538</v>
      </c>
      <c r="C118">
        <v>189</v>
      </c>
      <c r="D118">
        <v>3</v>
      </c>
      <c r="E118">
        <v>100000</v>
      </c>
      <c r="F118">
        <v>50000</v>
      </c>
      <c r="G118">
        <v>0</v>
      </c>
      <c r="H118">
        <v>0</v>
      </c>
      <c r="I118">
        <v>0</v>
      </c>
      <c r="J118">
        <v>15000</v>
      </c>
      <c r="K118">
        <v>16000</v>
      </c>
      <c r="L118">
        <v>24000</v>
      </c>
      <c r="M118">
        <v>0</v>
      </c>
      <c r="N118">
        <v>0</v>
      </c>
      <c r="O118">
        <v>0</v>
      </c>
      <c r="P118">
        <v>11000</v>
      </c>
      <c r="Q118" t="s">
        <v>48</v>
      </c>
      <c r="R118">
        <v>105000</v>
      </c>
      <c r="S118">
        <v>11000</v>
      </c>
      <c r="T118">
        <v>120</v>
      </c>
      <c r="U118">
        <f t="shared" si="1"/>
        <v>0</v>
      </c>
    </row>
    <row r="119" spans="1:21" x14ac:dyDescent="0.3">
      <c r="A119">
        <v>621</v>
      </c>
      <c r="B119">
        <v>539</v>
      </c>
      <c r="C119">
        <v>171</v>
      </c>
      <c r="D119">
        <v>0</v>
      </c>
      <c r="E119">
        <v>100000</v>
      </c>
      <c r="F119">
        <v>50000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30000</v>
      </c>
      <c r="Q119" t="s">
        <v>49</v>
      </c>
      <c r="R119">
        <v>50000</v>
      </c>
      <c r="S119">
        <v>30000</v>
      </c>
      <c r="T119">
        <v>120</v>
      </c>
      <c r="U119">
        <f t="shared" si="1"/>
        <v>0</v>
      </c>
    </row>
    <row r="120" spans="1:21" x14ac:dyDescent="0.3">
      <c r="A120">
        <v>647</v>
      </c>
      <c r="B120">
        <v>539</v>
      </c>
      <c r="C120">
        <v>178</v>
      </c>
      <c r="D120">
        <v>1</v>
      </c>
      <c r="E120">
        <v>100000</v>
      </c>
      <c r="F120">
        <v>50000</v>
      </c>
      <c r="G120">
        <v>0</v>
      </c>
      <c r="H120">
        <v>0</v>
      </c>
      <c r="I120">
        <v>0</v>
      </c>
      <c r="J120">
        <v>15000</v>
      </c>
      <c r="K120">
        <v>8000</v>
      </c>
      <c r="L120">
        <v>48000</v>
      </c>
      <c r="M120">
        <v>0</v>
      </c>
      <c r="N120">
        <v>0</v>
      </c>
      <c r="O120">
        <v>0</v>
      </c>
      <c r="P120">
        <v>9000</v>
      </c>
      <c r="Q120" t="s">
        <v>49</v>
      </c>
      <c r="R120">
        <v>121000</v>
      </c>
      <c r="S120">
        <v>9000</v>
      </c>
      <c r="T120">
        <v>120</v>
      </c>
      <c r="U120">
        <f t="shared" si="1"/>
        <v>0</v>
      </c>
    </row>
    <row r="121" spans="1:21" x14ac:dyDescent="0.3">
      <c r="A121">
        <v>697</v>
      </c>
      <c r="B121">
        <v>539</v>
      </c>
      <c r="C121">
        <v>185</v>
      </c>
      <c r="D121">
        <v>2</v>
      </c>
      <c r="E121">
        <v>100000</v>
      </c>
      <c r="F121">
        <v>50000</v>
      </c>
      <c r="G121">
        <v>0</v>
      </c>
      <c r="H121">
        <v>0</v>
      </c>
      <c r="I121">
        <v>0</v>
      </c>
      <c r="J121">
        <v>15000</v>
      </c>
      <c r="K121">
        <v>8000</v>
      </c>
      <c r="L121">
        <v>20000</v>
      </c>
      <c r="M121">
        <v>0</v>
      </c>
      <c r="N121">
        <v>0</v>
      </c>
      <c r="O121">
        <v>0</v>
      </c>
      <c r="P121">
        <v>16000</v>
      </c>
      <c r="Q121" t="s">
        <v>49</v>
      </c>
      <c r="R121">
        <v>93000</v>
      </c>
      <c r="S121">
        <v>16000</v>
      </c>
      <c r="T121">
        <v>120</v>
      </c>
      <c r="U121">
        <f t="shared" si="1"/>
        <v>0</v>
      </c>
    </row>
    <row r="122" spans="1:21" x14ac:dyDescent="0.3">
      <c r="A122">
        <v>730</v>
      </c>
      <c r="B122">
        <v>539</v>
      </c>
      <c r="C122">
        <v>189</v>
      </c>
      <c r="D122">
        <v>3</v>
      </c>
      <c r="E122">
        <v>100000</v>
      </c>
      <c r="F122">
        <v>50000</v>
      </c>
      <c r="G122">
        <v>0</v>
      </c>
      <c r="H122">
        <v>0</v>
      </c>
      <c r="I122">
        <v>0</v>
      </c>
      <c r="J122">
        <v>15000</v>
      </c>
      <c r="K122">
        <v>8000</v>
      </c>
      <c r="L122">
        <v>26000</v>
      </c>
      <c r="M122">
        <v>0</v>
      </c>
      <c r="N122">
        <v>0</v>
      </c>
      <c r="O122">
        <v>0</v>
      </c>
      <c r="P122">
        <v>17000</v>
      </c>
      <c r="Q122" t="s">
        <v>49</v>
      </c>
      <c r="R122">
        <v>99000</v>
      </c>
      <c r="S122">
        <v>17000</v>
      </c>
      <c r="T122">
        <v>120</v>
      </c>
      <c r="U122">
        <f t="shared" si="1"/>
        <v>0</v>
      </c>
    </row>
    <row r="123" spans="1:21" x14ac:dyDescent="0.3">
      <c r="A123">
        <v>587</v>
      </c>
      <c r="B123">
        <v>540</v>
      </c>
      <c r="C123">
        <v>172</v>
      </c>
      <c r="D123">
        <v>0</v>
      </c>
      <c r="E123">
        <v>65000</v>
      </c>
      <c r="F123">
        <v>30000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5000</v>
      </c>
      <c r="Q123" t="s">
        <v>50</v>
      </c>
      <c r="R123">
        <v>30000</v>
      </c>
      <c r="S123">
        <v>5000</v>
      </c>
      <c r="T123">
        <v>118</v>
      </c>
      <c r="U123">
        <f t="shared" si="1"/>
        <v>0</v>
      </c>
    </row>
    <row r="124" spans="1:21" x14ac:dyDescent="0.3">
      <c r="A124">
        <v>659</v>
      </c>
      <c r="B124">
        <v>540</v>
      </c>
      <c r="C124">
        <v>180</v>
      </c>
      <c r="D124">
        <v>1</v>
      </c>
      <c r="E124">
        <v>65000</v>
      </c>
      <c r="F124">
        <v>30000</v>
      </c>
      <c r="G124">
        <v>0</v>
      </c>
      <c r="H124">
        <v>0</v>
      </c>
      <c r="I124">
        <v>0</v>
      </c>
      <c r="J124">
        <v>20000</v>
      </c>
      <c r="K124">
        <v>11000</v>
      </c>
      <c r="L124">
        <v>9000</v>
      </c>
      <c r="M124">
        <v>0</v>
      </c>
      <c r="N124">
        <v>0</v>
      </c>
      <c r="O124">
        <v>0</v>
      </c>
      <c r="P124">
        <v>0</v>
      </c>
      <c r="Q124" t="s">
        <v>50</v>
      </c>
      <c r="R124">
        <v>70000</v>
      </c>
      <c r="S124">
        <v>0</v>
      </c>
      <c r="T124">
        <v>118</v>
      </c>
      <c r="U124">
        <f t="shared" si="1"/>
        <v>0</v>
      </c>
    </row>
    <row r="125" spans="1:21" x14ac:dyDescent="0.3">
      <c r="A125">
        <v>689</v>
      </c>
      <c r="B125">
        <v>540</v>
      </c>
      <c r="C125">
        <v>184</v>
      </c>
      <c r="D125">
        <v>2</v>
      </c>
      <c r="E125">
        <v>65000</v>
      </c>
      <c r="F125">
        <v>30000</v>
      </c>
      <c r="G125">
        <v>0</v>
      </c>
      <c r="H125">
        <v>0</v>
      </c>
      <c r="I125">
        <v>0</v>
      </c>
      <c r="J125">
        <v>20000</v>
      </c>
      <c r="K125">
        <v>11000</v>
      </c>
      <c r="L125">
        <v>0</v>
      </c>
      <c r="M125">
        <v>0</v>
      </c>
      <c r="N125">
        <v>4000</v>
      </c>
      <c r="O125">
        <v>4000</v>
      </c>
      <c r="P125">
        <v>-4000</v>
      </c>
      <c r="Q125" t="s">
        <v>50</v>
      </c>
      <c r="R125">
        <v>69000</v>
      </c>
      <c r="S125">
        <v>-4000</v>
      </c>
      <c r="T125">
        <v>118</v>
      </c>
      <c r="U125">
        <f t="shared" si="1"/>
        <v>8000</v>
      </c>
    </row>
    <row r="126" spans="1:21" x14ac:dyDescent="0.3">
      <c r="A126">
        <v>736</v>
      </c>
      <c r="B126">
        <v>540</v>
      </c>
      <c r="C126">
        <v>190</v>
      </c>
      <c r="D126">
        <v>3</v>
      </c>
      <c r="E126">
        <v>65000</v>
      </c>
      <c r="F126">
        <v>30000</v>
      </c>
      <c r="G126">
        <v>4000</v>
      </c>
      <c r="H126">
        <v>0</v>
      </c>
      <c r="I126">
        <v>0</v>
      </c>
      <c r="J126">
        <v>25000</v>
      </c>
      <c r="K126">
        <v>11000</v>
      </c>
      <c r="L126">
        <v>0</v>
      </c>
      <c r="M126">
        <v>0</v>
      </c>
      <c r="N126">
        <v>0</v>
      </c>
      <c r="O126">
        <v>0</v>
      </c>
      <c r="P126">
        <v>-5000</v>
      </c>
      <c r="Q126" t="s">
        <v>50</v>
      </c>
      <c r="R126">
        <v>66000</v>
      </c>
      <c r="S126">
        <v>-5000</v>
      </c>
      <c r="T126">
        <v>118</v>
      </c>
      <c r="U126">
        <f t="shared" si="1"/>
        <v>0</v>
      </c>
    </row>
    <row r="127" spans="1:21" x14ac:dyDescent="0.3">
      <c r="A127">
        <v>589</v>
      </c>
      <c r="B127">
        <v>541</v>
      </c>
      <c r="C127">
        <v>172</v>
      </c>
      <c r="D127">
        <v>0</v>
      </c>
      <c r="E127">
        <v>100000</v>
      </c>
      <c r="F127">
        <v>50000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30000</v>
      </c>
      <c r="Q127" t="s">
        <v>51</v>
      </c>
      <c r="R127">
        <v>50000</v>
      </c>
      <c r="S127">
        <v>30000</v>
      </c>
      <c r="T127">
        <v>120</v>
      </c>
      <c r="U127">
        <f t="shared" si="1"/>
        <v>0</v>
      </c>
    </row>
    <row r="128" spans="1:21" x14ac:dyDescent="0.3">
      <c r="A128">
        <v>657</v>
      </c>
      <c r="B128">
        <v>541</v>
      </c>
      <c r="C128">
        <v>180</v>
      </c>
      <c r="D128">
        <v>1</v>
      </c>
      <c r="E128">
        <v>100000</v>
      </c>
      <c r="F128">
        <v>50000</v>
      </c>
      <c r="G128">
        <v>0</v>
      </c>
      <c r="H128">
        <v>0</v>
      </c>
      <c r="I128">
        <v>0</v>
      </c>
      <c r="J128">
        <v>15000</v>
      </c>
      <c r="K128">
        <v>16000</v>
      </c>
      <c r="L128">
        <v>26000</v>
      </c>
      <c r="M128">
        <v>0</v>
      </c>
      <c r="N128">
        <v>0</v>
      </c>
      <c r="O128">
        <v>0</v>
      </c>
      <c r="P128">
        <v>23000</v>
      </c>
      <c r="Q128" t="s">
        <v>51</v>
      </c>
      <c r="R128">
        <v>107000</v>
      </c>
      <c r="S128">
        <v>23000</v>
      </c>
      <c r="T128">
        <v>120</v>
      </c>
      <c r="U128">
        <f t="shared" si="1"/>
        <v>0</v>
      </c>
    </row>
    <row r="129" spans="1:21" x14ac:dyDescent="0.3">
      <c r="A129">
        <v>691</v>
      </c>
      <c r="B129">
        <v>541</v>
      </c>
      <c r="C129">
        <v>184</v>
      </c>
      <c r="D129">
        <v>2</v>
      </c>
      <c r="E129">
        <v>100000</v>
      </c>
      <c r="F129">
        <v>50000</v>
      </c>
      <c r="G129">
        <v>0</v>
      </c>
      <c r="H129">
        <v>0</v>
      </c>
      <c r="I129">
        <v>0</v>
      </c>
      <c r="J129">
        <v>15000</v>
      </c>
      <c r="K129">
        <v>16000</v>
      </c>
      <c r="L129">
        <v>15000</v>
      </c>
      <c r="M129">
        <v>0</v>
      </c>
      <c r="N129">
        <v>0</v>
      </c>
      <c r="O129">
        <v>4000</v>
      </c>
      <c r="P129">
        <v>23000</v>
      </c>
      <c r="Q129" t="s">
        <v>51</v>
      </c>
      <c r="R129">
        <v>100000</v>
      </c>
      <c r="S129">
        <v>23000</v>
      </c>
      <c r="T129">
        <v>120</v>
      </c>
      <c r="U129">
        <f t="shared" si="1"/>
        <v>4000</v>
      </c>
    </row>
    <row r="130" spans="1:21" x14ac:dyDescent="0.3">
      <c r="A130">
        <v>738</v>
      </c>
      <c r="B130">
        <v>541</v>
      </c>
      <c r="C130">
        <v>190</v>
      </c>
      <c r="D130">
        <v>3</v>
      </c>
      <c r="E130">
        <v>100000</v>
      </c>
      <c r="F130">
        <v>50000</v>
      </c>
      <c r="G130">
        <v>0</v>
      </c>
      <c r="H130">
        <v>0</v>
      </c>
      <c r="I130">
        <v>0</v>
      </c>
      <c r="J130">
        <v>15000</v>
      </c>
      <c r="K130">
        <v>16000</v>
      </c>
      <c r="L130">
        <v>20000</v>
      </c>
      <c r="M130">
        <v>0</v>
      </c>
      <c r="N130">
        <v>0</v>
      </c>
      <c r="O130">
        <v>0</v>
      </c>
      <c r="P130">
        <v>22000</v>
      </c>
      <c r="Q130" t="s">
        <v>51</v>
      </c>
      <c r="R130">
        <v>101000</v>
      </c>
      <c r="S130">
        <v>22000</v>
      </c>
      <c r="T130">
        <v>120</v>
      </c>
      <c r="U130">
        <f t="shared" si="1"/>
        <v>0</v>
      </c>
    </row>
    <row r="131" spans="1:21" x14ac:dyDescent="0.3">
      <c r="A131">
        <v>601</v>
      </c>
      <c r="B131">
        <v>542</v>
      </c>
      <c r="C131">
        <v>172</v>
      </c>
      <c r="D131">
        <v>0</v>
      </c>
      <c r="E131">
        <v>50000</v>
      </c>
      <c r="F131">
        <v>20000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52</v>
      </c>
      <c r="R131">
        <v>20000</v>
      </c>
      <c r="S131">
        <v>0</v>
      </c>
      <c r="T131">
        <v>117</v>
      </c>
      <c r="U131">
        <f t="shared" ref="U131:U194" si="2">N131+O131</f>
        <v>0</v>
      </c>
    </row>
    <row r="132" spans="1:21" x14ac:dyDescent="0.3">
      <c r="A132">
        <v>661</v>
      </c>
      <c r="B132">
        <v>542</v>
      </c>
      <c r="C132">
        <v>180</v>
      </c>
      <c r="D132">
        <v>1</v>
      </c>
      <c r="E132">
        <v>50000</v>
      </c>
      <c r="F132">
        <v>20000</v>
      </c>
      <c r="G132">
        <v>0</v>
      </c>
      <c r="H132">
        <v>0</v>
      </c>
      <c r="I132">
        <v>0</v>
      </c>
      <c r="J132">
        <v>15000</v>
      </c>
      <c r="K132">
        <v>7000</v>
      </c>
      <c r="L132">
        <v>6500</v>
      </c>
      <c r="M132">
        <v>0</v>
      </c>
      <c r="N132">
        <v>0</v>
      </c>
      <c r="O132">
        <v>0</v>
      </c>
      <c r="P132">
        <v>1500</v>
      </c>
      <c r="Q132" t="s">
        <v>52</v>
      </c>
      <c r="R132">
        <v>48500</v>
      </c>
      <c r="S132">
        <v>1500</v>
      </c>
      <c r="T132">
        <v>117</v>
      </c>
      <c r="U132">
        <f t="shared" si="2"/>
        <v>0</v>
      </c>
    </row>
    <row r="133" spans="1:21" x14ac:dyDescent="0.3">
      <c r="A133">
        <v>692</v>
      </c>
      <c r="B133">
        <v>542</v>
      </c>
      <c r="C133">
        <v>184</v>
      </c>
      <c r="D133">
        <v>2</v>
      </c>
      <c r="E133">
        <v>50000</v>
      </c>
      <c r="F133">
        <v>20000</v>
      </c>
      <c r="G133">
        <v>0</v>
      </c>
      <c r="H133">
        <v>0</v>
      </c>
      <c r="I133">
        <v>0</v>
      </c>
      <c r="J133">
        <v>15000</v>
      </c>
      <c r="K133">
        <v>0</v>
      </c>
      <c r="L133">
        <v>0</v>
      </c>
      <c r="M133">
        <v>0</v>
      </c>
      <c r="N133">
        <v>16000</v>
      </c>
      <c r="O133">
        <v>4000</v>
      </c>
      <c r="P133">
        <v>-3500</v>
      </c>
      <c r="Q133" t="s">
        <v>52</v>
      </c>
      <c r="R133">
        <v>55000</v>
      </c>
      <c r="S133">
        <v>-3500</v>
      </c>
      <c r="T133">
        <v>117</v>
      </c>
      <c r="U133">
        <f t="shared" si="2"/>
        <v>20000</v>
      </c>
    </row>
    <row r="134" spans="1:21" x14ac:dyDescent="0.3">
      <c r="A134">
        <v>735</v>
      </c>
      <c r="B134">
        <v>542</v>
      </c>
      <c r="C134">
        <v>190</v>
      </c>
      <c r="D134">
        <v>3</v>
      </c>
      <c r="E134">
        <v>50000</v>
      </c>
      <c r="F134">
        <v>20000</v>
      </c>
      <c r="G134">
        <v>3500</v>
      </c>
      <c r="H134">
        <v>0</v>
      </c>
      <c r="I134">
        <v>0</v>
      </c>
      <c r="J134">
        <v>15000</v>
      </c>
      <c r="K134">
        <v>7000</v>
      </c>
      <c r="L134">
        <v>0</v>
      </c>
      <c r="M134">
        <v>0</v>
      </c>
      <c r="N134">
        <v>0</v>
      </c>
      <c r="O134">
        <v>0</v>
      </c>
      <c r="P134">
        <v>4500</v>
      </c>
      <c r="Q134" t="s">
        <v>52</v>
      </c>
      <c r="R134">
        <v>42000</v>
      </c>
      <c r="S134">
        <v>4500</v>
      </c>
      <c r="T134">
        <v>117</v>
      </c>
      <c r="U134">
        <f t="shared" si="2"/>
        <v>0</v>
      </c>
    </row>
    <row r="135" spans="1:21" x14ac:dyDescent="0.3">
      <c r="A135">
        <v>592</v>
      </c>
      <c r="B135">
        <v>543</v>
      </c>
      <c r="C135">
        <v>172</v>
      </c>
      <c r="D135">
        <v>0</v>
      </c>
      <c r="E135">
        <v>80000</v>
      </c>
      <c r="F135">
        <v>40000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15000</v>
      </c>
      <c r="Q135" t="s">
        <v>53</v>
      </c>
      <c r="R135">
        <v>40000</v>
      </c>
      <c r="S135">
        <v>15000</v>
      </c>
      <c r="T135">
        <v>119</v>
      </c>
      <c r="U135">
        <f t="shared" si="2"/>
        <v>0</v>
      </c>
    </row>
    <row r="136" spans="1:21" x14ac:dyDescent="0.3">
      <c r="A136">
        <v>660</v>
      </c>
      <c r="B136">
        <v>543</v>
      </c>
      <c r="C136">
        <v>180</v>
      </c>
      <c r="D136">
        <v>1</v>
      </c>
      <c r="E136">
        <v>80000</v>
      </c>
      <c r="F136">
        <v>40000</v>
      </c>
      <c r="G136">
        <v>0</v>
      </c>
      <c r="H136">
        <v>0</v>
      </c>
      <c r="I136">
        <v>23000</v>
      </c>
      <c r="J136">
        <v>15000</v>
      </c>
      <c r="K136">
        <v>13000</v>
      </c>
      <c r="L136">
        <v>0</v>
      </c>
      <c r="M136">
        <v>0</v>
      </c>
      <c r="N136">
        <v>0</v>
      </c>
      <c r="O136">
        <v>0</v>
      </c>
      <c r="P136">
        <v>4000</v>
      </c>
      <c r="Q136" t="s">
        <v>53</v>
      </c>
      <c r="R136">
        <v>91000</v>
      </c>
      <c r="S136">
        <v>4000</v>
      </c>
      <c r="T136">
        <v>119</v>
      </c>
      <c r="U136">
        <f t="shared" si="2"/>
        <v>0</v>
      </c>
    </row>
    <row r="137" spans="1:21" x14ac:dyDescent="0.3">
      <c r="A137">
        <v>690</v>
      </c>
      <c r="B137">
        <v>543</v>
      </c>
      <c r="C137">
        <v>184</v>
      </c>
      <c r="D137">
        <v>2</v>
      </c>
      <c r="E137">
        <v>80000</v>
      </c>
      <c r="F137">
        <v>40000</v>
      </c>
      <c r="G137">
        <v>0</v>
      </c>
      <c r="H137">
        <v>0</v>
      </c>
      <c r="I137">
        <v>0</v>
      </c>
      <c r="J137">
        <v>15000</v>
      </c>
      <c r="K137">
        <v>13000</v>
      </c>
      <c r="L137">
        <v>15000</v>
      </c>
      <c r="M137">
        <v>0</v>
      </c>
      <c r="N137">
        <v>8000</v>
      </c>
      <c r="O137">
        <v>0</v>
      </c>
      <c r="P137">
        <v>-7000</v>
      </c>
      <c r="Q137" t="s">
        <v>53</v>
      </c>
      <c r="R137">
        <v>91000</v>
      </c>
      <c r="S137">
        <v>-7000</v>
      </c>
      <c r="T137">
        <v>119</v>
      </c>
      <c r="U137">
        <f t="shared" si="2"/>
        <v>8000</v>
      </c>
    </row>
    <row r="138" spans="1:21" x14ac:dyDescent="0.3">
      <c r="A138">
        <v>740</v>
      </c>
      <c r="B138">
        <v>543</v>
      </c>
      <c r="C138">
        <v>190</v>
      </c>
      <c r="D138">
        <v>3</v>
      </c>
      <c r="E138">
        <v>80000</v>
      </c>
      <c r="F138">
        <v>40000</v>
      </c>
      <c r="G138">
        <v>7000</v>
      </c>
      <c r="H138">
        <v>11000</v>
      </c>
      <c r="I138">
        <v>0</v>
      </c>
      <c r="J138">
        <v>15000</v>
      </c>
      <c r="K138">
        <v>12500</v>
      </c>
      <c r="L138">
        <v>12000</v>
      </c>
      <c r="M138">
        <v>0</v>
      </c>
      <c r="N138">
        <v>0</v>
      </c>
      <c r="O138">
        <v>0</v>
      </c>
      <c r="P138">
        <v>4500</v>
      </c>
      <c r="Q138" t="s">
        <v>53</v>
      </c>
      <c r="R138">
        <v>79500</v>
      </c>
      <c r="S138">
        <v>4500</v>
      </c>
      <c r="T138">
        <v>119</v>
      </c>
      <c r="U138">
        <f t="shared" si="2"/>
        <v>0</v>
      </c>
    </row>
    <row r="139" spans="1:21" x14ac:dyDescent="0.3">
      <c r="A139">
        <v>588</v>
      </c>
      <c r="B139">
        <v>544</v>
      </c>
      <c r="C139">
        <v>172</v>
      </c>
      <c r="D139">
        <v>0</v>
      </c>
      <c r="E139">
        <v>120000</v>
      </c>
      <c r="F139">
        <v>65000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50000</v>
      </c>
      <c r="Q139" t="s">
        <v>54</v>
      </c>
      <c r="R139">
        <v>65000</v>
      </c>
      <c r="S139">
        <v>50000</v>
      </c>
      <c r="T139">
        <v>121</v>
      </c>
      <c r="U139">
        <f t="shared" si="2"/>
        <v>0</v>
      </c>
    </row>
    <row r="140" spans="1:21" x14ac:dyDescent="0.3">
      <c r="A140">
        <v>662</v>
      </c>
      <c r="B140">
        <v>544</v>
      </c>
      <c r="C140">
        <v>180</v>
      </c>
      <c r="D140">
        <v>1</v>
      </c>
      <c r="E140">
        <v>120000</v>
      </c>
      <c r="F140">
        <v>65000</v>
      </c>
      <c r="G140">
        <v>0</v>
      </c>
      <c r="H140">
        <v>0</v>
      </c>
      <c r="I140">
        <v>0</v>
      </c>
      <c r="J140">
        <v>15000</v>
      </c>
      <c r="K140">
        <v>16000</v>
      </c>
      <c r="L140">
        <v>20000</v>
      </c>
      <c r="M140">
        <v>0</v>
      </c>
      <c r="N140">
        <v>0</v>
      </c>
      <c r="O140">
        <v>0</v>
      </c>
      <c r="P140">
        <v>54000</v>
      </c>
      <c r="Q140" t="s">
        <v>54</v>
      </c>
      <c r="R140">
        <v>116000</v>
      </c>
      <c r="S140">
        <v>54000</v>
      </c>
      <c r="T140">
        <v>121</v>
      </c>
      <c r="U140">
        <f t="shared" si="2"/>
        <v>0</v>
      </c>
    </row>
    <row r="141" spans="1:21" x14ac:dyDescent="0.3">
      <c r="A141">
        <v>687</v>
      </c>
      <c r="B141">
        <v>544</v>
      </c>
      <c r="C141">
        <v>184</v>
      </c>
      <c r="D141">
        <v>2</v>
      </c>
      <c r="E141">
        <v>120000</v>
      </c>
      <c r="F141">
        <v>65000</v>
      </c>
      <c r="G141">
        <v>0</v>
      </c>
      <c r="H141">
        <v>16000</v>
      </c>
      <c r="I141">
        <v>100000</v>
      </c>
      <c r="J141">
        <v>15000</v>
      </c>
      <c r="K141">
        <v>20000</v>
      </c>
      <c r="L141">
        <v>0</v>
      </c>
      <c r="M141">
        <v>0</v>
      </c>
      <c r="N141">
        <v>4000</v>
      </c>
      <c r="O141">
        <v>4000</v>
      </c>
      <c r="P141">
        <v>-18000</v>
      </c>
      <c r="Q141" t="s">
        <v>54</v>
      </c>
      <c r="R141">
        <v>208000</v>
      </c>
      <c r="S141">
        <v>-18000</v>
      </c>
      <c r="T141">
        <v>121</v>
      </c>
      <c r="U141">
        <f t="shared" si="2"/>
        <v>8000</v>
      </c>
    </row>
    <row r="142" spans="1:21" x14ac:dyDescent="0.3">
      <c r="A142">
        <v>739</v>
      </c>
      <c r="B142">
        <v>544</v>
      </c>
      <c r="C142">
        <v>190</v>
      </c>
      <c r="D142">
        <v>3</v>
      </c>
      <c r="E142">
        <v>120000</v>
      </c>
      <c r="F142">
        <v>65000</v>
      </c>
      <c r="G142">
        <v>18000</v>
      </c>
      <c r="H142">
        <v>0</v>
      </c>
      <c r="I142">
        <v>0</v>
      </c>
      <c r="J142">
        <v>15000</v>
      </c>
      <c r="K142">
        <v>20000</v>
      </c>
      <c r="L142">
        <v>0</v>
      </c>
      <c r="M142">
        <v>0</v>
      </c>
      <c r="N142">
        <v>0</v>
      </c>
      <c r="O142">
        <v>0</v>
      </c>
      <c r="P142">
        <v>2000</v>
      </c>
      <c r="Q142" t="s">
        <v>54</v>
      </c>
      <c r="R142">
        <v>100000</v>
      </c>
      <c r="S142">
        <v>2000</v>
      </c>
      <c r="T142">
        <v>121</v>
      </c>
      <c r="U142">
        <f t="shared" si="2"/>
        <v>0</v>
      </c>
    </row>
    <row r="143" spans="1:21" x14ac:dyDescent="0.3">
      <c r="A143">
        <v>591</v>
      </c>
      <c r="B143">
        <v>545</v>
      </c>
      <c r="C143">
        <v>172</v>
      </c>
      <c r="D143">
        <v>0</v>
      </c>
      <c r="E143">
        <v>180000</v>
      </c>
      <c r="F143">
        <v>105000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80000</v>
      </c>
      <c r="Q143" t="s">
        <v>55</v>
      </c>
      <c r="R143">
        <v>105000</v>
      </c>
      <c r="S143">
        <v>80000</v>
      </c>
      <c r="T143">
        <v>122</v>
      </c>
      <c r="U143">
        <f t="shared" si="2"/>
        <v>0</v>
      </c>
    </row>
    <row r="144" spans="1:21" x14ac:dyDescent="0.3">
      <c r="A144">
        <v>656</v>
      </c>
      <c r="B144">
        <v>545</v>
      </c>
      <c r="C144">
        <v>180</v>
      </c>
      <c r="D144">
        <v>1</v>
      </c>
      <c r="E144">
        <v>180000</v>
      </c>
      <c r="F144">
        <v>105000</v>
      </c>
      <c r="G144">
        <v>0</v>
      </c>
      <c r="H144">
        <v>0</v>
      </c>
      <c r="I144">
        <v>50000</v>
      </c>
      <c r="J144">
        <v>15000</v>
      </c>
      <c r="K144">
        <v>30000</v>
      </c>
      <c r="L144">
        <v>32000</v>
      </c>
      <c r="M144">
        <v>0</v>
      </c>
      <c r="N144">
        <v>0</v>
      </c>
      <c r="O144">
        <v>0</v>
      </c>
      <c r="P144">
        <v>28000</v>
      </c>
      <c r="Q144" t="s">
        <v>55</v>
      </c>
      <c r="R144">
        <v>232000</v>
      </c>
      <c r="S144">
        <v>28000</v>
      </c>
      <c r="T144">
        <v>122</v>
      </c>
      <c r="U144">
        <f t="shared" si="2"/>
        <v>0</v>
      </c>
    </row>
    <row r="145" spans="1:21" x14ac:dyDescent="0.3">
      <c r="A145">
        <v>701</v>
      </c>
      <c r="B145">
        <v>545</v>
      </c>
      <c r="C145">
        <v>184</v>
      </c>
      <c r="D145">
        <v>2</v>
      </c>
      <c r="E145">
        <v>180000</v>
      </c>
      <c r="F145">
        <v>105000</v>
      </c>
      <c r="G145">
        <v>0</v>
      </c>
      <c r="H145">
        <v>0</v>
      </c>
      <c r="I145">
        <v>0</v>
      </c>
      <c r="J145">
        <v>15000</v>
      </c>
      <c r="K145">
        <v>30000</v>
      </c>
      <c r="L145">
        <v>32000</v>
      </c>
      <c r="M145">
        <v>0</v>
      </c>
      <c r="N145">
        <v>0</v>
      </c>
      <c r="O145">
        <v>4000</v>
      </c>
      <c r="P145">
        <v>22000</v>
      </c>
      <c r="Q145" t="s">
        <v>55</v>
      </c>
      <c r="R145">
        <v>186000</v>
      </c>
      <c r="S145">
        <v>22000</v>
      </c>
      <c r="T145">
        <v>122</v>
      </c>
      <c r="U145">
        <f t="shared" si="2"/>
        <v>4000</v>
      </c>
    </row>
    <row r="146" spans="1:21" x14ac:dyDescent="0.3">
      <c r="A146">
        <v>734</v>
      </c>
      <c r="B146">
        <v>545</v>
      </c>
      <c r="C146">
        <v>190</v>
      </c>
      <c r="D146">
        <v>3</v>
      </c>
      <c r="E146">
        <v>180000</v>
      </c>
      <c r="F146">
        <v>105000</v>
      </c>
      <c r="G146">
        <v>0</v>
      </c>
      <c r="H146">
        <v>0</v>
      </c>
      <c r="I146">
        <v>0</v>
      </c>
      <c r="J146">
        <v>15000</v>
      </c>
      <c r="K146">
        <v>30000</v>
      </c>
      <c r="L146">
        <v>39000</v>
      </c>
      <c r="M146">
        <v>0</v>
      </c>
      <c r="N146">
        <v>0</v>
      </c>
      <c r="O146">
        <v>0</v>
      </c>
      <c r="P146">
        <v>13000</v>
      </c>
      <c r="Q146" t="s">
        <v>55</v>
      </c>
      <c r="R146">
        <v>189000</v>
      </c>
      <c r="S146">
        <v>13000</v>
      </c>
      <c r="T146">
        <v>122</v>
      </c>
      <c r="U146">
        <f t="shared" si="2"/>
        <v>0</v>
      </c>
    </row>
    <row r="147" spans="1:21" x14ac:dyDescent="0.3">
      <c r="A147">
        <v>593</v>
      </c>
      <c r="B147">
        <v>546</v>
      </c>
      <c r="C147">
        <v>172</v>
      </c>
      <c r="D147">
        <v>0</v>
      </c>
      <c r="E147">
        <v>100000</v>
      </c>
      <c r="F147">
        <v>50000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30000</v>
      </c>
      <c r="Q147" t="s">
        <v>56</v>
      </c>
      <c r="R147">
        <v>50000</v>
      </c>
      <c r="S147">
        <v>30000</v>
      </c>
      <c r="T147">
        <v>120</v>
      </c>
      <c r="U147">
        <f t="shared" si="2"/>
        <v>0</v>
      </c>
    </row>
    <row r="148" spans="1:21" x14ac:dyDescent="0.3">
      <c r="A148">
        <v>663</v>
      </c>
      <c r="B148">
        <v>546</v>
      </c>
      <c r="C148">
        <v>180</v>
      </c>
      <c r="D148">
        <v>1</v>
      </c>
      <c r="E148">
        <v>100000</v>
      </c>
      <c r="F148">
        <v>50000</v>
      </c>
      <c r="G148">
        <v>0</v>
      </c>
      <c r="H148">
        <v>0</v>
      </c>
      <c r="I148">
        <v>62000</v>
      </c>
      <c r="J148">
        <v>20000</v>
      </c>
      <c r="K148">
        <v>17000</v>
      </c>
      <c r="L148">
        <v>0</v>
      </c>
      <c r="M148">
        <v>0</v>
      </c>
      <c r="N148">
        <v>0</v>
      </c>
      <c r="O148">
        <v>0</v>
      </c>
      <c r="P148">
        <v>-19000</v>
      </c>
      <c r="Q148" t="s">
        <v>56</v>
      </c>
      <c r="R148">
        <v>149000</v>
      </c>
      <c r="S148">
        <v>-19000</v>
      </c>
      <c r="T148">
        <v>120</v>
      </c>
      <c r="U148">
        <f t="shared" si="2"/>
        <v>0</v>
      </c>
    </row>
    <row r="149" spans="1:21" x14ac:dyDescent="0.3">
      <c r="A149">
        <v>686</v>
      </c>
      <c r="B149">
        <v>546</v>
      </c>
      <c r="C149">
        <v>184</v>
      </c>
      <c r="D149">
        <v>2</v>
      </c>
      <c r="E149">
        <v>100000</v>
      </c>
      <c r="F149">
        <v>50000</v>
      </c>
      <c r="G149">
        <v>19000</v>
      </c>
      <c r="H149">
        <v>0</v>
      </c>
      <c r="I149">
        <v>0</v>
      </c>
      <c r="J149">
        <v>20000</v>
      </c>
      <c r="K149">
        <v>17000</v>
      </c>
      <c r="L149">
        <v>0</v>
      </c>
      <c r="M149">
        <v>0</v>
      </c>
      <c r="N149">
        <v>4000</v>
      </c>
      <c r="O149">
        <v>4000</v>
      </c>
      <c r="P149">
        <v>-14000</v>
      </c>
      <c r="Q149" t="s">
        <v>56</v>
      </c>
      <c r="R149">
        <v>95000</v>
      </c>
      <c r="S149">
        <v>-14000</v>
      </c>
      <c r="T149">
        <v>120</v>
      </c>
      <c r="U149">
        <f t="shared" si="2"/>
        <v>8000</v>
      </c>
    </row>
    <row r="150" spans="1:21" x14ac:dyDescent="0.3">
      <c r="A150">
        <v>741</v>
      </c>
      <c r="B150">
        <v>546</v>
      </c>
      <c r="C150">
        <v>190</v>
      </c>
      <c r="D150">
        <v>3</v>
      </c>
      <c r="E150">
        <v>100000</v>
      </c>
      <c r="F150">
        <v>50000</v>
      </c>
      <c r="G150">
        <v>14000</v>
      </c>
      <c r="H150">
        <v>0</v>
      </c>
      <c r="I150">
        <v>0</v>
      </c>
      <c r="J150">
        <v>25000</v>
      </c>
      <c r="K150">
        <v>17000</v>
      </c>
      <c r="L150">
        <v>0</v>
      </c>
      <c r="M150">
        <v>0</v>
      </c>
      <c r="N150">
        <v>0</v>
      </c>
      <c r="O150">
        <v>0</v>
      </c>
      <c r="P150">
        <v>-6000</v>
      </c>
      <c r="Q150" t="s">
        <v>56</v>
      </c>
      <c r="R150">
        <v>92000</v>
      </c>
      <c r="S150">
        <v>-6000</v>
      </c>
      <c r="T150">
        <v>120</v>
      </c>
      <c r="U150">
        <f t="shared" si="2"/>
        <v>0</v>
      </c>
    </row>
    <row r="151" spans="1:21" x14ac:dyDescent="0.3">
      <c r="A151">
        <v>590</v>
      </c>
      <c r="B151">
        <v>547</v>
      </c>
      <c r="C151">
        <v>172</v>
      </c>
      <c r="D151">
        <v>0</v>
      </c>
      <c r="E151">
        <v>100000</v>
      </c>
      <c r="F151">
        <v>50000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30000</v>
      </c>
      <c r="Q151" t="s">
        <v>57</v>
      </c>
      <c r="R151">
        <v>50000</v>
      </c>
      <c r="S151">
        <v>30000</v>
      </c>
      <c r="T151">
        <v>120</v>
      </c>
      <c r="U151">
        <f t="shared" si="2"/>
        <v>0</v>
      </c>
    </row>
    <row r="152" spans="1:21" x14ac:dyDescent="0.3">
      <c r="A152">
        <v>658</v>
      </c>
      <c r="B152">
        <v>547</v>
      </c>
      <c r="C152">
        <v>180</v>
      </c>
      <c r="D152">
        <v>1</v>
      </c>
      <c r="E152">
        <v>100000</v>
      </c>
      <c r="F152">
        <v>50000</v>
      </c>
      <c r="G152">
        <v>0</v>
      </c>
      <c r="H152">
        <v>0</v>
      </c>
      <c r="I152">
        <v>51000</v>
      </c>
      <c r="J152">
        <v>15000</v>
      </c>
      <c r="K152">
        <v>17000</v>
      </c>
      <c r="L152">
        <v>0</v>
      </c>
      <c r="M152">
        <v>0</v>
      </c>
      <c r="N152">
        <v>0</v>
      </c>
      <c r="O152">
        <v>0</v>
      </c>
      <c r="P152">
        <v>-3000</v>
      </c>
      <c r="Q152" t="s">
        <v>57</v>
      </c>
      <c r="R152">
        <v>133000</v>
      </c>
      <c r="S152">
        <v>-3000</v>
      </c>
      <c r="T152">
        <v>120</v>
      </c>
      <c r="U152">
        <f t="shared" si="2"/>
        <v>0</v>
      </c>
    </row>
    <row r="153" spans="1:21" x14ac:dyDescent="0.3">
      <c r="A153">
        <v>688</v>
      </c>
      <c r="B153">
        <v>547</v>
      </c>
      <c r="C153">
        <v>184</v>
      </c>
      <c r="D153">
        <v>2</v>
      </c>
      <c r="E153">
        <v>100000</v>
      </c>
      <c r="F153">
        <v>50000</v>
      </c>
      <c r="G153">
        <v>3000</v>
      </c>
      <c r="H153">
        <v>0</v>
      </c>
      <c r="I153">
        <v>0</v>
      </c>
      <c r="J153">
        <v>15000</v>
      </c>
      <c r="K153">
        <v>17000</v>
      </c>
      <c r="L153">
        <v>15000</v>
      </c>
      <c r="M153">
        <v>0</v>
      </c>
      <c r="N153">
        <v>8000</v>
      </c>
      <c r="O153">
        <v>0</v>
      </c>
      <c r="P153">
        <v>-8000</v>
      </c>
      <c r="Q153" t="s">
        <v>57</v>
      </c>
      <c r="R153">
        <v>105000</v>
      </c>
      <c r="S153">
        <v>-8000</v>
      </c>
      <c r="T153">
        <v>120</v>
      </c>
      <c r="U153">
        <f t="shared" si="2"/>
        <v>8000</v>
      </c>
    </row>
    <row r="154" spans="1:21" x14ac:dyDescent="0.3">
      <c r="A154">
        <v>737</v>
      </c>
      <c r="B154">
        <v>547</v>
      </c>
      <c r="C154">
        <v>190</v>
      </c>
      <c r="D154">
        <v>3</v>
      </c>
      <c r="E154">
        <v>100000</v>
      </c>
      <c r="F154">
        <v>50000</v>
      </c>
      <c r="G154">
        <v>8000</v>
      </c>
      <c r="H154">
        <v>0</v>
      </c>
      <c r="I154">
        <v>0</v>
      </c>
      <c r="J154">
        <v>15000</v>
      </c>
      <c r="K154">
        <v>17000</v>
      </c>
      <c r="L154">
        <v>6000</v>
      </c>
      <c r="M154">
        <v>0</v>
      </c>
      <c r="N154">
        <v>0</v>
      </c>
      <c r="O154">
        <v>0</v>
      </c>
      <c r="P154">
        <v>4000</v>
      </c>
      <c r="Q154" t="s">
        <v>57</v>
      </c>
      <c r="R154">
        <v>88000</v>
      </c>
      <c r="S154">
        <v>4000</v>
      </c>
      <c r="T154">
        <v>120</v>
      </c>
      <c r="U154">
        <f t="shared" si="2"/>
        <v>0</v>
      </c>
    </row>
    <row r="155" spans="1:21" x14ac:dyDescent="0.3">
      <c r="A155">
        <v>620</v>
      </c>
      <c r="B155">
        <v>548</v>
      </c>
      <c r="C155">
        <v>173</v>
      </c>
      <c r="D155">
        <v>0</v>
      </c>
      <c r="E155">
        <v>65000</v>
      </c>
      <c r="F155">
        <v>30000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5000</v>
      </c>
      <c r="Q155" t="s">
        <v>58</v>
      </c>
      <c r="R155">
        <v>30000</v>
      </c>
      <c r="S155">
        <v>5000</v>
      </c>
      <c r="T155">
        <v>118</v>
      </c>
      <c r="U155">
        <f t="shared" si="2"/>
        <v>0</v>
      </c>
    </row>
    <row r="156" spans="1:21" x14ac:dyDescent="0.3">
      <c r="A156">
        <v>632</v>
      </c>
      <c r="B156">
        <v>548</v>
      </c>
      <c r="C156">
        <v>176</v>
      </c>
      <c r="D156">
        <v>1</v>
      </c>
      <c r="E156">
        <v>65000</v>
      </c>
      <c r="F156">
        <v>30000</v>
      </c>
      <c r="G156">
        <v>0</v>
      </c>
      <c r="H156">
        <v>0</v>
      </c>
      <c r="I156">
        <v>0</v>
      </c>
      <c r="J156">
        <v>20000</v>
      </c>
      <c r="K156">
        <v>7000</v>
      </c>
      <c r="L156">
        <v>12000</v>
      </c>
      <c r="M156">
        <v>0</v>
      </c>
      <c r="N156">
        <v>4000</v>
      </c>
      <c r="O156">
        <v>0</v>
      </c>
      <c r="P156">
        <v>-3000</v>
      </c>
      <c r="Q156" t="s">
        <v>58</v>
      </c>
      <c r="R156">
        <v>73000</v>
      </c>
      <c r="S156">
        <v>-3000</v>
      </c>
      <c r="T156">
        <v>118</v>
      </c>
      <c r="U156">
        <f t="shared" si="2"/>
        <v>4000</v>
      </c>
    </row>
    <row r="157" spans="1:21" x14ac:dyDescent="0.3">
      <c r="A157">
        <v>679</v>
      </c>
      <c r="B157">
        <v>548</v>
      </c>
      <c r="C157">
        <v>182</v>
      </c>
      <c r="D157">
        <v>2</v>
      </c>
      <c r="E157">
        <v>65000</v>
      </c>
      <c r="F157">
        <v>30000</v>
      </c>
      <c r="G157">
        <v>3000</v>
      </c>
      <c r="H157">
        <v>7000</v>
      </c>
      <c r="I157">
        <v>0</v>
      </c>
      <c r="J157">
        <v>25000</v>
      </c>
      <c r="K157">
        <v>8000</v>
      </c>
      <c r="L157">
        <v>6000</v>
      </c>
      <c r="M157">
        <v>0</v>
      </c>
      <c r="N157">
        <v>0</v>
      </c>
      <c r="O157">
        <v>0</v>
      </c>
      <c r="P157">
        <v>0</v>
      </c>
      <c r="Q157" t="s">
        <v>58</v>
      </c>
      <c r="R157">
        <v>69000</v>
      </c>
      <c r="S157">
        <v>0</v>
      </c>
      <c r="T157">
        <v>118</v>
      </c>
      <c r="U157">
        <f t="shared" si="2"/>
        <v>0</v>
      </c>
    </row>
    <row r="158" spans="1:21" x14ac:dyDescent="0.3">
      <c r="A158">
        <v>718</v>
      </c>
      <c r="B158">
        <v>548</v>
      </c>
      <c r="C158">
        <v>187</v>
      </c>
      <c r="D158">
        <v>3</v>
      </c>
      <c r="E158">
        <v>65000</v>
      </c>
      <c r="F158">
        <v>30000</v>
      </c>
      <c r="G158">
        <v>0</v>
      </c>
      <c r="H158">
        <v>8000</v>
      </c>
      <c r="I158">
        <v>0</v>
      </c>
      <c r="J158">
        <v>20000</v>
      </c>
      <c r="K158">
        <v>10000</v>
      </c>
      <c r="L158">
        <v>12000</v>
      </c>
      <c r="M158">
        <v>0</v>
      </c>
      <c r="N158">
        <v>0</v>
      </c>
      <c r="O158">
        <v>4000</v>
      </c>
      <c r="P158">
        <v>-3000</v>
      </c>
      <c r="Q158" t="s">
        <v>58</v>
      </c>
      <c r="R158">
        <v>76000</v>
      </c>
      <c r="S158">
        <v>-3000</v>
      </c>
      <c r="T158">
        <v>118</v>
      </c>
      <c r="U158">
        <f t="shared" si="2"/>
        <v>4000</v>
      </c>
    </row>
    <row r="159" spans="1:21" x14ac:dyDescent="0.3">
      <c r="A159">
        <v>602</v>
      </c>
      <c r="B159">
        <v>549</v>
      </c>
      <c r="C159">
        <v>173</v>
      </c>
      <c r="D159">
        <v>0</v>
      </c>
      <c r="E159">
        <v>100000</v>
      </c>
      <c r="F159">
        <v>50000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30000</v>
      </c>
      <c r="Q159" t="s">
        <v>59</v>
      </c>
      <c r="R159">
        <v>50000</v>
      </c>
      <c r="S159">
        <v>30000</v>
      </c>
      <c r="T159">
        <v>120</v>
      </c>
      <c r="U159">
        <f t="shared" si="2"/>
        <v>0</v>
      </c>
    </row>
    <row r="160" spans="1:21" x14ac:dyDescent="0.3">
      <c r="A160">
        <v>629</v>
      </c>
      <c r="B160">
        <v>549</v>
      </c>
      <c r="C160">
        <v>176</v>
      </c>
      <c r="D160">
        <v>1</v>
      </c>
      <c r="E160">
        <v>100000</v>
      </c>
      <c r="F160">
        <v>50000</v>
      </c>
      <c r="G160">
        <v>0</v>
      </c>
      <c r="H160">
        <v>0</v>
      </c>
      <c r="I160">
        <v>0</v>
      </c>
      <c r="J160">
        <v>20000</v>
      </c>
      <c r="K160">
        <v>12500</v>
      </c>
      <c r="L160">
        <v>46000</v>
      </c>
      <c r="M160">
        <v>0</v>
      </c>
      <c r="N160">
        <v>0</v>
      </c>
      <c r="O160">
        <v>0</v>
      </c>
      <c r="P160">
        <v>1500</v>
      </c>
      <c r="Q160" t="s">
        <v>59</v>
      </c>
      <c r="R160">
        <v>128500</v>
      </c>
      <c r="S160">
        <v>1500</v>
      </c>
      <c r="T160">
        <v>120</v>
      </c>
      <c r="U160">
        <f t="shared" si="2"/>
        <v>0</v>
      </c>
    </row>
    <row r="161" spans="1:21" x14ac:dyDescent="0.3">
      <c r="A161">
        <v>677</v>
      </c>
      <c r="B161">
        <v>549</v>
      </c>
      <c r="C161">
        <v>182</v>
      </c>
      <c r="D161">
        <v>2</v>
      </c>
      <c r="E161">
        <v>100000</v>
      </c>
      <c r="F161">
        <v>50000</v>
      </c>
      <c r="G161">
        <v>0</v>
      </c>
      <c r="H161">
        <v>0</v>
      </c>
      <c r="I161">
        <v>0</v>
      </c>
      <c r="J161">
        <v>20000</v>
      </c>
      <c r="K161">
        <v>12500</v>
      </c>
      <c r="L161">
        <v>12000</v>
      </c>
      <c r="M161">
        <v>0</v>
      </c>
      <c r="N161">
        <v>0</v>
      </c>
      <c r="O161">
        <v>0</v>
      </c>
      <c r="P161">
        <v>7000</v>
      </c>
      <c r="Q161" t="s">
        <v>59</v>
      </c>
      <c r="R161">
        <v>94500</v>
      </c>
      <c r="S161">
        <v>7000</v>
      </c>
      <c r="T161">
        <v>120</v>
      </c>
      <c r="U161">
        <f t="shared" si="2"/>
        <v>0</v>
      </c>
    </row>
    <row r="162" spans="1:21" x14ac:dyDescent="0.3">
      <c r="A162">
        <v>714</v>
      </c>
      <c r="B162">
        <v>549</v>
      </c>
      <c r="C162">
        <v>187</v>
      </c>
      <c r="D162">
        <v>3</v>
      </c>
      <c r="E162">
        <v>100000</v>
      </c>
      <c r="F162">
        <v>50000</v>
      </c>
      <c r="G162">
        <v>0</v>
      </c>
      <c r="H162">
        <v>0</v>
      </c>
      <c r="I162">
        <v>0</v>
      </c>
      <c r="J162">
        <v>20000</v>
      </c>
      <c r="K162">
        <v>12500</v>
      </c>
      <c r="L162">
        <v>0</v>
      </c>
      <c r="M162">
        <v>0</v>
      </c>
      <c r="N162">
        <v>4000</v>
      </c>
      <c r="O162">
        <v>4000</v>
      </c>
      <c r="P162">
        <v>16500</v>
      </c>
      <c r="Q162" t="s">
        <v>59</v>
      </c>
      <c r="R162">
        <v>90500</v>
      </c>
      <c r="S162">
        <v>16500</v>
      </c>
      <c r="T162">
        <v>120</v>
      </c>
      <c r="U162">
        <f t="shared" si="2"/>
        <v>8000</v>
      </c>
    </row>
    <row r="163" spans="1:21" x14ac:dyDescent="0.3">
      <c r="A163">
        <v>606</v>
      </c>
      <c r="B163">
        <v>550</v>
      </c>
      <c r="C163">
        <v>173</v>
      </c>
      <c r="D163">
        <v>0</v>
      </c>
      <c r="E163">
        <v>50000</v>
      </c>
      <c r="F163">
        <v>20000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60</v>
      </c>
      <c r="R163">
        <v>20000</v>
      </c>
      <c r="S163">
        <v>0</v>
      </c>
      <c r="T163">
        <v>117</v>
      </c>
      <c r="U163">
        <f t="shared" si="2"/>
        <v>0</v>
      </c>
    </row>
    <row r="164" spans="1:21" x14ac:dyDescent="0.3">
      <c r="A164">
        <v>631</v>
      </c>
      <c r="B164">
        <v>550</v>
      </c>
      <c r="C164">
        <v>176</v>
      </c>
      <c r="D164">
        <v>1</v>
      </c>
      <c r="E164">
        <v>50000</v>
      </c>
      <c r="F164">
        <v>20000</v>
      </c>
      <c r="G164">
        <v>0</v>
      </c>
      <c r="H164">
        <v>0</v>
      </c>
      <c r="I164">
        <v>0</v>
      </c>
      <c r="J164">
        <v>15000</v>
      </c>
      <c r="K164">
        <v>8000</v>
      </c>
      <c r="L164">
        <v>6000</v>
      </c>
      <c r="M164">
        <v>0</v>
      </c>
      <c r="N164">
        <v>0</v>
      </c>
      <c r="O164">
        <v>4000</v>
      </c>
      <c r="P164">
        <v>-3000</v>
      </c>
      <c r="Q164" t="s">
        <v>60</v>
      </c>
      <c r="R164">
        <v>53000</v>
      </c>
      <c r="S164">
        <v>-3000</v>
      </c>
      <c r="T164">
        <v>117</v>
      </c>
      <c r="U164">
        <f t="shared" si="2"/>
        <v>4000</v>
      </c>
    </row>
    <row r="165" spans="1:21" x14ac:dyDescent="0.3">
      <c r="A165">
        <v>678</v>
      </c>
      <c r="B165">
        <v>550</v>
      </c>
      <c r="C165">
        <v>182</v>
      </c>
      <c r="D165">
        <v>2</v>
      </c>
      <c r="E165">
        <v>50000</v>
      </c>
      <c r="F165">
        <v>20000</v>
      </c>
      <c r="G165">
        <v>3000</v>
      </c>
      <c r="H165">
        <v>0</v>
      </c>
      <c r="I165">
        <v>0</v>
      </c>
      <c r="J165">
        <v>25000</v>
      </c>
      <c r="K165">
        <v>8000</v>
      </c>
      <c r="L165">
        <v>0</v>
      </c>
      <c r="M165">
        <v>0</v>
      </c>
      <c r="N165">
        <v>0</v>
      </c>
      <c r="O165">
        <v>0</v>
      </c>
      <c r="P165">
        <v>-6000</v>
      </c>
      <c r="Q165" t="s">
        <v>60</v>
      </c>
      <c r="R165">
        <v>53000</v>
      </c>
      <c r="S165">
        <v>-6000</v>
      </c>
      <c r="T165">
        <v>117</v>
      </c>
      <c r="U165">
        <f t="shared" si="2"/>
        <v>0</v>
      </c>
    </row>
    <row r="166" spans="1:21" x14ac:dyDescent="0.3">
      <c r="A166">
        <v>717</v>
      </c>
      <c r="B166">
        <v>550</v>
      </c>
      <c r="C166">
        <v>187</v>
      </c>
      <c r="D166">
        <v>3</v>
      </c>
      <c r="E166">
        <v>50000</v>
      </c>
      <c r="F166">
        <v>20000</v>
      </c>
      <c r="G166">
        <v>6000</v>
      </c>
      <c r="H166">
        <v>0</v>
      </c>
      <c r="I166">
        <v>0</v>
      </c>
      <c r="J166">
        <v>15000</v>
      </c>
      <c r="K166">
        <v>8000</v>
      </c>
      <c r="L166">
        <v>0</v>
      </c>
      <c r="M166">
        <v>0</v>
      </c>
      <c r="N166">
        <v>4000</v>
      </c>
      <c r="O166">
        <v>4000</v>
      </c>
      <c r="P166">
        <v>-7000</v>
      </c>
      <c r="Q166" t="s">
        <v>60</v>
      </c>
      <c r="R166">
        <v>51000</v>
      </c>
      <c r="S166">
        <v>-7000</v>
      </c>
      <c r="T166">
        <v>117</v>
      </c>
      <c r="U166">
        <f t="shared" si="2"/>
        <v>8000</v>
      </c>
    </row>
    <row r="167" spans="1:21" x14ac:dyDescent="0.3">
      <c r="A167">
        <v>604</v>
      </c>
      <c r="B167">
        <v>551</v>
      </c>
      <c r="C167">
        <v>173</v>
      </c>
      <c r="D167">
        <v>0</v>
      </c>
      <c r="E167">
        <v>80000</v>
      </c>
      <c r="F167">
        <v>40000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15000</v>
      </c>
      <c r="Q167" t="s">
        <v>61</v>
      </c>
      <c r="R167">
        <v>40000</v>
      </c>
      <c r="S167">
        <v>15000</v>
      </c>
      <c r="T167">
        <v>119</v>
      </c>
      <c r="U167">
        <f t="shared" si="2"/>
        <v>0</v>
      </c>
    </row>
    <row r="168" spans="1:21" x14ac:dyDescent="0.3">
      <c r="A168">
        <v>627</v>
      </c>
      <c r="B168">
        <v>551</v>
      </c>
      <c r="C168">
        <v>176</v>
      </c>
      <c r="D168">
        <v>1</v>
      </c>
      <c r="E168">
        <v>80000</v>
      </c>
      <c r="F168">
        <v>40000</v>
      </c>
      <c r="G168">
        <v>0</v>
      </c>
      <c r="H168">
        <v>0</v>
      </c>
      <c r="I168">
        <v>30000</v>
      </c>
      <c r="J168">
        <v>15000</v>
      </c>
      <c r="K168">
        <v>13000</v>
      </c>
      <c r="L168">
        <v>0</v>
      </c>
      <c r="M168">
        <v>0</v>
      </c>
      <c r="N168">
        <v>0</v>
      </c>
      <c r="O168">
        <v>4000</v>
      </c>
      <c r="P168">
        <v>-7000</v>
      </c>
      <c r="Q168" t="s">
        <v>61</v>
      </c>
      <c r="R168">
        <v>102000</v>
      </c>
      <c r="S168">
        <v>-7000</v>
      </c>
      <c r="T168">
        <v>119</v>
      </c>
      <c r="U168">
        <f t="shared" si="2"/>
        <v>4000</v>
      </c>
    </row>
    <row r="169" spans="1:21" x14ac:dyDescent="0.3">
      <c r="A169">
        <v>672</v>
      </c>
      <c r="B169">
        <v>551</v>
      </c>
      <c r="C169">
        <v>182</v>
      </c>
      <c r="D169">
        <v>2</v>
      </c>
      <c r="E169">
        <v>80000</v>
      </c>
      <c r="F169">
        <v>40000</v>
      </c>
      <c r="G169">
        <v>7000</v>
      </c>
      <c r="H169">
        <v>0</v>
      </c>
      <c r="I169">
        <v>0</v>
      </c>
      <c r="J169">
        <v>25000</v>
      </c>
      <c r="K169">
        <v>13000</v>
      </c>
      <c r="L169">
        <v>0</v>
      </c>
      <c r="M169">
        <v>0</v>
      </c>
      <c r="N169">
        <v>0</v>
      </c>
      <c r="O169">
        <v>0</v>
      </c>
      <c r="P169">
        <v>-5000</v>
      </c>
      <c r="Q169" t="s">
        <v>61</v>
      </c>
      <c r="R169">
        <v>78000</v>
      </c>
      <c r="S169">
        <v>-5000</v>
      </c>
      <c r="T169">
        <v>119</v>
      </c>
      <c r="U169">
        <f t="shared" si="2"/>
        <v>0</v>
      </c>
    </row>
    <row r="170" spans="1:21" x14ac:dyDescent="0.3">
      <c r="A170">
        <v>715</v>
      </c>
      <c r="B170">
        <v>551</v>
      </c>
      <c r="C170">
        <v>187</v>
      </c>
      <c r="D170">
        <v>3</v>
      </c>
      <c r="E170">
        <v>80000</v>
      </c>
      <c r="F170">
        <v>40000</v>
      </c>
      <c r="G170">
        <v>5000</v>
      </c>
      <c r="H170">
        <v>0</v>
      </c>
      <c r="I170">
        <v>0</v>
      </c>
      <c r="J170">
        <v>15000</v>
      </c>
      <c r="K170">
        <v>13000</v>
      </c>
      <c r="L170">
        <v>0</v>
      </c>
      <c r="M170">
        <v>0</v>
      </c>
      <c r="N170">
        <v>4000</v>
      </c>
      <c r="O170">
        <v>4000</v>
      </c>
      <c r="P170">
        <v>-1000</v>
      </c>
      <c r="Q170" t="s">
        <v>61</v>
      </c>
      <c r="R170">
        <v>76000</v>
      </c>
      <c r="S170">
        <v>-1000</v>
      </c>
      <c r="T170">
        <v>119</v>
      </c>
      <c r="U170">
        <f t="shared" si="2"/>
        <v>8000</v>
      </c>
    </row>
    <row r="171" spans="1:21" x14ac:dyDescent="0.3">
      <c r="A171">
        <v>623</v>
      </c>
      <c r="B171">
        <v>552</v>
      </c>
      <c r="C171">
        <v>173</v>
      </c>
      <c r="D171">
        <v>0</v>
      </c>
      <c r="E171">
        <v>120000</v>
      </c>
      <c r="F171">
        <v>65000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50000</v>
      </c>
      <c r="Q171" t="s">
        <v>62</v>
      </c>
      <c r="R171">
        <v>65000</v>
      </c>
      <c r="S171">
        <v>50000</v>
      </c>
      <c r="T171">
        <v>121</v>
      </c>
      <c r="U171">
        <f t="shared" si="2"/>
        <v>0</v>
      </c>
    </row>
    <row r="172" spans="1:21" x14ac:dyDescent="0.3">
      <c r="A172">
        <v>628</v>
      </c>
      <c r="B172">
        <v>552</v>
      </c>
      <c r="C172">
        <v>176</v>
      </c>
      <c r="D172">
        <v>1</v>
      </c>
      <c r="E172">
        <v>120000</v>
      </c>
      <c r="F172">
        <v>65000</v>
      </c>
      <c r="G172">
        <v>0</v>
      </c>
      <c r="H172">
        <v>0</v>
      </c>
      <c r="I172">
        <v>0</v>
      </c>
      <c r="J172">
        <v>15000</v>
      </c>
      <c r="K172">
        <v>16000</v>
      </c>
      <c r="L172">
        <v>40000</v>
      </c>
      <c r="M172">
        <v>0</v>
      </c>
      <c r="N172">
        <v>0</v>
      </c>
      <c r="O172">
        <v>4000</v>
      </c>
      <c r="P172">
        <v>30000</v>
      </c>
      <c r="Q172" t="s">
        <v>62</v>
      </c>
      <c r="R172">
        <v>140000</v>
      </c>
      <c r="S172">
        <v>30000</v>
      </c>
      <c r="T172">
        <v>121</v>
      </c>
      <c r="U172">
        <f t="shared" si="2"/>
        <v>4000</v>
      </c>
    </row>
    <row r="173" spans="1:21" x14ac:dyDescent="0.3">
      <c r="A173">
        <v>676</v>
      </c>
      <c r="B173">
        <v>552</v>
      </c>
      <c r="C173">
        <v>182</v>
      </c>
      <c r="D173">
        <v>2</v>
      </c>
      <c r="E173">
        <v>120000</v>
      </c>
      <c r="F173">
        <v>65000</v>
      </c>
      <c r="G173">
        <v>0</v>
      </c>
      <c r="H173">
        <v>0</v>
      </c>
      <c r="I173">
        <v>0</v>
      </c>
      <c r="J173">
        <v>25000</v>
      </c>
      <c r="K173">
        <v>16000</v>
      </c>
      <c r="L173">
        <v>30000</v>
      </c>
      <c r="M173">
        <v>0</v>
      </c>
      <c r="N173">
        <v>0</v>
      </c>
      <c r="O173">
        <v>0</v>
      </c>
      <c r="P173">
        <v>14000</v>
      </c>
      <c r="Q173" t="s">
        <v>62</v>
      </c>
      <c r="R173">
        <v>136000</v>
      </c>
      <c r="S173">
        <v>14000</v>
      </c>
      <c r="T173">
        <v>121</v>
      </c>
      <c r="U173">
        <f t="shared" si="2"/>
        <v>0</v>
      </c>
    </row>
    <row r="174" spans="1:21" x14ac:dyDescent="0.3">
      <c r="A174">
        <v>713</v>
      </c>
      <c r="B174">
        <v>552</v>
      </c>
      <c r="C174">
        <v>187</v>
      </c>
      <c r="D174">
        <v>3</v>
      </c>
      <c r="E174">
        <v>120000</v>
      </c>
      <c r="F174">
        <v>65000</v>
      </c>
      <c r="G174">
        <v>0</v>
      </c>
      <c r="H174">
        <v>0</v>
      </c>
      <c r="I174">
        <v>0</v>
      </c>
      <c r="J174">
        <v>15000</v>
      </c>
      <c r="K174">
        <v>16000</v>
      </c>
      <c r="L174">
        <v>27000</v>
      </c>
      <c r="M174">
        <v>0</v>
      </c>
      <c r="N174">
        <v>0</v>
      </c>
      <c r="O174">
        <v>4000</v>
      </c>
      <c r="P174">
        <v>7000</v>
      </c>
      <c r="Q174" t="s">
        <v>62</v>
      </c>
      <c r="R174">
        <v>127000</v>
      </c>
      <c r="S174">
        <v>7000</v>
      </c>
      <c r="T174">
        <v>121</v>
      </c>
      <c r="U174">
        <f t="shared" si="2"/>
        <v>4000</v>
      </c>
    </row>
    <row r="175" spans="1:21" x14ac:dyDescent="0.3">
      <c r="A175">
        <v>605</v>
      </c>
      <c r="B175">
        <v>553</v>
      </c>
      <c r="C175">
        <v>173</v>
      </c>
      <c r="D175">
        <v>0</v>
      </c>
      <c r="E175">
        <v>180000</v>
      </c>
      <c r="F175">
        <v>105000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80000</v>
      </c>
      <c r="Q175" t="s">
        <v>63</v>
      </c>
      <c r="R175">
        <v>105000</v>
      </c>
      <c r="S175">
        <v>80000</v>
      </c>
      <c r="T175">
        <v>122</v>
      </c>
      <c r="U175">
        <f t="shared" si="2"/>
        <v>0</v>
      </c>
    </row>
    <row r="176" spans="1:21" x14ac:dyDescent="0.3">
      <c r="A176">
        <v>626</v>
      </c>
      <c r="B176">
        <v>553</v>
      </c>
      <c r="C176">
        <v>176</v>
      </c>
      <c r="D176">
        <v>1</v>
      </c>
      <c r="E176">
        <v>180000</v>
      </c>
      <c r="F176">
        <v>105000</v>
      </c>
      <c r="G176">
        <v>0</v>
      </c>
      <c r="H176">
        <v>0</v>
      </c>
      <c r="I176">
        <v>0</v>
      </c>
      <c r="J176">
        <v>15000</v>
      </c>
      <c r="K176">
        <v>30000</v>
      </c>
      <c r="L176">
        <v>64000</v>
      </c>
      <c r="M176">
        <v>0</v>
      </c>
      <c r="N176">
        <v>0</v>
      </c>
      <c r="O176">
        <v>0</v>
      </c>
      <c r="P176">
        <v>46000</v>
      </c>
      <c r="Q176" t="s">
        <v>63</v>
      </c>
      <c r="R176">
        <v>214000</v>
      </c>
      <c r="S176">
        <v>46000</v>
      </c>
      <c r="T176">
        <v>122</v>
      </c>
      <c r="U176">
        <f t="shared" si="2"/>
        <v>0</v>
      </c>
    </row>
    <row r="177" spans="1:21" x14ac:dyDescent="0.3">
      <c r="A177">
        <v>674</v>
      </c>
      <c r="B177">
        <v>553</v>
      </c>
      <c r="C177">
        <v>182</v>
      </c>
      <c r="D177">
        <v>2</v>
      </c>
      <c r="E177">
        <v>180000</v>
      </c>
      <c r="F177">
        <v>105000</v>
      </c>
      <c r="G177">
        <v>0</v>
      </c>
      <c r="H177">
        <v>0</v>
      </c>
      <c r="I177">
        <v>0</v>
      </c>
      <c r="J177">
        <v>25000</v>
      </c>
      <c r="K177">
        <v>30000</v>
      </c>
      <c r="L177">
        <v>39000</v>
      </c>
      <c r="M177">
        <v>0</v>
      </c>
      <c r="N177">
        <v>0</v>
      </c>
      <c r="O177">
        <v>0</v>
      </c>
      <c r="P177">
        <v>27000</v>
      </c>
      <c r="Q177" t="s">
        <v>63</v>
      </c>
      <c r="R177">
        <v>199000</v>
      </c>
      <c r="S177">
        <v>27000</v>
      </c>
      <c r="T177">
        <v>122</v>
      </c>
      <c r="U177">
        <f t="shared" si="2"/>
        <v>0</v>
      </c>
    </row>
    <row r="178" spans="1:21" x14ac:dyDescent="0.3">
      <c r="A178">
        <v>716</v>
      </c>
      <c r="B178">
        <v>553</v>
      </c>
      <c r="C178">
        <v>187</v>
      </c>
      <c r="D178">
        <v>3</v>
      </c>
      <c r="E178">
        <v>180000</v>
      </c>
      <c r="F178">
        <v>105000</v>
      </c>
      <c r="G178">
        <v>0</v>
      </c>
      <c r="H178">
        <v>0</v>
      </c>
      <c r="I178">
        <v>0</v>
      </c>
      <c r="J178">
        <v>15000</v>
      </c>
      <c r="K178">
        <v>30000</v>
      </c>
      <c r="L178">
        <v>15000</v>
      </c>
      <c r="M178">
        <v>0</v>
      </c>
      <c r="N178">
        <v>4000</v>
      </c>
      <c r="O178">
        <v>4000</v>
      </c>
      <c r="P178">
        <v>34000</v>
      </c>
      <c r="Q178" t="s">
        <v>63</v>
      </c>
      <c r="R178">
        <v>173000</v>
      </c>
      <c r="S178">
        <v>34000</v>
      </c>
      <c r="T178">
        <v>122</v>
      </c>
      <c r="U178">
        <f t="shared" si="2"/>
        <v>8000</v>
      </c>
    </row>
    <row r="179" spans="1:21" x14ac:dyDescent="0.3">
      <c r="A179">
        <v>603</v>
      </c>
      <c r="B179">
        <v>554</v>
      </c>
      <c r="C179">
        <v>173</v>
      </c>
      <c r="D179">
        <v>0</v>
      </c>
      <c r="E179">
        <v>100000</v>
      </c>
      <c r="F179">
        <v>50000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30000</v>
      </c>
      <c r="Q179" t="s">
        <v>64</v>
      </c>
      <c r="R179">
        <v>50000</v>
      </c>
      <c r="S179">
        <v>30000</v>
      </c>
      <c r="T179">
        <v>120</v>
      </c>
      <c r="U179">
        <f t="shared" si="2"/>
        <v>0</v>
      </c>
    </row>
    <row r="180" spans="1:21" x14ac:dyDescent="0.3">
      <c r="A180">
        <v>625</v>
      </c>
      <c r="B180">
        <v>554</v>
      </c>
      <c r="C180">
        <v>176</v>
      </c>
      <c r="D180">
        <v>1</v>
      </c>
      <c r="E180">
        <v>100000</v>
      </c>
      <c r="F180">
        <v>50000</v>
      </c>
      <c r="G180">
        <v>0</v>
      </c>
      <c r="H180">
        <v>0</v>
      </c>
      <c r="I180">
        <v>90000</v>
      </c>
      <c r="J180">
        <v>20000</v>
      </c>
      <c r="K180">
        <v>17000</v>
      </c>
      <c r="L180">
        <v>0</v>
      </c>
      <c r="M180">
        <v>0</v>
      </c>
      <c r="N180">
        <v>0</v>
      </c>
      <c r="O180">
        <v>4000</v>
      </c>
      <c r="P180">
        <v>-51000</v>
      </c>
      <c r="Q180" t="s">
        <v>64</v>
      </c>
      <c r="R180">
        <v>181000</v>
      </c>
      <c r="S180">
        <v>-51000</v>
      </c>
      <c r="T180">
        <v>120</v>
      </c>
      <c r="U180">
        <f t="shared" si="2"/>
        <v>4000</v>
      </c>
    </row>
    <row r="181" spans="1:21" x14ac:dyDescent="0.3">
      <c r="A181">
        <v>673</v>
      </c>
      <c r="B181">
        <v>554</v>
      </c>
      <c r="C181">
        <v>182</v>
      </c>
      <c r="D181">
        <v>2</v>
      </c>
      <c r="E181">
        <v>100000</v>
      </c>
      <c r="F181">
        <v>50000</v>
      </c>
      <c r="G181">
        <v>50000</v>
      </c>
      <c r="H181">
        <v>0</v>
      </c>
      <c r="I181">
        <v>0</v>
      </c>
      <c r="J181">
        <v>20000</v>
      </c>
      <c r="K181">
        <v>17000</v>
      </c>
      <c r="L181">
        <v>0</v>
      </c>
      <c r="M181">
        <v>0</v>
      </c>
      <c r="N181">
        <v>0</v>
      </c>
      <c r="O181">
        <v>0</v>
      </c>
      <c r="P181">
        <v>-38000</v>
      </c>
      <c r="Q181" t="s">
        <v>64</v>
      </c>
      <c r="R181">
        <v>87000</v>
      </c>
      <c r="S181">
        <v>-38000</v>
      </c>
      <c r="T181">
        <v>120</v>
      </c>
      <c r="U181">
        <f t="shared" si="2"/>
        <v>0</v>
      </c>
    </row>
    <row r="182" spans="1:21" x14ac:dyDescent="0.3">
      <c r="A182">
        <v>712</v>
      </c>
      <c r="B182">
        <v>554</v>
      </c>
      <c r="C182">
        <v>187</v>
      </c>
      <c r="D182">
        <v>3</v>
      </c>
      <c r="E182">
        <v>100000</v>
      </c>
      <c r="F182">
        <v>50000</v>
      </c>
      <c r="G182">
        <v>38000</v>
      </c>
      <c r="H182">
        <v>0</v>
      </c>
      <c r="I182">
        <v>0</v>
      </c>
      <c r="J182">
        <v>20000</v>
      </c>
      <c r="K182">
        <v>17000</v>
      </c>
      <c r="L182">
        <v>0</v>
      </c>
      <c r="M182">
        <v>0</v>
      </c>
      <c r="N182">
        <v>4000</v>
      </c>
      <c r="O182">
        <v>4000</v>
      </c>
      <c r="P182">
        <v>-33000</v>
      </c>
      <c r="Q182" t="s">
        <v>64</v>
      </c>
      <c r="R182">
        <v>95000</v>
      </c>
      <c r="S182">
        <v>-33000</v>
      </c>
      <c r="T182">
        <v>120</v>
      </c>
      <c r="U182">
        <f t="shared" si="2"/>
        <v>8000</v>
      </c>
    </row>
    <row r="183" spans="1:21" x14ac:dyDescent="0.3">
      <c r="A183">
        <v>613</v>
      </c>
      <c r="B183">
        <v>555</v>
      </c>
      <c r="C183">
        <v>173</v>
      </c>
      <c r="D183">
        <v>0</v>
      </c>
      <c r="E183">
        <v>100000</v>
      </c>
      <c r="F183">
        <v>50000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30000</v>
      </c>
      <c r="Q183" t="s">
        <v>65</v>
      </c>
      <c r="R183">
        <v>50000</v>
      </c>
      <c r="S183">
        <v>30000</v>
      </c>
      <c r="T183">
        <v>120</v>
      </c>
      <c r="U183">
        <f t="shared" si="2"/>
        <v>0</v>
      </c>
    </row>
    <row r="184" spans="1:21" x14ac:dyDescent="0.3">
      <c r="A184">
        <v>630</v>
      </c>
      <c r="B184">
        <v>555</v>
      </c>
      <c r="C184">
        <v>176</v>
      </c>
      <c r="D184">
        <v>1</v>
      </c>
      <c r="E184">
        <v>100000</v>
      </c>
      <c r="F184">
        <v>50000</v>
      </c>
      <c r="G184">
        <v>0</v>
      </c>
      <c r="H184">
        <v>0</v>
      </c>
      <c r="I184">
        <v>30000</v>
      </c>
      <c r="J184">
        <v>20000</v>
      </c>
      <c r="K184">
        <v>17000</v>
      </c>
      <c r="L184">
        <v>13000</v>
      </c>
      <c r="M184">
        <v>0</v>
      </c>
      <c r="N184">
        <v>0</v>
      </c>
      <c r="O184">
        <v>4000</v>
      </c>
      <c r="P184">
        <v>-4000</v>
      </c>
      <c r="Q184" t="s">
        <v>65</v>
      </c>
      <c r="R184">
        <v>134000</v>
      </c>
      <c r="S184">
        <v>-4000</v>
      </c>
      <c r="T184">
        <v>120</v>
      </c>
      <c r="U184">
        <f t="shared" si="2"/>
        <v>4000</v>
      </c>
    </row>
    <row r="185" spans="1:21" x14ac:dyDescent="0.3">
      <c r="A185">
        <v>675</v>
      </c>
      <c r="B185">
        <v>555</v>
      </c>
      <c r="C185">
        <v>182</v>
      </c>
      <c r="D185">
        <v>2</v>
      </c>
      <c r="E185">
        <v>100000</v>
      </c>
      <c r="F185">
        <v>50000</v>
      </c>
      <c r="G185">
        <v>4000</v>
      </c>
      <c r="H185">
        <v>47000</v>
      </c>
      <c r="I185">
        <v>0</v>
      </c>
      <c r="J185">
        <v>20000</v>
      </c>
      <c r="K185">
        <v>12500</v>
      </c>
      <c r="L185">
        <v>51250</v>
      </c>
      <c r="M185">
        <v>0</v>
      </c>
      <c r="N185">
        <v>4000</v>
      </c>
      <c r="O185">
        <v>0</v>
      </c>
      <c r="P185">
        <v>5250</v>
      </c>
      <c r="Q185" t="s">
        <v>65</v>
      </c>
      <c r="R185">
        <v>137750</v>
      </c>
      <c r="S185">
        <v>5250</v>
      </c>
      <c r="T185">
        <v>120</v>
      </c>
      <c r="U185">
        <f t="shared" si="2"/>
        <v>4000</v>
      </c>
    </row>
    <row r="186" spans="1:21" x14ac:dyDescent="0.3">
      <c r="A186">
        <v>711</v>
      </c>
      <c r="B186">
        <v>555</v>
      </c>
      <c r="C186">
        <v>187</v>
      </c>
      <c r="D186">
        <v>3</v>
      </c>
      <c r="E186">
        <v>100000</v>
      </c>
      <c r="F186">
        <v>50000</v>
      </c>
      <c r="G186">
        <v>0</v>
      </c>
      <c r="H186">
        <v>0</v>
      </c>
      <c r="I186">
        <v>0</v>
      </c>
      <c r="J186">
        <v>20000</v>
      </c>
      <c r="K186">
        <v>12500</v>
      </c>
      <c r="L186">
        <v>9000</v>
      </c>
      <c r="M186">
        <v>0</v>
      </c>
      <c r="N186">
        <v>12000</v>
      </c>
      <c r="O186">
        <v>4000</v>
      </c>
      <c r="P186">
        <v>-2250</v>
      </c>
      <c r="Q186" t="s">
        <v>65</v>
      </c>
      <c r="R186">
        <v>107500</v>
      </c>
      <c r="S186">
        <v>-2250</v>
      </c>
      <c r="T186">
        <v>120</v>
      </c>
      <c r="U186">
        <f t="shared" si="2"/>
        <v>16000</v>
      </c>
    </row>
    <row r="187" spans="1:21" x14ac:dyDescent="0.3">
      <c r="A187">
        <v>764</v>
      </c>
      <c r="B187">
        <v>556</v>
      </c>
      <c r="C187">
        <v>175</v>
      </c>
      <c r="D187">
        <v>0</v>
      </c>
      <c r="E187">
        <v>65000</v>
      </c>
      <c r="F187">
        <v>30000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5000</v>
      </c>
      <c r="Q187" t="s">
        <v>66</v>
      </c>
      <c r="R187">
        <v>30000</v>
      </c>
      <c r="S187">
        <v>5000</v>
      </c>
      <c r="T187">
        <v>118</v>
      </c>
      <c r="U187">
        <f t="shared" si="2"/>
        <v>0</v>
      </c>
    </row>
    <row r="188" spans="1:21" x14ac:dyDescent="0.3">
      <c r="A188">
        <v>789</v>
      </c>
      <c r="B188">
        <v>556</v>
      </c>
      <c r="C188">
        <v>197</v>
      </c>
      <c r="D188">
        <v>1</v>
      </c>
      <c r="E188">
        <v>65000</v>
      </c>
      <c r="F188">
        <v>30000</v>
      </c>
      <c r="G188">
        <v>0</v>
      </c>
      <c r="H188">
        <v>0</v>
      </c>
      <c r="I188">
        <v>22000</v>
      </c>
      <c r="J188">
        <v>20000</v>
      </c>
      <c r="K188">
        <v>11000</v>
      </c>
      <c r="L188">
        <v>0</v>
      </c>
      <c r="M188">
        <v>0</v>
      </c>
      <c r="N188">
        <v>0</v>
      </c>
      <c r="O188">
        <v>4000</v>
      </c>
      <c r="P188">
        <v>-17000</v>
      </c>
      <c r="Q188" t="s">
        <v>66</v>
      </c>
      <c r="R188">
        <v>87000</v>
      </c>
      <c r="S188">
        <v>-17000</v>
      </c>
      <c r="T188">
        <v>118</v>
      </c>
      <c r="U188">
        <f t="shared" si="2"/>
        <v>4000</v>
      </c>
    </row>
    <row r="189" spans="1:21" x14ac:dyDescent="0.3">
      <c r="A189">
        <v>837</v>
      </c>
      <c r="B189">
        <v>556</v>
      </c>
      <c r="C189">
        <v>202</v>
      </c>
      <c r="D189">
        <v>2</v>
      </c>
      <c r="E189">
        <v>65000</v>
      </c>
      <c r="F189">
        <v>30000</v>
      </c>
      <c r="G189">
        <v>17000</v>
      </c>
      <c r="H189">
        <v>0</v>
      </c>
      <c r="I189">
        <v>0</v>
      </c>
      <c r="J189">
        <v>20000</v>
      </c>
      <c r="K189">
        <v>11000</v>
      </c>
      <c r="L189">
        <v>0</v>
      </c>
      <c r="M189">
        <v>0</v>
      </c>
      <c r="N189">
        <v>0</v>
      </c>
      <c r="O189">
        <v>4000</v>
      </c>
      <c r="P189">
        <v>-50000</v>
      </c>
      <c r="Q189" t="s">
        <v>66</v>
      </c>
      <c r="R189">
        <v>65000</v>
      </c>
      <c r="S189">
        <v>-17000</v>
      </c>
      <c r="T189">
        <v>118</v>
      </c>
      <c r="U189">
        <f t="shared" si="2"/>
        <v>4000</v>
      </c>
    </row>
    <row r="190" spans="1:21" x14ac:dyDescent="0.3">
      <c r="A190">
        <v>879</v>
      </c>
      <c r="B190">
        <v>556</v>
      </c>
      <c r="C190">
        <v>207</v>
      </c>
      <c r="D190">
        <v>3</v>
      </c>
      <c r="E190">
        <v>65000</v>
      </c>
      <c r="F190">
        <v>30000</v>
      </c>
      <c r="G190">
        <v>35000</v>
      </c>
      <c r="H190">
        <v>0</v>
      </c>
      <c r="I190">
        <v>0</v>
      </c>
      <c r="J190">
        <v>25000</v>
      </c>
      <c r="K190">
        <v>11000</v>
      </c>
      <c r="L190">
        <v>0</v>
      </c>
      <c r="M190">
        <v>0</v>
      </c>
      <c r="N190">
        <v>0</v>
      </c>
      <c r="O190">
        <v>0</v>
      </c>
      <c r="P190">
        <v>-51000</v>
      </c>
      <c r="Q190" t="s">
        <v>66</v>
      </c>
      <c r="R190">
        <v>66000</v>
      </c>
      <c r="S190">
        <v>-18000</v>
      </c>
      <c r="T190">
        <v>118</v>
      </c>
      <c r="U190">
        <f t="shared" si="2"/>
        <v>0</v>
      </c>
    </row>
    <row r="191" spans="1:21" x14ac:dyDescent="0.3">
      <c r="A191">
        <v>769</v>
      </c>
      <c r="B191">
        <v>557</v>
      </c>
      <c r="C191">
        <v>175</v>
      </c>
      <c r="D191">
        <v>0</v>
      </c>
      <c r="E191">
        <v>100000</v>
      </c>
      <c r="F191">
        <v>50000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30000</v>
      </c>
      <c r="Q191" t="s">
        <v>67</v>
      </c>
      <c r="R191">
        <v>50000</v>
      </c>
      <c r="S191">
        <v>30000</v>
      </c>
      <c r="T191">
        <v>120</v>
      </c>
      <c r="U191">
        <f t="shared" si="2"/>
        <v>0</v>
      </c>
    </row>
    <row r="192" spans="1:21" x14ac:dyDescent="0.3">
      <c r="A192">
        <v>802</v>
      </c>
      <c r="B192">
        <v>557</v>
      </c>
      <c r="C192">
        <v>197</v>
      </c>
      <c r="D192">
        <v>1</v>
      </c>
      <c r="E192">
        <v>100000</v>
      </c>
      <c r="F192">
        <v>50000</v>
      </c>
      <c r="G192">
        <v>0</v>
      </c>
      <c r="H192">
        <v>0</v>
      </c>
      <c r="I192">
        <v>25000</v>
      </c>
      <c r="J192">
        <v>15000</v>
      </c>
      <c r="K192">
        <v>17000</v>
      </c>
      <c r="L192">
        <v>16000</v>
      </c>
      <c r="M192">
        <v>0</v>
      </c>
      <c r="N192">
        <v>0</v>
      </c>
      <c r="O192">
        <v>4000</v>
      </c>
      <c r="P192">
        <v>3000</v>
      </c>
      <c r="Q192" t="s">
        <v>67</v>
      </c>
      <c r="R192">
        <v>127000</v>
      </c>
      <c r="S192">
        <v>3000</v>
      </c>
      <c r="T192">
        <v>120</v>
      </c>
      <c r="U192">
        <f t="shared" si="2"/>
        <v>4000</v>
      </c>
    </row>
    <row r="193" spans="1:21" x14ac:dyDescent="0.3">
      <c r="A193">
        <v>850</v>
      </c>
      <c r="B193">
        <v>557</v>
      </c>
      <c r="C193">
        <v>202</v>
      </c>
      <c r="D193">
        <v>2</v>
      </c>
      <c r="E193">
        <v>100000</v>
      </c>
      <c r="F193">
        <v>50000</v>
      </c>
      <c r="G193">
        <v>0</v>
      </c>
      <c r="H193">
        <v>0</v>
      </c>
      <c r="I193">
        <v>0</v>
      </c>
      <c r="J193">
        <v>15000</v>
      </c>
      <c r="K193">
        <v>17000</v>
      </c>
      <c r="L193">
        <v>12000</v>
      </c>
      <c r="M193">
        <v>0</v>
      </c>
      <c r="N193">
        <v>0</v>
      </c>
      <c r="O193">
        <v>4000</v>
      </c>
      <c r="P193">
        <v>5000</v>
      </c>
      <c r="Q193" t="s">
        <v>67</v>
      </c>
      <c r="R193">
        <v>98000</v>
      </c>
      <c r="S193">
        <v>5000</v>
      </c>
      <c r="T193">
        <v>120</v>
      </c>
      <c r="U193">
        <f t="shared" si="2"/>
        <v>4000</v>
      </c>
    </row>
    <row r="194" spans="1:21" x14ac:dyDescent="0.3">
      <c r="A194">
        <v>882</v>
      </c>
      <c r="B194">
        <v>557</v>
      </c>
      <c r="C194">
        <v>207</v>
      </c>
      <c r="D194">
        <v>3</v>
      </c>
      <c r="E194">
        <v>100000</v>
      </c>
      <c r="F194">
        <v>50000</v>
      </c>
      <c r="G194">
        <v>0</v>
      </c>
      <c r="H194">
        <v>0</v>
      </c>
      <c r="I194">
        <v>0</v>
      </c>
      <c r="J194">
        <v>15000</v>
      </c>
      <c r="K194">
        <v>17000</v>
      </c>
      <c r="L194">
        <v>20000</v>
      </c>
      <c r="M194">
        <v>0</v>
      </c>
      <c r="N194">
        <v>0</v>
      </c>
      <c r="O194">
        <v>4000</v>
      </c>
      <c r="P194">
        <v>-1000</v>
      </c>
      <c r="Q194" t="s">
        <v>67</v>
      </c>
      <c r="R194">
        <v>106000</v>
      </c>
      <c r="S194">
        <v>-1000</v>
      </c>
      <c r="T194">
        <v>120</v>
      </c>
      <c r="U194">
        <f t="shared" si="2"/>
        <v>4000</v>
      </c>
    </row>
    <row r="195" spans="1:21" x14ac:dyDescent="0.3">
      <c r="A195">
        <v>759</v>
      </c>
      <c r="B195">
        <v>558</v>
      </c>
      <c r="C195">
        <v>175</v>
      </c>
      <c r="D195">
        <v>0</v>
      </c>
      <c r="E195">
        <v>50000</v>
      </c>
      <c r="F195">
        <v>20000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68</v>
      </c>
      <c r="R195">
        <v>20000</v>
      </c>
      <c r="S195">
        <v>0</v>
      </c>
      <c r="T195">
        <v>117</v>
      </c>
      <c r="U195">
        <f t="shared" ref="U195:U258" si="3">N195+O195</f>
        <v>0</v>
      </c>
    </row>
    <row r="196" spans="1:21" x14ac:dyDescent="0.3">
      <c r="A196">
        <v>799</v>
      </c>
      <c r="B196">
        <v>558</v>
      </c>
      <c r="C196">
        <v>197</v>
      </c>
      <c r="D196">
        <v>1</v>
      </c>
      <c r="E196">
        <v>50000</v>
      </c>
      <c r="F196">
        <v>20000</v>
      </c>
      <c r="G196">
        <v>0</v>
      </c>
      <c r="H196">
        <v>0</v>
      </c>
      <c r="I196">
        <v>0</v>
      </c>
      <c r="J196">
        <v>15000</v>
      </c>
      <c r="K196">
        <v>8000</v>
      </c>
      <c r="L196">
        <v>7000</v>
      </c>
      <c r="M196">
        <v>0</v>
      </c>
      <c r="N196">
        <v>0</v>
      </c>
      <c r="O196">
        <v>4000</v>
      </c>
      <c r="P196">
        <v>-4000</v>
      </c>
      <c r="Q196" t="s">
        <v>68</v>
      </c>
      <c r="R196">
        <v>54000</v>
      </c>
      <c r="S196">
        <v>-4000</v>
      </c>
      <c r="T196">
        <v>117</v>
      </c>
      <c r="U196">
        <f t="shared" si="3"/>
        <v>4000</v>
      </c>
    </row>
    <row r="197" spans="1:21" x14ac:dyDescent="0.3">
      <c r="A197">
        <v>839</v>
      </c>
      <c r="B197">
        <v>558</v>
      </c>
      <c r="C197">
        <v>202</v>
      </c>
      <c r="D197">
        <v>2</v>
      </c>
      <c r="E197">
        <v>50000</v>
      </c>
      <c r="F197">
        <v>20000</v>
      </c>
      <c r="G197">
        <v>4000</v>
      </c>
      <c r="H197">
        <v>8000</v>
      </c>
      <c r="I197">
        <v>0</v>
      </c>
      <c r="J197">
        <v>15000</v>
      </c>
      <c r="K197">
        <v>7000</v>
      </c>
      <c r="L197">
        <v>12000</v>
      </c>
      <c r="M197">
        <v>0</v>
      </c>
      <c r="N197">
        <v>0</v>
      </c>
      <c r="O197">
        <v>0</v>
      </c>
      <c r="P197">
        <v>0</v>
      </c>
      <c r="Q197" t="s">
        <v>68</v>
      </c>
      <c r="R197">
        <v>54000</v>
      </c>
      <c r="S197">
        <v>0</v>
      </c>
      <c r="T197">
        <v>117</v>
      </c>
      <c r="U197">
        <f t="shared" si="3"/>
        <v>0</v>
      </c>
    </row>
    <row r="198" spans="1:21" x14ac:dyDescent="0.3">
      <c r="A198">
        <v>878</v>
      </c>
      <c r="B198">
        <v>558</v>
      </c>
      <c r="C198">
        <v>207</v>
      </c>
      <c r="D198">
        <v>3</v>
      </c>
      <c r="E198">
        <v>50000</v>
      </c>
      <c r="F198">
        <v>20000</v>
      </c>
      <c r="G198">
        <v>0</v>
      </c>
      <c r="H198">
        <v>0</v>
      </c>
      <c r="I198">
        <v>0</v>
      </c>
      <c r="J198">
        <v>20000</v>
      </c>
      <c r="K198">
        <v>7000</v>
      </c>
      <c r="L198">
        <v>0</v>
      </c>
      <c r="M198">
        <v>0</v>
      </c>
      <c r="N198">
        <v>0</v>
      </c>
      <c r="O198">
        <v>0</v>
      </c>
      <c r="P198">
        <v>3000</v>
      </c>
      <c r="Q198" t="s">
        <v>68</v>
      </c>
      <c r="R198">
        <v>47000</v>
      </c>
      <c r="S198">
        <v>3000</v>
      </c>
      <c r="T198">
        <v>117</v>
      </c>
      <c r="U198">
        <f t="shared" si="3"/>
        <v>0</v>
      </c>
    </row>
    <row r="199" spans="1:21" x14ac:dyDescent="0.3">
      <c r="A199">
        <v>772</v>
      </c>
      <c r="B199">
        <v>559</v>
      </c>
      <c r="C199">
        <v>175</v>
      </c>
      <c r="D199">
        <v>0</v>
      </c>
      <c r="E199">
        <v>80000</v>
      </c>
      <c r="F199">
        <v>40000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15000</v>
      </c>
      <c r="Q199" t="s">
        <v>69</v>
      </c>
      <c r="R199">
        <v>40000</v>
      </c>
      <c r="S199">
        <v>15000</v>
      </c>
      <c r="T199">
        <v>119</v>
      </c>
      <c r="U199">
        <f t="shared" si="3"/>
        <v>0</v>
      </c>
    </row>
    <row r="200" spans="1:21" x14ac:dyDescent="0.3">
      <c r="A200">
        <v>800</v>
      </c>
      <c r="B200">
        <v>559</v>
      </c>
      <c r="C200">
        <v>197</v>
      </c>
      <c r="D200">
        <v>1</v>
      </c>
      <c r="E200">
        <v>80000</v>
      </c>
      <c r="F200">
        <v>40000</v>
      </c>
      <c r="G200">
        <v>0</v>
      </c>
      <c r="H200">
        <v>0</v>
      </c>
      <c r="I200">
        <v>0</v>
      </c>
      <c r="J200">
        <v>20000</v>
      </c>
      <c r="K200">
        <v>12500</v>
      </c>
      <c r="L200">
        <v>21250</v>
      </c>
      <c r="M200">
        <v>0</v>
      </c>
      <c r="N200">
        <v>0</v>
      </c>
      <c r="O200">
        <v>4000</v>
      </c>
      <c r="P200">
        <v>-2750</v>
      </c>
      <c r="Q200" t="s">
        <v>69</v>
      </c>
      <c r="R200">
        <v>97750</v>
      </c>
      <c r="S200">
        <v>-2750</v>
      </c>
      <c r="T200">
        <v>119</v>
      </c>
      <c r="U200">
        <f t="shared" si="3"/>
        <v>4000</v>
      </c>
    </row>
    <row r="201" spans="1:21" x14ac:dyDescent="0.3">
      <c r="A201">
        <v>840</v>
      </c>
      <c r="B201">
        <v>559</v>
      </c>
      <c r="C201">
        <v>202</v>
      </c>
      <c r="D201">
        <v>2</v>
      </c>
      <c r="E201">
        <v>80000</v>
      </c>
      <c r="F201">
        <v>40000</v>
      </c>
      <c r="G201">
        <v>2750</v>
      </c>
      <c r="H201">
        <v>0</v>
      </c>
      <c r="I201">
        <v>0</v>
      </c>
      <c r="J201">
        <v>15000</v>
      </c>
      <c r="K201">
        <v>12500</v>
      </c>
      <c r="L201">
        <v>6000</v>
      </c>
      <c r="M201">
        <v>0</v>
      </c>
      <c r="N201">
        <v>0</v>
      </c>
      <c r="O201">
        <v>0</v>
      </c>
      <c r="P201">
        <v>3750</v>
      </c>
      <c r="Q201" t="s">
        <v>69</v>
      </c>
      <c r="R201">
        <v>73500</v>
      </c>
      <c r="S201">
        <v>3750</v>
      </c>
      <c r="T201">
        <v>119</v>
      </c>
      <c r="U201">
        <f t="shared" si="3"/>
        <v>0</v>
      </c>
    </row>
    <row r="202" spans="1:21" x14ac:dyDescent="0.3">
      <c r="A202">
        <v>876</v>
      </c>
      <c r="B202">
        <v>559</v>
      </c>
      <c r="C202">
        <v>207</v>
      </c>
      <c r="D202">
        <v>3</v>
      </c>
      <c r="E202">
        <v>80000</v>
      </c>
      <c r="F202">
        <v>40000</v>
      </c>
      <c r="G202">
        <v>0</v>
      </c>
      <c r="H202">
        <v>15000</v>
      </c>
      <c r="I202">
        <v>30000</v>
      </c>
      <c r="J202">
        <v>15000</v>
      </c>
      <c r="K202">
        <v>13000</v>
      </c>
      <c r="L202">
        <v>0</v>
      </c>
      <c r="M202">
        <v>0</v>
      </c>
      <c r="N202">
        <v>0</v>
      </c>
      <c r="O202">
        <v>4000</v>
      </c>
      <c r="P202">
        <v>-3250</v>
      </c>
      <c r="Q202" t="s">
        <v>69</v>
      </c>
      <c r="R202">
        <v>102000</v>
      </c>
      <c r="S202">
        <v>-3250</v>
      </c>
      <c r="T202">
        <v>119</v>
      </c>
      <c r="U202">
        <f t="shared" si="3"/>
        <v>4000</v>
      </c>
    </row>
    <row r="203" spans="1:21" x14ac:dyDescent="0.3">
      <c r="A203">
        <v>766</v>
      </c>
      <c r="B203">
        <v>560</v>
      </c>
      <c r="C203">
        <v>175</v>
      </c>
      <c r="D203">
        <v>0</v>
      </c>
      <c r="E203">
        <v>120000</v>
      </c>
      <c r="F203">
        <v>65000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50000</v>
      </c>
      <c r="Q203" t="s">
        <v>70</v>
      </c>
      <c r="R203">
        <v>65000</v>
      </c>
      <c r="S203">
        <v>50000</v>
      </c>
      <c r="T203">
        <v>121</v>
      </c>
      <c r="U203">
        <f t="shared" si="3"/>
        <v>0</v>
      </c>
    </row>
    <row r="204" spans="1:21" x14ac:dyDescent="0.3">
      <c r="A204">
        <v>801</v>
      </c>
      <c r="B204">
        <v>560</v>
      </c>
      <c r="C204">
        <v>197</v>
      </c>
      <c r="D204">
        <v>1</v>
      </c>
      <c r="E204">
        <v>120000</v>
      </c>
      <c r="F204">
        <v>65000</v>
      </c>
      <c r="G204">
        <v>0</v>
      </c>
      <c r="H204">
        <v>0</v>
      </c>
      <c r="I204">
        <v>60000</v>
      </c>
      <c r="J204">
        <v>20000</v>
      </c>
      <c r="K204">
        <v>20000</v>
      </c>
      <c r="L204">
        <v>3000</v>
      </c>
      <c r="M204">
        <v>0</v>
      </c>
      <c r="N204">
        <v>0</v>
      </c>
      <c r="O204">
        <v>4000</v>
      </c>
      <c r="P204">
        <v>-2000</v>
      </c>
      <c r="Q204" t="s">
        <v>70</v>
      </c>
      <c r="R204">
        <v>172000</v>
      </c>
      <c r="S204">
        <v>-2000</v>
      </c>
      <c r="T204">
        <v>121</v>
      </c>
      <c r="U204">
        <f t="shared" si="3"/>
        <v>4000</v>
      </c>
    </row>
    <row r="205" spans="1:21" x14ac:dyDescent="0.3">
      <c r="A205">
        <v>838</v>
      </c>
      <c r="B205">
        <v>560</v>
      </c>
      <c r="C205">
        <v>202</v>
      </c>
      <c r="D205">
        <v>2</v>
      </c>
      <c r="E205">
        <v>120000</v>
      </c>
      <c r="F205">
        <v>65000</v>
      </c>
      <c r="G205">
        <v>2000</v>
      </c>
      <c r="H205">
        <v>0</v>
      </c>
      <c r="I205">
        <v>0</v>
      </c>
      <c r="J205">
        <v>20000</v>
      </c>
      <c r="K205">
        <v>20000</v>
      </c>
      <c r="L205">
        <v>6000</v>
      </c>
      <c r="M205">
        <v>0</v>
      </c>
      <c r="N205">
        <v>0</v>
      </c>
      <c r="O205">
        <v>0</v>
      </c>
      <c r="P205">
        <v>7000</v>
      </c>
      <c r="Q205" t="s">
        <v>70</v>
      </c>
      <c r="R205">
        <v>111000</v>
      </c>
      <c r="S205">
        <v>7000</v>
      </c>
      <c r="T205">
        <v>121</v>
      </c>
      <c r="U205">
        <f t="shared" si="3"/>
        <v>0</v>
      </c>
    </row>
    <row r="206" spans="1:21" x14ac:dyDescent="0.3">
      <c r="A206">
        <v>880</v>
      </c>
      <c r="B206">
        <v>560</v>
      </c>
      <c r="C206">
        <v>207</v>
      </c>
      <c r="D206">
        <v>3</v>
      </c>
      <c r="E206">
        <v>120000</v>
      </c>
      <c r="F206">
        <v>65000</v>
      </c>
      <c r="G206">
        <v>0</v>
      </c>
      <c r="H206">
        <v>0</v>
      </c>
      <c r="I206">
        <v>0</v>
      </c>
      <c r="J206">
        <v>25000</v>
      </c>
      <c r="K206">
        <v>20000</v>
      </c>
      <c r="L206">
        <v>10000</v>
      </c>
      <c r="M206">
        <v>0</v>
      </c>
      <c r="N206">
        <v>0</v>
      </c>
      <c r="O206">
        <v>0</v>
      </c>
      <c r="P206">
        <v>7000</v>
      </c>
      <c r="Q206" t="s">
        <v>70</v>
      </c>
      <c r="R206">
        <v>120000</v>
      </c>
      <c r="S206">
        <v>7000</v>
      </c>
      <c r="T206">
        <v>121</v>
      </c>
      <c r="U206">
        <f t="shared" si="3"/>
        <v>0</v>
      </c>
    </row>
    <row r="207" spans="1:21" x14ac:dyDescent="0.3">
      <c r="A207">
        <v>761</v>
      </c>
      <c r="B207">
        <v>561</v>
      </c>
      <c r="C207">
        <v>175</v>
      </c>
      <c r="D207">
        <v>0</v>
      </c>
      <c r="E207">
        <v>180000</v>
      </c>
      <c r="F207">
        <v>105000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80000</v>
      </c>
      <c r="Q207" t="s">
        <v>71</v>
      </c>
      <c r="R207">
        <v>105000</v>
      </c>
      <c r="S207">
        <v>80000</v>
      </c>
      <c r="T207">
        <v>122</v>
      </c>
      <c r="U207">
        <f t="shared" si="3"/>
        <v>0</v>
      </c>
    </row>
    <row r="208" spans="1:21" x14ac:dyDescent="0.3">
      <c r="A208">
        <v>792</v>
      </c>
      <c r="B208">
        <v>561</v>
      </c>
      <c r="C208">
        <v>197</v>
      </c>
      <c r="D208">
        <v>1</v>
      </c>
      <c r="E208">
        <v>180000</v>
      </c>
      <c r="F208">
        <v>105000</v>
      </c>
      <c r="G208">
        <v>0</v>
      </c>
      <c r="H208">
        <v>0</v>
      </c>
      <c r="I208">
        <v>61000</v>
      </c>
      <c r="J208">
        <v>15000</v>
      </c>
      <c r="K208">
        <v>30000</v>
      </c>
      <c r="L208">
        <v>47000</v>
      </c>
      <c r="M208">
        <v>0</v>
      </c>
      <c r="N208">
        <v>0</v>
      </c>
      <c r="O208">
        <v>4000</v>
      </c>
      <c r="P208">
        <v>-2000</v>
      </c>
      <c r="Q208" t="s">
        <v>71</v>
      </c>
      <c r="R208">
        <v>262000</v>
      </c>
      <c r="S208">
        <v>-2000</v>
      </c>
      <c r="T208">
        <v>122</v>
      </c>
      <c r="U208">
        <f t="shared" si="3"/>
        <v>4000</v>
      </c>
    </row>
    <row r="209" spans="1:21" x14ac:dyDescent="0.3">
      <c r="A209">
        <v>849</v>
      </c>
      <c r="B209">
        <v>561</v>
      </c>
      <c r="C209">
        <v>202</v>
      </c>
      <c r="D209">
        <v>2</v>
      </c>
      <c r="E209">
        <v>180000</v>
      </c>
      <c r="F209">
        <v>105000</v>
      </c>
      <c r="G209">
        <v>2000</v>
      </c>
      <c r="H209">
        <v>0</v>
      </c>
      <c r="I209">
        <v>0</v>
      </c>
      <c r="J209">
        <v>15000</v>
      </c>
      <c r="K209">
        <v>30000</v>
      </c>
      <c r="L209">
        <v>21000</v>
      </c>
      <c r="M209">
        <v>0</v>
      </c>
      <c r="N209">
        <v>0</v>
      </c>
      <c r="O209">
        <v>4000</v>
      </c>
      <c r="P209">
        <v>3000</v>
      </c>
      <c r="Q209" t="s">
        <v>71</v>
      </c>
      <c r="R209">
        <v>175000</v>
      </c>
      <c r="S209">
        <v>3000</v>
      </c>
      <c r="T209">
        <v>122</v>
      </c>
      <c r="U209">
        <f t="shared" si="3"/>
        <v>4000</v>
      </c>
    </row>
    <row r="210" spans="1:21" x14ac:dyDescent="0.3">
      <c r="A210">
        <v>881</v>
      </c>
      <c r="B210">
        <v>561</v>
      </c>
      <c r="C210">
        <v>207</v>
      </c>
      <c r="D210">
        <v>3</v>
      </c>
      <c r="E210">
        <v>180000</v>
      </c>
      <c r="F210">
        <v>105000</v>
      </c>
      <c r="G210">
        <v>0</v>
      </c>
      <c r="H210">
        <v>0</v>
      </c>
      <c r="I210">
        <v>0</v>
      </c>
      <c r="J210">
        <v>15000</v>
      </c>
      <c r="K210">
        <v>30000</v>
      </c>
      <c r="L210">
        <v>30000</v>
      </c>
      <c r="M210">
        <v>0</v>
      </c>
      <c r="N210">
        <v>0</v>
      </c>
      <c r="O210">
        <v>4000</v>
      </c>
      <c r="P210">
        <v>-1000</v>
      </c>
      <c r="Q210" t="s">
        <v>71</v>
      </c>
      <c r="R210">
        <v>184000</v>
      </c>
      <c r="S210">
        <v>-1000</v>
      </c>
      <c r="T210">
        <v>122</v>
      </c>
      <c r="U210">
        <f t="shared" si="3"/>
        <v>4000</v>
      </c>
    </row>
    <row r="211" spans="1:21" x14ac:dyDescent="0.3">
      <c r="A211">
        <v>762</v>
      </c>
      <c r="B211">
        <v>562</v>
      </c>
      <c r="C211">
        <v>175</v>
      </c>
      <c r="D211">
        <v>0</v>
      </c>
      <c r="E211">
        <v>100000</v>
      </c>
      <c r="F211">
        <v>50000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30000</v>
      </c>
      <c r="Q211" t="s">
        <v>72</v>
      </c>
      <c r="R211">
        <v>50000</v>
      </c>
      <c r="S211">
        <v>30000</v>
      </c>
      <c r="T211">
        <v>120</v>
      </c>
      <c r="U211">
        <f t="shared" si="3"/>
        <v>0</v>
      </c>
    </row>
    <row r="212" spans="1:21" x14ac:dyDescent="0.3">
      <c r="A212">
        <v>791</v>
      </c>
      <c r="B212">
        <v>562</v>
      </c>
      <c r="C212">
        <v>197</v>
      </c>
      <c r="D212">
        <v>1</v>
      </c>
      <c r="E212">
        <v>100000</v>
      </c>
      <c r="F212">
        <v>50000</v>
      </c>
      <c r="G212">
        <v>0</v>
      </c>
      <c r="H212">
        <v>0</v>
      </c>
      <c r="I212">
        <v>30000</v>
      </c>
      <c r="J212">
        <v>20000</v>
      </c>
      <c r="K212">
        <v>17000</v>
      </c>
      <c r="L212">
        <v>12000</v>
      </c>
      <c r="M212">
        <v>0</v>
      </c>
      <c r="N212">
        <v>0</v>
      </c>
      <c r="O212">
        <v>4000</v>
      </c>
      <c r="P212">
        <v>-3000</v>
      </c>
      <c r="Q212" t="s">
        <v>72</v>
      </c>
      <c r="R212">
        <v>133000</v>
      </c>
      <c r="S212">
        <v>-3000</v>
      </c>
      <c r="T212">
        <v>120</v>
      </c>
      <c r="U212">
        <f t="shared" si="3"/>
        <v>4000</v>
      </c>
    </row>
    <row r="213" spans="1:21" x14ac:dyDescent="0.3">
      <c r="A213">
        <v>836</v>
      </c>
      <c r="B213">
        <v>562</v>
      </c>
      <c r="C213">
        <v>202</v>
      </c>
      <c r="D213">
        <v>2</v>
      </c>
      <c r="E213">
        <v>100000</v>
      </c>
      <c r="F213">
        <v>50000</v>
      </c>
      <c r="G213">
        <v>3000</v>
      </c>
      <c r="H213">
        <v>0</v>
      </c>
      <c r="I213">
        <v>0</v>
      </c>
      <c r="J213">
        <v>15000</v>
      </c>
      <c r="K213">
        <v>17000</v>
      </c>
      <c r="L213">
        <v>13000</v>
      </c>
      <c r="M213">
        <v>0</v>
      </c>
      <c r="N213">
        <v>0</v>
      </c>
      <c r="O213">
        <v>4000</v>
      </c>
      <c r="P213">
        <v>-2000</v>
      </c>
      <c r="Q213" t="s">
        <v>72</v>
      </c>
      <c r="R213">
        <v>99000</v>
      </c>
      <c r="S213">
        <v>-2000</v>
      </c>
      <c r="T213">
        <v>120</v>
      </c>
      <c r="U213">
        <f t="shared" si="3"/>
        <v>4000</v>
      </c>
    </row>
    <row r="214" spans="1:21" x14ac:dyDescent="0.3">
      <c r="A214">
        <v>877</v>
      </c>
      <c r="B214">
        <v>562</v>
      </c>
      <c r="C214">
        <v>207</v>
      </c>
      <c r="D214">
        <v>3</v>
      </c>
      <c r="E214">
        <v>100000</v>
      </c>
      <c r="F214">
        <v>50000</v>
      </c>
      <c r="G214">
        <v>2000</v>
      </c>
      <c r="H214">
        <v>0</v>
      </c>
      <c r="I214">
        <v>0</v>
      </c>
      <c r="J214">
        <v>20000</v>
      </c>
      <c r="K214">
        <v>17000</v>
      </c>
      <c r="L214">
        <v>0</v>
      </c>
      <c r="M214">
        <v>0</v>
      </c>
      <c r="N214">
        <v>0</v>
      </c>
      <c r="O214">
        <v>0</v>
      </c>
      <c r="P214">
        <v>11000</v>
      </c>
      <c r="Q214" t="s">
        <v>72</v>
      </c>
      <c r="R214">
        <v>87000</v>
      </c>
      <c r="S214">
        <v>11000</v>
      </c>
      <c r="T214">
        <v>120</v>
      </c>
      <c r="U214">
        <f t="shared" si="3"/>
        <v>0</v>
      </c>
    </row>
    <row r="215" spans="1:21" x14ac:dyDescent="0.3">
      <c r="A215">
        <v>768</v>
      </c>
      <c r="B215">
        <v>563</v>
      </c>
      <c r="C215">
        <v>175</v>
      </c>
      <c r="D215">
        <v>0</v>
      </c>
      <c r="E215">
        <v>100000</v>
      </c>
      <c r="F215">
        <v>50000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30000</v>
      </c>
      <c r="Q215" t="s">
        <v>73</v>
      </c>
      <c r="R215">
        <v>50000</v>
      </c>
      <c r="S215">
        <v>30000</v>
      </c>
      <c r="T215">
        <v>120</v>
      </c>
      <c r="U215">
        <f t="shared" si="3"/>
        <v>0</v>
      </c>
    </row>
    <row r="216" spans="1:21" x14ac:dyDescent="0.3">
      <c r="A216">
        <v>790</v>
      </c>
      <c r="B216">
        <v>563</v>
      </c>
      <c r="C216">
        <v>197</v>
      </c>
      <c r="D216">
        <v>1</v>
      </c>
      <c r="E216">
        <v>100000</v>
      </c>
      <c r="F216">
        <v>50000</v>
      </c>
      <c r="G216">
        <v>0</v>
      </c>
      <c r="H216">
        <v>0</v>
      </c>
      <c r="I216">
        <v>20000</v>
      </c>
      <c r="J216">
        <v>15000</v>
      </c>
      <c r="K216">
        <v>17000</v>
      </c>
      <c r="L216">
        <v>28000</v>
      </c>
      <c r="M216">
        <v>0</v>
      </c>
      <c r="N216">
        <v>0</v>
      </c>
      <c r="O216">
        <v>4000</v>
      </c>
      <c r="P216">
        <v>-4000</v>
      </c>
      <c r="Q216" t="s">
        <v>73</v>
      </c>
      <c r="R216">
        <v>134000</v>
      </c>
      <c r="S216">
        <v>-4000</v>
      </c>
      <c r="T216">
        <v>120</v>
      </c>
      <c r="U216">
        <f t="shared" si="3"/>
        <v>4000</v>
      </c>
    </row>
    <row r="217" spans="1:21" x14ac:dyDescent="0.3">
      <c r="A217">
        <v>841</v>
      </c>
      <c r="B217">
        <v>563</v>
      </c>
      <c r="C217">
        <v>202</v>
      </c>
      <c r="D217">
        <v>2</v>
      </c>
      <c r="E217">
        <v>100000</v>
      </c>
      <c r="F217">
        <v>50000</v>
      </c>
      <c r="G217">
        <v>4000</v>
      </c>
      <c r="H217">
        <v>0</v>
      </c>
      <c r="I217">
        <v>0</v>
      </c>
      <c r="J217">
        <v>15000</v>
      </c>
      <c r="K217">
        <v>17000</v>
      </c>
      <c r="L217">
        <v>9000</v>
      </c>
      <c r="M217">
        <v>0</v>
      </c>
      <c r="N217">
        <v>0</v>
      </c>
      <c r="O217">
        <v>4000</v>
      </c>
      <c r="P217">
        <v>1000</v>
      </c>
      <c r="Q217" t="s">
        <v>73</v>
      </c>
      <c r="R217">
        <v>95000</v>
      </c>
      <c r="S217">
        <v>1000</v>
      </c>
      <c r="T217">
        <v>120</v>
      </c>
      <c r="U217">
        <f t="shared" si="3"/>
        <v>4000</v>
      </c>
    </row>
    <row r="218" spans="1:21" x14ac:dyDescent="0.3">
      <c r="A218">
        <v>875</v>
      </c>
      <c r="B218">
        <v>563</v>
      </c>
      <c r="C218">
        <v>207</v>
      </c>
      <c r="D218">
        <v>3</v>
      </c>
      <c r="E218">
        <v>100000</v>
      </c>
      <c r="F218">
        <v>50000</v>
      </c>
      <c r="G218">
        <v>0</v>
      </c>
      <c r="H218">
        <v>0</v>
      </c>
      <c r="I218">
        <v>0</v>
      </c>
      <c r="J218">
        <v>15000</v>
      </c>
      <c r="K218">
        <v>17000</v>
      </c>
      <c r="L218">
        <v>0</v>
      </c>
      <c r="M218">
        <v>0</v>
      </c>
      <c r="N218">
        <v>0</v>
      </c>
      <c r="O218">
        <v>4000</v>
      </c>
      <c r="P218">
        <v>15000</v>
      </c>
      <c r="Q218" t="s">
        <v>73</v>
      </c>
      <c r="R218">
        <v>86000</v>
      </c>
      <c r="S218">
        <v>15000</v>
      </c>
      <c r="T218">
        <v>120</v>
      </c>
      <c r="U218">
        <f t="shared" si="3"/>
        <v>4000</v>
      </c>
    </row>
    <row r="219" spans="1:21" x14ac:dyDescent="0.3">
      <c r="A219">
        <v>748</v>
      </c>
      <c r="B219">
        <v>564</v>
      </c>
      <c r="C219">
        <v>194</v>
      </c>
      <c r="D219">
        <v>0</v>
      </c>
      <c r="E219">
        <v>65000</v>
      </c>
      <c r="F219">
        <v>30000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5000</v>
      </c>
      <c r="Q219" t="s">
        <v>74</v>
      </c>
      <c r="R219">
        <v>30000</v>
      </c>
      <c r="S219">
        <v>5000</v>
      </c>
      <c r="T219">
        <v>118</v>
      </c>
      <c r="U219">
        <f t="shared" si="3"/>
        <v>0</v>
      </c>
    </row>
    <row r="220" spans="1:21" x14ac:dyDescent="0.3">
      <c r="A220">
        <v>781</v>
      </c>
      <c r="B220">
        <v>564</v>
      </c>
      <c r="C220">
        <v>196</v>
      </c>
      <c r="D220">
        <v>1</v>
      </c>
      <c r="E220">
        <v>65000</v>
      </c>
      <c r="F220">
        <v>30000</v>
      </c>
      <c r="G220">
        <v>0</v>
      </c>
      <c r="H220">
        <v>0</v>
      </c>
      <c r="I220">
        <v>0</v>
      </c>
      <c r="J220">
        <v>15000</v>
      </c>
      <c r="K220">
        <v>7000</v>
      </c>
      <c r="L220">
        <v>3500</v>
      </c>
      <c r="M220">
        <v>0</v>
      </c>
      <c r="N220">
        <v>0</v>
      </c>
      <c r="O220">
        <v>0</v>
      </c>
      <c r="P220">
        <v>14500</v>
      </c>
      <c r="Q220" t="s">
        <v>74</v>
      </c>
      <c r="R220">
        <v>55500</v>
      </c>
      <c r="S220">
        <v>14500</v>
      </c>
      <c r="T220">
        <v>118</v>
      </c>
      <c r="U220">
        <f t="shared" si="3"/>
        <v>0</v>
      </c>
    </row>
    <row r="221" spans="1:21" x14ac:dyDescent="0.3">
      <c r="A221">
        <v>829</v>
      </c>
      <c r="B221">
        <v>564</v>
      </c>
      <c r="C221">
        <v>201</v>
      </c>
      <c r="D221">
        <v>2</v>
      </c>
      <c r="E221">
        <v>65000</v>
      </c>
      <c r="F221">
        <v>30000</v>
      </c>
      <c r="G221">
        <v>0</v>
      </c>
      <c r="H221">
        <v>0</v>
      </c>
      <c r="I221">
        <v>0</v>
      </c>
      <c r="J221">
        <v>15000</v>
      </c>
      <c r="K221">
        <v>7000</v>
      </c>
      <c r="L221">
        <v>12000</v>
      </c>
      <c r="M221">
        <v>0</v>
      </c>
      <c r="N221">
        <v>0</v>
      </c>
      <c r="O221">
        <v>4000</v>
      </c>
      <c r="P221">
        <v>11500</v>
      </c>
      <c r="Q221" t="s">
        <v>74</v>
      </c>
      <c r="R221">
        <v>68000</v>
      </c>
      <c r="S221">
        <v>11500</v>
      </c>
      <c r="T221">
        <v>118</v>
      </c>
      <c r="U221">
        <f t="shared" si="3"/>
        <v>4000</v>
      </c>
    </row>
    <row r="222" spans="1:21" x14ac:dyDescent="0.3">
      <c r="A222">
        <v>854</v>
      </c>
      <c r="B222">
        <v>564</v>
      </c>
      <c r="C222">
        <v>204</v>
      </c>
      <c r="D222">
        <v>3</v>
      </c>
      <c r="E222">
        <v>65000</v>
      </c>
      <c r="F222">
        <v>30000</v>
      </c>
      <c r="G222">
        <v>0</v>
      </c>
      <c r="H222">
        <v>0</v>
      </c>
      <c r="I222">
        <v>0</v>
      </c>
      <c r="J222">
        <v>15000</v>
      </c>
      <c r="K222">
        <v>7000</v>
      </c>
      <c r="L222">
        <v>14000</v>
      </c>
      <c r="M222">
        <v>0</v>
      </c>
      <c r="N222">
        <v>12000</v>
      </c>
      <c r="O222">
        <v>4000</v>
      </c>
      <c r="P222">
        <v>-5500</v>
      </c>
      <c r="Q222" t="s">
        <v>74</v>
      </c>
      <c r="R222">
        <v>82000</v>
      </c>
      <c r="S222">
        <v>-5500</v>
      </c>
      <c r="T222">
        <v>118</v>
      </c>
      <c r="U222">
        <f t="shared" si="3"/>
        <v>16000</v>
      </c>
    </row>
    <row r="223" spans="1:21" x14ac:dyDescent="0.3">
      <c r="A223">
        <v>755</v>
      </c>
      <c r="B223">
        <v>565</v>
      </c>
      <c r="C223">
        <v>194</v>
      </c>
      <c r="D223">
        <v>0</v>
      </c>
      <c r="E223">
        <v>100000</v>
      </c>
      <c r="F223">
        <v>50000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30000</v>
      </c>
      <c r="Q223" t="s">
        <v>75</v>
      </c>
      <c r="R223">
        <v>50000</v>
      </c>
      <c r="S223">
        <v>30000</v>
      </c>
      <c r="T223">
        <v>120</v>
      </c>
      <c r="U223">
        <f t="shared" si="3"/>
        <v>0</v>
      </c>
    </row>
    <row r="224" spans="1:21" x14ac:dyDescent="0.3">
      <c r="A224">
        <v>785</v>
      </c>
      <c r="B224">
        <v>565</v>
      </c>
      <c r="C224">
        <v>196</v>
      </c>
      <c r="D224">
        <v>1</v>
      </c>
      <c r="E224">
        <v>100000</v>
      </c>
      <c r="F224">
        <v>50000</v>
      </c>
      <c r="G224">
        <v>0</v>
      </c>
      <c r="H224">
        <v>0</v>
      </c>
      <c r="I224">
        <v>55000</v>
      </c>
      <c r="J224">
        <v>20000</v>
      </c>
      <c r="K224">
        <v>17000</v>
      </c>
      <c r="L224">
        <v>0</v>
      </c>
      <c r="M224">
        <v>0</v>
      </c>
      <c r="N224">
        <v>0</v>
      </c>
      <c r="O224">
        <v>0</v>
      </c>
      <c r="P224">
        <v>-12000</v>
      </c>
      <c r="Q224" t="s">
        <v>75</v>
      </c>
      <c r="R224">
        <v>142000</v>
      </c>
      <c r="S224">
        <v>-12000</v>
      </c>
      <c r="T224">
        <v>120</v>
      </c>
      <c r="U224">
        <f t="shared" si="3"/>
        <v>0</v>
      </c>
    </row>
    <row r="225" spans="1:21" x14ac:dyDescent="0.3">
      <c r="A225">
        <v>833</v>
      </c>
      <c r="B225">
        <v>565</v>
      </c>
      <c r="C225">
        <v>201</v>
      </c>
      <c r="D225">
        <v>2</v>
      </c>
      <c r="E225">
        <v>100000</v>
      </c>
      <c r="F225">
        <v>50000</v>
      </c>
      <c r="G225">
        <v>12000</v>
      </c>
      <c r="H225">
        <v>0</v>
      </c>
      <c r="I225">
        <v>0</v>
      </c>
      <c r="J225">
        <v>20000</v>
      </c>
      <c r="K225">
        <v>17000</v>
      </c>
      <c r="L225">
        <v>0</v>
      </c>
      <c r="M225">
        <v>0</v>
      </c>
      <c r="N225">
        <v>0</v>
      </c>
      <c r="O225">
        <v>4000</v>
      </c>
      <c r="P225">
        <v>-3000</v>
      </c>
      <c r="Q225" t="s">
        <v>75</v>
      </c>
      <c r="R225">
        <v>91000</v>
      </c>
      <c r="S225">
        <v>-3000</v>
      </c>
      <c r="T225">
        <v>120</v>
      </c>
      <c r="U225">
        <f t="shared" si="3"/>
        <v>4000</v>
      </c>
    </row>
    <row r="226" spans="1:21" x14ac:dyDescent="0.3">
      <c r="A226">
        <v>859</v>
      </c>
      <c r="B226">
        <v>565</v>
      </c>
      <c r="C226">
        <v>204</v>
      </c>
      <c r="D226">
        <v>3</v>
      </c>
      <c r="E226">
        <v>100000</v>
      </c>
      <c r="F226">
        <v>50000</v>
      </c>
      <c r="G226">
        <v>3000</v>
      </c>
      <c r="H226">
        <v>0</v>
      </c>
      <c r="I226">
        <v>0</v>
      </c>
      <c r="J226">
        <v>25000</v>
      </c>
      <c r="K226">
        <v>17000</v>
      </c>
      <c r="L226">
        <v>0</v>
      </c>
      <c r="M226">
        <v>0</v>
      </c>
      <c r="N226">
        <v>0</v>
      </c>
      <c r="O226">
        <v>4000</v>
      </c>
      <c r="P226">
        <v>1000</v>
      </c>
      <c r="Q226" t="s">
        <v>75</v>
      </c>
      <c r="R226">
        <v>96000</v>
      </c>
      <c r="S226">
        <v>1000</v>
      </c>
      <c r="T226">
        <v>120</v>
      </c>
      <c r="U226">
        <f t="shared" si="3"/>
        <v>4000</v>
      </c>
    </row>
    <row r="227" spans="1:21" x14ac:dyDescent="0.3">
      <c r="A227">
        <v>754</v>
      </c>
      <c r="B227">
        <v>566</v>
      </c>
      <c r="C227">
        <v>194</v>
      </c>
      <c r="D227">
        <v>0</v>
      </c>
      <c r="E227">
        <v>50000</v>
      </c>
      <c r="F227">
        <v>20000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76</v>
      </c>
      <c r="R227">
        <v>20000</v>
      </c>
      <c r="S227">
        <v>0</v>
      </c>
      <c r="T227">
        <v>117</v>
      </c>
      <c r="U227">
        <f t="shared" si="3"/>
        <v>0</v>
      </c>
    </row>
    <row r="228" spans="1:21" x14ac:dyDescent="0.3">
      <c r="A228">
        <v>783</v>
      </c>
      <c r="B228">
        <v>566</v>
      </c>
      <c r="C228">
        <v>196</v>
      </c>
      <c r="D228">
        <v>1</v>
      </c>
      <c r="E228">
        <v>50000</v>
      </c>
      <c r="F228">
        <v>20000</v>
      </c>
      <c r="G228">
        <v>0</v>
      </c>
      <c r="H228">
        <v>0</v>
      </c>
      <c r="I228">
        <v>20000</v>
      </c>
      <c r="J228">
        <v>20000</v>
      </c>
      <c r="K228">
        <v>8000</v>
      </c>
      <c r="L228">
        <v>0</v>
      </c>
      <c r="M228">
        <v>0</v>
      </c>
      <c r="N228">
        <v>0</v>
      </c>
      <c r="O228">
        <v>0</v>
      </c>
      <c r="P228">
        <v>-18000</v>
      </c>
      <c r="Q228" t="s">
        <v>76</v>
      </c>
      <c r="R228">
        <v>68000</v>
      </c>
      <c r="S228">
        <v>-18000</v>
      </c>
      <c r="T228">
        <v>117</v>
      </c>
      <c r="U228">
        <f t="shared" si="3"/>
        <v>0</v>
      </c>
    </row>
    <row r="229" spans="1:21" x14ac:dyDescent="0.3">
      <c r="A229">
        <v>827</v>
      </c>
      <c r="B229">
        <v>566</v>
      </c>
      <c r="C229">
        <v>201</v>
      </c>
      <c r="D229">
        <v>2</v>
      </c>
      <c r="E229">
        <v>50000</v>
      </c>
      <c r="F229">
        <v>20000</v>
      </c>
      <c r="G229">
        <v>18000</v>
      </c>
      <c r="H229">
        <v>0</v>
      </c>
      <c r="I229">
        <v>0</v>
      </c>
      <c r="J229">
        <v>20000</v>
      </c>
      <c r="K229">
        <v>8000</v>
      </c>
      <c r="L229">
        <v>0</v>
      </c>
      <c r="M229">
        <v>0</v>
      </c>
      <c r="N229">
        <v>0</v>
      </c>
      <c r="O229">
        <v>4000</v>
      </c>
      <c r="P229">
        <v>-20000</v>
      </c>
      <c r="Q229" t="s">
        <v>76</v>
      </c>
      <c r="R229">
        <v>52000</v>
      </c>
      <c r="S229">
        <v>-20000</v>
      </c>
      <c r="T229">
        <v>117</v>
      </c>
      <c r="U229">
        <f t="shared" si="3"/>
        <v>4000</v>
      </c>
    </row>
    <row r="230" spans="1:21" x14ac:dyDescent="0.3">
      <c r="A230">
        <v>858</v>
      </c>
      <c r="B230">
        <v>566</v>
      </c>
      <c r="C230">
        <v>204</v>
      </c>
      <c r="D230">
        <v>3</v>
      </c>
      <c r="E230">
        <v>50000</v>
      </c>
      <c r="F230">
        <v>20000</v>
      </c>
      <c r="G230">
        <v>20000</v>
      </c>
      <c r="H230">
        <v>0</v>
      </c>
      <c r="I230">
        <v>0</v>
      </c>
      <c r="J230">
        <v>25000</v>
      </c>
      <c r="K230">
        <v>8000</v>
      </c>
      <c r="L230">
        <v>0</v>
      </c>
      <c r="M230">
        <v>0</v>
      </c>
      <c r="N230">
        <v>0</v>
      </c>
      <c r="O230">
        <v>4000</v>
      </c>
      <c r="P230">
        <v>-27000</v>
      </c>
      <c r="Q230" t="s">
        <v>76</v>
      </c>
      <c r="R230">
        <v>57000</v>
      </c>
      <c r="S230">
        <v>-27000</v>
      </c>
      <c r="T230">
        <v>117</v>
      </c>
      <c r="U230">
        <f t="shared" si="3"/>
        <v>4000</v>
      </c>
    </row>
    <row r="231" spans="1:21" x14ac:dyDescent="0.3">
      <c r="A231">
        <v>767</v>
      </c>
      <c r="B231">
        <v>567</v>
      </c>
      <c r="C231">
        <v>194</v>
      </c>
      <c r="D231">
        <v>0</v>
      </c>
      <c r="E231">
        <v>80000</v>
      </c>
      <c r="F231">
        <v>40000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15000</v>
      </c>
      <c r="Q231" t="s">
        <v>77</v>
      </c>
      <c r="R231">
        <v>40000</v>
      </c>
      <c r="S231">
        <v>15000</v>
      </c>
      <c r="T231">
        <v>119</v>
      </c>
      <c r="U231">
        <f t="shared" si="3"/>
        <v>0</v>
      </c>
    </row>
    <row r="232" spans="1:21" x14ac:dyDescent="0.3">
      <c r="A232">
        <v>784</v>
      </c>
      <c r="B232">
        <v>567</v>
      </c>
      <c r="C232">
        <v>196</v>
      </c>
      <c r="D232">
        <v>1</v>
      </c>
      <c r="E232">
        <v>80000</v>
      </c>
      <c r="F232">
        <v>40000</v>
      </c>
      <c r="G232">
        <v>0</v>
      </c>
      <c r="H232">
        <v>0</v>
      </c>
      <c r="I232">
        <v>30000</v>
      </c>
      <c r="J232">
        <v>15000</v>
      </c>
      <c r="K232">
        <v>13000</v>
      </c>
      <c r="L232">
        <v>0</v>
      </c>
      <c r="M232">
        <v>0</v>
      </c>
      <c r="N232">
        <v>0</v>
      </c>
      <c r="O232">
        <v>0</v>
      </c>
      <c r="P232">
        <v>-3000</v>
      </c>
      <c r="Q232" t="s">
        <v>77</v>
      </c>
      <c r="R232">
        <v>98000</v>
      </c>
      <c r="S232">
        <v>-3000</v>
      </c>
      <c r="T232">
        <v>119</v>
      </c>
      <c r="U232">
        <f t="shared" si="3"/>
        <v>0</v>
      </c>
    </row>
    <row r="233" spans="1:21" x14ac:dyDescent="0.3">
      <c r="A233">
        <v>831</v>
      </c>
      <c r="B233">
        <v>567</v>
      </c>
      <c r="C233">
        <v>201</v>
      </c>
      <c r="D233">
        <v>2</v>
      </c>
      <c r="E233">
        <v>80000</v>
      </c>
      <c r="F233">
        <v>40000</v>
      </c>
      <c r="G233">
        <v>3000</v>
      </c>
      <c r="H233">
        <v>0</v>
      </c>
      <c r="I233">
        <v>0</v>
      </c>
      <c r="J233">
        <v>15000</v>
      </c>
      <c r="K233">
        <v>13000</v>
      </c>
      <c r="L233">
        <v>6000</v>
      </c>
      <c r="M233">
        <v>0</v>
      </c>
      <c r="N233">
        <v>0</v>
      </c>
      <c r="O233">
        <v>4000</v>
      </c>
      <c r="P233">
        <v>-1000</v>
      </c>
      <c r="Q233" t="s">
        <v>77</v>
      </c>
      <c r="R233">
        <v>78000</v>
      </c>
      <c r="S233">
        <v>-1000</v>
      </c>
      <c r="T233">
        <v>119</v>
      </c>
      <c r="U233">
        <f t="shared" si="3"/>
        <v>4000</v>
      </c>
    </row>
    <row r="234" spans="1:21" x14ac:dyDescent="0.3">
      <c r="A234">
        <v>856</v>
      </c>
      <c r="B234">
        <v>567</v>
      </c>
      <c r="C234">
        <v>204</v>
      </c>
      <c r="D234">
        <v>3</v>
      </c>
      <c r="E234">
        <v>80000</v>
      </c>
      <c r="F234">
        <v>40000</v>
      </c>
      <c r="G234">
        <v>1000</v>
      </c>
      <c r="H234">
        <v>0</v>
      </c>
      <c r="I234">
        <v>0</v>
      </c>
      <c r="J234">
        <v>15000</v>
      </c>
      <c r="K234">
        <v>13000</v>
      </c>
      <c r="L234">
        <v>0</v>
      </c>
      <c r="M234">
        <v>0</v>
      </c>
      <c r="N234">
        <v>0</v>
      </c>
      <c r="O234">
        <v>4000</v>
      </c>
      <c r="P234">
        <v>7000</v>
      </c>
      <c r="Q234" t="s">
        <v>77</v>
      </c>
      <c r="R234">
        <v>72000</v>
      </c>
      <c r="S234">
        <v>7000</v>
      </c>
      <c r="T234">
        <v>119</v>
      </c>
      <c r="U234">
        <f t="shared" si="3"/>
        <v>4000</v>
      </c>
    </row>
    <row r="235" spans="1:21" x14ac:dyDescent="0.3">
      <c r="A235">
        <v>752</v>
      </c>
      <c r="B235">
        <v>568</v>
      </c>
      <c r="C235">
        <v>194</v>
      </c>
      <c r="D235">
        <v>0</v>
      </c>
      <c r="E235">
        <v>120000</v>
      </c>
      <c r="F235">
        <v>65000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50000</v>
      </c>
      <c r="Q235" t="s">
        <v>78</v>
      </c>
      <c r="R235">
        <v>65000</v>
      </c>
      <c r="S235">
        <v>50000</v>
      </c>
      <c r="T235">
        <v>121</v>
      </c>
      <c r="U235">
        <f t="shared" si="3"/>
        <v>0</v>
      </c>
    </row>
    <row r="236" spans="1:21" x14ac:dyDescent="0.3">
      <c r="A236">
        <v>786</v>
      </c>
      <c r="B236">
        <v>568</v>
      </c>
      <c r="C236">
        <v>196</v>
      </c>
      <c r="D236">
        <v>1</v>
      </c>
      <c r="E236">
        <v>120000</v>
      </c>
      <c r="F236">
        <v>65000</v>
      </c>
      <c r="G236">
        <v>0</v>
      </c>
      <c r="H236">
        <v>0</v>
      </c>
      <c r="I236">
        <v>0</v>
      </c>
      <c r="J236">
        <v>15000</v>
      </c>
      <c r="K236">
        <v>16000</v>
      </c>
      <c r="L236">
        <v>28000</v>
      </c>
      <c r="M236">
        <v>0</v>
      </c>
      <c r="N236">
        <v>0</v>
      </c>
      <c r="O236">
        <v>0</v>
      </c>
      <c r="P236">
        <v>46000</v>
      </c>
      <c r="Q236" t="s">
        <v>78</v>
      </c>
      <c r="R236">
        <v>124000</v>
      </c>
      <c r="S236">
        <v>46000</v>
      </c>
      <c r="T236">
        <v>121</v>
      </c>
      <c r="U236">
        <f t="shared" si="3"/>
        <v>0</v>
      </c>
    </row>
    <row r="237" spans="1:21" x14ac:dyDescent="0.3">
      <c r="A237">
        <v>832</v>
      </c>
      <c r="B237">
        <v>568</v>
      </c>
      <c r="C237">
        <v>201</v>
      </c>
      <c r="D237">
        <v>2</v>
      </c>
      <c r="E237">
        <v>120000</v>
      </c>
      <c r="F237">
        <v>65000</v>
      </c>
      <c r="G237">
        <v>0</v>
      </c>
      <c r="H237">
        <v>0</v>
      </c>
      <c r="I237">
        <v>0</v>
      </c>
      <c r="J237">
        <v>15000</v>
      </c>
      <c r="K237">
        <v>16000</v>
      </c>
      <c r="L237">
        <v>22000</v>
      </c>
      <c r="M237">
        <v>0</v>
      </c>
      <c r="N237">
        <v>0</v>
      </c>
      <c r="O237">
        <v>4000</v>
      </c>
      <c r="P237">
        <v>44000</v>
      </c>
      <c r="Q237" t="s">
        <v>78</v>
      </c>
      <c r="R237">
        <v>122000</v>
      </c>
      <c r="S237">
        <v>44000</v>
      </c>
      <c r="T237">
        <v>121</v>
      </c>
      <c r="U237">
        <f t="shared" si="3"/>
        <v>4000</v>
      </c>
    </row>
    <row r="238" spans="1:21" x14ac:dyDescent="0.3">
      <c r="A238">
        <v>853</v>
      </c>
      <c r="B238">
        <v>568</v>
      </c>
      <c r="C238">
        <v>204</v>
      </c>
      <c r="D238">
        <v>3</v>
      </c>
      <c r="E238">
        <v>120000</v>
      </c>
      <c r="F238">
        <v>65000</v>
      </c>
      <c r="G238">
        <v>0</v>
      </c>
      <c r="H238">
        <v>0</v>
      </c>
      <c r="I238">
        <v>0</v>
      </c>
      <c r="J238">
        <v>15000</v>
      </c>
      <c r="K238">
        <v>16000</v>
      </c>
      <c r="L238">
        <v>35000</v>
      </c>
      <c r="M238">
        <v>0</v>
      </c>
      <c r="N238">
        <v>0</v>
      </c>
      <c r="O238">
        <v>4000</v>
      </c>
      <c r="P238">
        <v>29000</v>
      </c>
      <c r="Q238" t="s">
        <v>78</v>
      </c>
      <c r="R238">
        <v>135000</v>
      </c>
      <c r="S238">
        <v>29000</v>
      </c>
      <c r="T238">
        <v>121</v>
      </c>
      <c r="U238">
        <f t="shared" si="3"/>
        <v>4000</v>
      </c>
    </row>
    <row r="239" spans="1:21" x14ac:dyDescent="0.3">
      <c r="A239">
        <v>747</v>
      </c>
      <c r="B239">
        <v>569</v>
      </c>
      <c r="C239">
        <v>194</v>
      </c>
      <c r="D239">
        <v>0</v>
      </c>
      <c r="E239">
        <v>180000</v>
      </c>
      <c r="F239">
        <v>105000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80000</v>
      </c>
      <c r="Q239" t="s">
        <v>79</v>
      </c>
      <c r="R239">
        <v>105000</v>
      </c>
      <c r="S239">
        <v>80000</v>
      </c>
      <c r="T239">
        <v>122</v>
      </c>
      <c r="U239">
        <f t="shared" si="3"/>
        <v>0</v>
      </c>
    </row>
    <row r="240" spans="1:21" x14ac:dyDescent="0.3">
      <c r="A240">
        <v>782</v>
      </c>
      <c r="B240">
        <v>569</v>
      </c>
      <c r="C240">
        <v>196</v>
      </c>
      <c r="D240">
        <v>1</v>
      </c>
      <c r="E240">
        <v>180000</v>
      </c>
      <c r="F240">
        <v>105000</v>
      </c>
      <c r="G240">
        <v>0</v>
      </c>
      <c r="H240">
        <v>0</v>
      </c>
      <c r="I240">
        <v>0</v>
      </c>
      <c r="J240">
        <v>15000</v>
      </c>
      <c r="K240">
        <v>30000</v>
      </c>
      <c r="L240">
        <v>32000</v>
      </c>
      <c r="M240">
        <v>0</v>
      </c>
      <c r="N240">
        <v>0</v>
      </c>
      <c r="O240">
        <v>0</v>
      </c>
      <c r="P240">
        <v>78000</v>
      </c>
      <c r="Q240" t="s">
        <v>79</v>
      </c>
      <c r="R240">
        <v>182000</v>
      </c>
      <c r="S240">
        <v>78000</v>
      </c>
      <c r="T240">
        <v>122</v>
      </c>
      <c r="U240">
        <f t="shared" si="3"/>
        <v>0</v>
      </c>
    </row>
    <row r="241" spans="1:21" x14ac:dyDescent="0.3">
      <c r="A241">
        <v>828</v>
      </c>
      <c r="B241">
        <v>569</v>
      </c>
      <c r="C241">
        <v>201</v>
      </c>
      <c r="D241">
        <v>2</v>
      </c>
      <c r="E241">
        <v>180000</v>
      </c>
      <c r="F241">
        <v>105000</v>
      </c>
      <c r="G241">
        <v>0</v>
      </c>
      <c r="H241">
        <v>0</v>
      </c>
      <c r="I241">
        <v>0</v>
      </c>
      <c r="J241">
        <v>15000</v>
      </c>
      <c r="K241">
        <v>30000</v>
      </c>
      <c r="L241">
        <v>53000</v>
      </c>
      <c r="M241">
        <v>0</v>
      </c>
      <c r="N241">
        <v>0</v>
      </c>
      <c r="O241">
        <v>4000</v>
      </c>
      <c r="P241">
        <v>51000</v>
      </c>
      <c r="Q241" t="s">
        <v>79</v>
      </c>
      <c r="R241">
        <v>207000</v>
      </c>
      <c r="S241">
        <v>51000</v>
      </c>
      <c r="T241">
        <v>122</v>
      </c>
      <c r="U241">
        <f t="shared" si="3"/>
        <v>4000</v>
      </c>
    </row>
    <row r="242" spans="1:21" x14ac:dyDescent="0.3">
      <c r="A242">
        <v>852</v>
      </c>
      <c r="B242">
        <v>569</v>
      </c>
      <c r="C242">
        <v>204</v>
      </c>
      <c r="D242">
        <v>3</v>
      </c>
      <c r="E242">
        <v>180000</v>
      </c>
      <c r="F242">
        <v>105000</v>
      </c>
      <c r="G242">
        <v>0</v>
      </c>
      <c r="H242">
        <v>0</v>
      </c>
      <c r="I242">
        <v>0</v>
      </c>
      <c r="J242">
        <v>15000</v>
      </c>
      <c r="K242">
        <v>30000</v>
      </c>
      <c r="L242">
        <v>48000</v>
      </c>
      <c r="M242">
        <v>0</v>
      </c>
      <c r="N242">
        <v>0</v>
      </c>
      <c r="O242">
        <v>4000</v>
      </c>
      <c r="P242">
        <v>29000</v>
      </c>
      <c r="Q242" t="s">
        <v>79</v>
      </c>
      <c r="R242">
        <v>202000</v>
      </c>
      <c r="S242">
        <v>29000</v>
      </c>
      <c r="T242">
        <v>122</v>
      </c>
      <c r="U242">
        <f t="shared" si="3"/>
        <v>4000</v>
      </c>
    </row>
    <row r="243" spans="1:21" x14ac:dyDescent="0.3">
      <c r="A243">
        <v>757</v>
      </c>
      <c r="B243">
        <v>570</v>
      </c>
      <c r="C243">
        <v>194</v>
      </c>
      <c r="D243">
        <v>0</v>
      </c>
      <c r="E243">
        <v>100000</v>
      </c>
      <c r="F243">
        <v>50000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30000</v>
      </c>
      <c r="Q243" t="s">
        <v>80</v>
      </c>
      <c r="R243">
        <v>50000</v>
      </c>
      <c r="S243">
        <v>30000</v>
      </c>
      <c r="T243">
        <v>120</v>
      </c>
      <c r="U243">
        <f t="shared" si="3"/>
        <v>0</v>
      </c>
    </row>
    <row r="244" spans="1:21" x14ac:dyDescent="0.3">
      <c r="A244">
        <v>787</v>
      </c>
      <c r="B244">
        <v>570</v>
      </c>
      <c r="C244">
        <v>196</v>
      </c>
      <c r="D244">
        <v>1</v>
      </c>
      <c r="E244">
        <v>100000</v>
      </c>
      <c r="F244">
        <v>50000</v>
      </c>
      <c r="G244">
        <v>0</v>
      </c>
      <c r="H244">
        <v>0</v>
      </c>
      <c r="I244">
        <v>30000</v>
      </c>
      <c r="J244">
        <v>15000</v>
      </c>
      <c r="K244">
        <v>17000</v>
      </c>
      <c r="L244">
        <v>18000</v>
      </c>
      <c r="M244">
        <v>0</v>
      </c>
      <c r="N244">
        <v>0</v>
      </c>
      <c r="O244">
        <v>0</v>
      </c>
      <c r="P244">
        <v>0</v>
      </c>
      <c r="Q244" t="s">
        <v>80</v>
      </c>
      <c r="R244">
        <v>130000</v>
      </c>
      <c r="S244">
        <v>0</v>
      </c>
      <c r="T244">
        <v>120</v>
      </c>
      <c r="U244">
        <f t="shared" si="3"/>
        <v>0</v>
      </c>
    </row>
    <row r="245" spans="1:21" x14ac:dyDescent="0.3">
      <c r="A245">
        <v>830</v>
      </c>
      <c r="B245">
        <v>570</v>
      </c>
      <c r="C245">
        <v>201</v>
      </c>
      <c r="D245">
        <v>2</v>
      </c>
      <c r="E245">
        <v>100000</v>
      </c>
      <c r="F245">
        <v>50000</v>
      </c>
      <c r="G245">
        <v>0</v>
      </c>
      <c r="H245">
        <v>0</v>
      </c>
      <c r="I245">
        <v>0</v>
      </c>
      <c r="J245">
        <v>15000</v>
      </c>
      <c r="K245">
        <v>17000</v>
      </c>
      <c r="L245">
        <v>15000</v>
      </c>
      <c r="M245">
        <v>0</v>
      </c>
      <c r="N245">
        <v>0</v>
      </c>
      <c r="O245">
        <v>4000</v>
      </c>
      <c r="P245">
        <v>-1000</v>
      </c>
      <c r="Q245" t="s">
        <v>80</v>
      </c>
      <c r="R245">
        <v>101000</v>
      </c>
      <c r="S245">
        <v>-1000</v>
      </c>
      <c r="T245">
        <v>120</v>
      </c>
      <c r="U245">
        <f t="shared" si="3"/>
        <v>4000</v>
      </c>
    </row>
    <row r="246" spans="1:21" x14ac:dyDescent="0.3">
      <c r="A246">
        <v>855</v>
      </c>
      <c r="B246">
        <v>570</v>
      </c>
      <c r="C246">
        <v>204</v>
      </c>
      <c r="D246">
        <v>3</v>
      </c>
      <c r="E246">
        <v>100000</v>
      </c>
      <c r="F246">
        <v>50000</v>
      </c>
      <c r="G246">
        <v>1000</v>
      </c>
      <c r="H246">
        <v>0</v>
      </c>
      <c r="I246">
        <v>0</v>
      </c>
      <c r="J246">
        <v>15000</v>
      </c>
      <c r="K246">
        <v>17000</v>
      </c>
      <c r="L246">
        <v>10000</v>
      </c>
      <c r="M246">
        <v>0</v>
      </c>
      <c r="N246">
        <v>12000</v>
      </c>
      <c r="O246">
        <v>4000</v>
      </c>
      <c r="P246">
        <v>-9000</v>
      </c>
      <c r="Q246" t="s">
        <v>80</v>
      </c>
      <c r="R246">
        <v>108000</v>
      </c>
      <c r="S246">
        <v>-9000</v>
      </c>
      <c r="T246">
        <v>120</v>
      </c>
      <c r="U246">
        <f t="shared" si="3"/>
        <v>16000</v>
      </c>
    </row>
    <row r="247" spans="1:21" x14ac:dyDescent="0.3">
      <c r="A247">
        <v>750</v>
      </c>
      <c r="B247">
        <v>571</v>
      </c>
      <c r="C247">
        <v>194</v>
      </c>
      <c r="D247">
        <v>0</v>
      </c>
      <c r="E247">
        <v>100000</v>
      </c>
      <c r="F247">
        <v>50000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30000</v>
      </c>
      <c r="Q247" t="s">
        <v>81</v>
      </c>
      <c r="R247">
        <v>50000</v>
      </c>
      <c r="S247">
        <v>30000</v>
      </c>
      <c r="T247">
        <v>120</v>
      </c>
      <c r="U247">
        <f t="shared" si="3"/>
        <v>0</v>
      </c>
    </row>
    <row r="248" spans="1:21" x14ac:dyDescent="0.3">
      <c r="A248">
        <v>780</v>
      </c>
      <c r="B248">
        <v>571</v>
      </c>
      <c r="C248">
        <v>196</v>
      </c>
      <c r="D248">
        <v>1</v>
      </c>
      <c r="E248">
        <v>100000</v>
      </c>
      <c r="F248">
        <v>50000</v>
      </c>
      <c r="G248">
        <v>0</v>
      </c>
      <c r="H248">
        <v>0</v>
      </c>
      <c r="I248">
        <v>0</v>
      </c>
      <c r="J248">
        <v>15000</v>
      </c>
      <c r="K248">
        <v>12500</v>
      </c>
      <c r="L248">
        <v>36500</v>
      </c>
      <c r="M248">
        <v>0</v>
      </c>
      <c r="N248">
        <v>0</v>
      </c>
      <c r="O248">
        <v>0</v>
      </c>
      <c r="P248">
        <v>16000</v>
      </c>
      <c r="Q248" t="s">
        <v>81</v>
      </c>
      <c r="R248">
        <v>114000</v>
      </c>
      <c r="S248">
        <v>16000</v>
      </c>
      <c r="T248">
        <v>120</v>
      </c>
      <c r="U248">
        <f t="shared" si="3"/>
        <v>0</v>
      </c>
    </row>
    <row r="249" spans="1:21" x14ac:dyDescent="0.3">
      <c r="A249">
        <v>826</v>
      </c>
      <c r="B249">
        <v>571</v>
      </c>
      <c r="C249">
        <v>201</v>
      </c>
      <c r="D249">
        <v>2</v>
      </c>
      <c r="E249">
        <v>100000</v>
      </c>
      <c r="F249">
        <v>50000</v>
      </c>
      <c r="G249">
        <v>0</v>
      </c>
      <c r="H249">
        <v>0</v>
      </c>
      <c r="I249">
        <v>0</v>
      </c>
      <c r="J249">
        <v>15000</v>
      </c>
      <c r="K249">
        <v>12500</v>
      </c>
      <c r="L249">
        <v>20000</v>
      </c>
      <c r="M249">
        <v>0</v>
      </c>
      <c r="N249">
        <v>0</v>
      </c>
      <c r="O249">
        <v>4000</v>
      </c>
      <c r="P249">
        <v>14500</v>
      </c>
      <c r="Q249" t="s">
        <v>81</v>
      </c>
      <c r="R249">
        <v>101500</v>
      </c>
      <c r="S249">
        <v>14500</v>
      </c>
      <c r="T249">
        <v>120</v>
      </c>
      <c r="U249">
        <f t="shared" si="3"/>
        <v>4000</v>
      </c>
    </row>
    <row r="250" spans="1:21" x14ac:dyDescent="0.3">
      <c r="A250">
        <v>857</v>
      </c>
      <c r="B250">
        <v>571</v>
      </c>
      <c r="C250">
        <v>204</v>
      </c>
      <c r="D250">
        <v>3</v>
      </c>
      <c r="E250">
        <v>100000</v>
      </c>
      <c r="F250">
        <v>50000</v>
      </c>
      <c r="G250">
        <v>0</v>
      </c>
      <c r="H250">
        <v>0</v>
      </c>
      <c r="I250">
        <v>0</v>
      </c>
      <c r="J250">
        <v>15000</v>
      </c>
      <c r="K250">
        <v>12500</v>
      </c>
      <c r="L250">
        <v>23000</v>
      </c>
      <c r="M250">
        <v>0</v>
      </c>
      <c r="N250">
        <v>8000</v>
      </c>
      <c r="O250">
        <v>4000</v>
      </c>
      <c r="P250">
        <v>2000</v>
      </c>
      <c r="Q250" t="s">
        <v>81</v>
      </c>
      <c r="R250">
        <v>112500</v>
      </c>
      <c r="S250">
        <v>2000</v>
      </c>
      <c r="T250">
        <v>120</v>
      </c>
      <c r="U250">
        <f t="shared" si="3"/>
        <v>12000</v>
      </c>
    </row>
    <row r="251" spans="1:21" x14ac:dyDescent="0.3">
      <c r="A251">
        <v>809</v>
      </c>
      <c r="B251">
        <v>572</v>
      </c>
      <c r="C251">
        <v>191</v>
      </c>
      <c r="D251">
        <v>0</v>
      </c>
      <c r="E251">
        <v>65000</v>
      </c>
      <c r="F251">
        <v>30000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5000</v>
      </c>
      <c r="Q251" t="s">
        <v>82</v>
      </c>
      <c r="R251">
        <v>30000</v>
      </c>
      <c r="S251">
        <v>5000</v>
      </c>
      <c r="T251">
        <v>118</v>
      </c>
      <c r="U251">
        <f t="shared" si="3"/>
        <v>0</v>
      </c>
    </row>
    <row r="252" spans="1:21" x14ac:dyDescent="0.3">
      <c r="A252">
        <v>813</v>
      </c>
      <c r="B252">
        <v>572</v>
      </c>
      <c r="C252">
        <v>199</v>
      </c>
      <c r="D252">
        <v>1</v>
      </c>
      <c r="E252">
        <v>65000</v>
      </c>
      <c r="F252">
        <v>30000</v>
      </c>
      <c r="G252">
        <v>0</v>
      </c>
      <c r="H252">
        <v>0</v>
      </c>
      <c r="I252">
        <v>15000</v>
      </c>
      <c r="J252">
        <v>20000</v>
      </c>
      <c r="K252">
        <v>11000</v>
      </c>
      <c r="L252">
        <v>0</v>
      </c>
      <c r="M252">
        <v>0</v>
      </c>
      <c r="N252">
        <v>0</v>
      </c>
      <c r="O252">
        <v>0</v>
      </c>
      <c r="P252">
        <v>-6000</v>
      </c>
      <c r="Q252" t="s">
        <v>82</v>
      </c>
      <c r="R252">
        <v>76000</v>
      </c>
      <c r="S252">
        <v>-6000</v>
      </c>
      <c r="T252">
        <v>118</v>
      </c>
      <c r="U252">
        <f t="shared" si="3"/>
        <v>0</v>
      </c>
    </row>
    <row r="253" spans="1:21" x14ac:dyDescent="0.3">
      <c r="A253">
        <v>862</v>
      </c>
      <c r="B253">
        <v>572</v>
      </c>
      <c r="C253">
        <v>205</v>
      </c>
      <c r="D253">
        <v>2</v>
      </c>
      <c r="E253">
        <v>65000</v>
      </c>
      <c r="F253">
        <v>30000</v>
      </c>
      <c r="G253">
        <v>6000</v>
      </c>
      <c r="H253">
        <v>0</v>
      </c>
      <c r="I253">
        <v>0</v>
      </c>
      <c r="J253">
        <v>20000</v>
      </c>
      <c r="K253">
        <v>11000</v>
      </c>
      <c r="L253">
        <v>0</v>
      </c>
      <c r="M253">
        <v>0</v>
      </c>
      <c r="N253">
        <v>12000</v>
      </c>
      <c r="O253">
        <v>4000</v>
      </c>
      <c r="P253">
        <v>-18000</v>
      </c>
      <c r="Q253" t="s">
        <v>82</v>
      </c>
      <c r="R253">
        <v>77000</v>
      </c>
      <c r="S253">
        <v>-18000</v>
      </c>
      <c r="T253">
        <v>118</v>
      </c>
      <c r="U253">
        <f t="shared" si="3"/>
        <v>16000</v>
      </c>
    </row>
    <row r="254" spans="1:21" x14ac:dyDescent="0.3">
      <c r="A254">
        <v>892</v>
      </c>
      <c r="B254">
        <v>572</v>
      </c>
      <c r="C254">
        <v>209</v>
      </c>
      <c r="D254">
        <v>3</v>
      </c>
      <c r="E254">
        <v>65000</v>
      </c>
      <c r="F254">
        <v>30000</v>
      </c>
      <c r="G254">
        <v>18000</v>
      </c>
      <c r="H254">
        <v>0</v>
      </c>
      <c r="I254">
        <v>0</v>
      </c>
      <c r="J254">
        <v>20000</v>
      </c>
      <c r="K254">
        <v>11000</v>
      </c>
      <c r="L254">
        <v>0</v>
      </c>
      <c r="M254">
        <v>0</v>
      </c>
      <c r="N254">
        <v>0</v>
      </c>
      <c r="O254">
        <v>4000</v>
      </c>
      <c r="P254">
        <v>-18000</v>
      </c>
      <c r="Q254" t="s">
        <v>82</v>
      </c>
      <c r="R254">
        <v>65000</v>
      </c>
      <c r="S254">
        <v>-18000</v>
      </c>
      <c r="T254">
        <v>118</v>
      </c>
      <c r="U254">
        <f t="shared" si="3"/>
        <v>4000</v>
      </c>
    </row>
    <row r="255" spans="1:21" x14ac:dyDescent="0.3">
      <c r="A255">
        <v>803</v>
      </c>
      <c r="B255">
        <v>573</v>
      </c>
      <c r="C255">
        <v>191</v>
      </c>
      <c r="D255">
        <v>0</v>
      </c>
      <c r="E255">
        <v>100000</v>
      </c>
      <c r="F255">
        <v>50000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30000</v>
      </c>
      <c r="Q255" t="s">
        <v>83</v>
      </c>
      <c r="R255">
        <v>50000</v>
      </c>
      <c r="S255">
        <v>30000</v>
      </c>
      <c r="T255">
        <v>120</v>
      </c>
      <c r="U255">
        <f t="shared" si="3"/>
        <v>0</v>
      </c>
    </row>
    <row r="256" spans="1:21" x14ac:dyDescent="0.3">
      <c r="A256">
        <v>814</v>
      </c>
      <c r="B256">
        <v>573</v>
      </c>
      <c r="C256">
        <v>199</v>
      </c>
      <c r="D256">
        <v>1</v>
      </c>
      <c r="E256">
        <v>100000</v>
      </c>
      <c r="F256">
        <v>50000</v>
      </c>
      <c r="G256">
        <v>0</v>
      </c>
      <c r="H256">
        <v>0</v>
      </c>
      <c r="I256">
        <v>0</v>
      </c>
      <c r="J256">
        <v>15000</v>
      </c>
      <c r="K256">
        <v>16000</v>
      </c>
      <c r="L256">
        <v>12000</v>
      </c>
      <c r="M256">
        <v>0</v>
      </c>
      <c r="N256">
        <v>0</v>
      </c>
      <c r="O256">
        <v>0</v>
      </c>
      <c r="P256">
        <v>37000</v>
      </c>
      <c r="Q256" t="s">
        <v>83</v>
      </c>
      <c r="R256">
        <v>93000</v>
      </c>
      <c r="S256">
        <v>37000</v>
      </c>
      <c r="T256">
        <v>120</v>
      </c>
      <c r="U256">
        <f t="shared" si="3"/>
        <v>0</v>
      </c>
    </row>
    <row r="257" spans="1:21" x14ac:dyDescent="0.3">
      <c r="A257">
        <v>867</v>
      </c>
      <c r="B257">
        <v>573</v>
      </c>
      <c r="C257">
        <v>205</v>
      </c>
      <c r="D257">
        <v>2</v>
      </c>
      <c r="E257">
        <v>100000</v>
      </c>
      <c r="F257">
        <v>50000</v>
      </c>
      <c r="G257">
        <v>0</v>
      </c>
      <c r="H257">
        <v>0</v>
      </c>
      <c r="I257">
        <v>0</v>
      </c>
      <c r="J257">
        <v>15000</v>
      </c>
      <c r="K257">
        <v>16000</v>
      </c>
      <c r="L257">
        <v>12000</v>
      </c>
      <c r="M257">
        <v>0</v>
      </c>
      <c r="N257">
        <v>0</v>
      </c>
      <c r="O257">
        <v>4000</v>
      </c>
      <c r="P257">
        <v>40000</v>
      </c>
      <c r="Q257" t="s">
        <v>83</v>
      </c>
      <c r="R257">
        <v>97000</v>
      </c>
      <c r="S257">
        <v>40000</v>
      </c>
      <c r="T257">
        <v>120</v>
      </c>
      <c r="U257">
        <f t="shared" si="3"/>
        <v>4000</v>
      </c>
    </row>
    <row r="258" spans="1:21" x14ac:dyDescent="0.3">
      <c r="A258">
        <v>890</v>
      </c>
      <c r="B258">
        <v>573</v>
      </c>
      <c r="C258">
        <v>209</v>
      </c>
      <c r="D258">
        <v>3</v>
      </c>
      <c r="E258">
        <v>100000</v>
      </c>
      <c r="F258">
        <v>50000</v>
      </c>
      <c r="G258">
        <v>0</v>
      </c>
      <c r="H258">
        <v>0</v>
      </c>
      <c r="I258">
        <v>0</v>
      </c>
      <c r="J258">
        <v>15000</v>
      </c>
      <c r="K258">
        <v>16000</v>
      </c>
      <c r="L258">
        <v>54000</v>
      </c>
      <c r="M258">
        <v>0</v>
      </c>
      <c r="N258">
        <v>0</v>
      </c>
      <c r="O258">
        <v>4000</v>
      </c>
      <c r="P258">
        <v>1000</v>
      </c>
      <c r="Q258" t="s">
        <v>83</v>
      </c>
      <c r="R258">
        <v>139000</v>
      </c>
      <c r="S258">
        <v>1000</v>
      </c>
      <c r="T258">
        <v>120</v>
      </c>
      <c r="U258">
        <f t="shared" si="3"/>
        <v>4000</v>
      </c>
    </row>
    <row r="259" spans="1:21" x14ac:dyDescent="0.3">
      <c r="A259">
        <v>805</v>
      </c>
      <c r="B259">
        <v>574</v>
      </c>
      <c r="C259">
        <v>191</v>
      </c>
      <c r="D259">
        <v>0</v>
      </c>
      <c r="E259">
        <v>50000</v>
      </c>
      <c r="F259">
        <v>20000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84</v>
      </c>
      <c r="R259">
        <v>20000</v>
      </c>
      <c r="S259">
        <v>0</v>
      </c>
      <c r="T259">
        <v>117</v>
      </c>
      <c r="U259">
        <f t="shared" ref="U259:U314" si="4">N259+O259</f>
        <v>0</v>
      </c>
    </row>
    <row r="260" spans="1:21" x14ac:dyDescent="0.3">
      <c r="A260">
        <v>816</v>
      </c>
      <c r="B260">
        <v>574</v>
      </c>
      <c r="C260">
        <v>199</v>
      </c>
      <c r="D260">
        <v>1</v>
      </c>
      <c r="E260">
        <v>50000</v>
      </c>
      <c r="F260">
        <v>20000</v>
      </c>
      <c r="G260">
        <v>0</v>
      </c>
      <c r="H260">
        <v>0</v>
      </c>
      <c r="I260">
        <v>20000</v>
      </c>
      <c r="J260">
        <v>15000</v>
      </c>
      <c r="K260">
        <v>8000</v>
      </c>
      <c r="L260">
        <v>0</v>
      </c>
      <c r="M260">
        <v>0</v>
      </c>
      <c r="N260">
        <v>0</v>
      </c>
      <c r="O260">
        <v>0</v>
      </c>
      <c r="P260">
        <v>-13000</v>
      </c>
      <c r="Q260" t="s">
        <v>84</v>
      </c>
      <c r="R260">
        <v>63000</v>
      </c>
      <c r="S260">
        <v>-13000</v>
      </c>
      <c r="T260">
        <v>117</v>
      </c>
      <c r="U260">
        <f t="shared" si="4"/>
        <v>0</v>
      </c>
    </row>
    <row r="261" spans="1:21" x14ac:dyDescent="0.3">
      <c r="A261">
        <v>860</v>
      </c>
      <c r="B261">
        <v>574</v>
      </c>
      <c r="C261">
        <v>205</v>
      </c>
      <c r="D261">
        <v>2</v>
      </c>
      <c r="E261">
        <v>50000</v>
      </c>
      <c r="F261">
        <v>20000</v>
      </c>
      <c r="G261">
        <v>13000</v>
      </c>
      <c r="H261">
        <v>0</v>
      </c>
      <c r="I261">
        <v>0</v>
      </c>
      <c r="J261">
        <v>15000</v>
      </c>
      <c r="K261">
        <v>8000</v>
      </c>
      <c r="L261">
        <v>0</v>
      </c>
      <c r="M261">
        <v>0</v>
      </c>
      <c r="N261">
        <v>0</v>
      </c>
      <c r="O261">
        <v>4000</v>
      </c>
      <c r="P261">
        <v>-10000</v>
      </c>
      <c r="Q261" t="s">
        <v>84</v>
      </c>
      <c r="R261">
        <v>47000</v>
      </c>
      <c r="S261">
        <v>-10000</v>
      </c>
      <c r="T261">
        <v>117</v>
      </c>
      <c r="U261">
        <f t="shared" si="4"/>
        <v>4000</v>
      </c>
    </row>
    <row r="262" spans="1:21" x14ac:dyDescent="0.3">
      <c r="A262">
        <v>896</v>
      </c>
      <c r="B262">
        <v>574</v>
      </c>
      <c r="C262">
        <v>209</v>
      </c>
      <c r="D262">
        <v>3</v>
      </c>
      <c r="E262">
        <v>50000</v>
      </c>
      <c r="F262">
        <v>20000</v>
      </c>
      <c r="G262">
        <v>10000</v>
      </c>
      <c r="H262">
        <v>0</v>
      </c>
      <c r="I262">
        <v>0</v>
      </c>
      <c r="J262">
        <v>20000</v>
      </c>
      <c r="K262">
        <v>8000</v>
      </c>
      <c r="L262">
        <v>0</v>
      </c>
      <c r="M262">
        <v>0</v>
      </c>
      <c r="N262">
        <v>0</v>
      </c>
      <c r="O262">
        <v>4000</v>
      </c>
      <c r="P262">
        <v>-12000</v>
      </c>
      <c r="Q262" t="s">
        <v>84</v>
      </c>
      <c r="R262">
        <v>52000</v>
      </c>
      <c r="S262">
        <v>-12000</v>
      </c>
      <c r="T262">
        <v>117</v>
      </c>
      <c r="U262">
        <f t="shared" si="4"/>
        <v>4000</v>
      </c>
    </row>
    <row r="263" spans="1:21" x14ac:dyDescent="0.3">
      <c r="A263">
        <v>806</v>
      </c>
      <c r="B263">
        <v>575</v>
      </c>
      <c r="C263">
        <v>191</v>
      </c>
      <c r="D263">
        <v>0</v>
      </c>
      <c r="E263">
        <v>80000</v>
      </c>
      <c r="F263">
        <v>40000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15000</v>
      </c>
      <c r="Q263" t="s">
        <v>85</v>
      </c>
      <c r="R263">
        <v>40000</v>
      </c>
      <c r="S263">
        <v>15000</v>
      </c>
      <c r="T263">
        <v>119</v>
      </c>
      <c r="U263">
        <f t="shared" si="4"/>
        <v>0</v>
      </c>
    </row>
    <row r="264" spans="1:21" x14ac:dyDescent="0.3">
      <c r="A264">
        <v>818</v>
      </c>
      <c r="B264">
        <v>575</v>
      </c>
      <c r="C264">
        <v>199</v>
      </c>
      <c r="D264">
        <v>1</v>
      </c>
      <c r="E264">
        <v>80000</v>
      </c>
      <c r="F264">
        <v>40000</v>
      </c>
      <c r="G264">
        <v>0</v>
      </c>
      <c r="H264">
        <v>0</v>
      </c>
      <c r="I264">
        <v>0</v>
      </c>
      <c r="J264">
        <v>15000</v>
      </c>
      <c r="K264">
        <v>10500</v>
      </c>
      <c r="L264">
        <v>24000</v>
      </c>
      <c r="M264">
        <v>0</v>
      </c>
      <c r="N264">
        <v>0</v>
      </c>
      <c r="O264">
        <v>0</v>
      </c>
      <c r="P264">
        <v>5500</v>
      </c>
      <c r="Q264" t="s">
        <v>85</v>
      </c>
      <c r="R264">
        <v>89500</v>
      </c>
      <c r="S264">
        <v>5500</v>
      </c>
      <c r="T264">
        <v>119</v>
      </c>
      <c r="U264">
        <f t="shared" si="4"/>
        <v>0</v>
      </c>
    </row>
    <row r="265" spans="1:21" x14ac:dyDescent="0.3">
      <c r="A265">
        <v>866</v>
      </c>
      <c r="B265">
        <v>575</v>
      </c>
      <c r="C265">
        <v>205</v>
      </c>
      <c r="D265">
        <v>2</v>
      </c>
      <c r="E265">
        <v>80000</v>
      </c>
      <c r="F265">
        <v>40000</v>
      </c>
      <c r="G265">
        <v>0</v>
      </c>
      <c r="H265">
        <v>0</v>
      </c>
      <c r="I265">
        <v>0</v>
      </c>
      <c r="J265">
        <v>15000</v>
      </c>
      <c r="K265">
        <v>10500</v>
      </c>
      <c r="L265">
        <v>20000</v>
      </c>
      <c r="M265">
        <v>0</v>
      </c>
      <c r="N265">
        <v>0</v>
      </c>
      <c r="O265">
        <v>4000</v>
      </c>
      <c r="P265">
        <v>-4000</v>
      </c>
      <c r="Q265" t="s">
        <v>85</v>
      </c>
      <c r="R265">
        <v>89500</v>
      </c>
      <c r="S265">
        <v>-4000</v>
      </c>
      <c r="T265">
        <v>119</v>
      </c>
      <c r="U265">
        <f t="shared" si="4"/>
        <v>4000</v>
      </c>
    </row>
    <row r="266" spans="1:21" x14ac:dyDescent="0.3">
      <c r="A266">
        <v>897</v>
      </c>
      <c r="B266">
        <v>575</v>
      </c>
      <c r="C266">
        <v>209</v>
      </c>
      <c r="D266">
        <v>3</v>
      </c>
      <c r="E266">
        <v>80000</v>
      </c>
      <c r="F266">
        <v>40000</v>
      </c>
      <c r="G266">
        <v>4000</v>
      </c>
      <c r="H266">
        <v>0</v>
      </c>
      <c r="I266">
        <v>0</v>
      </c>
      <c r="J266">
        <v>15000</v>
      </c>
      <c r="K266">
        <v>10500</v>
      </c>
      <c r="L266">
        <v>8000</v>
      </c>
      <c r="M266">
        <v>0</v>
      </c>
      <c r="N266">
        <v>0</v>
      </c>
      <c r="O266">
        <v>4000</v>
      </c>
      <c r="P266">
        <v>-1500</v>
      </c>
      <c r="Q266" t="s">
        <v>85</v>
      </c>
      <c r="R266">
        <v>77500</v>
      </c>
      <c r="S266">
        <v>-1500</v>
      </c>
      <c r="T266">
        <v>119</v>
      </c>
      <c r="U266">
        <f t="shared" si="4"/>
        <v>4000</v>
      </c>
    </row>
    <row r="267" spans="1:21" x14ac:dyDescent="0.3">
      <c r="A267">
        <v>808</v>
      </c>
      <c r="B267">
        <v>576</v>
      </c>
      <c r="C267">
        <v>191</v>
      </c>
      <c r="D267">
        <v>0</v>
      </c>
      <c r="E267">
        <v>120000</v>
      </c>
      <c r="F267">
        <v>65000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50000</v>
      </c>
      <c r="Q267" t="s">
        <v>86</v>
      </c>
      <c r="R267">
        <v>65000</v>
      </c>
      <c r="S267">
        <v>50000</v>
      </c>
      <c r="T267">
        <v>121</v>
      </c>
      <c r="U267">
        <f t="shared" si="4"/>
        <v>0</v>
      </c>
    </row>
    <row r="268" spans="1:21" x14ac:dyDescent="0.3">
      <c r="A268">
        <v>815</v>
      </c>
      <c r="B268">
        <v>576</v>
      </c>
      <c r="C268">
        <v>199</v>
      </c>
      <c r="D268">
        <v>1</v>
      </c>
      <c r="E268">
        <v>120000</v>
      </c>
      <c r="F268">
        <v>65000</v>
      </c>
      <c r="G268">
        <v>0</v>
      </c>
      <c r="H268">
        <v>0</v>
      </c>
      <c r="I268">
        <v>55000</v>
      </c>
      <c r="J268">
        <v>15000</v>
      </c>
      <c r="K268">
        <v>20000</v>
      </c>
      <c r="L268">
        <v>12000</v>
      </c>
      <c r="M268">
        <v>0</v>
      </c>
      <c r="N268">
        <v>0</v>
      </c>
      <c r="O268">
        <v>0</v>
      </c>
      <c r="P268">
        <v>3000</v>
      </c>
      <c r="Q268" t="s">
        <v>86</v>
      </c>
      <c r="R268">
        <v>167000</v>
      </c>
      <c r="S268">
        <v>3000</v>
      </c>
      <c r="T268">
        <v>121</v>
      </c>
      <c r="U268">
        <f t="shared" si="4"/>
        <v>0</v>
      </c>
    </row>
    <row r="269" spans="1:21" x14ac:dyDescent="0.3">
      <c r="A269">
        <v>865</v>
      </c>
      <c r="B269">
        <v>576</v>
      </c>
      <c r="C269">
        <v>205</v>
      </c>
      <c r="D269">
        <v>2</v>
      </c>
      <c r="E269">
        <v>120000</v>
      </c>
      <c r="F269">
        <v>65000</v>
      </c>
      <c r="G269">
        <v>0</v>
      </c>
      <c r="H269">
        <v>0</v>
      </c>
      <c r="I269">
        <v>0</v>
      </c>
      <c r="J269">
        <v>15000</v>
      </c>
      <c r="K269">
        <v>20000</v>
      </c>
      <c r="L269">
        <v>20000</v>
      </c>
      <c r="M269">
        <v>0</v>
      </c>
      <c r="N269">
        <v>0</v>
      </c>
      <c r="O269">
        <v>4000</v>
      </c>
      <c r="P269">
        <v>-1000</v>
      </c>
      <c r="Q269" t="s">
        <v>86</v>
      </c>
      <c r="R269">
        <v>124000</v>
      </c>
      <c r="S269">
        <v>-1000</v>
      </c>
      <c r="T269">
        <v>121</v>
      </c>
      <c r="U269">
        <f t="shared" si="4"/>
        <v>4000</v>
      </c>
    </row>
    <row r="270" spans="1:21" x14ac:dyDescent="0.3">
      <c r="A270">
        <v>893</v>
      </c>
      <c r="B270">
        <v>576</v>
      </c>
      <c r="C270">
        <v>209</v>
      </c>
      <c r="D270">
        <v>3</v>
      </c>
      <c r="E270">
        <v>120000</v>
      </c>
      <c r="F270">
        <v>65000</v>
      </c>
      <c r="G270">
        <v>1000</v>
      </c>
      <c r="H270">
        <v>0</v>
      </c>
      <c r="I270">
        <v>0</v>
      </c>
      <c r="J270">
        <v>20000</v>
      </c>
      <c r="K270">
        <v>20000</v>
      </c>
      <c r="L270">
        <v>10000</v>
      </c>
      <c r="M270">
        <v>0</v>
      </c>
      <c r="N270">
        <v>0</v>
      </c>
      <c r="O270">
        <v>4000</v>
      </c>
      <c r="P270">
        <v>0</v>
      </c>
      <c r="Q270" t="s">
        <v>86</v>
      </c>
      <c r="R270">
        <v>119000</v>
      </c>
      <c r="S270">
        <v>0</v>
      </c>
      <c r="T270">
        <v>121</v>
      </c>
      <c r="U270">
        <f t="shared" si="4"/>
        <v>4000</v>
      </c>
    </row>
    <row r="271" spans="1:21" x14ac:dyDescent="0.3">
      <c r="A271">
        <v>807</v>
      </c>
      <c r="B271">
        <v>577</v>
      </c>
      <c r="C271">
        <v>191</v>
      </c>
      <c r="D271">
        <v>0</v>
      </c>
      <c r="E271">
        <v>180000</v>
      </c>
      <c r="F271">
        <v>105000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80000</v>
      </c>
      <c r="Q271" t="s">
        <v>87</v>
      </c>
      <c r="R271">
        <v>105000</v>
      </c>
      <c r="S271">
        <v>80000</v>
      </c>
      <c r="T271">
        <v>122</v>
      </c>
      <c r="U271">
        <f t="shared" si="4"/>
        <v>0</v>
      </c>
    </row>
    <row r="272" spans="1:21" x14ac:dyDescent="0.3">
      <c r="A272">
        <v>820</v>
      </c>
      <c r="B272">
        <v>577</v>
      </c>
      <c r="C272">
        <v>199</v>
      </c>
      <c r="D272">
        <v>1</v>
      </c>
      <c r="E272">
        <v>180000</v>
      </c>
      <c r="F272">
        <v>105000</v>
      </c>
      <c r="G272">
        <v>0</v>
      </c>
      <c r="H272">
        <v>0</v>
      </c>
      <c r="I272">
        <v>125000</v>
      </c>
      <c r="J272">
        <v>15000</v>
      </c>
      <c r="K272">
        <v>30000</v>
      </c>
      <c r="L272">
        <v>0</v>
      </c>
      <c r="M272">
        <v>0</v>
      </c>
      <c r="N272">
        <v>0</v>
      </c>
      <c r="O272">
        <v>0</v>
      </c>
      <c r="P272">
        <v>-15000</v>
      </c>
      <c r="Q272" t="s">
        <v>87</v>
      </c>
      <c r="R272">
        <v>275000</v>
      </c>
      <c r="S272">
        <v>-15000</v>
      </c>
      <c r="T272">
        <v>122</v>
      </c>
      <c r="U272">
        <f t="shared" si="4"/>
        <v>0</v>
      </c>
    </row>
    <row r="273" spans="1:21" x14ac:dyDescent="0.3">
      <c r="A273">
        <v>863</v>
      </c>
      <c r="B273">
        <v>577</v>
      </c>
      <c r="C273">
        <v>205</v>
      </c>
      <c r="D273">
        <v>2</v>
      </c>
      <c r="E273">
        <v>180000</v>
      </c>
      <c r="F273">
        <v>105000</v>
      </c>
      <c r="G273">
        <v>15000</v>
      </c>
      <c r="H273">
        <v>0</v>
      </c>
      <c r="I273">
        <v>0</v>
      </c>
      <c r="J273">
        <v>15000</v>
      </c>
      <c r="K273">
        <v>30000</v>
      </c>
      <c r="L273">
        <v>15000</v>
      </c>
      <c r="M273">
        <v>0</v>
      </c>
      <c r="N273">
        <v>0</v>
      </c>
      <c r="O273">
        <v>4000</v>
      </c>
      <c r="P273">
        <v>-4000</v>
      </c>
      <c r="Q273" t="s">
        <v>87</v>
      </c>
      <c r="R273">
        <v>169000</v>
      </c>
      <c r="S273">
        <v>-4000</v>
      </c>
      <c r="T273">
        <v>122</v>
      </c>
      <c r="U273">
        <f t="shared" si="4"/>
        <v>4000</v>
      </c>
    </row>
    <row r="274" spans="1:21" x14ac:dyDescent="0.3">
      <c r="A274">
        <v>894</v>
      </c>
      <c r="B274">
        <v>577</v>
      </c>
      <c r="C274">
        <v>209</v>
      </c>
      <c r="D274">
        <v>3</v>
      </c>
      <c r="E274">
        <v>180000</v>
      </c>
      <c r="F274">
        <v>105000</v>
      </c>
      <c r="G274">
        <v>4000</v>
      </c>
      <c r="H274">
        <v>0</v>
      </c>
      <c r="I274">
        <v>0</v>
      </c>
      <c r="J274">
        <v>20000</v>
      </c>
      <c r="K274">
        <v>30000</v>
      </c>
      <c r="L274">
        <v>20000</v>
      </c>
      <c r="M274">
        <v>0</v>
      </c>
      <c r="N274">
        <v>0</v>
      </c>
      <c r="O274">
        <v>4000</v>
      </c>
      <c r="P274">
        <v>-3000</v>
      </c>
      <c r="Q274" t="s">
        <v>87</v>
      </c>
      <c r="R274">
        <v>179000</v>
      </c>
      <c r="S274">
        <v>-3000</v>
      </c>
      <c r="T274">
        <v>122</v>
      </c>
      <c r="U274">
        <f t="shared" si="4"/>
        <v>4000</v>
      </c>
    </row>
    <row r="275" spans="1:21" x14ac:dyDescent="0.3">
      <c r="A275">
        <v>812</v>
      </c>
      <c r="B275">
        <v>578</v>
      </c>
      <c r="C275">
        <v>191</v>
      </c>
      <c r="D275">
        <v>0</v>
      </c>
      <c r="E275">
        <v>100000</v>
      </c>
      <c r="F275">
        <v>50000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30000</v>
      </c>
      <c r="Q275" t="s">
        <v>88</v>
      </c>
      <c r="R275">
        <v>50000</v>
      </c>
      <c r="S275">
        <v>30000</v>
      </c>
      <c r="T275">
        <v>120</v>
      </c>
      <c r="U275">
        <f t="shared" si="4"/>
        <v>0</v>
      </c>
    </row>
    <row r="276" spans="1:21" x14ac:dyDescent="0.3">
      <c r="A276">
        <v>817</v>
      </c>
      <c r="B276">
        <v>578</v>
      </c>
      <c r="C276">
        <v>199</v>
      </c>
      <c r="D276">
        <v>1</v>
      </c>
      <c r="E276">
        <v>100000</v>
      </c>
      <c r="F276">
        <v>50000</v>
      </c>
      <c r="G276">
        <v>0</v>
      </c>
      <c r="H276">
        <v>0</v>
      </c>
      <c r="I276">
        <v>40000</v>
      </c>
      <c r="J276">
        <v>20000</v>
      </c>
      <c r="K276">
        <v>17000</v>
      </c>
      <c r="L276">
        <v>3000</v>
      </c>
      <c r="M276">
        <v>0</v>
      </c>
      <c r="N276">
        <v>0</v>
      </c>
      <c r="O276">
        <v>0</v>
      </c>
      <c r="P276">
        <v>0</v>
      </c>
      <c r="Q276" t="s">
        <v>88</v>
      </c>
      <c r="R276">
        <v>130000</v>
      </c>
      <c r="S276">
        <v>0</v>
      </c>
      <c r="T276">
        <v>120</v>
      </c>
      <c r="U276">
        <f t="shared" si="4"/>
        <v>0</v>
      </c>
    </row>
    <row r="277" spans="1:21" x14ac:dyDescent="0.3">
      <c r="A277">
        <v>864</v>
      </c>
      <c r="B277">
        <v>578</v>
      </c>
      <c r="C277">
        <v>205</v>
      </c>
      <c r="D277">
        <v>2</v>
      </c>
      <c r="E277">
        <v>100000</v>
      </c>
      <c r="F277">
        <v>50000</v>
      </c>
      <c r="G277">
        <v>0</v>
      </c>
      <c r="H277">
        <v>0</v>
      </c>
      <c r="I277">
        <v>0</v>
      </c>
      <c r="J277">
        <v>20000</v>
      </c>
      <c r="K277">
        <v>17000</v>
      </c>
      <c r="L277">
        <v>12000</v>
      </c>
      <c r="M277">
        <v>0</v>
      </c>
      <c r="N277">
        <v>8000</v>
      </c>
      <c r="O277">
        <v>4000</v>
      </c>
      <c r="P277">
        <v>-11000</v>
      </c>
      <c r="Q277" t="s">
        <v>88</v>
      </c>
      <c r="R277">
        <v>111000</v>
      </c>
      <c r="S277">
        <v>-11000</v>
      </c>
      <c r="T277">
        <v>120</v>
      </c>
      <c r="U277">
        <f t="shared" si="4"/>
        <v>12000</v>
      </c>
    </row>
    <row r="278" spans="1:21" x14ac:dyDescent="0.3">
      <c r="A278">
        <v>895</v>
      </c>
      <c r="B278">
        <v>578</v>
      </c>
      <c r="C278">
        <v>209</v>
      </c>
      <c r="D278">
        <v>3</v>
      </c>
      <c r="E278">
        <v>100000</v>
      </c>
      <c r="F278">
        <v>50000</v>
      </c>
      <c r="G278">
        <v>11000</v>
      </c>
      <c r="H278">
        <v>0</v>
      </c>
      <c r="I278">
        <v>0</v>
      </c>
      <c r="J278">
        <v>20000</v>
      </c>
      <c r="K278">
        <v>17000</v>
      </c>
      <c r="L278">
        <v>0</v>
      </c>
      <c r="M278">
        <v>0</v>
      </c>
      <c r="N278">
        <v>0</v>
      </c>
      <c r="O278">
        <v>4000</v>
      </c>
      <c r="P278">
        <v>-2000</v>
      </c>
      <c r="Q278" t="s">
        <v>88</v>
      </c>
      <c r="R278">
        <v>91000</v>
      </c>
      <c r="S278">
        <v>-2000</v>
      </c>
      <c r="T278">
        <v>120</v>
      </c>
      <c r="U278">
        <f t="shared" si="4"/>
        <v>4000</v>
      </c>
    </row>
    <row r="279" spans="1:21" x14ac:dyDescent="0.3">
      <c r="A279">
        <v>811</v>
      </c>
      <c r="B279">
        <v>579</v>
      </c>
      <c r="C279">
        <v>191</v>
      </c>
      <c r="D279">
        <v>0</v>
      </c>
      <c r="E279">
        <v>100000</v>
      </c>
      <c r="F279">
        <v>50000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30000</v>
      </c>
      <c r="Q279" t="s">
        <v>89</v>
      </c>
      <c r="R279">
        <v>50000</v>
      </c>
      <c r="S279">
        <v>30000</v>
      </c>
      <c r="T279">
        <v>120</v>
      </c>
      <c r="U279">
        <f t="shared" si="4"/>
        <v>0</v>
      </c>
    </row>
    <row r="280" spans="1:21" x14ac:dyDescent="0.3">
      <c r="A280">
        <v>819</v>
      </c>
      <c r="B280">
        <v>579</v>
      </c>
      <c r="C280">
        <v>199</v>
      </c>
      <c r="D280">
        <v>1</v>
      </c>
      <c r="E280">
        <v>100000</v>
      </c>
      <c r="F280">
        <v>50000</v>
      </c>
      <c r="G280">
        <v>0</v>
      </c>
      <c r="H280">
        <v>0</v>
      </c>
      <c r="I280">
        <v>0</v>
      </c>
      <c r="J280">
        <v>15000</v>
      </c>
      <c r="K280">
        <v>16000</v>
      </c>
      <c r="L280">
        <v>46000</v>
      </c>
      <c r="M280">
        <v>0</v>
      </c>
      <c r="N280">
        <v>0</v>
      </c>
      <c r="O280">
        <v>0</v>
      </c>
      <c r="P280">
        <v>3000</v>
      </c>
      <c r="Q280" t="s">
        <v>89</v>
      </c>
      <c r="R280">
        <v>127000</v>
      </c>
      <c r="S280">
        <v>3000</v>
      </c>
      <c r="T280">
        <v>120</v>
      </c>
      <c r="U280">
        <f t="shared" si="4"/>
        <v>0</v>
      </c>
    </row>
    <row r="281" spans="1:21" x14ac:dyDescent="0.3">
      <c r="A281">
        <v>861</v>
      </c>
      <c r="B281">
        <v>579</v>
      </c>
      <c r="C281">
        <v>205</v>
      </c>
      <c r="D281">
        <v>2</v>
      </c>
      <c r="E281">
        <v>100000</v>
      </c>
      <c r="F281">
        <v>50000</v>
      </c>
      <c r="G281">
        <v>0</v>
      </c>
      <c r="H281">
        <v>0</v>
      </c>
      <c r="I281">
        <v>0</v>
      </c>
      <c r="J281">
        <v>15000</v>
      </c>
      <c r="K281">
        <v>16000</v>
      </c>
      <c r="L281">
        <v>20000</v>
      </c>
      <c r="M281">
        <v>0</v>
      </c>
      <c r="N281">
        <v>0</v>
      </c>
      <c r="O281">
        <v>4000</v>
      </c>
      <c r="P281">
        <v>-2000</v>
      </c>
      <c r="Q281" t="s">
        <v>89</v>
      </c>
      <c r="R281">
        <v>105000</v>
      </c>
      <c r="S281">
        <v>-2000</v>
      </c>
      <c r="T281">
        <v>120</v>
      </c>
      <c r="U281">
        <f t="shared" si="4"/>
        <v>4000</v>
      </c>
    </row>
    <row r="282" spans="1:21" x14ac:dyDescent="0.3">
      <c r="A282">
        <v>891</v>
      </c>
      <c r="B282">
        <v>579</v>
      </c>
      <c r="C282">
        <v>209</v>
      </c>
      <c r="D282">
        <v>3</v>
      </c>
      <c r="E282">
        <v>100000</v>
      </c>
      <c r="F282">
        <v>50000</v>
      </c>
      <c r="G282">
        <v>2000</v>
      </c>
      <c r="H282">
        <v>0</v>
      </c>
      <c r="I282">
        <v>0</v>
      </c>
      <c r="J282">
        <v>15000</v>
      </c>
      <c r="K282">
        <v>16000</v>
      </c>
      <c r="L282">
        <v>16000</v>
      </c>
      <c r="M282">
        <v>0</v>
      </c>
      <c r="N282">
        <v>0</v>
      </c>
      <c r="O282">
        <v>4000</v>
      </c>
      <c r="P282">
        <v>-3000</v>
      </c>
      <c r="Q282" t="s">
        <v>89</v>
      </c>
      <c r="R282">
        <v>101000</v>
      </c>
      <c r="S282">
        <v>-3000</v>
      </c>
      <c r="T282">
        <v>120</v>
      </c>
      <c r="U282">
        <f t="shared" si="4"/>
        <v>4000</v>
      </c>
    </row>
    <row r="283" spans="1:21" x14ac:dyDescent="0.3">
      <c r="A283">
        <v>742</v>
      </c>
      <c r="B283">
        <v>580</v>
      </c>
      <c r="C283">
        <v>192</v>
      </c>
      <c r="D283">
        <v>0</v>
      </c>
      <c r="E283">
        <v>65000</v>
      </c>
      <c r="F283">
        <v>30000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5000</v>
      </c>
      <c r="Q283" t="s">
        <v>90</v>
      </c>
      <c r="R283">
        <v>30000</v>
      </c>
      <c r="S283">
        <v>5000</v>
      </c>
      <c r="T283">
        <v>118</v>
      </c>
      <c r="U283">
        <f t="shared" si="4"/>
        <v>0</v>
      </c>
    </row>
    <row r="284" spans="1:21" x14ac:dyDescent="0.3">
      <c r="A284">
        <v>804</v>
      </c>
      <c r="B284">
        <v>580</v>
      </c>
      <c r="C284">
        <v>198</v>
      </c>
      <c r="D284">
        <v>1</v>
      </c>
      <c r="E284">
        <v>65000</v>
      </c>
      <c r="F284">
        <v>30000</v>
      </c>
      <c r="G284">
        <v>0</v>
      </c>
      <c r="H284">
        <v>0</v>
      </c>
      <c r="I284">
        <v>0</v>
      </c>
      <c r="J284">
        <v>15000</v>
      </c>
      <c r="K284">
        <v>8000</v>
      </c>
      <c r="L284">
        <v>14000</v>
      </c>
      <c r="M284">
        <v>0</v>
      </c>
      <c r="N284">
        <v>0</v>
      </c>
      <c r="O284">
        <v>4000</v>
      </c>
      <c r="P284">
        <v>-1000</v>
      </c>
      <c r="Q284" t="s">
        <v>90</v>
      </c>
      <c r="R284">
        <v>71000</v>
      </c>
      <c r="S284">
        <v>-1000</v>
      </c>
      <c r="T284">
        <v>118</v>
      </c>
      <c r="U284">
        <f t="shared" si="4"/>
        <v>4000</v>
      </c>
    </row>
    <row r="285" spans="1:21" x14ac:dyDescent="0.3">
      <c r="A285">
        <v>842</v>
      </c>
      <c r="B285">
        <v>580</v>
      </c>
      <c r="C285">
        <v>203</v>
      </c>
      <c r="D285">
        <v>2</v>
      </c>
      <c r="E285">
        <v>65000</v>
      </c>
      <c r="F285">
        <v>30000</v>
      </c>
      <c r="G285">
        <v>1000</v>
      </c>
      <c r="H285">
        <v>0</v>
      </c>
      <c r="I285">
        <v>0</v>
      </c>
      <c r="J285">
        <v>15000</v>
      </c>
      <c r="K285">
        <v>8000</v>
      </c>
      <c r="L285">
        <v>3000</v>
      </c>
      <c r="M285">
        <v>0</v>
      </c>
      <c r="N285">
        <v>0</v>
      </c>
      <c r="O285">
        <v>4000</v>
      </c>
      <c r="P285">
        <v>4000</v>
      </c>
      <c r="Q285" t="s">
        <v>90</v>
      </c>
      <c r="R285">
        <v>60000</v>
      </c>
      <c r="S285">
        <v>4000</v>
      </c>
      <c r="T285">
        <v>118</v>
      </c>
      <c r="U285">
        <f t="shared" si="4"/>
        <v>4000</v>
      </c>
    </row>
    <row r="286" spans="1:21" x14ac:dyDescent="0.3">
      <c r="A286">
        <v>887</v>
      </c>
      <c r="B286">
        <v>580</v>
      </c>
      <c r="C286">
        <v>208</v>
      </c>
      <c r="D286">
        <v>3</v>
      </c>
      <c r="E286">
        <v>65000</v>
      </c>
      <c r="F286">
        <v>30000</v>
      </c>
      <c r="G286">
        <v>0</v>
      </c>
      <c r="H286">
        <v>0</v>
      </c>
      <c r="I286">
        <v>0</v>
      </c>
      <c r="J286">
        <v>15000</v>
      </c>
      <c r="K286">
        <v>8000</v>
      </c>
      <c r="L286">
        <v>12000</v>
      </c>
      <c r="M286">
        <v>0</v>
      </c>
      <c r="N286">
        <v>4000</v>
      </c>
      <c r="O286">
        <v>4000</v>
      </c>
      <c r="P286">
        <v>-42000</v>
      </c>
      <c r="Q286" t="s">
        <v>90</v>
      </c>
      <c r="R286">
        <v>73000</v>
      </c>
      <c r="S286">
        <v>-4000</v>
      </c>
      <c r="T286">
        <v>118</v>
      </c>
      <c r="U286">
        <f t="shared" si="4"/>
        <v>8000</v>
      </c>
    </row>
    <row r="287" spans="1:21" x14ac:dyDescent="0.3">
      <c r="A287">
        <v>753</v>
      </c>
      <c r="B287">
        <v>581</v>
      </c>
      <c r="C287">
        <v>192</v>
      </c>
      <c r="D287">
        <v>0</v>
      </c>
      <c r="E287">
        <v>100000</v>
      </c>
      <c r="F287">
        <v>50000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30000</v>
      </c>
      <c r="Q287" t="s">
        <v>91</v>
      </c>
      <c r="R287">
        <v>50000</v>
      </c>
      <c r="S287">
        <v>30000</v>
      </c>
      <c r="T287">
        <v>120</v>
      </c>
      <c r="U287">
        <f t="shared" si="4"/>
        <v>0</v>
      </c>
    </row>
    <row r="288" spans="1:21" x14ac:dyDescent="0.3">
      <c r="A288">
        <v>798</v>
      </c>
      <c r="B288">
        <v>581</v>
      </c>
      <c r="C288">
        <v>198</v>
      </c>
      <c r="D288">
        <v>1</v>
      </c>
      <c r="E288">
        <v>100000</v>
      </c>
      <c r="F288">
        <v>50000</v>
      </c>
      <c r="G288">
        <v>0</v>
      </c>
      <c r="H288">
        <v>0</v>
      </c>
      <c r="I288">
        <v>0</v>
      </c>
      <c r="J288">
        <v>20000</v>
      </c>
      <c r="K288">
        <v>10000</v>
      </c>
      <c r="L288">
        <v>20000</v>
      </c>
      <c r="M288">
        <v>0</v>
      </c>
      <c r="N288">
        <v>0</v>
      </c>
      <c r="O288">
        <v>0</v>
      </c>
      <c r="P288">
        <v>30000</v>
      </c>
      <c r="Q288" t="s">
        <v>91</v>
      </c>
      <c r="R288">
        <v>100000</v>
      </c>
      <c r="S288">
        <v>30000</v>
      </c>
      <c r="T288">
        <v>120</v>
      </c>
      <c r="U288">
        <f t="shared" si="4"/>
        <v>0</v>
      </c>
    </row>
    <row r="289" spans="1:21" x14ac:dyDescent="0.3">
      <c r="A289">
        <v>844</v>
      </c>
      <c r="B289">
        <v>581</v>
      </c>
      <c r="C289">
        <v>203</v>
      </c>
      <c r="D289">
        <v>2</v>
      </c>
      <c r="E289">
        <v>100000</v>
      </c>
      <c r="F289">
        <v>50000</v>
      </c>
      <c r="G289">
        <v>0</v>
      </c>
      <c r="H289">
        <v>0</v>
      </c>
      <c r="I289">
        <v>0</v>
      </c>
      <c r="J289">
        <v>15000</v>
      </c>
      <c r="K289">
        <v>10000</v>
      </c>
      <c r="L289">
        <v>10000</v>
      </c>
      <c r="M289">
        <v>0</v>
      </c>
      <c r="N289">
        <v>0</v>
      </c>
      <c r="O289">
        <v>4000</v>
      </c>
      <c r="P289">
        <v>41000</v>
      </c>
      <c r="Q289" t="s">
        <v>91</v>
      </c>
      <c r="R289">
        <v>89000</v>
      </c>
      <c r="S289">
        <v>41000</v>
      </c>
      <c r="T289">
        <v>120</v>
      </c>
      <c r="U289">
        <f t="shared" si="4"/>
        <v>4000</v>
      </c>
    </row>
    <row r="290" spans="1:21" x14ac:dyDescent="0.3">
      <c r="A290">
        <v>888</v>
      </c>
      <c r="B290">
        <v>581</v>
      </c>
      <c r="C290">
        <v>208</v>
      </c>
      <c r="D290">
        <v>3</v>
      </c>
      <c r="E290">
        <v>100000</v>
      </c>
      <c r="F290">
        <v>50000</v>
      </c>
      <c r="G290">
        <v>0</v>
      </c>
      <c r="H290">
        <v>20000</v>
      </c>
      <c r="I290">
        <v>30000</v>
      </c>
      <c r="J290">
        <v>15000</v>
      </c>
      <c r="K290">
        <v>17000</v>
      </c>
      <c r="L290">
        <v>40000</v>
      </c>
      <c r="M290">
        <v>0</v>
      </c>
      <c r="N290">
        <v>8000</v>
      </c>
      <c r="O290">
        <v>4000</v>
      </c>
      <c r="P290">
        <v>-55000</v>
      </c>
      <c r="Q290" t="s">
        <v>91</v>
      </c>
      <c r="R290">
        <v>164000</v>
      </c>
      <c r="S290">
        <v>-3000</v>
      </c>
      <c r="T290">
        <v>120</v>
      </c>
      <c r="U290">
        <f t="shared" si="4"/>
        <v>12000</v>
      </c>
    </row>
    <row r="291" spans="1:21" x14ac:dyDescent="0.3">
      <c r="A291">
        <v>751</v>
      </c>
      <c r="B291">
        <v>582</v>
      </c>
      <c r="C291">
        <v>192</v>
      </c>
      <c r="D291">
        <v>0</v>
      </c>
      <c r="E291">
        <v>50000</v>
      </c>
      <c r="F291">
        <v>20000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92</v>
      </c>
      <c r="R291">
        <v>20000</v>
      </c>
      <c r="S291">
        <v>0</v>
      </c>
      <c r="T291">
        <v>117</v>
      </c>
      <c r="U291">
        <f t="shared" si="4"/>
        <v>0</v>
      </c>
    </row>
    <row r="292" spans="1:21" x14ac:dyDescent="0.3">
      <c r="A292">
        <v>796</v>
      </c>
      <c r="B292">
        <v>582</v>
      </c>
      <c r="C292">
        <v>198</v>
      </c>
      <c r="D292">
        <v>1</v>
      </c>
      <c r="E292">
        <v>50000</v>
      </c>
      <c r="F292">
        <v>20000</v>
      </c>
      <c r="G292">
        <v>0</v>
      </c>
      <c r="H292">
        <v>0</v>
      </c>
      <c r="I292">
        <v>0</v>
      </c>
      <c r="J292">
        <v>20000</v>
      </c>
      <c r="K292">
        <v>7000</v>
      </c>
      <c r="L292">
        <v>3000</v>
      </c>
      <c r="M292">
        <v>0</v>
      </c>
      <c r="N292">
        <v>8000</v>
      </c>
      <c r="O292">
        <v>4000</v>
      </c>
      <c r="P292">
        <v>-12000</v>
      </c>
      <c r="Q292" t="s">
        <v>92</v>
      </c>
      <c r="R292">
        <v>62000</v>
      </c>
      <c r="S292">
        <v>-12000</v>
      </c>
      <c r="T292">
        <v>117</v>
      </c>
      <c r="U292">
        <f t="shared" si="4"/>
        <v>12000</v>
      </c>
    </row>
    <row r="293" spans="1:21" x14ac:dyDescent="0.3">
      <c r="A293">
        <v>848</v>
      </c>
      <c r="B293">
        <v>582</v>
      </c>
      <c r="C293">
        <v>203</v>
      </c>
      <c r="D293">
        <v>2</v>
      </c>
      <c r="E293">
        <v>50000</v>
      </c>
      <c r="F293">
        <v>20000</v>
      </c>
      <c r="G293">
        <v>12000</v>
      </c>
      <c r="H293">
        <v>0</v>
      </c>
      <c r="I293">
        <v>0</v>
      </c>
      <c r="J293">
        <v>20000</v>
      </c>
      <c r="K293">
        <v>7000</v>
      </c>
      <c r="L293">
        <v>0</v>
      </c>
      <c r="M293">
        <v>0</v>
      </c>
      <c r="N293">
        <v>8000</v>
      </c>
      <c r="O293">
        <v>4000</v>
      </c>
      <c r="P293">
        <v>-21000</v>
      </c>
      <c r="Q293" t="s">
        <v>92</v>
      </c>
      <c r="R293">
        <v>59000</v>
      </c>
      <c r="S293">
        <v>-21000</v>
      </c>
      <c r="T293">
        <v>117</v>
      </c>
      <c r="U293">
        <f t="shared" si="4"/>
        <v>12000</v>
      </c>
    </row>
    <row r="294" spans="1:21" x14ac:dyDescent="0.3">
      <c r="A294">
        <v>884</v>
      </c>
      <c r="B294">
        <v>582</v>
      </c>
      <c r="C294">
        <v>208</v>
      </c>
      <c r="D294">
        <v>3</v>
      </c>
      <c r="E294">
        <v>50000</v>
      </c>
      <c r="F294">
        <v>20000</v>
      </c>
      <c r="G294">
        <v>21000</v>
      </c>
      <c r="H294">
        <v>0</v>
      </c>
      <c r="I294">
        <v>0</v>
      </c>
      <c r="J294">
        <v>15000</v>
      </c>
      <c r="K294">
        <v>7000</v>
      </c>
      <c r="L294">
        <v>0</v>
      </c>
      <c r="M294">
        <v>0</v>
      </c>
      <c r="N294">
        <v>16000</v>
      </c>
      <c r="O294">
        <v>4000</v>
      </c>
      <c r="P294">
        <v>-93000</v>
      </c>
      <c r="Q294" t="s">
        <v>92</v>
      </c>
      <c r="R294">
        <v>62000</v>
      </c>
      <c r="S294">
        <v>-33000</v>
      </c>
      <c r="T294">
        <v>117</v>
      </c>
      <c r="U294">
        <f t="shared" si="4"/>
        <v>20000</v>
      </c>
    </row>
    <row r="295" spans="1:21" x14ac:dyDescent="0.3">
      <c r="A295">
        <v>760</v>
      </c>
      <c r="B295">
        <v>583</v>
      </c>
      <c r="C295">
        <v>192</v>
      </c>
      <c r="D295">
        <v>0</v>
      </c>
      <c r="E295">
        <v>80000</v>
      </c>
      <c r="F295">
        <v>40000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15000</v>
      </c>
      <c r="Q295" t="s">
        <v>93</v>
      </c>
      <c r="R295">
        <v>40000</v>
      </c>
      <c r="S295">
        <v>15000</v>
      </c>
      <c r="T295">
        <v>119</v>
      </c>
      <c r="U295">
        <f t="shared" si="4"/>
        <v>0</v>
      </c>
    </row>
    <row r="296" spans="1:21" x14ac:dyDescent="0.3">
      <c r="A296">
        <v>794</v>
      </c>
      <c r="B296">
        <v>583</v>
      </c>
      <c r="C296">
        <v>198</v>
      </c>
      <c r="D296">
        <v>1</v>
      </c>
      <c r="E296">
        <v>80000</v>
      </c>
      <c r="F296">
        <v>40000</v>
      </c>
      <c r="G296">
        <v>0</v>
      </c>
      <c r="H296">
        <v>0</v>
      </c>
      <c r="I296">
        <v>30000</v>
      </c>
      <c r="J296">
        <v>15000</v>
      </c>
      <c r="K296">
        <v>13000</v>
      </c>
      <c r="L296">
        <v>0</v>
      </c>
      <c r="M296">
        <v>0</v>
      </c>
      <c r="N296">
        <v>0</v>
      </c>
      <c r="O296">
        <v>4000</v>
      </c>
      <c r="P296">
        <v>-7000</v>
      </c>
      <c r="Q296" t="s">
        <v>93</v>
      </c>
      <c r="R296">
        <v>102000</v>
      </c>
      <c r="S296">
        <v>-7000</v>
      </c>
      <c r="T296">
        <v>119</v>
      </c>
      <c r="U296">
        <f t="shared" si="4"/>
        <v>4000</v>
      </c>
    </row>
    <row r="297" spans="1:21" x14ac:dyDescent="0.3">
      <c r="A297">
        <v>843</v>
      </c>
      <c r="B297">
        <v>583</v>
      </c>
      <c r="C297">
        <v>203</v>
      </c>
      <c r="D297">
        <v>2</v>
      </c>
      <c r="E297">
        <v>80000</v>
      </c>
      <c r="F297">
        <v>40000</v>
      </c>
      <c r="G297">
        <v>7000</v>
      </c>
      <c r="H297">
        <v>0</v>
      </c>
      <c r="I297">
        <v>0</v>
      </c>
      <c r="J297">
        <v>15000</v>
      </c>
      <c r="K297">
        <v>13000</v>
      </c>
      <c r="L297">
        <v>3000</v>
      </c>
      <c r="M297">
        <v>0</v>
      </c>
      <c r="N297">
        <v>0</v>
      </c>
      <c r="O297">
        <v>4000</v>
      </c>
      <c r="P297">
        <v>-2000</v>
      </c>
      <c r="Q297" t="s">
        <v>93</v>
      </c>
      <c r="R297">
        <v>75000</v>
      </c>
      <c r="S297">
        <v>-2000</v>
      </c>
      <c r="T297">
        <v>119</v>
      </c>
      <c r="U297">
        <f t="shared" si="4"/>
        <v>4000</v>
      </c>
    </row>
    <row r="298" spans="1:21" x14ac:dyDescent="0.3">
      <c r="A298">
        <v>885</v>
      </c>
      <c r="B298">
        <v>583</v>
      </c>
      <c r="C298">
        <v>208</v>
      </c>
      <c r="D298">
        <v>3</v>
      </c>
      <c r="E298">
        <v>80000</v>
      </c>
      <c r="F298">
        <v>40000</v>
      </c>
      <c r="G298">
        <v>2000</v>
      </c>
      <c r="H298">
        <v>0</v>
      </c>
      <c r="I298">
        <v>0</v>
      </c>
      <c r="J298">
        <v>15000</v>
      </c>
      <c r="K298">
        <v>13000</v>
      </c>
      <c r="L298">
        <v>8000</v>
      </c>
      <c r="M298">
        <v>0</v>
      </c>
      <c r="N298">
        <v>4000</v>
      </c>
      <c r="O298">
        <v>4000</v>
      </c>
      <c r="P298">
        <v>-44000</v>
      </c>
      <c r="Q298" t="s">
        <v>93</v>
      </c>
      <c r="R298">
        <v>84000</v>
      </c>
      <c r="S298">
        <v>-6000</v>
      </c>
      <c r="T298">
        <v>119</v>
      </c>
      <c r="U298">
        <f t="shared" si="4"/>
        <v>8000</v>
      </c>
    </row>
    <row r="299" spans="1:21" x14ac:dyDescent="0.3">
      <c r="A299">
        <v>788</v>
      </c>
      <c r="B299">
        <v>584</v>
      </c>
      <c r="C299">
        <v>192</v>
      </c>
      <c r="D299">
        <v>0</v>
      </c>
      <c r="E299">
        <v>120000</v>
      </c>
      <c r="F299">
        <v>65000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50000</v>
      </c>
      <c r="Q299" t="s">
        <v>94</v>
      </c>
      <c r="R299">
        <v>65000</v>
      </c>
      <c r="S299">
        <v>50000</v>
      </c>
      <c r="T299">
        <v>121</v>
      </c>
      <c r="U299">
        <f t="shared" si="4"/>
        <v>0</v>
      </c>
    </row>
    <row r="300" spans="1:21" x14ac:dyDescent="0.3">
      <c r="A300">
        <v>793</v>
      </c>
      <c r="B300">
        <v>584</v>
      </c>
      <c r="C300">
        <v>198</v>
      </c>
      <c r="D300">
        <v>1</v>
      </c>
      <c r="E300">
        <v>120000</v>
      </c>
      <c r="F300">
        <v>65000</v>
      </c>
      <c r="G300">
        <v>0</v>
      </c>
      <c r="H300">
        <v>0</v>
      </c>
      <c r="I300">
        <v>51000</v>
      </c>
      <c r="J300">
        <v>20000</v>
      </c>
      <c r="K300">
        <v>20000</v>
      </c>
      <c r="L300">
        <v>10000</v>
      </c>
      <c r="M300">
        <v>0</v>
      </c>
      <c r="N300">
        <v>0</v>
      </c>
      <c r="O300">
        <v>4000</v>
      </c>
      <c r="P300">
        <v>0</v>
      </c>
      <c r="Q300" t="s">
        <v>94</v>
      </c>
      <c r="R300">
        <v>170000</v>
      </c>
      <c r="S300">
        <v>0</v>
      </c>
      <c r="T300">
        <v>121</v>
      </c>
      <c r="U300">
        <f t="shared" si="4"/>
        <v>4000</v>
      </c>
    </row>
    <row r="301" spans="1:21" x14ac:dyDescent="0.3">
      <c r="A301">
        <v>847</v>
      </c>
      <c r="B301">
        <v>584</v>
      </c>
      <c r="C301">
        <v>203</v>
      </c>
      <c r="D301">
        <v>2</v>
      </c>
      <c r="E301">
        <v>120000</v>
      </c>
      <c r="F301">
        <v>65000</v>
      </c>
      <c r="G301">
        <v>0</v>
      </c>
      <c r="H301">
        <v>0</v>
      </c>
      <c r="I301">
        <v>0</v>
      </c>
      <c r="J301">
        <v>15000</v>
      </c>
      <c r="K301">
        <v>20000</v>
      </c>
      <c r="L301">
        <v>20000</v>
      </c>
      <c r="M301">
        <v>0</v>
      </c>
      <c r="N301">
        <v>0</v>
      </c>
      <c r="O301">
        <v>4000</v>
      </c>
      <c r="P301">
        <v>-4000</v>
      </c>
      <c r="Q301" t="s">
        <v>94</v>
      </c>
      <c r="R301">
        <v>124000</v>
      </c>
      <c r="S301">
        <v>-4000</v>
      </c>
      <c r="T301">
        <v>121</v>
      </c>
      <c r="U301">
        <f t="shared" si="4"/>
        <v>4000</v>
      </c>
    </row>
    <row r="302" spans="1:21" x14ac:dyDescent="0.3">
      <c r="A302">
        <v>889</v>
      </c>
      <c r="B302">
        <v>584</v>
      </c>
      <c r="C302">
        <v>208</v>
      </c>
      <c r="D302">
        <v>3</v>
      </c>
      <c r="E302">
        <v>120000</v>
      </c>
      <c r="F302">
        <v>65000</v>
      </c>
      <c r="G302">
        <v>4000</v>
      </c>
      <c r="H302">
        <v>0</v>
      </c>
      <c r="I302">
        <v>0</v>
      </c>
      <c r="J302">
        <v>25000</v>
      </c>
      <c r="K302">
        <v>20000</v>
      </c>
      <c r="L302">
        <v>6000</v>
      </c>
      <c r="M302">
        <v>0</v>
      </c>
      <c r="N302">
        <v>4000</v>
      </c>
      <c r="O302">
        <v>4000</v>
      </c>
      <c r="P302">
        <v>-66000</v>
      </c>
      <c r="Q302" t="s">
        <v>94</v>
      </c>
      <c r="R302">
        <v>124000</v>
      </c>
      <c r="S302">
        <v>-8000</v>
      </c>
      <c r="T302">
        <v>121</v>
      </c>
      <c r="U302">
        <f t="shared" si="4"/>
        <v>8000</v>
      </c>
    </row>
    <row r="303" spans="1:21" x14ac:dyDescent="0.3">
      <c r="A303">
        <v>744</v>
      </c>
      <c r="B303">
        <v>585</v>
      </c>
      <c r="C303">
        <v>192</v>
      </c>
      <c r="D303">
        <v>0</v>
      </c>
      <c r="E303">
        <v>180000</v>
      </c>
      <c r="F303">
        <v>105000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80000</v>
      </c>
      <c r="Q303" t="s">
        <v>95</v>
      </c>
      <c r="R303">
        <v>105000</v>
      </c>
      <c r="S303">
        <v>80000</v>
      </c>
      <c r="T303">
        <v>122</v>
      </c>
      <c r="U303">
        <f t="shared" si="4"/>
        <v>0</v>
      </c>
    </row>
    <row r="304" spans="1:21" x14ac:dyDescent="0.3">
      <c r="A304">
        <v>797</v>
      </c>
      <c r="B304">
        <v>585</v>
      </c>
      <c r="C304">
        <v>198</v>
      </c>
      <c r="D304">
        <v>1</v>
      </c>
      <c r="E304">
        <v>180000</v>
      </c>
      <c r="F304">
        <v>105000</v>
      </c>
      <c r="G304">
        <v>0</v>
      </c>
      <c r="H304">
        <v>0</v>
      </c>
      <c r="I304">
        <v>0</v>
      </c>
      <c r="J304">
        <v>15000</v>
      </c>
      <c r="K304">
        <v>30000</v>
      </c>
      <c r="L304">
        <v>63000</v>
      </c>
      <c r="M304">
        <v>0</v>
      </c>
      <c r="N304">
        <v>0</v>
      </c>
      <c r="O304">
        <v>4000</v>
      </c>
      <c r="P304">
        <v>43000</v>
      </c>
      <c r="Q304" t="s">
        <v>95</v>
      </c>
      <c r="R304">
        <v>217000</v>
      </c>
      <c r="S304">
        <v>43000</v>
      </c>
      <c r="T304">
        <v>122</v>
      </c>
      <c r="U304">
        <f t="shared" si="4"/>
        <v>4000</v>
      </c>
    </row>
    <row r="305" spans="1:21" x14ac:dyDescent="0.3">
      <c r="A305">
        <v>845</v>
      </c>
      <c r="B305">
        <v>585</v>
      </c>
      <c r="C305">
        <v>203</v>
      </c>
      <c r="D305">
        <v>2</v>
      </c>
      <c r="E305">
        <v>180000</v>
      </c>
      <c r="F305">
        <v>105000</v>
      </c>
      <c r="G305">
        <v>0</v>
      </c>
      <c r="H305">
        <v>0</v>
      </c>
      <c r="I305">
        <v>0</v>
      </c>
      <c r="J305">
        <v>15000</v>
      </c>
      <c r="K305">
        <v>30000</v>
      </c>
      <c r="L305">
        <v>38000</v>
      </c>
      <c r="M305">
        <v>0</v>
      </c>
      <c r="N305">
        <v>0</v>
      </c>
      <c r="O305">
        <v>4000</v>
      </c>
      <c r="P305">
        <v>31000</v>
      </c>
      <c r="Q305" t="s">
        <v>95</v>
      </c>
      <c r="R305">
        <v>192000</v>
      </c>
      <c r="S305">
        <v>31000</v>
      </c>
      <c r="T305">
        <v>122</v>
      </c>
      <c r="U305">
        <f t="shared" si="4"/>
        <v>4000</v>
      </c>
    </row>
    <row r="306" spans="1:21" x14ac:dyDescent="0.3">
      <c r="A306">
        <v>883</v>
      </c>
      <c r="B306">
        <v>585</v>
      </c>
      <c r="C306">
        <v>208</v>
      </c>
      <c r="D306">
        <v>3</v>
      </c>
      <c r="E306">
        <v>180000</v>
      </c>
      <c r="F306">
        <v>105000</v>
      </c>
      <c r="G306">
        <v>0</v>
      </c>
      <c r="H306">
        <v>0</v>
      </c>
      <c r="I306">
        <v>0</v>
      </c>
      <c r="J306">
        <v>15000</v>
      </c>
      <c r="K306">
        <v>30000</v>
      </c>
      <c r="L306">
        <v>15000</v>
      </c>
      <c r="M306">
        <v>0</v>
      </c>
      <c r="N306">
        <v>4000</v>
      </c>
      <c r="O306">
        <v>4000</v>
      </c>
      <c r="P306">
        <v>0</v>
      </c>
      <c r="Q306" t="s">
        <v>95</v>
      </c>
      <c r="R306">
        <v>173000</v>
      </c>
      <c r="S306">
        <v>38000</v>
      </c>
      <c r="T306">
        <v>122</v>
      </c>
      <c r="U306">
        <f t="shared" si="4"/>
        <v>8000</v>
      </c>
    </row>
    <row r="307" spans="1:21" x14ac:dyDescent="0.3">
      <c r="A307">
        <v>743</v>
      </c>
      <c r="B307">
        <v>586</v>
      </c>
      <c r="C307">
        <v>192</v>
      </c>
      <c r="D307">
        <v>0</v>
      </c>
      <c r="E307">
        <v>100000</v>
      </c>
      <c r="F307">
        <v>50000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30000</v>
      </c>
      <c r="Q307" t="s">
        <v>96</v>
      </c>
      <c r="R307">
        <v>50000</v>
      </c>
      <c r="S307">
        <v>30000</v>
      </c>
      <c r="T307">
        <v>120</v>
      </c>
      <c r="U307">
        <f t="shared" si="4"/>
        <v>0</v>
      </c>
    </row>
    <row r="308" spans="1:21" x14ac:dyDescent="0.3">
      <c r="A308">
        <v>810</v>
      </c>
      <c r="B308">
        <v>586</v>
      </c>
      <c r="C308">
        <v>198</v>
      </c>
      <c r="D308">
        <v>1</v>
      </c>
      <c r="E308">
        <v>100000</v>
      </c>
      <c r="F308">
        <v>50000</v>
      </c>
      <c r="G308">
        <v>0</v>
      </c>
      <c r="H308">
        <v>0</v>
      </c>
      <c r="I308">
        <v>30000</v>
      </c>
      <c r="J308">
        <v>20000</v>
      </c>
      <c r="K308">
        <v>17000</v>
      </c>
      <c r="L308">
        <v>12000</v>
      </c>
      <c r="M308">
        <v>0</v>
      </c>
      <c r="N308">
        <v>8000</v>
      </c>
      <c r="O308">
        <v>0</v>
      </c>
      <c r="P308">
        <v>-7000</v>
      </c>
      <c r="Q308" t="s">
        <v>96</v>
      </c>
      <c r="R308">
        <v>137000</v>
      </c>
      <c r="S308">
        <v>-7000</v>
      </c>
      <c r="T308">
        <v>120</v>
      </c>
      <c r="U308">
        <f t="shared" si="4"/>
        <v>8000</v>
      </c>
    </row>
    <row r="309" spans="1:21" x14ac:dyDescent="0.3">
      <c r="A309">
        <v>851</v>
      </c>
      <c r="B309">
        <v>586</v>
      </c>
      <c r="C309">
        <v>203</v>
      </c>
      <c r="D309">
        <v>2</v>
      </c>
      <c r="E309">
        <v>100000</v>
      </c>
      <c r="F309">
        <v>50000</v>
      </c>
      <c r="G309">
        <v>7000</v>
      </c>
      <c r="H309">
        <v>0</v>
      </c>
      <c r="I309">
        <v>0</v>
      </c>
      <c r="J309">
        <v>20000</v>
      </c>
      <c r="K309">
        <v>17000</v>
      </c>
      <c r="L309">
        <v>6000</v>
      </c>
      <c r="M309">
        <v>0</v>
      </c>
      <c r="N309">
        <v>8000</v>
      </c>
      <c r="O309">
        <v>4000</v>
      </c>
      <c r="P309">
        <v>-12000</v>
      </c>
      <c r="Q309" t="s">
        <v>96</v>
      </c>
      <c r="R309">
        <v>105000</v>
      </c>
      <c r="S309">
        <v>-12000</v>
      </c>
      <c r="T309">
        <v>120</v>
      </c>
      <c r="U309">
        <f t="shared" si="4"/>
        <v>12000</v>
      </c>
    </row>
    <row r="310" spans="1:21" x14ac:dyDescent="0.3">
      <c r="A310">
        <v>898</v>
      </c>
      <c r="B310">
        <v>586</v>
      </c>
      <c r="C310">
        <v>208</v>
      </c>
      <c r="D310">
        <v>3</v>
      </c>
      <c r="E310">
        <v>100000</v>
      </c>
      <c r="F310">
        <v>50000</v>
      </c>
      <c r="G310">
        <v>12000</v>
      </c>
      <c r="H310">
        <v>86000</v>
      </c>
      <c r="I310">
        <v>20000</v>
      </c>
      <c r="J310">
        <v>15000</v>
      </c>
      <c r="K310">
        <v>17000</v>
      </c>
      <c r="L310">
        <v>115000</v>
      </c>
      <c r="M310">
        <v>0</v>
      </c>
      <c r="N310">
        <v>8000</v>
      </c>
      <c r="O310">
        <v>0</v>
      </c>
      <c r="P310">
        <v>10000</v>
      </c>
      <c r="Q310" t="s">
        <v>96</v>
      </c>
      <c r="R310">
        <v>225000</v>
      </c>
      <c r="S310">
        <v>-51000</v>
      </c>
      <c r="T310">
        <v>120</v>
      </c>
      <c r="U310">
        <f t="shared" si="4"/>
        <v>8000</v>
      </c>
    </row>
    <row r="311" spans="1:21" x14ac:dyDescent="0.3">
      <c r="A311">
        <v>758</v>
      </c>
      <c r="B311">
        <v>587</v>
      </c>
      <c r="C311">
        <v>192</v>
      </c>
      <c r="D311">
        <v>0</v>
      </c>
      <c r="E311">
        <v>100000</v>
      </c>
      <c r="F311">
        <v>50000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30000</v>
      </c>
      <c r="Q311" t="s">
        <v>97</v>
      </c>
      <c r="R311">
        <v>50000</v>
      </c>
      <c r="S311">
        <v>30000</v>
      </c>
      <c r="T311">
        <v>120</v>
      </c>
      <c r="U311">
        <f t="shared" si="4"/>
        <v>0</v>
      </c>
    </row>
    <row r="312" spans="1:21" x14ac:dyDescent="0.3">
      <c r="A312">
        <v>795</v>
      </c>
      <c r="B312">
        <v>587</v>
      </c>
      <c r="C312">
        <v>198</v>
      </c>
      <c r="D312">
        <v>1</v>
      </c>
      <c r="E312">
        <v>100000</v>
      </c>
      <c r="F312">
        <v>50000</v>
      </c>
      <c r="G312">
        <v>0</v>
      </c>
      <c r="H312">
        <v>0</v>
      </c>
      <c r="I312">
        <v>0</v>
      </c>
      <c r="J312">
        <v>15000</v>
      </c>
      <c r="K312">
        <v>16000</v>
      </c>
      <c r="L312">
        <v>16000</v>
      </c>
      <c r="M312">
        <v>0</v>
      </c>
      <c r="N312">
        <v>0</v>
      </c>
      <c r="O312">
        <v>4000</v>
      </c>
      <c r="P312">
        <v>29000</v>
      </c>
      <c r="Q312" t="s">
        <v>97</v>
      </c>
      <c r="R312">
        <v>101000</v>
      </c>
      <c r="S312">
        <v>29000</v>
      </c>
      <c r="T312">
        <v>120</v>
      </c>
      <c r="U312">
        <f t="shared" si="4"/>
        <v>4000</v>
      </c>
    </row>
    <row r="313" spans="1:21" x14ac:dyDescent="0.3">
      <c r="A313">
        <v>846</v>
      </c>
      <c r="B313">
        <v>587</v>
      </c>
      <c r="C313">
        <v>203</v>
      </c>
      <c r="D313">
        <v>2</v>
      </c>
      <c r="E313">
        <v>100000</v>
      </c>
      <c r="F313">
        <v>50000</v>
      </c>
      <c r="G313">
        <v>0</v>
      </c>
      <c r="H313">
        <v>20000</v>
      </c>
      <c r="I313">
        <v>30000</v>
      </c>
      <c r="J313">
        <v>15000</v>
      </c>
      <c r="K313">
        <v>17000</v>
      </c>
      <c r="L313">
        <v>29000</v>
      </c>
      <c r="M313">
        <v>0</v>
      </c>
      <c r="N313">
        <v>0</v>
      </c>
      <c r="O313">
        <v>4000</v>
      </c>
      <c r="P313">
        <v>4000</v>
      </c>
      <c r="Q313" t="s">
        <v>97</v>
      </c>
      <c r="R313">
        <v>145000</v>
      </c>
      <c r="S313">
        <v>4000</v>
      </c>
      <c r="T313">
        <v>120</v>
      </c>
      <c r="U313">
        <f t="shared" si="4"/>
        <v>4000</v>
      </c>
    </row>
    <row r="314" spans="1:21" x14ac:dyDescent="0.3">
      <c r="A314">
        <v>886</v>
      </c>
      <c r="B314">
        <v>587</v>
      </c>
      <c r="C314">
        <v>208</v>
      </c>
      <c r="D314">
        <v>3</v>
      </c>
      <c r="E314">
        <v>100000</v>
      </c>
      <c r="F314">
        <v>50000</v>
      </c>
      <c r="G314">
        <v>0</v>
      </c>
      <c r="H314">
        <v>0</v>
      </c>
      <c r="I314">
        <v>0</v>
      </c>
      <c r="J314">
        <v>25000</v>
      </c>
      <c r="K314">
        <v>17000</v>
      </c>
      <c r="L314">
        <v>0</v>
      </c>
      <c r="M314">
        <v>0</v>
      </c>
      <c r="N314">
        <v>4000</v>
      </c>
      <c r="O314">
        <v>4000</v>
      </c>
      <c r="P314">
        <v>-54000</v>
      </c>
      <c r="Q314" t="s">
        <v>97</v>
      </c>
      <c r="R314">
        <v>100000</v>
      </c>
      <c r="S314">
        <v>4000</v>
      </c>
      <c r="T314">
        <v>120</v>
      </c>
      <c r="U314">
        <f t="shared" si="4"/>
        <v>8000</v>
      </c>
    </row>
  </sheetData>
  <autoFilter ref="A1:T314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2FC9-93E9-4751-B328-3ED270D3EC9D}">
  <dimension ref="A1"/>
  <sheetViews>
    <sheetView workbookViewId="0">
      <selection activeCell="O4" sqref="O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E2" sqref="E2"/>
    </sheetView>
  </sheetViews>
  <sheetFormatPr defaultRowHeight="14.4" x14ac:dyDescent="0.3"/>
  <cols>
    <col min="2" max="2" width="27.88671875" bestFit="1" customWidth="1"/>
    <col min="3" max="3" width="9" bestFit="1" customWidth="1"/>
    <col min="5" max="5" width="20.6640625" style="2" customWidth="1"/>
    <col min="6" max="6" width="20.6640625" style="3" customWidth="1"/>
    <col min="8" max="8" width="20.6640625" style="2" customWidth="1"/>
    <col min="9" max="9" width="14.44140625" bestFit="1" customWidth="1"/>
    <col min="10" max="10" width="28.5546875" bestFit="1" customWidth="1"/>
  </cols>
  <sheetData>
    <row r="1" spans="1:10" s="1" customFormat="1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3">
      <c r="A2">
        <v>16</v>
      </c>
      <c r="B2" t="s">
        <v>108</v>
      </c>
      <c r="C2" t="s">
        <v>109</v>
      </c>
      <c r="D2" t="s">
        <v>110</v>
      </c>
      <c r="E2" s="2">
        <v>45559.21229166667</v>
      </c>
      <c r="F2" s="3">
        <v>45559</v>
      </c>
      <c r="H2" s="2">
        <v>45560</v>
      </c>
      <c r="I2">
        <v>12</v>
      </c>
      <c r="J2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3"/>
  <cols>
    <col min="4" max="4" width="14.33203125" bestFit="1" customWidth="1"/>
    <col min="5" max="5" width="10.5546875" bestFit="1" customWidth="1"/>
    <col min="6" max="6" width="11.5546875" bestFit="1" customWidth="1"/>
    <col min="7" max="7" width="27.88671875" bestFit="1" customWidth="1"/>
  </cols>
  <sheetData>
    <row r="1" spans="1:7" s="1" customFormat="1" x14ac:dyDescent="0.3">
      <c r="A1" s="1" t="s">
        <v>98</v>
      </c>
      <c r="B1" s="1" t="s">
        <v>112</v>
      </c>
      <c r="C1" s="1" t="s">
        <v>100</v>
      </c>
      <c r="D1" s="1" t="s">
        <v>113</v>
      </c>
      <c r="E1" s="1" t="s">
        <v>114</v>
      </c>
      <c r="F1" s="1" t="s">
        <v>115</v>
      </c>
      <c r="G1" s="1" t="s">
        <v>99</v>
      </c>
    </row>
    <row r="2" spans="1:7" x14ac:dyDescent="0.3">
      <c r="A2">
        <v>72</v>
      </c>
      <c r="B2" t="s">
        <v>116</v>
      </c>
      <c r="C2" t="s">
        <v>109</v>
      </c>
      <c r="D2">
        <v>16</v>
      </c>
      <c r="E2">
        <v>21</v>
      </c>
      <c r="F2">
        <v>7</v>
      </c>
      <c r="G2" t="s">
        <v>108</v>
      </c>
    </row>
    <row r="3" spans="1:7" x14ac:dyDescent="0.3">
      <c r="A3">
        <v>81</v>
      </c>
      <c r="B3" t="s">
        <v>117</v>
      </c>
      <c r="C3" t="s">
        <v>109</v>
      </c>
      <c r="D3">
        <v>16</v>
      </c>
      <c r="E3">
        <v>21</v>
      </c>
      <c r="F3">
        <v>18</v>
      </c>
      <c r="G3" t="s">
        <v>108</v>
      </c>
    </row>
    <row r="4" spans="1:7" x14ac:dyDescent="0.3">
      <c r="A4">
        <v>73</v>
      </c>
      <c r="B4" t="s">
        <v>118</v>
      </c>
      <c r="C4" t="s">
        <v>109</v>
      </c>
      <c r="D4">
        <v>16</v>
      </c>
      <c r="E4">
        <v>21</v>
      </c>
      <c r="F4">
        <v>8</v>
      </c>
      <c r="G4" t="s">
        <v>108</v>
      </c>
    </row>
    <row r="5" spans="1:7" x14ac:dyDescent="0.3">
      <c r="A5">
        <v>74</v>
      </c>
      <c r="B5" t="s">
        <v>119</v>
      </c>
      <c r="C5" t="s">
        <v>109</v>
      </c>
      <c r="D5">
        <v>16</v>
      </c>
      <c r="E5">
        <v>21</v>
      </c>
      <c r="F5">
        <v>9</v>
      </c>
      <c r="G5" t="s">
        <v>108</v>
      </c>
    </row>
    <row r="6" spans="1:7" x14ac:dyDescent="0.3">
      <c r="A6">
        <v>75</v>
      </c>
      <c r="B6" t="s">
        <v>120</v>
      </c>
      <c r="C6" t="s">
        <v>109</v>
      </c>
      <c r="D6">
        <v>16</v>
      </c>
      <c r="E6">
        <v>21</v>
      </c>
      <c r="F6">
        <v>10</v>
      </c>
      <c r="G6" t="s">
        <v>108</v>
      </c>
    </row>
    <row r="7" spans="1:7" x14ac:dyDescent="0.3">
      <c r="A7">
        <v>76</v>
      </c>
      <c r="B7" t="s">
        <v>121</v>
      </c>
      <c r="C7" t="s">
        <v>109</v>
      </c>
      <c r="D7">
        <v>16</v>
      </c>
      <c r="E7">
        <v>21</v>
      </c>
      <c r="F7">
        <v>11</v>
      </c>
      <c r="G7" t="s">
        <v>108</v>
      </c>
    </row>
    <row r="8" spans="1:7" x14ac:dyDescent="0.3">
      <c r="A8">
        <v>77</v>
      </c>
      <c r="B8" t="s">
        <v>122</v>
      </c>
      <c r="C8" t="s">
        <v>109</v>
      </c>
      <c r="D8">
        <v>16</v>
      </c>
      <c r="E8">
        <v>21</v>
      </c>
      <c r="F8">
        <v>13</v>
      </c>
      <c r="G8" t="s">
        <v>108</v>
      </c>
    </row>
    <row r="9" spans="1:7" x14ac:dyDescent="0.3">
      <c r="A9">
        <v>78</v>
      </c>
      <c r="B9" t="s">
        <v>123</v>
      </c>
      <c r="C9" t="s">
        <v>109</v>
      </c>
      <c r="D9">
        <v>16</v>
      </c>
      <c r="E9">
        <v>21</v>
      </c>
      <c r="F9">
        <v>14</v>
      </c>
      <c r="G9" t="s">
        <v>108</v>
      </c>
    </row>
    <row r="10" spans="1:7" x14ac:dyDescent="0.3">
      <c r="A10">
        <v>79</v>
      </c>
      <c r="B10" t="s">
        <v>124</v>
      </c>
      <c r="C10" t="s">
        <v>109</v>
      </c>
      <c r="D10">
        <v>16</v>
      </c>
      <c r="E10">
        <v>21</v>
      </c>
      <c r="F10">
        <v>15</v>
      </c>
      <c r="G10" t="s">
        <v>108</v>
      </c>
    </row>
    <row r="11" spans="1:7" x14ac:dyDescent="0.3">
      <c r="A11">
        <v>80</v>
      </c>
      <c r="B11" t="s">
        <v>125</v>
      </c>
      <c r="C11" t="s">
        <v>109</v>
      </c>
      <c r="D11">
        <v>16</v>
      </c>
      <c r="E11">
        <v>21</v>
      </c>
      <c r="F11">
        <v>17</v>
      </c>
      <c r="G11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workbookViewId="0">
      <selection activeCell="L1" sqref="L1"/>
    </sheetView>
  </sheetViews>
  <sheetFormatPr defaultRowHeight="14.4" x14ac:dyDescent="0.3"/>
  <cols>
    <col min="2" max="2" width="20.6640625" style="2" customWidth="1"/>
    <col min="3" max="3" width="20.44140625" bestFit="1" customWidth="1"/>
    <col min="4" max="4" width="20" bestFit="1" customWidth="1"/>
    <col min="5" max="5" width="16.109375" bestFit="1" customWidth="1"/>
    <col min="6" max="6" width="13.88671875" bestFit="1" customWidth="1"/>
    <col min="7" max="7" width="8.5546875" bestFit="1" customWidth="1"/>
    <col min="8" max="8" width="11.77734375" bestFit="1" customWidth="1"/>
    <col min="9" max="9" width="14.33203125" bestFit="1" customWidth="1"/>
    <col min="10" max="10" width="27.88671875" bestFit="1" customWidth="1"/>
    <col min="11" max="11" width="16.6640625" bestFit="1" customWidth="1"/>
  </cols>
  <sheetData>
    <row r="1" spans="1:11" s="1" customFormat="1" x14ac:dyDescent="0.3">
      <c r="A1" s="1" t="s">
        <v>98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113</v>
      </c>
      <c r="J1" s="1" t="s">
        <v>99</v>
      </c>
      <c r="K1" s="1" t="s">
        <v>133</v>
      </c>
    </row>
    <row r="2" spans="1:11" x14ac:dyDescent="0.3">
      <c r="A2">
        <v>170</v>
      </c>
      <c r="B2" s="2">
        <v>45559.414525462962</v>
      </c>
      <c r="C2">
        <v>0</v>
      </c>
      <c r="D2">
        <v>0</v>
      </c>
      <c r="E2" t="s">
        <v>134</v>
      </c>
      <c r="F2">
        <v>0</v>
      </c>
      <c r="G2">
        <v>72</v>
      </c>
      <c r="H2" t="s">
        <v>116</v>
      </c>
      <c r="I2">
        <v>16</v>
      </c>
      <c r="J2" t="s">
        <v>108</v>
      </c>
      <c r="K2">
        <v>21</v>
      </c>
    </row>
    <row r="3" spans="1:11" x14ac:dyDescent="0.3">
      <c r="A3">
        <v>179</v>
      </c>
      <c r="B3" s="2">
        <v>45559.441446759258</v>
      </c>
      <c r="C3">
        <v>4</v>
      </c>
      <c r="D3">
        <v>8</v>
      </c>
      <c r="E3" t="s">
        <v>135</v>
      </c>
      <c r="F3">
        <v>1</v>
      </c>
      <c r="G3">
        <v>72</v>
      </c>
      <c r="H3" t="s">
        <v>116</v>
      </c>
      <c r="I3">
        <v>16</v>
      </c>
      <c r="J3" t="s">
        <v>108</v>
      </c>
      <c r="K3">
        <v>21</v>
      </c>
    </row>
    <row r="4" spans="1:11" x14ac:dyDescent="0.3">
      <c r="A4">
        <v>183</v>
      </c>
      <c r="B4" s="2">
        <v>45559.466226851851</v>
      </c>
      <c r="C4">
        <v>4</v>
      </c>
      <c r="D4">
        <v>5</v>
      </c>
      <c r="E4" t="s">
        <v>135</v>
      </c>
      <c r="F4">
        <v>2</v>
      </c>
      <c r="G4">
        <v>72</v>
      </c>
      <c r="H4" t="s">
        <v>116</v>
      </c>
      <c r="I4">
        <v>16</v>
      </c>
      <c r="J4" t="s">
        <v>108</v>
      </c>
      <c r="K4">
        <v>21</v>
      </c>
    </row>
    <row r="5" spans="1:11" x14ac:dyDescent="0.3">
      <c r="A5">
        <v>188</v>
      </c>
      <c r="B5" s="2">
        <v>45559.476018518522</v>
      </c>
      <c r="C5">
        <v>5</v>
      </c>
      <c r="D5">
        <v>6</v>
      </c>
      <c r="E5" t="s">
        <v>135</v>
      </c>
      <c r="F5">
        <v>3</v>
      </c>
      <c r="G5">
        <v>72</v>
      </c>
      <c r="H5" t="s">
        <v>116</v>
      </c>
      <c r="I5">
        <v>16</v>
      </c>
      <c r="J5" t="s">
        <v>108</v>
      </c>
      <c r="K5">
        <v>21</v>
      </c>
    </row>
    <row r="6" spans="1:11" x14ac:dyDescent="0.3">
      <c r="A6">
        <v>193</v>
      </c>
      <c r="B6" s="2">
        <v>45559.595127314809</v>
      </c>
      <c r="C6">
        <v>0</v>
      </c>
      <c r="D6">
        <v>0</v>
      </c>
      <c r="E6" t="s">
        <v>134</v>
      </c>
      <c r="F6">
        <v>0</v>
      </c>
      <c r="G6">
        <v>81</v>
      </c>
      <c r="H6" t="s">
        <v>117</v>
      </c>
      <c r="I6">
        <v>16</v>
      </c>
      <c r="J6" t="s">
        <v>108</v>
      </c>
      <c r="K6">
        <v>21</v>
      </c>
    </row>
    <row r="7" spans="1:11" x14ac:dyDescent="0.3">
      <c r="A7">
        <v>195</v>
      </c>
      <c r="B7" s="2">
        <v>45559.59988425926</v>
      </c>
      <c r="C7">
        <v>9</v>
      </c>
      <c r="D7">
        <v>5</v>
      </c>
      <c r="E7" t="s">
        <v>135</v>
      </c>
      <c r="F7">
        <v>1</v>
      </c>
      <c r="G7">
        <v>81</v>
      </c>
      <c r="H7" t="s">
        <v>117</v>
      </c>
      <c r="I7">
        <v>16</v>
      </c>
      <c r="J7" t="s">
        <v>108</v>
      </c>
      <c r="K7">
        <v>21</v>
      </c>
    </row>
    <row r="8" spans="1:11" x14ac:dyDescent="0.3">
      <c r="A8">
        <v>200</v>
      </c>
      <c r="B8" s="2">
        <v>45559.617430555547</v>
      </c>
      <c r="C8">
        <v>10</v>
      </c>
      <c r="D8">
        <v>3</v>
      </c>
      <c r="E8" t="s">
        <v>135</v>
      </c>
      <c r="F8">
        <v>2</v>
      </c>
      <c r="G8">
        <v>81</v>
      </c>
      <c r="H8" t="s">
        <v>117</v>
      </c>
      <c r="I8">
        <v>16</v>
      </c>
      <c r="J8" t="s">
        <v>108</v>
      </c>
      <c r="K8">
        <v>21</v>
      </c>
    </row>
    <row r="9" spans="1:11" x14ac:dyDescent="0.3">
      <c r="A9">
        <v>206</v>
      </c>
      <c r="B9" s="2">
        <v>45559.63453703704</v>
      </c>
      <c r="C9">
        <v>2</v>
      </c>
      <c r="D9">
        <v>5</v>
      </c>
      <c r="E9" t="s">
        <v>135</v>
      </c>
      <c r="F9">
        <v>3</v>
      </c>
      <c r="G9">
        <v>81</v>
      </c>
      <c r="H9" t="s">
        <v>117</v>
      </c>
      <c r="I9">
        <v>16</v>
      </c>
      <c r="J9" t="s">
        <v>108</v>
      </c>
      <c r="K9">
        <v>21</v>
      </c>
    </row>
    <row r="10" spans="1:11" x14ac:dyDescent="0.3">
      <c r="A10">
        <v>174</v>
      </c>
      <c r="B10" s="2">
        <v>45559.43277777778</v>
      </c>
      <c r="C10">
        <v>0</v>
      </c>
      <c r="D10">
        <v>0</v>
      </c>
      <c r="E10" t="s">
        <v>134</v>
      </c>
      <c r="F10">
        <v>0</v>
      </c>
      <c r="G10">
        <v>73</v>
      </c>
      <c r="H10" t="s">
        <v>118</v>
      </c>
      <c r="I10">
        <v>16</v>
      </c>
      <c r="J10" t="s">
        <v>108</v>
      </c>
      <c r="K10">
        <v>21</v>
      </c>
    </row>
    <row r="11" spans="1:11" x14ac:dyDescent="0.3">
      <c r="A11">
        <v>177</v>
      </c>
      <c r="B11" s="2">
        <v>45559.440636574072</v>
      </c>
      <c r="C11">
        <v>7</v>
      </c>
      <c r="D11">
        <v>5</v>
      </c>
      <c r="E11" t="s">
        <v>135</v>
      </c>
      <c r="F11">
        <v>1</v>
      </c>
      <c r="G11">
        <v>73</v>
      </c>
      <c r="H11" t="s">
        <v>118</v>
      </c>
      <c r="I11">
        <v>16</v>
      </c>
      <c r="J11" t="s">
        <v>108</v>
      </c>
      <c r="K11">
        <v>21</v>
      </c>
    </row>
    <row r="12" spans="1:11" x14ac:dyDescent="0.3">
      <c r="A12">
        <v>181</v>
      </c>
      <c r="B12" s="2">
        <v>45559.456412037027</v>
      </c>
      <c r="C12">
        <v>2</v>
      </c>
      <c r="D12">
        <v>8</v>
      </c>
      <c r="E12" t="s">
        <v>135</v>
      </c>
      <c r="F12">
        <v>2</v>
      </c>
      <c r="G12">
        <v>73</v>
      </c>
      <c r="H12" t="s">
        <v>118</v>
      </c>
      <c r="I12">
        <v>16</v>
      </c>
      <c r="J12" t="s">
        <v>108</v>
      </c>
      <c r="K12">
        <v>21</v>
      </c>
    </row>
    <row r="13" spans="1:11" x14ac:dyDescent="0.3">
      <c r="A13">
        <v>186</v>
      </c>
      <c r="B13" s="2">
        <v>45559.468506944453</v>
      </c>
      <c r="C13">
        <v>6</v>
      </c>
      <c r="D13">
        <v>5</v>
      </c>
      <c r="E13" t="s">
        <v>135</v>
      </c>
      <c r="F13">
        <v>3</v>
      </c>
      <c r="G13">
        <v>73</v>
      </c>
      <c r="H13" t="s">
        <v>118</v>
      </c>
      <c r="I13">
        <v>16</v>
      </c>
      <c r="J13" t="s">
        <v>108</v>
      </c>
      <c r="K13">
        <v>21</v>
      </c>
    </row>
    <row r="14" spans="1:11" x14ac:dyDescent="0.3">
      <c r="A14">
        <v>171</v>
      </c>
      <c r="B14" s="2">
        <v>45559.417025462957</v>
      </c>
      <c r="C14">
        <v>0</v>
      </c>
      <c r="D14">
        <v>0</v>
      </c>
      <c r="E14" t="s">
        <v>134</v>
      </c>
      <c r="F14">
        <v>0</v>
      </c>
      <c r="G14">
        <v>74</v>
      </c>
      <c r="H14" t="s">
        <v>119</v>
      </c>
      <c r="I14">
        <v>16</v>
      </c>
      <c r="J14" t="s">
        <v>108</v>
      </c>
      <c r="K14">
        <v>21</v>
      </c>
    </row>
    <row r="15" spans="1:11" x14ac:dyDescent="0.3">
      <c r="A15">
        <v>178</v>
      </c>
      <c r="B15" s="2">
        <v>45559.44127314815</v>
      </c>
      <c r="C15">
        <v>2</v>
      </c>
      <c r="D15">
        <v>3</v>
      </c>
      <c r="E15" t="s">
        <v>135</v>
      </c>
      <c r="F15">
        <v>1</v>
      </c>
      <c r="G15">
        <v>74</v>
      </c>
      <c r="H15" t="s">
        <v>119</v>
      </c>
      <c r="I15">
        <v>16</v>
      </c>
      <c r="J15" t="s">
        <v>108</v>
      </c>
      <c r="K15">
        <v>21</v>
      </c>
    </row>
    <row r="16" spans="1:11" x14ac:dyDescent="0.3">
      <c r="A16">
        <v>185</v>
      </c>
      <c r="B16" s="2">
        <v>45559.467210648138</v>
      </c>
      <c r="C16">
        <v>1</v>
      </c>
      <c r="D16">
        <v>6</v>
      </c>
      <c r="E16" t="s">
        <v>135</v>
      </c>
      <c r="F16">
        <v>2</v>
      </c>
      <c r="G16">
        <v>74</v>
      </c>
      <c r="H16" t="s">
        <v>119</v>
      </c>
      <c r="I16">
        <v>16</v>
      </c>
      <c r="J16" t="s">
        <v>108</v>
      </c>
      <c r="K16">
        <v>21</v>
      </c>
    </row>
    <row r="17" spans="1:11" x14ac:dyDescent="0.3">
      <c r="A17">
        <v>189</v>
      </c>
      <c r="B17" s="2">
        <v>45559.479930555557</v>
      </c>
      <c r="C17">
        <v>3</v>
      </c>
      <c r="D17">
        <v>6</v>
      </c>
      <c r="E17" t="s">
        <v>135</v>
      </c>
      <c r="F17">
        <v>3</v>
      </c>
      <c r="G17">
        <v>74</v>
      </c>
      <c r="H17" t="s">
        <v>119</v>
      </c>
      <c r="I17">
        <v>16</v>
      </c>
      <c r="J17" t="s">
        <v>108</v>
      </c>
      <c r="K17">
        <v>21</v>
      </c>
    </row>
    <row r="18" spans="1:11" x14ac:dyDescent="0.3">
      <c r="A18">
        <v>172</v>
      </c>
      <c r="B18" s="2">
        <v>45559.418240740742</v>
      </c>
      <c r="C18">
        <v>0</v>
      </c>
      <c r="D18">
        <v>0</v>
      </c>
      <c r="E18" t="s">
        <v>134</v>
      </c>
      <c r="F18">
        <v>0</v>
      </c>
      <c r="G18">
        <v>75</v>
      </c>
      <c r="H18" t="s">
        <v>120</v>
      </c>
      <c r="I18">
        <v>16</v>
      </c>
      <c r="J18" t="s">
        <v>108</v>
      </c>
      <c r="K18">
        <v>21</v>
      </c>
    </row>
    <row r="19" spans="1:11" x14ac:dyDescent="0.3">
      <c r="A19">
        <v>180</v>
      </c>
      <c r="B19" s="2">
        <v>45559.44159722222</v>
      </c>
      <c r="C19">
        <v>3</v>
      </c>
      <c r="D19">
        <v>7</v>
      </c>
      <c r="E19" t="s">
        <v>135</v>
      </c>
      <c r="F19">
        <v>1</v>
      </c>
      <c r="G19">
        <v>75</v>
      </c>
      <c r="H19" t="s">
        <v>120</v>
      </c>
      <c r="I19">
        <v>16</v>
      </c>
      <c r="J19" t="s">
        <v>108</v>
      </c>
      <c r="K19">
        <v>21</v>
      </c>
    </row>
    <row r="20" spans="1:11" x14ac:dyDescent="0.3">
      <c r="A20">
        <v>184</v>
      </c>
      <c r="B20" s="2">
        <v>45559.467002314806</v>
      </c>
      <c r="C20">
        <v>7</v>
      </c>
      <c r="D20">
        <v>10</v>
      </c>
      <c r="E20" t="s">
        <v>135</v>
      </c>
      <c r="F20">
        <v>2</v>
      </c>
      <c r="G20">
        <v>75</v>
      </c>
      <c r="H20" t="s">
        <v>120</v>
      </c>
      <c r="I20">
        <v>16</v>
      </c>
      <c r="J20" t="s">
        <v>108</v>
      </c>
      <c r="K20">
        <v>21</v>
      </c>
    </row>
    <row r="21" spans="1:11" x14ac:dyDescent="0.3">
      <c r="A21">
        <v>190</v>
      </c>
      <c r="B21" s="2">
        <v>45559.487893518519</v>
      </c>
      <c r="C21">
        <v>4</v>
      </c>
      <c r="D21">
        <v>5</v>
      </c>
      <c r="E21" t="s">
        <v>135</v>
      </c>
      <c r="F21">
        <v>3</v>
      </c>
      <c r="G21">
        <v>75</v>
      </c>
      <c r="H21" t="s">
        <v>120</v>
      </c>
      <c r="I21">
        <v>16</v>
      </c>
      <c r="J21" t="s">
        <v>108</v>
      </c>
      <c r="K21">
        <v>21</v>
      </c>
    </row>
    <row r="22" spans="1:11" x14ac:dyDescent="0.3">
      <c r="A22">
        <v>173</v>
      </c>
      <c r="B22" s="2">
        <v>45559.418657407412</v>
      </c>
      <c r="C22">
        <v>0</v>
      </c>
      <c r="D22">
        <v>0</v>
      </c>
      <c r="E22" t="s">
        <v>134</v>
      </c>
      <c r="F22">
        <v>0</v>
      </c>
      <c r="G22">
        <v>76</v>
      </c>
      <c r="H22" t="s">
        <v>121</v>
      </c>
      <c r="I22">
        <v>16</v>
      </c>
      <c r="J22" t="s">
        <v>108</v>
      </c>
      <c r="K22">
        <v>21</v>
      </c>
    </row>
    <row r="23" spans="1:11" x14ac:dyDescent="0.3">
      <c r="A23">
        <v>176</v>
      </c>
      <c r="B23" s="2">
        <v>45559.440011574072</v>
      </c>
      <c r="C23">
        <v>9</v>
      </c>
      <c r="D23">
        <v>8</v>
      </c>
      <c r="E23" t="s">
        <v>135</v>
      </c>
      <c r="F23">
        <v>1</v>
      </c>
      <c r="G23">
        <v>76</v>
      </c>
      <c r="H23" t="s">
        <v>121</v>
      </c>
      <c r="I23">
        <v>16</v>
      </c>
      <c r="J23" t="s">
        <v>108</v>
      </c>
      <c r="K23">
        <v>21</v>
      </c>
    </row>
    <row r="24" spans="1:11" x14ac:dyDescent="0.3">
      <c r="A24">
        <v>182</v>
      </c>
      <c r="B24" s="2">
        <v>45559.46292824074</v>
      </c>
      <c r="C24">
        <v>4</v>
      </c>
      <c r="D24">
        <v>8</v>
      </c>
      <c r="E24" t="s">
        <v>135</v>
      </c>
      <c r="F24">
        <v>2</v>
      </c>
      <c r="G24">
        <v>76</v>
      </c>
      <c r="H24" t="s">
        <v>121</v>
      </c>
      <c r="I24">
        <v>16</v>
      </c>
      <c r="J24" t="s">
        <v>108</v>
      </c>
      <c r="K24">
        <v>21</v>
      </c>
    </row>
    <row r="25" spans="1:11" x14ac:dyDescent="0.3">
      <c r="A25">
        <v>187</v>
      </c>
      <c r="B25" s="2">
        <v>45559.475520833337</v>
      </c>
      <c r="C25">
        <v>10</v>
      </c>
      <c r="D25">
        <v>10</v>
      </c>
      <c r="E25" t="s">
        <v>135</v>
      </c>
      <c r="F25">
        <v>3</v>
      </c>
      <c r="G25">
        <v>76</v>
      </c>
      <c r="H25" t="s">
        <v>121</v>
      </c>
      <c r="I25">
        <v>16</v>
      </c>
      <c r="J25" t="s">
        <v>108</v>
      </c>
      <c r="K25">
        <v>21</v>
      </c>
    </row>
    <row r="26" spans="1:11" x14ac:dyDescent="0.3">
      <c r="A26">
        <v>175</v>
      </c>
      <c r="B26" s="2">
        <v>45559.437638888892</v>
      </c>
      <c r="C26">
        <v>0</v>
      </c>
      <c r="D26">
        <v>0</v>
      </c>
      <c r="E26" t="s">
        <v>134</v>
      </c>
      <c r="F26">
        <v>0</v>
      </c>
      <c r="G26">
        <v>77</v>
      </c>
      <c r="H26" t="s">
        <v>122</v>
      </c>
      <c r="I26">
        <v>16</v>
      </c>
      <c r="J26" t="s">
        <v>108</v>
      </c>
      <c r="K26">
        <v>21</v>
      </c>
    </row>
    <row r="27" spans="1:11" x14ac:dyDescent="0.3">
      <c r="A27">
        <v>197</v>
      </c>
      <c r="B27" s="2">
        <v>45559.60155092593</v>
      </c>
      <c r="C27">
        <v>10</v>
      </c>
      <c r="D27">
        <v>6</v>
      </c>
      <c r="E27" t="s">
        <v>135</v>
      </c>
      <c r="F27">
        <v>1</v>
      </c>
      <c r="G27">
        <v>77</v>
      </c>
      <c r="H27" t="s">
        <v>122</v>
      </c>
      <c r="I27">
        <v>16</v>
      </c>
      <c r="J27" t="s">
        <v>108</v>
      </c>
      <c r="K27">
        <v>21</v>
      </c>
    </row>
    <row r="28" spans="1:11" x14ac:dyDescent="0.3">
      <c r="A28">
        <v>202</v>
      </c>
      <c r="B28" s="2">
        <v>45559.625925925917</v>
      </c>
      <c r="C28">
        <v>7</v>
      </c>
      <c r="D28">
        <v>6</v>
      </c>
      <c r="E28" t="s">
        <v>135</v>
      </c>
      <c r="F28">
        <v>2</v>
      </c>
      <c r="G28">
        <v>77</v>
      </c>
      <c r="H28" t="s">
        <v>122</v>
      </c>
      <c r="I28">
        <v>16</v>
      </c>
      <c r="J28" t="s">
        <v>108</v>
      </c>
      <c r="K28">
        <v>21</v>
      </c>
    </row>
    <row r="29" spans="1:11" x14ac:dyDescent="0.3">
      <c r="A29">
        <v>207</v>
      </c>
      <c r="B29" s="2">
        <v>45559.638703703713</v>
      </c>
      <c r="C29">
        <v>6</v>
      </c>
      <c r="D29">
        <v>6</v>
      </c>
      <c r="E29" t="s">
        <v>135</v>
      </c>
      <c r="F29">
        <v>3</v>
      </c>
      <c r="G29">
        <v>77</v>
      </c>
      <c r="H29" t="s">
        <v>122</v>
      </c>
      <c r="I29">
        <v>16</v>
      </c>
      <c r="J29" t="s">
        <v>108</v>
      </c>
      <c r="K29">
        <v>21</v>
      </c>
    </row>
    <row r="30" spans="1:11" x14ac:dyDescent="0.3">
      <c r="A30">
        <v>194</v>
      </c>
      <c r="B30" s="2">
        <v>45559.596805555557</v>
      </c>
      <c r="C30">
        <v>0</v>
      </c>
      <c r="D30">
        <v>0</v>
      </c>
      <c r="E30" t="s">
        <v>134</v>
      </c>
      <c r="F30">
        <v>0</v>
      </c>
      <c r="G30">
        <v>78</v>
      </c>
      <c r="H30" t="s">
        <v>123</v>
      </c>
      <c r="I30">
        <v>16</v>
      </c>
      <c r="J30" t="s">
        <v>108</v>
      </c>
      <c r="K30">
        <v>21</v>
      </c>
    </row>
    <row r="31" spans="1:11" x14ac:dyDescent="0.3">
      <c r="A31">
        <v>196</v>
      </c>
      <c r="B31" s="2">
        <v>45559.60019675926</v>
      </c>
      <c r="C31">
        <v>6</v>
      </c>
      <c r="D31">
        <v>6</v>
      </c>
      <c r="E31" t="s">
        <v>135</v>
      </c>
      <c r="F31">
        <v>1</v>
      </c>
      <c r="G31">
        <v>78</v>
      </c>
      <c r="H31" t="s">
        <v>123</v>
      </c>
      <c r="I31">
        <v>16</v>
      </c>
      <c r="J31" t="s">
        <v>108</v>
      </c>
      <c r="K31">
        <v>21</v>
      </c>
    </row>
    <row r="32" spans="1:11" x14ac:dyDescent="0.3">
      <c r="A32">
        <v>201</v>
      </c>
      <c r="B32" s="2">
        <v>45559.618483796286</v>
      </c>
      <c r="C32">
        <v>9</v>
      </c>
      <c r="D32">
        <v>7</v>
      </c>
      <c r="E32" t="s">
        <v>135</v>
      </c>
      <c r="F32">
        <v>2</v>
      </c>
      <c r="G32">
        <v>78</v>
      </c>
      <c r="H32" t="s">
        <v>123</v>
      </c>
      <c r="I32">
        <v>16</v>
      </c>
      <c r="J32" t="s">
        <v>108</v>
      </c>
      <c r="K32">
        <v>21</v>
      </c>
    </row>
    <row r="33" spans="1:11" x14ac:dyDescent="0.3">
      <c r="A33">
        <v>204</v>
      </c>
      <c r="B33" s="2">
        <v>45559.627986111111</v>
      </c>
      <c r="C33">
        <v>8</v>
      </c>
      <c r="D33">
        <v>9</v>
      </c>
      <c r="E33" t="s">
        <v>135</v>
      </c>
      <c r="F33">
        <v>3</v>
      </c>
      <c r="G33">
        <v>78</v>
      </c>
      <c r="H33" t="s">
        <v>123</v>
      </c>
      <c r="I33">
        <v>16</v>
      </c>
      <c r="J33" t="s">
        <v>108</v>
      </c>
      <c r="K33">
        <v>21</v>
      </c>
    </row>
    <row r="34" spans="1:11" x14ac:dyDescent="0.3">
      <c r="A34">
        <v>191</v>
      </c>
      <c r="B34" s="2">
        <v>45559.586747685193</v>
      </c>
      <c r="C34">
        <v>0</v>
      </c>
      <c r="D34">
        <v>0</v>
      </c>
      <c r="E34" t="s">
        <v>134</v>
      </c>
      <c r="F34">
        <v>0</v>
      </c>
      <c r="G34">
        <v>79</v>
      </c>
      <c r="H34" t="s">
        <v>124</v>
      </c>
      <c r="I34">
        <v>16</v>
      </c>
      <c r="J34" t="s">
        <v>108</v>
      </c>
      <c r="K34">
        <v>21</v>
      </c>
    </row>
    <row r="35" spans="1:11" x14ac:dyDescent="0.3">
      <c r="A35">
        <v>199</v>
      </c>
      <c r="B35" s="2">
        <v>45559.604583333326</v>
      </c>
      <c r="C35">
        <v>4</v>
      </c>
      <c r="D35">
        <v>7</v>
      </c>
      <c r="E35" t="s">
        <v>135</v>
      </c>
      <c r="F35">
        <v>1</v>
      </c>
      <c r="G35">
        <v>79</v>
      </c>
      <c r="H35" t="s">
        <v>124</v>
      </c>
      <c r="I35">
        <v>16</v>
      </c>
      <c r="J35" t="s">
        <v>108</v>
      </c>
      <c r="K35">
        <v>21</v>
      </c>
    </row>
    <row r="36" spans="1:11" x14ac:dyDescent="0.3">
      <c r="A36">
        <v>205</v>
      </c>
      <c r="B36" s="2">
        <v>45559.629351851851</v>
      </c>
      <c r="C36">
        <v>8</v>
      </c>
      <c r="D36">
        <v>9</v>
      </c>
      <c r="E36" t="s">
        <v>135</v>
      </c>
      <c r="F36">
        <v>2</v>
      </c>
      <c r="G36">
        <v>79</v>
      </c>
      <c r="H36" t="s">
        <v>124</v>
      </c>
      <c r="I36">
        <v>16</v>
      </c>
      <c r="J36" t="s">
        <v>108</v>
      </c>
      <c r="K36">
        <v>21</v>
      </c>
    </row>
    <row r="37" spans="1:11" x14ac:dyDescent="0.3">
      <c r="A37">
        <v>209</v>
      </c>
      <c r="B37" s="2">
        <v>45559.644085648149</v>
      </c>
      <c r="C37">
        <v>8</v>
      </c>
      <c r="D37">
        <v>6</v>
      </c>
      <c r="E37" t="s">
        <v>135</v>
      </c>
      <c r="F37">
        <v>3</v>
      </c>
      <c r="G37">
        <v>79</v>
      </c>
      <c r="H37" t="s">
        <v>124</v>
      </c>
      <c r="I37">
        <v>16</v>
      </c>
      <c r="J37" t="s">
        <v>108</v>
      </c>
      <c r="K37">
        <v>21</v>
      </c>
    </row>
    <row r="38" spans="1:11" x14ac:dyDescent="0.3">
      <c r="A38">
        <v>192</v>
      </c>
      <c r="B38" s="2">
        <v>45559.588333333333</v>
      </c>
      <c r="C38">
        <v>0</v>
      </c>
      <c r="D38">
        <v>0</v>
      </c>
      <c r="E38" t="s">
        <v>134</v>
      </c>
      <c r="F38">
        <v>0</v>
      </c>
      <c r="G38">
        <v>80</v>
      </c>
      <c r="H38" t="s">
        <v>125</v>
      </c>
      <c r="I38">
        <v>16</v>
      </c>
      <c r="J38" t="s">
        <v>108</v>
      </c>
      <c r="K38">
        <v>21</v>
      </c>
    </row>
    <row r="39" spans="1:11" x14ac:dyDescent="0.3">
      <c r="A39">
        <v>198</v>
      </c>
      <c r="B39" s="2">
        <v>45559.602453703701</v>
      </c>
      <c r="C39">
        <v>9</v>
      </c>
      <c r="D39">
        <v>10</v>
      </c>
      <c r="E39" t="s">
        <v>135</v>
      </c>
      <c r="F39">
        <v>1</v>
      </c>
      <c r="G39">
        <v>80</v>
      </c>
      <c r="H39" t="s">
        <v>125</v>
      </c>
      <c r="I39">
        <v>16</v>
      </c>
      <c r="J39" t="s">
        <v>108</v>
      </c>
      <c r="K39">
        <v>21</v>
      </c>
    </row>
    <row r="40" spans="1:11" x14ac:dyDescent="0.3">
      <c r="A40">
        <v>203</v>
      </c>
      <c r="B40" s="2">
        <v>45559.626400462963</v>
      </c>
      <c r="C40">
        <v>9</v>
      </c>
      <c r="D40">
        <v>8</v>
      </c>
      <c r="E40" t="s">
        <v>135</v>
      </c>
      <c r="F40">
        <v>2</v>
      </c>
      <c r="G40">
        <v>80</v>
      </c>
      <c r="H40" t="s">
        <v>125</v>
      </c>
      <c r="I40">
        <v>16</v>
      </c>
      <c r="J40" t="s">
        <v>108</v>
      </c>
      <c r="K40">
        <v>21</v>
      </c>
    </row>
    <row r="41" spans="1:11" x14ac:dyDescent="0.3">
      <c r="A41">
        <v>208</v>
      </c>
      <c r="B41" s="2">
        <v>45559.642500000002</v>
      </c>
      <c r="C41">
        <v>9</v>
      </c>
      <c r="D41">
        <v>10</v>
      </c>
      <c r="E41" t="s">
        <v>135</v>
      </c>
      <c r="F41">
        <v>3</v>
      </c>
      <c r="G41">
        <v>80</v>
      </c>
      <c r="H41" t="s">
        <v>125</v>
      </c>
      <c r="I41">
        <v>16</v>
      </c>
      <c r="J41" t="s">
        <v>108</v>
      </c>
      <c r="K41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workbookViewId="0">
      <selection activeCell="E3" sqref="E3"/>
    </sheetView>
  </sheetViews>
  <sheetFormatPr defaultRowHeight="14.4" x14ac:dyDescent="0.3"/>
  <cols>
    <col min="4" max="4" width="8.5546875" bestFit="1" customWidth="1"/>
    <col min="5" max="5" width="13.6640625" bestFit="1" customWidth="1"/>
  </cols>
  <sheetData>
    <row r="1" spans="1:5" s="1" customFormat="1" x14ac:dyDescent="0.3">
      <c r="A1" s="1" t="s">
        <v>98</v>
      </c>
      <c r="B1" s="1" t="s">
        <v>136</v>
      </c>
      <c r="C1" s="1" t="s">
        <v>137</v>
      </c>
      <c r="D1" s="1" t="s">
        <v>131</v>
      </c>
      <c r="E1" s="1" t="s">
        <v>138</v>
      </c>
    </row>
    <row r="2" spans="1:5" x14ac:dyDescent="0.3">
      <c r="A2">
        <v>516</v>
      </c>
      <c r="B2" t="s">
        <v>27</v>
      </c>
      <c r="D2">
        <v>72</v>
      </c>
      <c r="E2">
        <v>118</v>
      </c>
    </row>
    <row r="3" spans="1:5" x14ac:dyDescent="0.3">
      <c r="A3">
        <v>517</v>
      </c>
      <c r="B3" t="s">
        <v>28</v>
      </c>
      <c r="D3">
        <v>72</v>
      </c>
      <c r="E3">
        <v>120</v>
      </c>
    </row>
    <row r="4" spans="1:5" x14ac:dyDescent="0.3">
      <c r="A4">
        <v>518</v>
      </c>
      <c r="B4" t="s">
        <v>29</v>
      </c>
      <c r="D4">
        <v>72</v>
      </c>
      <c r="E4">
        <v>117</v>
      </c>
    </row>
    <row r="5" spans="1:5" x14ac:dyDescent="0.3">
      <c r="A5">
        <v>519</v>
      </c>
      <c r="B5" t="s">
        <v>30</v>
      </c>
      <c r="D5">
        <v>72</v>
      </c>
      <c r="E5">
        <v>119</v>
      </c>
    </row>
    <row r="6" spans="1:5" x14ac:dyDescent="0.3">
      <c r="A6">
        <v>520</v>
      </c>
      <c r="B6" t="s">
        <v>31</v>
      </c>
      <c r="D6">
        <v>72</v>
      </c>
      <c r="E6">
        <v>121</v>
      </c>
    </row>
    <row r="7" spans="1:5" x14ac:dyDescent="0.3">
      <c r="A7">
        <v>521</v>
      </c>
      <c r="B7" t="s">
        <v>32</v>
      </c>
      <c r="D7">
        <v>72</v>
      </c>
      <c r="E7">
        <v>122</v>
      </c>
    </row>
    <row r="8" spans="1:5" x14ac:dyDescent="0.3">
      <c r="A8">
        <v>522</v>
      </c>
      <c r="B8" t="s">
        <v>33</v>
      </c>
      <c r="D8">
        <v>72</v>
      </c>
      <c r="E8">
        <v>120</v>
      </c>
    </row>
    <row r="9" spans="1:5" x14ac:dyDescent="0.3">
      <c r="A9">
        <v>523</v>
      </c>
      <c r="B9" t="s">
        <v>139</v>
      </c>
      <c r="D9">
        <v>72</v>
      </c>
      <c r="E9">
        <v>120</v>
      </c>
    </row>
    <row r="10" spans="1:5" x14ac:dyDescent="0.3">
      <c r="A10">
        <v>588</v>
      </c>
      <c r="B10" t="s">
        <v>19</v>
      </c>
      <c r="D10">
        <v>81</v>
      </c>
      <c r="E10">
        <v>118</v>
      </c>
    </row>
    <row r="11" spans="1:5" x14ac:dyDescent="0.3">
      <c r="A11">
        <v>589</v>
      </c>
      <c r="B11" t="s">
        <v>20</v>
      </c>
      <c r="D11">
        <v>81</v>
      </c>
      <c r="E11">
        <v>120</v>
      </c>
    </row>
    <row r="12" spans="1:5" x14ac:dyDescent="0.3">
      <c r="A12">
        <v>590</v>
      </c>
      <c r="B12" t="s">
        <v>21</v>
      </c>
      <c r="D12">
        <v>81</v>
      </c>
      <c r="E12">
        <v>117</v>
      </c>
    </row>
    <row r="13" spans="1:5" x14ac:dyDescent="0.3">
      <c r="A13">
        <v>591</v>
      </c>
      <c r="B13" t="s">
        <v>22</v>
      </c>
      <c r="D13">
        <v>81</v>
      </c>
      <c r="E13">
        <v>119</v>
      </c>
    </row>
    <row r="14" spans="1:5" x14ac:dyDescent="0.3">
      <c r="A14">
        <v>592</v>
      </c>
      <c r="B14" t="s">
        <v>23</v>
      </c>
      <c r="D14">
        <v>81</v>
      </c>
      <c r="E14">
        <v>121</v>
      </c>
    </row>
    <row r="15" spans="1:5" x14ac:dyDescent="0.3">
      <c r="A15">
        <v>593</v>
      </c>
      <c r="B15" t="s">
        <v>24</v>
      </c>
      <c r="D15">
        <v>81</v>
      </c>
      <c r="E15">
        <v>122</v>
      </c>
    </row>
    <row r="16" spans="1:5" x14ac:dyDescent="0.3">
      <c r="A16">
        <v>594</v>
      </c>
      <c r="B16" t="s">
        <v>25</v>
      </c>
      <c r="D16">
        <v>81</v>
      </c>
      <c r="E16">
        <v>120</v>
      </c>
    </row>
    <row r="17" spans="1:5" x14ac:dyDescent="0.3">
      <c r="A17">
        <v>595</v>
      </c>
      <c r="B17" t="s">
        <v>26</v>
      </c>
      <c r="D17">
        <v>81</v>
      </c>
      <c r="E17">
        <v>120</v>
      </c>
    </row>
    <row r="18" spans="1:5" x14ac:dyDescent="0.3">
      <c r="A18">
        <v>524</v>
      </c>
      <c r="B18" t="s">
        <v>34</v>
      </c>
      <c r="D18">
        <v>73</v>
      </c>
      <c r="E18">
        <v>118</v>
      </c>
    </row>
    <row r="19" spans="1:5" x14ac:dyDescent="0.3">
      <c r="A19">
        <v>525</v>
      </c>
      <c r="B19" t="s">
        <v>35</v>
      </c>
      <c r="D19">
        <v>73</v>
      </c>
      <c r="E19">
        <v>120</v>
      </c>
    </row>
    <row r="20" spans="1:5" x14ac:dyDescent="0.3">
      <c r="A20">
        <v>526</v>
      </c>
      <c r="B20" t="s">
        <v>36</v>
      </c>
      <c r="D20">
        <v>73</v>
      </c>
      <c r="E20">
        <v>117</v>
      </c>
    </row>
    <row r="21" spans="1:5" x14ac:dyDescent="0.3">
      <c r="A21">
        <v>527</v>
      </c>
      <c r="B21" t="s">
        <v>37</v>
      </c>
      <c r="D21">
        <v>73</v>
      </c>
      <c r="E21">
        <v>119</v>
      </c>
    </row>
    <row r="22" spans="1:5" x14ac:dyDescent="0.3">
      <c r="A22">
        <v>528</v>
      </c>
      <c r="B22" t="s">
        <v>38</v>
      </c>
      <c r="D22">
        <v>73</v>
      </c>
      <c r="E22">
        <v>121</v>
      </c>
    </row>
    <row r="23" spans="1:5" x14ac:dyDescent="0.3">
      <c r="A23">
        <v>529</v>
      </c>
      <c r="B23" t="s">
        <v>39</v>
      </c>
      <c r="D23">
        <v>73</v>
      </c>
      <c r="E23">
        <v>122</v>
      </c>
    </row>
    <row r="24" spans="1:5" x14ac:dyDescent="0.3">
      <c r="A24">
        <v>530</v>
      </c>
      <c r="B24" t="s">
        <v>40</v>
      </c>
      <c r="D24">
        <v>73</v>
      </c>
      <c r="E24">
        <v>120</v>
      </c>
    </row>
    <row r="25" spans="1:5" x14ac:dyDescent="0.3">
      <c r="A25">
        <v>531</v>
      </c>
      <c r="B25" t="s">
        <v>41</v>
      </c>
      <c r="D25">
        <v>73</v>
      </c>
      <c r="E25">
        <v>120</v>
      </c>
    </row>
    <row r="26" spans="1:5" x14ac:dyDescent="0.3">
      <c r="A26">
        <v>532</v>
      </c>
      <c r="B26" t="s">
        <v>42</v>
      </c>
      <c r="D26">
        <v>74</v>
      </c>
      <c r="E26">
        <v>118</v>
      </c>
    </row>
    <row r="27" spans="1:5" x14ac:dyDescent="0.3">
      <c r="A27">
        <v>533</v>
      </c>
      <c r="B27" t="s">
        <v>43</v>
      </c>
      <c r="D27">
        <v>74</v>
      </c>
      <c r="E27">
        <v>120</v>
      </c>
    </row>
    <row r="28" spans="1:5" x14ac:dyDescent="0.3">
      <c r="A28">
        <v>534</v>
      </c>
      <c r="B28" t="s">
        <v>44</v>
      </c>
      <c r="D28">
        <v>74</v>
      </c>
      <c r="E28">
        <v>117</v>
      </c>
    </row>
    <row r="29" spans="1:5" x14ac:dyDescent="0.3">
      <c r="A29">
        <v>535</v>
      </c>
      <c r="B29" t="s">
        <v>45</v>
      </c>
      <c r="D29">
        <v>74</v>
      </c>
      <c r="E29">
        <v>119</v>
      </c>
    </row>
    <row r="30" spans="1:5" x14ac:dyDescent="0.3">
      <c r="A30">
        <v>536</v>
      </c>
      <c r="B30" t="s">
        <v>46</v>
      </c>
      <c r="D30">
        <v>74</v>
      </c>
      <c r="E30">
        <v>121</v>
      </c>
    </row>
    <row r="31" spans="1:5" x14ac:dyDescent="0.3">
      <c r="A31">
        <v>537</v>
      </c>
      <c r="B31" t="s">
        <v>47</v>
      </c>
      <c r="D31">
        <v>74</v>
      </c>
      <c r="E31">
        <v>122</v>
      </c>
    </row>
    <row r="32" spans="1:5" x14ac:dyDescent="0.3">
      <c r="A32">
        <v>538</v>
      </c>
      <c r="B32" t="s">
        <v>48</v>
      </c>
      <c r="D32">
        <v>74</v>
      </c>
      <c r="E32">
        <v>120</v>
      </c>
    </row>
    <row r="33" spans="1:5" x14ac:dyDescent="0.3">
      <c r="A33">
        <v>539</v>
      </c>
      <c r="B33" t="s">
        <v>49</v>
      </c>
      <c r="D33">
        <v>74</v>
      </c>
      <c r="E33">
        <v>120</v>
      </c>
    </row>
    <row r="34" spans="1:5" x14ac:dyDescent="0.3">
      <c r="A34">
        <v>540</v>
      </c>
      <c r="B34" t="s">
        <v>50</v>
      </c>
      <c r="D34">
        <v>75</v>
      </c>
      <c r="E34">
        <v>118</v>
      </c>
    </row>
    <row r="35" spans="1:5" x14ac:dyDescent="0.3">
      <c r="A35">
        <v>541</v>
      </c>
      <c r="B35" t="s">
        <v>51</v>
      </c>
      <c r="D35">
        <v>75</v>
      </c>
      <c r="E35">
        <v>120</v>
      </c>
    </row>
    <row r="36" spans="1:5" x14ac:dyDescent="0.3">
      <c r="A36">
        <v>542</v>
      </c>
      <c r="B36" t="s">
        <v>52</v>
      </c>
      <c r="D36">
        <v>75</v>
      </c>
      <c r="E36">
        <v>117</v>
      </c>
    </row>
    <row r="37" spans="1:5" x14ac:dyDescent="0.3">
      <c r="A37">
        <v>543</v>
      </c>
      <c r="B37" t="s">
        <v>53</v>
      </c>
      <c r="D37">
        <v>75</v>
      </c>
      <c r="E37">
        <v>119</v>
      </c>
    </row>
    <row r="38" spans="1:5" x14ac:dyDescent="0.3">
      <c r="A38">
        <v>544</v>
      </c>
      <c r="B38" t="s">
        <v>54</v>
      </c>
      <c r="D38">
        <v>75</v>
      </c>
      <c r="E38">
        <v>121</v>
      </c>
    </row>
    <row r="39" spans="1:5" x14ac:dyDescent="0.3">
      <c r="A39">
        <v>545</v>
      </c>
      <c r="B39" t="s">
        <v>55</v>
      </c>
      <c r="D39">
        <v>75</v>
      </c>
      <c r="E39">
        <v>122</v>
      </c>
    </row>
    <row r="40" spans="1:5" x14ac:dyDescent="0.3">
      <c r="A40">
        <v>546</v>
      </c>
      <c r="B40" t="s">
        <v>56</v>
      </c>
      <c r="D40">
        <v>75</v>
      </c>
      <c r="E40">
        <v>120</v>
      </c>
    </row>
    <row r="41" spans="1:5" x14ac:dyDescent="0.3">
      <c r="A41">
        <v>547</v>
      </c>
      <c r="B41" t="s">
        <v>57</v>
      </c>
      <c r="D41">
        <v>75</v>
      </c>
      <c r="E41">
        <v>120</v>
      </c>
    </row>
    <row r="42" spans="1:5" x14ac:dyDescent="0.3">
      <c r="A42">
        <v>548</v>
      </c>
      <c r="B42" t="s">
        <v>58</v>
      </c>
      <c r="D42">
        <v>76</v>
      </c>
      <c r="E42">
        <v>118</v>
      </c>
    </row>
    <row r="43" spans="1:5" x14ac:dyDescent="0.3">
      <c r="A43">
        <v>549</v>
      </c>
      <c r="B43" t="s">
        <v>59</v>
      </c>
      <c r="D43">
        <v>76</v>
      </c>
      <c r="E43">
        <v>120</v>
      </c>
    </row>
    <row r="44" spans="1:5" x14ac:dyDescent="0.3">
      <c r="A44">
        <v>550</v>
      </c>
      <c r="B44" t="s">
        <v>60</v>
      </c>
      <c r="D44">
        <v>76</v>
      </c>
      <c r="E44">
        <v>117</v>
      </c>
    </row>
    <row r="45" spans="1:5" x14ac:dyDescent="0.3">
      <c r="A45">
        <v>551</v>
      </c>
      <c r="B45" t="s">
        <v>61</v>
      </c>
      <c r="D45">
        <v>76</v>
      </c>
      <c r="E45">
        <v>119</v>
      </c>
    </row>
    <row r="46" spans="1:5" x14ac:dyDescent="0.3">
      <c r="A46">
        <v>552</v>
      </c>
      <c r="B46" t="s">
        <v>62</v>
      </c>
      <c r="D46">
        <v>76</v>
      </c>
      <c r="E46">
        <v>121</v>
      </c>
    </row>
    <row r="47" spans="1:5" x14ac:dyDescent="0.3">
      <c r="A47">
        <v>553</v>
      </c>
      <c r="B47" t="s">
        <v>63</v>
      </c>
      <c r="D47">
        <v>76</v>
      </c>
      <c r="E47">
        <v>122</v>
      </c>
    </row>
    <row r="48" spans="1:5" x14ac:dyDescent="0.3">
      <c r="A48">
        <v>554</v>
      </c>
      <c r="B48" t="s">
        <v>64</v>
      </c>
      <c r="D48">
        <v>76</v>
      </c>
      <c r="E48">
        <v>120</v>
      </c>
    </row>
    <row r="49" spans="1:5" x14ac:dyDescent="0.3">
      <c r="A49">
        <v>555</v>
      </c>
      <c r="B49" t="s">
        <v>65</v>
      </c>
      <c r="D49">
        <v>76</v>
      </c>
      <c r="E49">
        <v>120</v>
      </c>
    </row>
    <row r="50" spans="1:5" x14ac:dyDescent="0.3">
      <c r="A50">
        <v>556</v>
      </c>
      <c r="B50" t="s">
        <v>66</v>
      </c>
      <c r="D50">
        <v>77</v>
      </c>
      <c r="E50">
        <v>118</v>
      </c>
    </row>
    <row r="51" spans="1:5" x14ac:dyDescent="0.3">
      <c r="A51">
        <v>557</v>
      </c>
      <c r="B51" t="s">
        <v>67</v>
      </c>
      <c r="D51">
        <v>77</v>
      </c>
      <c r="E51">
        <v>120</v>
      </c>
    </row>
    <row r="52" spans="1:5" x14ac:dyDescent="0.3">
      <c r="A52">
        <v>558</v>
      </c>
      <c r="B52" t="s">
        <v>68</v>
      </c>
      <c r="D52">
        <v>77</v>
      </c>
      <c r="E52">
        <v>117</v>
      </c>
    </row>
    <row r="53" spans="1:5" x14ac:dyDescent="0.3">
      <c r="A53">
        <v>559</v>
      </c>
      <c r="B53" t="s">
        <v>69</v>
      </c>
      <c r="D53">
        <v>77</v>
      </c>
      <c r="E53">
        <v>119</v>
      </c>
    </row>
    <row r="54" spans="1:5" x14ac:dyDescent="0.3">
      <c r="A54">
        <v>560</v>
      </c>
      <c r="B54" t="s">
        <v>70</v>
      </c>
      <c r="D54">
        <v>77</v>
      </c>
      <c r="E54">
        <v>121</v>
      </c>
    </row>
    <row r="55" spans="1:5" x14ac:dyDescent="0.3">
      <c r="A55">
        <v>561</v>
      </c>
      <c r="B55" t="s">
        <v>71</v>
      </c>
      <c r="D55">
        <v>77</v>
      </c>
      <c r="E55">
        <v>122</v>
      </c>
    </row>
    <row r="56" spans="1:5" x14ac:dyDescent="0.3">
      <c r="A56">
        <v>562</v>
      </c>
      <c r="B56" t="s">
        <v>72</v>
      </c>
      <c r="D56">
        <v>77</v>
      </c>
      <c r="E56">
        <v>120</v>
      </c>
    </row>
    <row r="57" spans="1:5" x14ac:dyDescent="0.3">
      <c r="A57">
        <v>563</v>
      </c>
      <c r="B57" t="s">
        <v>73</v>
      </c>
      <c r="D57">
        <v>77</v>
      </c>
      <c r="E57">
        <v>120</v>
      </c>
    </row>
    <row r="58" spans="1:5" x14ac:dyDescent="0.3">
      <c r="A58">
        <v>564</v>
      </c>
      <c r="B58" t="s">
        <v>74</v>
      </c>
      <c r="D58">
        <v>78</v>
      </c>
      <c r="E58">
        <v>118</v>
      </c>
    </row>
    <row r="59" spans="1:5" x14ac:dyDescent="0.3">
      <c r="A59">
        <v>565</v>
      </c>
      <c r="B59" t="s">
        <v>75</v>
      </c>
      <c r="D59">
        <v>78</v>
      </c>
      <c r="E59">
        <v>120</v>
      </c>
    </row>
    <row r="60" spans="1:5" x14ac:dyDescent="0.3">
      <c r="A60">
        <v>566</v>
      </c>
      <c r="B60" t="s">
        <v>76</v>
      </c>
      <c r="D60">
        <v>78</v>
      </c>
      <c r="E60">
        <v>117</v>
      </c>
    </row>
    <row r="61" spans="1:5" x14ac:dyDescent="0.3">
      <c r="A61">
        <v>567</v>
      </c>
      <c r="B61" t="s">
        <v>77</v>
      </c>
      <c r="D61">
        <v>78</v>
      </c>
      <c r="E61">
        <v>119</v>
      </c>
    </row>
    <row r="62" spans="1:5" x14ac:dyDescent="0.3">
      <c r="A62">
        <v>568</v>
      </c>
      <c r="B62" t="s">
        <v>78</v>
      </c>
      <c r="D62">
        <v>78</v>
      </c>
      <c r="E62">
        <v>121</v>
      </c>
    </row>
    <row r="63" spans="1:5" x14ac:dyDescent="0.3">
      <c r="A63">
        <v>569</v>
      </c>
      <c r="B63" t="s">
        <v>79</v>
      </c>
      <c r="D63">
        <v>78</v>
      </c>
      <c r="E63">
        <v>122</v>
      </c>
    </row>
    <row r="64" spans="1:5" x14ac:dyDescent="0.3">
      <c r="A64">
        <v>570</v>
      </c>
      <c r="B64" t="s">
        <v>80</v>
      </c>
      <c r="D64">
        <v>78</v>
      </c>
      <c r="E64">
        <v>120</v>
      </c>
    </row>
    <row r="65" spans="1:5" x14ac:dyDescent="0.3">
      <c r="A65">
        <v>571</v>
      </c>
      <c r="B65" t="s">
        <v>81</v>
      </c>
      <c r="D65">
        <v>78</v>
      </c>
      <c r="E65">
        <v>120</v>
      </c>
    </row>
    <row r="66" spans="1:5" x14ac:dyDescent="0.3">
      <c r="A66">
        <v>572</v>
      </c>
      <c r="B66" t="s">
        <v>82</v>
      </c>
      <c r="D66">
        <v>79</v>
      </c>
      <c r="E66">
        <v>118</v>
      </c>
    </row>
    <row r="67" spans="1:5" x14ac:dyDescent="0.3">
      <c r="A67">
        <v>573</v>
      </c>
      <c r="B67" t="s">
        <v>83</v>
      </c>
      <c r="D67">
        <v>79</v>
      </c>
      <c r="E67">
        <v>120</v>
      </c>
    </row>
    <row r="68" spans="1:5" x14ac:dyDescent="0.3">
      <c r="A68">
        <v>574</v>
      </c>
      <c r="B68" t="s">
        <v>84</v>
      </c>
      <c r="D68">
        <v>79</v>
      </c>
      <c r="E68">
        <v>117</v>
      </c>
    </row>
    <row r="69" spans="1:5" x14ac:dyDescent="0.3">
      <c r="A69">
        <v>575</v>
      </c>
      <c r="B69" t="s">
        <v>85</v>
      </c>
      <c r="D69">
        <v>79</v>
      </c>
      <c r="E69">
        <v>119</v>
      </c>
    </row>
    <row r="70" spans="1:5" x14ac:dyDescent="0.3">
      <c r="A70">
        <v>576</v>
      </c>
      <c r="B70" t="s">
        <v>86</v>
      </c>
      <c r="D70">
        <v>79</v>
      </c>
      <c r="E70">
        <v>121</v>
      </c>
    </row>
    <row r="71" spans="1:5" x14ac:dyDescent="0.3">
      <c r="A71">
        <v>577</v>
      </c>
      <c r="B71" t="s">
        <v>87</v>
      </c>
      <c r="D71">
        <v>79</v>
      </c>
      <c r="E71">
        <v>122</v>
      </c>
    </row>
    <row r="72" spans="1:5" x14ac:dyDescent="0.3">
      <c r="A72">
        <v>578</v>
      </c>
      <c r="B72" t="s">
        <v>88</v>
      </c>
      <c r="D72">
        <v>79</v>
      </c>
      <c r="E72">
        <v>120</v>
      </c>
    </row>
    <row r="73" spans="1:5" x14ac:dyDescent="0.3">
      <c r="A73">
        <v>579</v>
      </c>
      <c r="B73" t="s">
        <v>89</v>
      </c>
      <c r="D73">
        <v>79</v>
      </c>
      <c r="E73">
        <v>120</v>
      </c>
    </row>
    <row r="74" spans="1:5" x14ac:dyDescent="0.3">
      <c r="A74">
        <v>580</v>
      </c>
      <c r="B74" t="s">
        <v>90</v>
      </c>
      <c r="D74">
        <v>80</v>
      </c>
      <c r="E74">
        <v>118</v>
      </c>
    </row>
    <row r="75" spans="1:5" x14ac:dyDescent="0.3">
      <c r="A75">
        <v>581</v>
      </c>
      <c r="B75" t="s">
        <v>91</v>
      </c>
      <c r="D75">
        <v>80</v>
      </c>
      <c r="E75">
        <v>120</v>
      </c>
    </row>
    <row r="76" spans="1:5" x14ac:dyDescent="0.3">
      <c r="A76">
        <v>582</v>
      </c>
      <c r="B76" t="s">
        <v>92</v>
      </c>
      <c r="D76">
        <v>80</v>
      </c>
      <c r="E76">
        <v>117</v>
      </c>
    </row>
    <row r="77" spans="1:5" x14ac:dyDescent="0.3">
      <c r="A77">
        <v>583</v>
      </c>
      <c r="B77" t="s">
        <v>93</v>
      </c>
      <c r="D77">
        <v>80</v>
      </c>
      <c r="E77">
        <v>119</v>
      </c>
    </row>
    <row r="78" spans="1:5" x14ac:dyDescent="0.3">
      <c r="A78">
        <v>584</v>
      </c>
      <c r="B78" t="s">
        <v>94</v>
      </c>
      <c r="D78">
        <v>80</v>
      </c>
      <c r="E78">
        <v>121</v>
      </c>
    </row>
    <row r="79" spans="1:5" x14ac:dyDescent="0.3">
      <c r="A79">
        <v>585</v>
      </c>
      <c r="B79" t="s">
        <v>95</v>
      </c>
      <c r="D79">
        <v>80</v>
      </c>
      <c r="E79">
        <v>122</v>
      </c>
    </row>
    <row r="80" spans="1:5" x14ac:dyDescent="0.3">
      <c r="A80">
        <v>586</v>
      </c>
      <c r="B80" t="s">
        <v>96</v>
      </c>
      <c r="D80">
        <v>80</v>
      </c>
      <c r="E80">
        <v>120</v>
      </c>
    </row>
    <row r="81" spans="1:5" x14ac:dyDescent="0.3">
      <c r="A81">
        <v>587</v>
      </c>
      <c r="B81" t="s">
        <v>97</v>
      </c>
      <c r="D81">
        <v>80</v>
      </c>
      <c r="E81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2446-15E7-43F2-B24E-A13BBE42FA9F}">
  <sheetPr>
    <tabColor rgb="FFFFFF00"/>
  </sheetPr>
  <dimension ref="A3:K11"/>
  <sheetViews>
    <sheetView zoomScale="89" workbookViewId="0">
      <selection activeCell="P29" sqref="P29"/>
    </sheetView>
  </sheetViews>
  <sheetFormatPr defaultRowHeight="14.4" x14ac:dyDescent="0.3"/>
  <cols>
    <col min="1" max="1" width="39.88671875" bestFit="1" customWidth="1"/>
    <col min="2" max="2" width="13.5546875" bestFit="1" customWidth="1"/>
    <col min="3" max="7" width="4" bestFit="1" customWidth="1"/>
    <col min="8" max="8" width="9.88671875" bestFit="1" customWidth="1"/>
  </cols>
  <sheetData>
    <row r="3" spans="1:11" x14ac:dyDescent="0.3">
      <c r="A3" s="4" t="s">
        <v>177</v>
      </c>
      <c r="B3" s="4" t="s">
        <v>180</v>
      </c>
    </row>
    <row r="4" spans="1:11" x14ac:dyDescent="0.3">
      <c r="A4" s="4" t="s">
        <v>178</v>
      </c>
      <c r="B4">
        <v>117</v>
      </c>
      <c r="C4">
        <v>118</v>
      </c>
      <c r="D4">
        <v>119</v>
      </c>
      <c r="E4">
        <v>120</v>
      </c>
      <c r="F4">
        <v>121</v>
      </c>
      <c r="G4">
        <v>122</v>
      </c>
      <c r="H4" t="s">
        <v>179</v>
      </c>
    </row>
    <row r="5" spans="1:11" x14ac:dyDescent="0.3">
      <c r="A5" s="5" t="s">
        <v>181</v>
      </c>
      <c r="B5">
        <v>8</v>
      </c>
      <c r="C5">
        <v>3</v>
      </c>
      <c r="D5">
        <v>24</v>
      </c>
      <c r="E5">
        <v>52</v>
      </c>
      <c r="H5">
        <v>87</v>
      </c>
    </row>
    <row r="6" spans="1:11" x14ac:dyDescent="0.3">
      <c r="A6" s="5" t="s">
        <v>182</v>
      </c>
      <c r="B6">
        <v>3</v>
      </c>
      <c r="C6">
        <v>5</v>
      </c>
      <c r="D6">
        <v>7</v>
      </c>
      <c r="E6">
        <v>44</v>
      </c>
      <c r="F6">
        <v>19</v>
      </c>
      <c r="G6">
        <v>45</v>
      </c>
      <c r="H6">
        <v>123</v>
      </c>
    </row>
    <row r="7" spans="1:11" x14ac:dyDescent="0.3">
      <c r="A7" s="5" t="s">
        <v>183</v>
      </c>
      <c r="B7">
        <v>1</v>
      </c>
      <c r="C7">
        <v>7</v>
      </c>
      <c r="D7">
        <v>8</v>
      </c>
      <c r="E7">
        <v>24</v>
      </c>
      <c r="F7">
        <v>21</v>
      </c>
      <c r="G7">
        <v>16</v>
      </c>
      <c r="H7">
        <v>77</v>
      </c>
    </row>
    <row r="8" spans="1:11" x14ac:dyDescent="0.3">
      <c r="A8" s="5" t="s">
        <v>179</v>
      </c>
      <c r="B8">
        <v>12</v>
      </c>
      <c r="C8">
        <v>15</v>
      </c>
      <c r="D8">
        <v>39</v>
      </c>
      <c r="E8">
        <v>120</v>
      </c>
      <c r="F8">
        <v>40</v>
      </c>
      <c r="G8">
        <v>61</v>
      </c>
      <c r="H8">
        <v>287</v>
      </c>
    </row>
    <row r="9" spans="1:11" x14ac:dyDescent="0.3">
      <c r="A9" s="5"/>
    </row>
    <row r="11" spans="1:11" x14ac:dyDescent="0.3">
      <c r="K11" t="s">
        <v>190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E772-BDDD-4C91-88FA-13CF4A10BCA4}">
  <sheetPr>
    <tabColor rgb="FFFFFF00"/>
  </sheetPr>
  <dimension ref="A1"/>
  <sheetViews>
    <sheetView workbookViewId="0">
      <selection activeCell="O7" sqref="O7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635A-095B-41E5-8BB2-14E01B676379}">
  <sheetPr>
    <tabColor rgb="FFFFFF00"/>
  </sheetPr>
  <dimension ref="A3:D10"/>
  <sheetViews>
    <sheetView zoomScale="105" workbookViewId="0">
      <selection activeCell="C7" sqref="C7"/>
    </sheetView>
  </sheetViews>
  <sheetFormatPr defaultRowHeight="14.4" x14ac:dyDescent="0.3"/>
  <cols>
    <col min="1" max="1" width="15.33203125" bestFit="1" customWidth="1"/>
    <col min="2" max="2" width="45.88671875" bestFit="1" customWidth="1"/>
    <col min="3" max="3" width="57" bestFit="1" customWidth="1"/>
    <col min="4" max="4" width="51" bestFit="1" customWidth="1"/>
  </cols>
  <sheetData>
    <row r="3" spans="1:4" x14ac:dyDescent="0.3">
      <c r="A3" s="4" t="s">
        <v>178</v>
      </c>
      <c r="B3" t="s">
        <v>188</v>
      </c>
      <c r="C3" t="s">
        <v>189</v>
      </c>
      <c r="D3" t="s">
        <v>187</v>
      </c>
    </row>
    <row r="4" spans="1:4" x14ac:dyDescent="0.3">
      <c r="A4" s="5">
        <v>117</v>
      </c>
      <c r="B4">
        <v>2800</v>
      </c>
      <c r="C4">
        <v>1712.5</v>
      </c>
      <c r="D4">
        <v>-2</v>
      </c>
    </row>
    <row r="5" spans="1:4" x14ac:dyDescent="0.3">
      <c r="A5" s="5">
        <v>118</v>
      </c>
      <c r="B5">
        <v>2200</v>
      </c>
      <c r="C5">
        <v>3912.5</v>
      </c>
      <c r="D5">
        <v>-1.5333333333333334</v>
      </c>
    </row>
    <row r="6" spans="1:4" x14ac:dyDescent="0.3">
      <c r="A6" s="5">
        <v>119</v>
      </c>
      <c r="B6">
        <v>1900</v>
      </c>
      <c r="C6">
        <v>6843.75</v>
      </c>
      <c r="D6">
        <v>-1.2</v>
      </c>
    </row>
    <row r="7" spans="1:4" x14ac:dyDescent="0.3">
      <c r="A7" s="5">
        <v>120</v>
      </c>
      <c r="B7">
        <v>2265.4867256637167</v>
      </c>
      <c r="C7">
        <v>12829.646017699115</v>
      </c>
      <c r="D7">
        <v>-0.66666666666666663</v>
      </c>
    </row>
    <row r="8" spans="1:4" x14ac:dyDescent="0.3">
      <c r="A8" s="5">
        <v>121</v>
      </c>
      <c r="B8">
        <v>1500</v>
      </c>
      <c r="C8">
        <v>14025</v>
      </c>
      <c r="D8">
        <v>-0.43333333333333335</v>
      </c>
    </row>
    <row r="9" spans="1:4" x14ac:dyDescent="0.3">
      <c r="A9" s="5">
        <v>122</v>
      </c>
      <c r="B9">
        <v>1600</v>
      </c>
      <c r="C9">
        <v>25175</v>
      </c>
      <c r="D9">
        <v>0.76666666666666672</v>
      </c>
    </row>
    <row r="10" spans="1:4" x14ac:dyDescent="0.3">
      <c r="A10" s="5" t="s">
        <v>179</v>
      </c>
      <c r="B10">
        <v>2095.8466453674123</v>
      </c>
      <c r="C10">
        <v>11234.82428115016</v>
      </c>
      <c r="D10">
        <v>-0.80341880341880345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89DF-FB18-4F97-9BCA-20855D6BE50B}">
  <sheetPr>
    <tabColor rgb="FFFFFF00"/>
  </sheetPr>
  <dimension ref="A3:H8"/>
  <sheetViews>
    <sheetView workbookViewId="0">
      <selection activeCell="O29" sqref="O29"/>
    </sheetView>
  </sheetViews>
  <sheetFormatPr defaultRowHeight="14.4" x14ac:dyDescent="0.3"/>
  <cols>
    <col min="1" max="1" width="39.109375" bestFit="1" customWidth="1"/>
    <col min="2" max="2" width="13.44140625" bestFit="1" customWidth="1"/>
    <col min="3" max="7" width="4" bestFit="1" customWidth="1"/>
    <col min="8" max="8" width="9.5546875" bestFit="1" customWidth="1"/>
  </cols>
  <sheetData>
    <row r="3" spans="1:8" x14ac:dyDescent="0.3">
      <c r="A3" s="4" t="s">
        <v>177</v>
      </c>
      <c r="B3" s="4" t="s">
        <v>180</v>
      </c>
    </row>
    <row r="4" spans="1:8" x14ac:dyDescent="0.3">
      <c r="A4" s="4" t="s">
        <v>178</v>
      </c>
      <c r="B4">
        <v>117</v>
      </c>
      <c r="C4">
        <v>118</v>
      </c>
      <c r="D4">
        <v>119</v>
      </c>
      <c r="E4">
        <v>120</v>
      </c>
      <c r="F4">
        <v>121</v>
      </c>
      <c r="G4">
        <v>122</v>
      </c>
      <c r="H4" t="s">
        <v>179</v>
      </c>
    </row>
    <row r="5" spans="1:8" x14ac:dyDescent="0.3">
      <c r="A5" s="5" t="s">
        <v>192</v>
      </c>
      <c r="B5" s="6">
        <v>3</v>
      </c>
      <c r="C5" s="6">
        <v>5</v>
      </c>
      <c r="D5" s="6">
        <v>7</v>
      </c>
      <c r="E5" s="6">
        <v>44</v>
      </c>
      <c r="F5" s="6">
        <v>19</v>
      </c>
      <c r="G5" s="6">
        <v>45</v>
      </c>
      <c r="H5" s="6">
        <v>123</v>
      </c>
    </row>
    <row r="6" spans="1:8" x14ac:dyDescent="0.3">
      <c r="A6" s="5" t="s">
        <v>193</v>
      </c>
      <c r="B6" s="6">
        <v>1</v>
      </c>
      <c r="C6" s="6">
        <v>7</v>
      </c>
      <c r="D6" s="6">
        <v>8</v>
      </c>
      <c r="E6" s="6">
        <v>24</v>
      </c>
      <c r="F6" s="6">
        <v>21</v>
      </c>
      <c r="G6" s="6">
        <v>16</v>
      </c>
      <c r="H6" s="6">
        <v>77</v>
      </c>
    </row>
    <row r="7" spans="1:8" x14ac:dyDescent="0.3">
      <c r="A7" s="5" t="s">
        <v>194</v>
      </c>
      <c r="B7" s="6">
        <v>8</v>
      </c>
      <c r="C7" s="6">
        <v>3</v>
      </c>
      <c r="D7" s="6">
        <v>24</v>
      </c>
      <c r="E7" s="6">
        <v>52</v>
      </c>
      <c r="F7" s="6"/>
      <c r="G7" s="6"/>
      <c r="H7" s="6">
        <v>87</v>
      </c>
    </row>
    <row r="8" spans="1:8" x14ac:dyDescent="0.3">
      <c r="A8" s="5" t="s">
        <v>179</v>
      </c>
      <c r="B8" s="6">
        <v>12</v>
      </c>
      <c r="C8" s="6">
        <v>15</v>
      </c>
      <c r="D8" s="6">
        <v>39</v>
      </c>
      <c r="E8" s="6">
        <v>120</v>
      </c>
      <c r="F8" s="6">
        <v>40</v>
      </c>
      <c r="G8" s="6">
        <v>61</v>
      </c>
      <c r="H8" s="6">
        <v>287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7399-08D1-42E1-AF68-94929A876F82}">
  <sheetPr>
    <tabColor rgb="FFFFFF00"/>
  </sheetPr>
  <dimension ref="A1:I47"/>
  <sheetViews>
    <sheetView topLeftCell="F9" zoomScale="85" workbookViewId="0">
      <selection activeCell="I47" sqref="I47"/>
    </sheetView>
  </sheetViews>
  <sheetFormatPr defaultRowHeight="14.4" x14ac:dyDescent="0.3"/>
  <cols>
    <col min="1" max="1" width="24.33203125" bestFit="1" customWidth="1"/>
    <col min="2" max="2" width="25.44140625" bestFit="1" customWidth="1"/>
    <col min="3" max="3" width="34.21875" bestFit="1" customWidth="1"/>
    <col min="4" max="4" width="46.6640625" bestFit="1" customWidth="1"/>
    <col min="5" max="5" width="36.109375" bestFit="1" customWidth="1"/>
    <col min="6" max="6" width="44" bestFit="1" customWidth="1"/>
    <col min="7" max="7" width="46.33203125" bestFit="1" customWidth="1"/>
    <col min="8" max="8" width="32.109375" bestFit="1" customWidth="1"/>
    <col min="9" max="9" width="25.5546875" bestFit="1" customWidth="1"/>
    <col min="10" max="10" width="23.5546875" bestFit="1" customWidth="1"/>
  </cols>
  <sheetData>
    <row r="1" spans="1:8" x14ac:dyDescent="0.3">
      <c r="A1" s="4" t="s">
        <v>3</v>
      </c>
      <c r="B1" s="5">
        <v>3</v>
      </c>
    </row>
    <row r="3" spans="1:8" x14ac:dyDescent="0.3">
      <c r="A3" s="4" t="s">
        <v>178</v>
      </c>
      <c r="B3" t="s">
        <v>200</v>
      </c>
      <c r="C3" t="s">
        <v>199</v>
      </c>
      <c r="D3" t="s">
        <v>198</v>
      </c>
      <c r="E3" t="s">
        <v>188</v>
      </c>
      <c r="F3" t="s">
        <v>189</v>
      </c>
      <c r="G3" t="s">
        <v>195</v>
      </c>
      <c r="H3" t="s">
        <v>197</v>
      </c>
    </row>
    <row r="4" spans="1:8" x14ac:dyDescent="0.3">
      <c r="A4" s="5">
        <v>117</v>
      </c>
      <c r="B4" s="6">
        <v>6650</v>
      </c>
      <c r="C4" s="6">
        <v>7500</v>
      </c>
      <c r="D4" s="6">
        <v>2000</v>
      </c>
      <c r="E4" s="6">
        <v>3600</v>
      </c>
      <c r="F4" s="6">
        <v>800</v>
      </c>
      <c r="G4" s="6">
        <v>0</v>
      </c>
      <c r="H4" s="6">
        <v>-1</v>
      </c>
    </row>
    <row r="5" spans="1:8" x14ac:dyDescent="0.3">
      <c r="A5" s="5">
        <v>118</v>
      </c>
      <c r="B5" s="6">
        <v>5800</v>
      </c>
      <c r="C5" s="6">
        <v>9800</v>
      </c>
      <c r="D5" s="6">
        <v>0</v>
      </c>
      <c r="E5" s="6">
        <v>3200</v>
      </c>
      <c r="F5" s="6">
        <v>5300</v>
      </c>
      <c r="G5" s="6">
        <v>0</v>
      </c>
      <c r="H5" s="6">
        <v>0.4</v>
      </c>
    </row>
    <row r="6" spans="1:8" x14ac:dyDescent="0.3">
      <c r="A6" s="5">
        <v>119</v>
      </c>
      <c r="B6" s="6">
        <v>1900</v>
      </c>
      <c r="C6" s="6">
        <v>12250</v>
      </c>
      <c r="D6" s="6">
        <v>3000</v>
      </c>
      <c r="E6" s="6">
        <v>2800</v>
      </c>
      <c r="F6" s="6">
        <v>12675</v>
      </c>
      <c r="G6" s="6">
        <v>0</v>
      </c>
      <c r="H6" s="6">
        <v>1.4</v>
      </c>
    </row>
    <row r="7" spans="1:8" x14ac:dyDescent="0.3">
      <c r="A7" s="5">
        <v>120</v>
      </c>
      <c r="B7" s="6">
        <v>3357.1428571428573</v>
      </c>
      <c r="C7" s="6">
        <v>15696.428571428571</v>
      </c>
      <c r="D7" s="6">
        <v>1785.7142857142858</v>
      </c>
      <c r="E7" s="6">
        <v>4428.5714285714284</v>
      </c>
      <c r="F7" s="6">
        <v>18214.285714285714</v>
      </c>
      <c r="G7" s="6">
        <v>0</v>
      </c>
      <c r="H7" s="6">
        <v>3</v>
      </c>
    </row>
    <row r="8" spans="1:8" x14ac:dyDescent="0.3">
      <c r="A8" s="5">
        <v>121</v>
      </c>
      <c r="B8" s="6">
        <v>2300</v>
      </c>
      <c r="C8" s="6">
        <v>18200</v>
      </c>
      <c r="D8" s="6">
        <v>0</v>
      </c>
      <c r="E8" s="6">
        <v>2000</v>
      </c>
      <c r="F8" s="6">
        <v>14200</v>
      </c>
      <c r="G8" s="6">
        <v>0</v>
      </c>
      <c r="H8" s="6">
        <v>3.7</v>
      </c>
    </row>
    <row r="9" spans="1:8" x14ac:dyDescent="0.3">
      <c r="A9" s="5">
        <v>122</v>
      </c>
      <c r="B9" s="6">
        <v>400</v>
      </c>
      <c r="C9" s="6">
        <v>29000</v>
      </c>
      <c r="D9" s="6">
        <v>0</v>
      </c>
      <c r="E9" s="6">
        <v>3200</v>
      </c>
      <c r="F9" s="6">
        <v>24500</v>
      </c>
      <c r="G9" s="6">
        <v>0</v>
      </c>
      <c r="H9" s="6">
        <v>7.3</v>
      </c>
    </row>
    <row r="10" spans="1:8" x14ac:dyDescent="0.3">
      <c r="A10" s="5" t="s">
        <v>179</v>
      </c>
      <c r="B10" s="6">
        <v>3391.0256410256411</v>
      </c>
      <c r="C10" s="6">
        <v>15474.358974358975</v>
      </c>
      <c r="D10" s="6">
        <v>1282.051282051282</v>
      </c>
      <c r="E10" s="6">
        <v>3487.1794871794873</v>
      </c>
      <c r="F10" s="6">
        <v>13907.051282051281</v>
      </c>
      <c r="G10" s="6">
        <v>0</v>
      </c>
      <c r="H10" s="6">
        <v>2.5897435897435899</v>
      </c>
    </row>
    <row r="47" spans="9:9" x14ac:dyDescent="0.3">
      <c r="I47" s="7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B8733-FAA3-472B-9200-7B51B0595966}">
  <sheetPr>
    <tabColor rgb="FFFFFF00"/>
  </sheetPr>
  <dimension ref="A3:D10"/>
  <sheetViews>
    <sheetView workbookViewId="0">
      <selection activeCell="F12" sqref="F12"/>
    </sheetView>
  </sheetViews>
  <sheetFormatPr defaultRowHeight="14.4" x14ac:dyDescent="0.3"/>
  <cols>
    <col min="1" max="1" width="10.109375" bestFit="1" customWidth="1"/>
    <col min="2" max="2" width="43.77734375" bestFit="1" customWidth="1"/>
    <col min="3" max="3" width="41.5546875" bestFit="1" customWidth="1"/>
    <col min="4" max="4" width="30.109375" bestFit="1" customWidth="1"/>
  </cols>
  <sheetData>
    <row r="3" spans="1:4" x14ac:dyDescent="0.3">
      <c r="A3" s="4" t="s">
        <v>178</v>
      </c>
      <c r="B3" t="s">
        <v>195</v>
      </c>
      <c r="C3" t="s">
        <v>189</v>
      </c>
      <c r="D3" t="s">
        <v>197</v>
      </c>
    </row>
    <row r="4" spans="1:4" x14ac:dyDescent="0.3">
      <c r="A4" s="5">
        <v>117</v>
      </c>
      <c r="B4" s="6">
        <v>0</v>
      </c>
      <c r="C4" s="6">
        <v>1712.5</v>
      </c>
      <c r="D4" s="6">
        <v>2.25</v>
      </c>
    </row>
    <row r="5" spans="1:4" x14ac:dyDescent="0.3">
      <c r="A5" s="5">
        <v>118</v>
      </c>
      <c r="B5" s="6">
        <v>0</v>
      </c>
      <c r="C5" s="6">
        <v>3912.5</v>
      </c>
      <c r="D5" s="6">
        <v>2.7250000000000001</v>
      </c>
    </row>
    <row r="6" spans="1:4" x14ac:dyDescent="0.3">
      <c r="A6" s="5">
        <v>119</v>
      </c>
      <c r="B6" s="6">
        <v>0</v>
      </c>
      <c r="C6" s="6">
        <v>6843.75</v>
      </c>
      <c r="D6" s="6">
        <v>3.4</v>
      </c>
    </row>
    <row r="7" spans="1:4" x14ac:dyDescent="0.3">
      <c r="A7" s="5">
        <v>120</v>
      </c>
      <c r="B7" s="6">
        <v>0</v>
      </c>
      <c r="C7" s="6">
        <v>12829.646017699115</v>
      </c>
      <c r="D7" s="6">
        <v>4.2566371681415927</v>
      </c>
    </row>
    <row r="8" spans="1:4" x14ac:dyDescent="0.3">
      <c r="A8" s="5">
        <v>121</v>
      </c>
      <c r="B8" s="6">
        <v>0</v>
      </c>
      <c r="C8" s="6">
        <v>14025</v>
      </c>
      <c r="D8" s="6">
        <v>4.375</v>
      </c>
    </row>
    <row r="9" spans="1:4" x14ac:dyDescent="0.3">
      <c r="A9" s="5">
        <v>122</v>
      </c>
      <c r="B9" s="6">
        <v>0</v>
      </c>
      <c r="C9" s="6">
        <v>25175</v>
      </c>
      <c r="D9" s="6">
        <v>6.65</v>
      </c>
    </row>
    <row r="10" spans="1:4" x14ac:dyDescent="0.3">
      <c r="A10" s="5" t="s">
        <v>179</v>
      </c>
      <c r="B10" s="6">
        <v>0</v>
      </c>
      <c r="C10" s="6">
        <v>11234.82428115016</v>
      </c>
      <c r="D10" s="6">
        <v>4.0159744408945688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C6A5-BB08-499F-B376-E9BC7CC83A8E}">
  <sheetPr>
    <tabColor rgb="FFFFFF00"/>
  </sheetPr>
  <dimension ref="A1:D10"/>
  <sheetViews>
    <sheetView tabSelected="1" topLeftCell="A7" workbookViewId="0">
      <selection activeCell="H36" sqref="H36"/>
    </sheetView>
  </sheetViews>
  <sheetFormatPr defaultRowHeight="14.4" x14ac:dyDescent="0.3"/>
  <cols>
    <col min="1" max="1" width="23.77734375" bestFit="1" customWidth="1"/>
    <col min="2" max="2" width="41.5546875" bestFit="1" customWidth="1"/>
    <col min="3" max="3" width="34" bestFit="1" customWidth="1"/>
    <col min="4" max="4" width="30.109375" bestFit="1" customWidth="1"/>
    <col min="5" max="5" width="33.21875" bestFit="1" customWidth="1"/>
  </cols>
  <sheetData>
    <row r="1" spans="1:4" x14ac:dyDescent="0.3">
      <c r="A1" s="4" t="s">
        <v>3</v>
      </c>
      <c r="B1" t="s">
        <v>196</v>
      </c>
    </row>
    <row r="3" spans="1:4" x14ac:dyDescent="0.3">
      <c r="A3" s="4" t="s">
        <v>178</v>
      </c>
      <c r="B3" t="s">
        <v>189</v>
      </c>
      <c r="C3" t="s">
        <v>188</v>
      </c>
      <c r="D3" t="s">
        <v>197</v>
      </c>
    </row>
    <row r="4" spans="1:4" x14ac:dyDescent="0.3">
      <c r="A4" s="5">
        <v>117</v>
      </c>
      <c r="B4" s="6">
        <v>1712.5</v>
      </c>
      <c r="C4" s="6">
        <v>2800</v>
      </c>
      <c r="D4" s="6">
        <v>2.25</v>
      </c>
    </row>
    <row r="5" spans="1:4" x14ac:dyDescent="0.3">
      <c r="A5" s="5">
        <v>118</v>
      </c>
      <c r="B5" s="6">
        <v>3912.5</v>
      </c>
      <c r="C5" s="6">
        <v>2200</v>
      </c>
      <c r="D5" s="6">
        <v>2.7250000000000001</v>
      </c>
    </row>
    <row r="6" spans="1:4" x14ac:dyDescent="0.3">
      <c r="A6" s="5">
        <v>119</v>
      </c>
      <c r="B6" s="6">
        <v>6843.75</v>
      </c>
      <c r="C6" s="6">
        <v>1900</v>
      </c>
      <c r="D6" s="6">
        <v>3.4</v>
      </c>
    </row>
    <row r="7" spans="1:4" x14ac:dyDescent="0.3">
      <c r="A7" s="5">
        <v>120</v>
      </c>
      <c r="B7" s="6">
        <v>12829.646017699115</v>
      </c>
      <c r="C7" s="6">
        <v>2265.4867256637167</v>
      </c>
      <c r="D7" s="6">
        <v>4.2566371681415927</v>
      </c>
    </row>
    <row r="8" spans="1:4" x14ac:dyDescent="0.3">
      <c r="A8" s="5">
        <v>121</v>
      </c>
      <c r="B8" s="6">
        <v>14025</v>
      </c>
      <c r="C8" s="6">
        <v>1500</v>
      </c>
      <c r="D8" s="6">
        <v>4.375</v>
      </c>
    </row>
    <row r="9" spans="1:4" x14ac:dyDescent="0.3">
      <c r="A9" s="5">
        <v>122</v>
      </c>
      <c r="B9" s="6">
        <v>25175</v>
      </c>
      <c r="C9" s="6">
        <v>1600</v>
      </c>
      <c r="D9" s="6">
        <v>6.65</v>
      </c>
    </row>
    <row r="10" spans="1:4" x14ac:dyDescent="0.3">
      <c r="A10" s="5" t="s">
        <v>179</v>
      </c>
      <c r="B10" s="6">
        <v>11234.82428115016</v>
      </c>
      <c r="C10" s="6">
        <v>2095.8466453674123</v>
      </c>
      <c r="D10" s="6">
        <v>4.0159744408945688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314"/>
  <sheetViews>
    <sheetView zoomScale="87" zoomScaleNormal="10" workbookViewId="0">
      <selection activeCell="N2" sqref="A1:BF314"/>
    </sheetView>
  </sheetViews>
  <sheetFormatPr defaultRowHeight="14.4" x14ac:dyDescent="0.3"/>
  <cols>
    <col min="1" max="1" width="14" bestFit="1" customWidth="1"/>
    <col min="2" max="2" width="20.6640625" style="2" customWidth="1"/>
    <col min="3" max="3" width="13.44140625" bestFit="1" customWidth="1"/>
    <col min="4" max="4" width="10.6640625" bestFit="1" customWidth="1"/>
    <col min="5" max="5" width="9.5546875" bestFit="1" customWidth="1"/>
    <col min="6" max="6" width="17.88671875" bestFit="1" customWidth="1"/>
    <col min="7" max="7" width="16.33203125" bestFit="1" customWidth="1"/>
    <col min="8" max="8" width="29.6640625" bestFit="1" customWidth="1"/>
    <col min="9" max="9" width="9.77734375" bestFit="1" customWidth="1"/>
    <col min="10" max="10" width="27.109375" bestFit="1" customWidth="1"/>
    <col min="11" max="11" width="29.21875" bestFit="1" customWidth="1"/>
    <col min="12" max="12" width="18.5546875" bestFit="1" customWidth="1"/>
    <col min="13" max="13" width="19" bestFit="1" customWidth="1"/>
    <col min="14" max="14" width="17" bestFit="1" customWidth="1"/>
    <col min="15" max="15" width="24" bestFit="1" customWidth="1"/>
    <col min="16" max="16" width="28.21875" bestFit="1" customWidth="1"/>
    <col min="17" max="17" width="26.109375" bestFit="1" customWidth="1"/>
    <col min="18" max="18" width="28.21875" bestFit="1" customWidth="1"/>
    <col min="19" max="19" width="24.33203125" bestFit="1" customWidth="1"/>
    <col min="20" max="20" width="24.77734375" bestFit="1" customWidth="1"/>
    <col min="21" max="21" width="23.109375" bestFit="1" customWidth="1"/>
    <col min="22" max="22" width="15.5546875" bestFit="1" customWidth="1"/>
    <col min="23" max="23" width="21.109375" bestFit="1" customWidth="1"/>
    <col min="24" max="24" width="18.77734375" bestFit="1" customWidth="1"/>
    <col min="25" max="25" width="20.21875" bestFit="1" customWidth="1"/>
    <col min="26" max="26" width="17.88671875" bestFit="1" customWidth="1"/>
    <col min="27" max="27" width="15.77734375" bestFit="1" customWidth="1"/>
    <col min="28" max="28" width="18.5546875" bestFit="1" customWidth="1"/>
    <col min="29" max="29" width="19.6640625" bestFit="1" customWidth="1"/>
    <col min="30" max="30" width="17.33203125" bestFit="1" customWidth="1"/>
    <col min="31" max="31" width="15.6640625" bestFit="1" customWidth="1"/>
    <col min="32" max="32" width="36.6640625" bestFit="1" customWidth="1"/>
    <col min="33" max="33" width="21.5546875" bestFit="1" customWidth="1"/>
    <col min="34" max="34" width="21" bestFit="1" customWidth="1"/>
    <col min="35" max="35" width="22.77734375" bestFit="1" customWidth="1"/>
    <col min="36" max="36" width="22.33203125" bestFit="1" customWidth="1"/>
    <col min="37" max="37" width="18.109375" bestFit="1" customWidth="1"/>
    <col min="38" max="38" width="17.6640625" bestFit="1" customWidth="1"/>
    <col min="39" max="39" width="18.88671875" bestFit="1" customWidth="1"/>
    <col min="41" max="41" width="13.77734375" bestFit="1" customWidth="1"/>
    <col min="42" max="42" width="18.6640625" bestFit="1" customWidth="1"/>
    <col min="43" max="43" width="18.5546875" bestFit="1" customWidth="1"/>
    <col min="44" max="44" width="19.21875" bestFit="1" customWidth="1"/>
    <col min="45" max="45" width="25.21875" bestFit="1" customWidth="1"/>
    <col min="46" max="46" width="8.5546875" bestFit="1" customWidth="1"/>
    <col min="47" max="47" width="11.77734375" bestFit="1" customWidth="1"/>
    <col min="48" max="48" width="14.33203125" bestFit="1" customWidth="1"/>
    <col min="49" max="49" width="27.88671875" bestFit="1" customWidth="1"/>
    <col min="50" max="50" width="16.6640625" bestFit="1" customWidth="1"/>
    <col min="51" max="51" width="35.6640625" bestFit="1" customWidth="1"/>
    <col min="52" max="52" width="32.109375" customWidth="1"/>
    <col min="53" max="53" width="25.33203125" bestFit="1" customWidth="1"/>
    <col min="54" max="54" width="17" bestFit="1" customWidth="1"/>
    <col min="55" max="55" width="23.109375" bestFit="1" customWidth="1"/>
    <col min="56" max="56" width="20.5546875" bestFit="1" customWidth="1"/>
    <col min="57" max="57" width="27.109375" bestFit="1" customWidth="1"/>
    <col min="58" max="58" width="17" bestFit="1" customWidth="1"/>
  </cols>
  <sheetData>
    <row r="1" spans="1:58" s="1" customFormat="1" x14ac:dyDescent="0.3">
      <c r="A1" s="1" t="s">
        <v>0</v>
      </c>
      <c r="B1" s="1" t="s">
        <v>102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145</v>
      </c>
      <c r="U1" s="1" t="s">
        <v>146</v>
      </c>
      <c r="V1" s="1" t="s">
        <v>147</v>
      </c>
      <c r="W1" s="1" t="s">
        <v>148</v>
      </c>
      <c r="X1" s="1" t="s">
        <v>149</v>
      </c>
      <c r="Y1" s="1" t="s">
        <v>150</v>
      </c>
      <c r="Z1" s="1" t="s">
        <v>151</v>
      </c>
      <c r="AA1" s="1" t="s">
        <v>152</v>
      </c>
      <c r="AB1" s="1" t="s">
        <v>153</v>
      </c>
      <c r="AC1" s="1" t="s">
        <v>154</v>
      </c>
      <c r="AD1" s="1" t="s">
        <v>155</v>
      </c>
      <c r="AE1" s="1" t="s">
        <v>156</v>
      </c>
      <c r="AF1" s="1" t="s">
        <v>157</v>
      </c>
      <c r="AG1" s="1" t="s">
        <v>158</v>
      </c>
      <c r="AH1" s="1" t="s">
        <v>159</v>
      </c>
      <c r="AI1" s="1" t="s">
        <v>160</v>
      </c>
      <c r="AJ1" s="1" t="s">
        <v>161</v>
      </c>
      <c r="AK1" s="1" t="s">
        <v>162</v>
      </c>
      <c r="AL1" s="1" t="s">
        <v>163</v>
      </c>
      <c r="AM1" s="1" t="s">
        <v>164</v>
      </c>
      <c r="AN1" s="1" t="s">
        <v>1</v>
      </c>
      <c r="AO1" s="1" t="s">
        <v>2</v>
      </c>
      <c r="AP1" s="1" t="s">
        <v>165</v>
      </c>
      <c r="AQ1" s="1" t="s">
        <v>166</v>
      </c>
      <c r="AR1" s="1" t="s">
        <v>167</v>
      </c>
      <c r="AS1" s="1" t="s">
        <v>3</v>
      </c>
      <c r="AT1" s="1" t="s">
        <v>131</v>
      </c>
      <c r="AU1" s="1" t="s">
        <v>132</v>
      </c>
      <c r="AV1" s="1" t="s">
        <v>113</v>
      </c>
      <c r="AW1" s="1" t="s">
        <v>99</v>
      </c>
      <c r="AX1" s="1" t="s">
        <v>133</v>
      </c>
      <c r="AY1" s="1" t="s">
        <v>174</v>
      </c>
      <c r="AZ1" s="1" t="s">
        <v>175</v>
      </c>
      <c r="BA1" s="1" t="s">
        <v>176</v>
      </c>
      <c r="BB1" s="1" t="s">
        <v>191</v>
      </c>
      <c r="BC1" s="1" t="s">
        <v>186</v>
      </c>
      <c r="BD1" s="1" t="s">
        <v>185</v>
      </c>
      <c r="BE1" s="1" t="s">
        <v>11</v>
      </c>
      <c r="BF1" s="1" t="s">
        <v>191</v>
      </c>
    </row>
    <row r="2" spans="1:58" x14ac:dyDescent="0.3">
      <c r="A2">
        <v>610</v>
      </c>
      <c r="B2" s="2">
        <v>45559.438993055563</v>
      </c>
      <c r="C2">
        <v>65000</v>
      </c>
      <c r="D2">
        <v>30000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134</v>
      </c>
      <c r="AN2">
        <v>516</v>
      </c>
      <c r="AO2">
        <v>170</v>
      </c>
      <c r="AS2">
        <v>0</v>
      </c>
      <c r="AT2">
        <v>72</v>
      </c>
      <c r="AU2" t="s">
        <v>116</v>
      </c>
      <c r="AV2">
        <v>16</v>
      </c>
      <c r="AW2" t="s">
        <v>108</v>
      </c>
      <c r="AX2">
        <v>21</v>
      </c>
      <c r="AY2">
        <f>AG2+AH2</f>
        <v>0</v>
      </c>
      <c r="AZ2">
        <f>AK2+AL2</f>
        <v>0</v>
      </c>
      <c r="BA2" cm="1">
        <f t="array" ref="BA2:BA314">+VLOOKUP(AN2:AN314,player!1:1048576,5,0)</f>
        <v>118</v>
      </c>
      <c r="BB2" t="str">
        <f>IF(AY2=15,"(U-village)",IF(AY2=16,"(Dike-town)",IF(AY2=18,"(Natu-city)","")))</f>
        <v/>
      </c>
      <c r="BC2" t="str">
        <f>IF(AN2=AN1,V2-V1,"")</f>
        <v/>
      </c>
      <c r="BD2">
        <f>L2+M2</f>
        <v>0</v>
      </c>
      <c r="BE2">
        <v>0</v>
      </c>
      <c r="BF2" t="str">
        <f>IF(AY2=15,"(U-village)",IF(AY2=16,"(Dike-town)",IF(AY2=18,"(Natu-city)","")))</f>
        <v/>
      </c>
    </row>
    <row r="3" spans="1:58" x14ac:dyDescent="0.3">
      <c r="A3">
        <v>655</v>
      </c>
      <c r="B3" s="2">
        <v>45559.438993055563</v>
      </c>
      <c r="C3">
        <v>65000</v>
      </c>
      <c r="D3">
        <v>30000</v>
      </c>
      <c r="E3">
        <v>0</v>
      </c>
      <c r="F3">
        <v>11000</v>
      </c>
      <c r="G3">
        <v>0</v>
      </c>
      <c r="H3">
        <v>1000</v>
      </c>
      <c r="I3">
        <v>15000</v>
      </c>
      <c r="J3">
        <v>12000</v>
      </c>
      <c r="K3">
        <v>0</v>
      </c>
      <c r="L3">
        <v>0</v>
      </c>
      <c r="M3">
        <v>0</v>
      </c>
      <c r="N3">
        <v>1000</v>
      </c>
      <c r="O3">
        <v>0</v>
      </c>
      <c r="P3">
        <v>-1</v>
      </c>
      <c r="Q3">
        <v>1</v>
      </c>
      <c r="R3">
        <v>0</v>
      </c>
      <c r="S3">
        <v>0</v>
      </c>
      <c r="T3">
        <v>0</v>
      </c>
      <c r="U3">
        <v>0</v>
      </c>
      <c r="V3">
        <v>5</v>
      </c>
      <c r="W3">
        <v>4</v>
      </c>
      <c r="X3">
        <v>110000</v>
      </c>
      <c r="Y3">
        <v>0</v>
      </c>
      <c r="Z3">
        <v>0</v>
      </c>
      <c r="AA3">
        <v>0</v>
      </c>
      <c r="AB3">
        <v>111000</v>
      </c>
      <c r="AC3">
        <v>110000</v>
      </c>
      <c r="AD3">
        <v>99000</v>
      </c>
      <c r="AG3">
        <v>8</v>
      </c>
      <c r="AH3">
        <v>10</v>
      </c>
      <c r="AI3">
        <v>0</v>
      </c>
      <c r="AJ3">
        <v>0</v>
      </c>
      <c r="AK3">
        <v>1</v>
      </c>
      <c r="AL3">
        <v>0</v>
      </c>
      <c r="AM3" t="s">
        <v>168</v>
      </c>
      <c r="AN3">
        <v>516</v>
      </c>
      <c r="AO3">
        <v>179</v>
      </c>
      <c r="AQ3">
        <v>801</v>
      </c>
      <c r="AS3">
        <v>1</v>
      </c>
      <c r="AT3">
        <v>72</v>
      </c>
      <c r="AU3" t="s">
        <v>116</v>
      </c>
      <c r="AV3">
        <v>16</v>
      </c>
      <c r="AW3" t="s">
        <v>108</v>
      </c>
      <c r="AX3">
        <v>21</v>
      </c>
      <c r="AY3">
        <f t="shared" ref="AY3:AY66" si="0">AG3+AH3</f>
        <v>18</v>
      </c>
      <c r="AZ3">
        <f t="shared" ref="AZ3:AZ66" si="1">AK3+AL3</f>
        <v>1</v>
      </c>
      <c r="BA3">
        <v>118</v>
      </c>
      <c r="BB3" t="str">
        <f t="shared" ref="BB3:BB66" si="2">IF(AY3=15,"(U-village)",IF(AY3=16,"(Dike-town)",IF(AY3=18,"(Natu-city)","")))</f>
        <v>(Natu-city)</v>
      </c>
      <c r="BC3">
        <f t="shared" ref="BC3:BC66" si="3">IF(AN3=AN2,V3-V2,"")</f>
        <v>0</v>
      </c>
      <c r="BD3">
        <f t="shared" ref="BD3:BD66" si="4">L3+M3</f>
        <v>0</v>
      </c>
      <c r="BE3">
        <v>12000</v>
      </c>
      <c r="BF3" t="str">
        <f t="shared" ref="BF3:BF66" si="5">IF(AY3=15,"(U-village)",IF(AY3=16,"(Dike-town)",IF(AY3=18,"(Natu-city)","")))</f>
        <v>(Natu-city)</v>
      </c>
    </row>
    <row r="4" spans="1:58" x14ac:dyDescent="0.3">
      <c r="A4">
        <v>685</v>
      </c>
      <c r="B4" s="2">
        <v>45559.438993055563</v>
      </c>
      <c r="C4">
        <v>65000</v>
      </c>
      <c r="D4">
        <v>30000</v>
      </c>
      <c r="E4">
        <v>0</v>
      </c>
      <c r="F4">
        <v>11000</v>
      </c>
      <c r="G4">
        <v>0</v>
      </c>
      <c r="H4">
        <v>0</v>
      </c>
      <c r="I4">
        <v>15000</v>
      </c>
      <c r="J4">
        <v>0</v>
      </c>
      <c r="K4">
        <v>0</v>
      </c>
      <c r="L4">
        <v>0</v>
      </c>
      <c r="M4">
        <v>0</v>
      </c>
      <c r="N4">
        <v>-1000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4</v>
      </c>
      <c r="X4">
        <v>110000</v>
      </c>
      <c r="Y4">
        <v>110000</v>
      </c>
      <c r="Z4">
        <v>99000</v>
      </c>
      <c r="AA4">
        <v>0</v>
      </c>
      <c r="AB4">
        <v>0</v>
      </c>
      <c r="AC4">
        <v>110000</v>
      </c>
      <c r="AD4">
        <v>77000</v>
      </c>
      <c r="AG4">
        <v>8</v>
      </c>
      <c r="AH4">
        <v>10</v>
      </c>
      <c r="AI4">
        <v>-2</v>
      </c>
      <c r="AJ4">
        <v>-1</v>
      </c>
      <c r="AK4">
        <v>0</v>
      </c>
      <c r="AL4">
        <v>0</v>
      </c>
      <c r="AM4" t="s">
        <v>168</v>
      </c>
      <c r="AN4">
        <v>516</v>
      </c>
      <c r="AO4">
        <v>183</v>
      </c>
      <c r="AP4">
        <v>801</v>
      </c>
      <c r="AQ4">
        <v>801</v>
      </c>
      <c r="AS4">
        <v>2</v>
      </c>
      <c r="AT4">
        <v>72</v>
      </c>
      <c r="AU4" t="s">
        <v>116</v>
      </c>
      <c r="AV4">
        <v>16</v>
      </c>
      <c r="AW4" t="s">
        <v>108</v>
      </c>
      <c r="AX4">
        <v>21</v>
      </c>
      <c r="AY4">
        <f t="shared" si="0"/>
        <v>18</v>
      </c>
      <c r="AZ4">
        <f>AK4+AL4</f>
        <v>0</v>
      </c>
      <c r="BA4">
        <v>118</v>
      </c>
      <c r="BB4" t="str">
        <f t="shared" si="2"/>
        <v>(Natu-city)</v>
      </c>
      <c r="BC4">
        <f t="shared" si="3"/>
        <v>0</v>
      </c>
      <c r="BD4">
        <f t="shared" si="4"/>
        <v>0</v>
      </c>
      <c r="BE4">
        <v>0</v>
      </c>
      <c r="BF4" t="str">
        <f t="shared" si="5"/>
        <v>(Natu-city)</v>
      </c>
    </row>
    <row r="5" spans="1:58" x14ac:dyDescent="0.3">
      <c r="A5">
        <v>719</v>
      </c>
      <c r="B5" s="2">
        <v>45559.438993055563</v>
      </c>
      <c r="C5">
        <v>65000</v>
      </c>
      <c r="D5">
        <v>30000</v>
      </c>
      <c r="E5">
        <v>1000</v>
      </c>
      <c r="F5">
        <v>11000</v>
      </c>
      <c r="G5">
        <v>0</v>
      </c>
      <c r="H5">
        <v>0</v>
      </c>
      <c r="I5">
        <v>30000</v>
      </c>
      <c r="J5">
        <v>0</v>
      </c>
      <c r="K5">
        <v>0</v>
      </c>
      <c r="L5">
        <v>0</v>
      </c>
      <c r="M5">
        <v>0</v>
      </c>
      <c r="N5">
        <v>-7000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4</v>
      </c>
      <c r="W5">
        <v>4</v>
      </c>
      <c r="X5">
        <v>110000</v>
      </c>
      <c r="Y5">
        <v>110000</v>
      </c>
      <c r="Z5">
        <v>77000</v>
      </c>
      <c r="AA5">
        <v>0</v>
      </c>
      <c r="AB5">
        <v>0</v>
      </c>
      <c r="AC5">
        <v>110000</v>
      </c>
      <c r="AD5">
        <v>66000</v>
      </c>
      <c r="AG5">
        <v>8</v>
      </c>
      <c r="AH5">
        <v>10</v>
      </c>
      <c r="AI5">
        <v>-2</v>
      </c>
      <c r="AJ5">
        <v>-1</v>
      </c>
      <c r="AK5">
        <v>0</v>
      </c>
      <c r="AL5">
        <v>0</v>
      </c>
      <c r="AM5" t="s">
        <v>168</v>
      </c>
      <c r="AN5">
        <v>516</v>
      </c>
      <c r="AO5">
        <v>188</v>
      </c>
      <c r="AP5">
        <v>801</v>
      </c>
      <c r="AQ5">
        <v>801</v>
      </c>
      <c r="AS5">
        <v>3</v>
      </c>
      <c r="AT5">
        <v>72</v>
      </c>
      <c r="AU5" t="s">
        <v>116</v>
      </c>
      <c r="AV5">
        <v>16</v>
      </c>
      <c r="AW5" t="s">
        <v>108</v>
      </c>
      <c r="AX5">
        <v>21</v>
      </c>
      <c r="AY5">
        <f t="shared" si="0"/>
        <v>18</v>
      </c>
      <c r="AZ5">
        <f t="shared" si="1"/>
        <v>0</v>
      </c>
      <c r="BA5">
        <v>118</v>
      </c>
      <c r="BB5" t="str">
        <f t="shared" si="2"/>
        <v>(Natu-city)</v>
      </c>
      <c r="BC5">
        <f t="shared" si="3"/>
        <v>-1</v>
      </c>
      <c r="BD5">
        <f t="shared" si="4"/>
        <v>0</v>
      </c>
      <c r="BE5">
        <v>0</v>
      </c>
      <c r="BF5" t="str">
        <f t="shared" si="5"/>
        <v>(Natu-city)</v>
      </c>
    </row>
    <row r="6" spans="1:58" x14ac:dyDescent="0.3">
      <c r="A6">
        <v>611</v>
      </c>
      <c r="B6" s="2">
        <v>45559.439027777778</v>
      </c>
      <c r="C6">
        <v>100000</v>
      </c>
      <c r="D6">
        <v>50000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30000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6</v>
      </c>
      <c r="X6">
        <v>170000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134</v>
      </c>
      <c r="AN6">
        <v>517</v>
      </c>
      <c r="AO6">
        <v>170</v>
      </c>
      <c r="AS6">
        <v>0</v>
      </c>
      <c r="AT6">
        <v>72</v>
      </c>
      <c r="AU6" t="s">
        <v>116</v>
      </c>
      <c r="AV6">
        <v>16</v>
      </c>
      <c r="AW6" t="s">
        <v>108</v>
      </c>
      <c r="AX6">
        <v>21</v>
      </c>
      <c r="AY6">
        <f t="shared" si="0"/>
        <v>0</v>
      </c>
      <c r="AZ6">
        <f t="shared" si="1"/>
        <v>0</v>
      </c>
      <c r="BA6">
        <v>120</v>
      </c>
      <c r="BB6" t="str">
        <f t="shared" si="2"/>
        <v/>
      </c>
      <c r="BC6" t="str">
        <f t="shared" si="3"/>
        <v/>
      </c>
      <c r="BD6">
        <f t="shared" si="4"/>
        <v>0</v>
      </c>
      <c r="BE6">
        <v>0</v>
      </c>
      <c r="BF6" t="str">
        <f t="shared" si="5"/>
        <v/>
      </c>
    </row>
    <row r="7" spans="1:58" x14ac:dyDescent="0.3">
      <c r="A7">
        <v>651</v>
      </c>
      <c r="B7" s="2">
        <v>45559.439027777778</v>
      </c>
      <c r="C7">
        <v>100000</v>
      </c>
      <c r="D7">
        <v>50000</v>
      </c>
      <c r="E7">
        <v>0</v>
      </c>
      <c r="F7">
        <v>16000</v>
      </c>
      <c r="G7">
        <v>0</v>
      </c>
      <c r="H7">
        <v>0</v>
      </c>
      <c r="I7">
        <v>20000</v>
      </c>
      <c r="J7">
        <v>32000</v>
      </c>
      <c r="K7">
        <v>0</v>
      </c>
      <c r="L7">
        <v>0</v>
      </c>
      <c r="M7">
        <v>0</v>
      </c>
      <c r="N7">
        <v>12000</v>
      </c>
      <c r="O7">
        <v>0</v>
      </c>
      <c r="P7">
        <v>-1</v>
      </c>
      <c r="Q7">
        <v>2</v>
      </c>
      <c r="R7">
        <v>0</v>
      </c>
      <c r="S7">
        <v>0</v>
      </c>
      <c r="T7">
        <v>0</v>
      </c>
      <c r="U7">
        <v>0</v>
      </c>
      <c r="V7">
        <v>6</v>
      </c>
      <c r="W7">
        <v>6</v>
      </c>
      <c r="X7">
        <v>170000</v>
      </c>
      <c r="Y7">
        <v>0</v>
      </c>
      <c r="Z7">
        <v>0</v>
      </c>
      <c r="AA7">
        <v>0</v>
      </c>
      <c r="AB7">
        <v>160000</v>
      </c>
      <c r="AC7">
        <v>160000</v>
      </c>
      <c r="AD7">
        <v>144000</v>
      </c>
      <c r="AG7">
        <v>6</v>
      </c>
      <c r="AH7">
        <v>10</v>
      </c>
      <c r="AI7">
        <v>0</v>
      </c>
      <c r="AJ7">
        <v>0</v>
      </c>
      <c r="AK7">
        <v>2</v>
      </c>
      <c r="AL7">
        <v>1</v>
      </c>
      <c r="AM7" t="s">
        <v>168</v>
      </c>
      <c r="AN7">
        <v>517</v>
      </c>
      <c r="AO7">
        <v>179</v>
      </c>
      <c r="AQ7">
        <v>803</v>
      </c>
      <c r="AS7">
        <v>1</v>
      </c>
      <c r="AT7">
        <v>72</v>
      </c>
      <c r="AU7" t="s">
        <v>116</v>
      </c>
      <c r="AV7">
        <v>16</v>
      </c>
      <c r="AW7" t="s">
        <v>108</v>
      </c>
      <c r="AX7">
        <v>21</v>
      </c>
      <c r="AY7">
        <f t="shared" si="0"/>
        <v>16</v>
      </c>
      <c r="AZ7">
        <f t="shared" si="1"/>
        <v>3</v>
      </c>
      <c r="BA7">
        <v>120</v>
      </c>
      <c r="BB7" t="str">
        <f t="shared" si="2"/>
        <v>(Dike-town)</v>
      </c>
      <c r="BC7">
        <f t="shared" si="3"/>
        <v>1</v>
      </c>
      <c r="BD7">
        <f t="shared" si="4"/>
        <v>0</v>
      </c>
      <c r="BE7">
        <v>32000</v>
      </c>
      <c r="BF7" t="str">
        <f t="shared" si="5"/>
        <v>(Dike-town)</v>
      </c>
    </row>
    <row r="8" spans="1:58" x14ac:dyDescent="0.3">
      <c r="A8">
        <v>681</v>
      </c>
      <c r="B8" s="2">
        <v>45559.439027777778</v>
      </c>
      <c r="C8">
        <v>100000</v>
      </c>
      <c r="D8">
        <v>50000</v>
      </c>
      <c r="E8">
        <v>0</v>
      </c>
      <c r="F8">
        <v>16000</v>
      </c>
      <c r="G8">
        <v>0</v>
      </c>
      <c r="H8">
        <v>0</v>
      </c>
      <c r="I8">
        <v>20000</v>
      </c>
      <c r="J8">
        <v>18000</v>
      </c>
      <c r="K8">
        <v>0</v>
      </c>
      <c r="L8">
        <v>0</v>
      </c>
      <c r="M8">
        <v>0</v>
      </c>
      <c r="N8">
        <v>8000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6</v>
      </c>
      <c r="W8">
        <v>6</v>
      </c>
      <c r="X8">
        <v>170000</v>
      </c>
      <c r="Y8">
        <v>160000</v>
      </c>
      <c r="Z8">
        <v>144000</v>
      </c>
      <c r="AA8">
        <v>0</v>
      </c>
      <c r="AB8">
        <v>0</v>
      </c>
      <c r="AC8">
        <v>160000</v>
      </c>
      <c r="AD8">
        <v>128000</v>
      </c>
      <c r="AG8">
        <v>6</v>
      </c>
      <c r="AH8">
        <v>10</v>
      </c>
      <c r="AI8">
        <v>-2</v>
      </c>
      <c r="AJ8">
        <v>-1</v>
      </c>
      <c r="AK8">
        <v>2</v>
      </c>
      <c r="AL8">
        <v>1</v>
      </c>
      <c r="AM8" t="s">
        <v>168</v>
      </c>
      <c r="AN8">
        <v>517</v>
      </c>
      <c r="AO8">
        <v>183</v>
      </c>
      <c r="AP8">
        <v>803</v>
      </c>
      <c r="AQ8">
        <v>803</v>
      </c>
      <c r="AS8">
        <v>2</v>
      </c>
      <c r="AT8">
        <v>72</v>
      </c>
      <c r="AU8" t="s">
        <v>116</v>
      </c>
      <c r="AV8">
        <v>16</v>
      </c>
      <c r="AW8" t="s">
        <v>108</v>
      </c>
      <c r="AX8">
        <v>21</v>
      </c>
      <c r="AY8">
        <f t="shared" si="0"/>
        <v>16</v>
      </c>
      <c r="AZ8">
        <f t="shared" si="1"/>
        <v>3</v>
      </c>
      <c r="BA8">
        <v>120</v>
      </c>
      <c r="BB8" t="str">
        <f t="shared" si="2"/>
        <v>(Dike-town)</v>
      </c>
      <c r="BC8">
        <f t="shared" si="3"/>
        <v>0</v>
      </c>
      <c r="BD8">
        <f t="shared" si="4"/>
        <v>0</v>
      </c>
      <c r="BE8">
        <v>18000</v>
      </c>
      <c r="BF8" t="str">
        <f t="shared" si="5"/>
        <v>(Dike-town)</v>
      </c>
    </row>
    <row r="9" spans="1:58" x14ac:dyDescent="0.3">
      <c r="A9">
        <v>724</v>
      </c>
      <c r="B9" s="2">
        <v>45559.439027777778</v>
      </c>
      <c r="C9">
        <v>100000</v>
      </c>
      <c r="D9">
        <v>50000</v>
      </c>
      <c r="E9">
        <v>0</v>
      </c>
      <c r="F9">
        <v>16000</v>
      </c>
      <c r="G9">
        <v>0</v>
      </c>
      <c r="H9">
        <v>0</v>
      </c>
      <c r="I9">
        <v>20000</v>
      </c>
      <c r="J9">
        <v>16000</v>
      </c>
      <c r="K9">
        <v>0</v>
      </c>
      <c r="L9">
        <v>0</v>
      </c>
      <c r="M9">
        <v>4000</v>
      </c>
      <c r="N9">
        <v>2000</v>
      </c>
      <c r="O9">
        <v>0</v>
      </c>
      <c r="P9">
        <v>0</v>
      </c>
      <c r="Q9">
        <v>0</v>
      </c>
      <c r="R9">
        <v>2</v>
      </c>
      <c r="S9">
        <v>0</v>
      </c>
      <c r="T9">
        <v>1</v>
      </c>
      <c r="U9">
        <v>0</v>
      </c>
      <c r="V9">
        <v>7</v>
      </c>
      <c r="W9">
        <v>6</v>
      </c>
      <c r="X9">
        <v>170000</v>
      </c>
      <c r="Y9">
        <v>160000</v>
      </c>
      <c r="Z9">
        <v>128000</v>
      </c>
      <c r="AA9">
        <v>0</v>
      </c>
      <c r="AB9">
        <v>0</v>
      </c>
      <c r="AC9">
        <v>160000</v>
      </c>
      <c r="AD9">
        <v>112000</v>
      </c>
      <c r="AG9">
        <v>6</v>
      </c>
      <c r="AH9">
        <v>10</v>
      </c>
      <c r="AI9">
        <v>-2</v>
      </c>
      <c r="AJ9">
        <v>-1</v>
      </c>
      <c r="AK9">
        <v>0</v>
      </c>
      <c r="AL9">
        <v>0</v>
      </c>
      <c r="AM9" t="s">
        <v>168</v>
      </c>
      <c r="AN9">
        <v>517</v>
      </c>
      <c r="AO9">
        <v>188</v>
      </c>
      <c r="AP9">
        <v>803</v>
      </c>
      <c r="AQ9">
        <v>803</v>
      </c>
      <c r="AS9">
        <v>3</v>
      </c>
      <c r="AT9">
        <v>72</v>
      </c>
      <c r="AU9" t="s">
        <v>116</v>
      </c>
      <c r="AV9">
        <v>16</v>
      </c>
      <c r="AW9" t="s">
        <v>108</v>
      </c>
      <c r="AX9">
        <v>21</v>
      </c>
      <c r="AY9">
        <f t="shared" si="0"/>
        <v>16</v>
      </c>
      <c r="AZ9">
        <f t="shared" si="1"/>
        <v>0</v>
      </c>
      <c r="BA9">
        <v>120</v>
      </c>
      <c r="BB9" t="str">
        <f t="shared" si="2"/>
        <v>(Dike-town)</v>
      </c>
      <c r="BC9">
        <f t="shared" si="3"/>
        <v>1</v>
      </c>
      <c r="BD9">
        <f t="shared" si="4"/>
        <v>4000</v>
      </c>
      <c r="BE9">
        <v>16000</v>
      </c>
      <c r="BF9" t="str">
        <f t="shared" si="5"/>
        <v>(Dike-town)</v>
      </c>
    </row>
    <row r="10" spans="1:58" x14ac:dyDescent="0.3">
      <c r="A10">
        <v>612</v>
      </c>
      <c r="B10" s="2">
        <v>45559.439039351862</v>
      </c>
      <c r="C10">
        <v>50000</v>
      </c>
      <c r="D10">
        <v>20000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</v>
      </c>
      <c r="W10">
        <v>3</v>
      </c>
      <c r="X10">
        <v>80000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134</v>
      </c>
      <c r="AN10">
        <v>518</v>
      </c>
      <c r="AO10">
        <v>170</v>
      </c>
      <c r="AS10">
        <v>0</v>
      </c>
      <c r="AT10">
        <v>72</v>
      </c>
      <c r="AU10" t="s">
        <v>116</v>
      </c>
      <c r="AV10">
        <v>16</v>
      </c>
      <c r="AW10" t="s">
        <v>108</v>
      </c>
      <c r="AX10">
        <v>21</v>
      </c>
      <c r="AY10">
        <f t="shared" si="0"/>
        <v>0</v>
      </c>
      <c r="AZ10">
        <f t="shared" si="1"/>
        <v>0</v>
      </c>
      <c r="BA10">
        <v>117</v>
      </c>
      <c r="BB10" t="str">
        <f t="shared" si="2"/>
        <v/>
      </c>
      <c r="BC10" t="str">
        <f t="shared" si="3"/>
        <v/>
      </c>
      <c r="BD10">
        <f t="shared" si="4"/>
        <v>0</v>
      </c>
      <c r="BE10">
        <v>0</v>
      </c>
      <c r="BF10" t="str">
        <f t="shared" si="5"/>
        <v/>
      </c>
    </row>
    <row r="11" spans="1:58" x14ac:dyDescent="0.3">
      <c r="A11">
        <v>653</v>
      </c>
      <c r="B11" s="2">
        <v>45559.439039351862</v>
      </c>
      <c r="C11">
        <v>50000</v>
      </c>
      <c r="D11">
        <v>20000</v>
      </c>
      <c r="E11">
        <v>0</v>
      </c>
      <c r="F11">
        <v>7000</v>
      </c>
      <c r="G11">
        <v>0</v>
      </c>
      <c r="H11">
        <v>0</v>
      </c>
      <c r="I11">
        <v>20000</v>
      </c>
      <c r="J11">
        <v>3000</v>
      </c>
      <c r="K11">
        <v>0</v>
      </c>
      <c r="L11">
        <v>0</v>
      </c>
      <c r="M11">
        <v>0</v>
      </c>
      <c r="N11">
        <v>0</v>
      </c>
      <c r="O11">
        <v>0</v>
      </c>
      <c r="P11">
        <v>-1</v>
      </c>
      <c r="Q11">
        <v>0</v>
      </c>
      <c r="R11">
        <v>0</v>
      </c>
      <c r="S11">
        <v>1</v>
      </c>
      <c r="T11">
        <v>0</v>
      </c>
      <c r="U11">
        <v>0</v>
      </c>
      <c r="V11">
        <v>3</v>
      </c>
      <c r="W11">
        <v>3</v>
      </c>
      <c r="X11">
        <v>80000</v>
      </c>
      <c r="Y11">
        <v>0</v>
      </c>
      <c r="Z11">
        <v>0</v>
      </c>
      <c r="AA11">
        <v>0</v>
      </c>
      <c r="AB11">
        <v>70000</v>
      </c>
      <c r="AC11">
        <v>70000</v>
      </c>
      <c r="AD11">
        <v>63000</v>
      </c>
      <c r="AG11">
        <v>8</v>
      </c>
      <c r="AH11">
        <v>7</v>
      </c>
      <c r="AI11">
        <v>0</v>
      </c>
      <c r="AJ11">
        <v>0</v>
      </c>
      <c r="AK11">
        <v>0</v>
      </c>
      <c r="AL11">
        <v>1</v>
      </c>
      <c r="AM11" t="s">
        <v>168</v>
      </c>
      <c r="AN11">
        <v>518</v>
      </c>
      <c r="AO11">
        <v>179</v>
      </c>
      <c r="AQ11">
        <v>808</v>
      </c>
      <c r="AS11">
        <v>1</v>
      </c>
      <c r="AT11">
        <v>72</v>
      </c>
      <c r="AU11" t="s">
        <v>116</v>
      </c>
      <c r="AV11">
        <v>16</v>
      </c>
      <c r="AW11" t="s">
        <v>108</v>
      </c>
      <c r="AX11">
        <v>21</v>
      </c>
      <c r="AY11">
        <f t="shared" si="0"/>
        <v>15</v>
      </c>
      <c r="AZ11">
        <f t="shared" si="1"/>
        <v>1</v>
      </c>
      <c r="BA11">
        <v>117</v>
      </c>
      <c r="BB11" t="str">
        <f t="shared" si="2"/>
        <v>(U-village)</v>
      </c>
      <c r="BC11">
        <f t="shared" si="3"/>
        <v>-2</v>
      </c>
      <c r="BD11">
        <f t="shared" si="4"/>
        <v>0</v>
      </c>
      <c r="BE11">
        <v>3000</v>
      </c>
      <c r="BF11" t="str">
        <f t="shared" si="5"/>
        <v>(U-village)</v>
      </c>
    </row>
    <row r="12" spans="1:58" x14ac:dyDescent="0.3">
      <c r="A12">
        <v>682</v>
      </c>
      <c r="B12" s="2">
        <v>45559.439039351862</v>
      </c>
      <c r="C12">
        <v>50000</v>
      </c>
      <c r="D12">
        <v>20000</v>
      </c>
      <c r="E12">
        <v>0</v>
      </c>
      <c r="F12">
        <v>7000</v>
      </c>
      <c r="G12">
        <v>0</v>
      </c>
      <c r="H12">
        <v>0</v>
      </c>
      <c r="I12">
        <v>20000</v>
      </c>
      <c r="J12">
        <v>0</v>
      </c>
      <c r="K12">
        <v>0</v>
      </c>
      <c r="L12">
        <v>0</v>
      </c>
      <c r="M12">
        <v>0</v>
      </c>
      <c r="N12">
        <v>3000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</v>
      </c>
      <c r="W12">
        <v>3</v>
      </c>
      <c r="X12">
        <v>80000</v>
      </c>
      <c r="Y12">
        <v>70000</v>
      </c>
      <c r="Z12">
        <v>63000</v>
      </c>
      <c r="AA12">
        <v>0</v>
      </c>
      <c r="AB12">
        <v>0</v>
      </c>
      <c r="AC12">
        <v>70000</v>
      </c>
      <c r="AD12">
        <v>56000</v>
      </c>
      <c r="AG12">
        <v>8</v>
      </c>
      <c r="AH12">
        <v>7</v>
      </c>
      <c r="AI12">
        <v>-2</v>
      </c>
      <c r="AJ12">
        <v>-1</v>
      </c>
      <c r="AK12">
        <v>0</v>
      </c>
      <c r="AL12">
        <v>0</v>
      </c>
      <c r="AM12" t="s">
        <v>168</v>
      </c>
      <c r="AN12">
        <v>518</v>
      </c>
      <c r="AO12">
        <v>183</v>
      </c>
      <c r="AP12">
        <v>808</v>
      </c>
      <c r="AQ12">
        <v>808</v>
      </c>
      <c r="AS12">
        <v>2</v>
      </c>
      <c r="AT12">
        <v>72</v>
      </c>
      <c r="AU12" t="s">
        <v>116</v>
      </c>
      <c r="AV12">
        <v>16</v>
      </c>
      <c r="AW12" t="s">
        <v>108</v>
      </c>
      <c r="AX12">
        <v>21</v>
      </c>
      <c r="AY12">
        <f t="shared" si="0"/>
        <v>15</v>
      </c>
      <c r="AZ12">
        <f t="shared" si="1"/>
        <v>0</v>
      </c>
      <c r="BA12">
        <v>117</v>
      </c>
      <c r="BB12" t="str">
        <f t="shared" si="2"/>
        <v>(U-village)</v>
      </c>
      <c r="BC12">
        <f t="shared" si="3"/>
        <v>0</v>
      </c>
      <c r="BD12">
        <f t="shared" si="4"/>
        <v>0</v>
      </c>
      <c r="BE12">
        <v>0</v>
      </c>
      <c r="BF12" t="str">
        <f t="shared" si="5"/>
        <v>(U-village)</v>
      </c>
    </row>
    <row r="13" spans="1:58" x14ac:dyDescent="0.3">
      <c r="A13">
        <v>722</v>
      </c>
      <c r="B13" s="2">
        <v>45559.439039351862</v>
      </c>
      <c r="C13">
        <v>50000</v>
      </c>
      <c r="D13">
        <v>20000</v>
      </c>
      <c r="E13">
        <v>0</v>
      </c>
      <c r="F13">
        <v>8000</v>
      </c>
      <c r="G13">
        <v>9000</v>
      </c>
      <c r="H13">
        <v>20000</v>
      </c>
      <c r="I13">
        <v>30000</v>
      </c>
      <c r="J13">
        <v>0</v>
      </c>
      <c r="K13">
        <v>0</v>
      </c>
      <c r="L13">
        <v>0</v>
      </c>
      <c r="M13">
        <v>0</v>
      </c>
      <c r="N13">
        <v>-16000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3</v>
      </c>
      <c r="X13">
        <v>80000</v>
      </c>
      <c r="Y13">
        <v>70000</v>
      </c>
      <c r="Z13">
        <v>56000</v>
      </c>
      <c r="AA13">
        <v>65000</v>
      </c>
      <c r="AB13">
        <v>100000</v>
      </c>
      <c r="AC13">
        <v>80000</v>
      </c>
      <c r="AD13">
        <v>72000</v>
      </c>
      <c r="AE13">
        <v>27</v>
      </c>
      <c r="AG13">
        <v>8</v>
      </c>
      <c r="AH13">
        <v>10</v>
      </c>
      <c r="AI13">
        <v>-2</v>
      </c>
      <c r="AJ13">
        <v>-1</v>
      </c>
      <c r="AK13">
        <v>0</v>
      </c>
      <c r="AL13">
        <v>1</v>
      </c>
      <c r="AM13" t="s">
        <v>168</v>
      </c>
      <c r="AN13">
        <v>518</v>
      </c>
      <c r="AO13">
        <v>188</v>
      </c>
      <c r="AP13">
        <v>808</v>
      </c>
      <c r="AQ13">
        <v>856</v>
      </c>
      <c r="AS13">
        <v>3</v>
      </c>
      <c r="AT13">
        <v>72</v>
      </c>
      <c r="AU13" t="s">
        <v>116</v>
      </c>
      <c r="AV13">
        <v>16</v>
      </c>
      <c r="AW13" t="s">
        <v>108</v>
      </c>
      <c r="AX13">
        <v>21</v>
      </c>
      <c r="AY13">
        <f t="shared" si="0"/>
        <v>18</v>
      </c>
      <c r="AZ13">
        <f t="shared" si="1"/>
        <v>1</v>
      </c>
      <c r="BA13">
        <v>117</v>
      </c>
      <c r="BB13" t="str">
        <f t="shared" si="2"/>
        <v>(Natu-city)</v>
      </c>
      <c r="BC13">
        <f t="shared" si="3"/>
        <v>-1</v>
      </c>
      <c r="BD13">
        <f t="shared" si="4"/>
        <v>0</v>
      </c>
      <c r="BE13">
        <v>0</v>
      </c>
      <c r="BF13" t="str">
        <f t="shared" si="5"/>
        <v>(Natu-city)</v>
      </c>
    </row>
    <row r="14" spans="1:58" x14ac:dyDescent="0.3">
      <c r="A14">
        <v>616</v>
      </c>
      <c r="B14" s="2">
        <v>45559.439143518517</v>
      </c>
      <c r="C14">
        <v>80000</v>
      </c>
      <c r="D14">
        <v>40000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15000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5</v>
      </c>
      <c r="W14">
        <v>5</v>
      </c>
      <c r="X14">
        <v>130000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134</v>
      </c>
      <c r="AN14">
        <v>519</v>
      </c>
      <c r="AO14">
        <v>170</v>
      </c>
      <c r="AS14">
        <v>0</v>
      </c>
      <c r="AT14">
        <v>72</v>
      </c>
      <c r="AU14" t="s">
        <v>116</v>
      </c>
      <c r="AV14">
        <v>16</v>
      </c>
      <c r="AW14" t="s">
        <v>108</v>
      </c>
      <c r="AX14">
        <v>21</v>
      </c>
      <c r="AY14">
        <f t="shared" si="0"/>
        <v>0</v>
      </c>
      <c r="AZ14">
        <f t="shared" si="1"/>
        <v>0</v>
      </c>
      <c r="BA14">
        <v>119</v>
      </c>
      <c r="BB14" t="str">
        <f t="shared" si="2"/>
        <v/>
      </c>
      <c r="BC14" t="str">
        <f t="shared" si="3"/>
        <v/>
      </c>
      <c r="BD14">
        <f t="shared" si="4"/>
        <v>0</v>
      </c>
      <c r="BE14">
        <v>0</v>
      </c>
      <c r="BF14" t="str">
        <f t="shared" si="5"/>
        <v/>
      </c>
    </row>
    <row r="15" spans="1:58" x14ac:dyDescent="0.3">
      <c r="A15">
        <v>654</v>
      </c>
      <c r="B15" s="2">
        <v>45559.439143518517</v>
      </c>
      <c r="C15">
        <v>80000</v>
      </c>
      <c r="D15">
        <v>40000</v>
      </c>
      <c r="E15">
        <v>0</v>
      </c>
      <c r="F15">
        <v>12500</v>
      </c>
      <c r="G15">
        <v>0</v>
      </c>
      <c r="H15">
        <v>0</v>
      </c>
      <c r="I15">
        <v>20000</v>
      </c>
      <c r="J15">
        <v>15000</v>
      </c>
      <c r="K15">
        <v>0</v>
      </c>
      <c r="L15">
        <v>0</v>
      </c>
      <c r="M15">
        <v>0</v>
      </c>
      <c r="N15">
        <v>7500</v>
      </c>
      <c r="O15">
        <v>0</v>
      </c>
      <c r="P15">
        <v>-1</v>
      </c>
      <c r="Q15">
        <v>1</v>
      </c>
      <c r="R15">
        <v>0</v>
      </c>
      <c r="S15">
        <v>1</v>
      </c>
      <c r="T15">
        <v>0</v>
      </c>
      <c r="U15">
        <v>0</v>
      </c>
      <c r="V15">
        <v>4</v>
      </c>
      <c r="W15">
        <v>5</v>
      </c>
      <c r="X15">
        <v>130000</v>
      </c>
      <c r="Y15">
        <v>0</v>
      </c>
      <c r="Z15">
        <v>0</v>
      </c>
      <c r="AA15">
        <v>0</v>
      </c>
      <c r="AB15">
        <v>125000</v>
      </c>
      <c r="AC15">
        <v>125000</v>
      </c>
      <c r="AD15">
        <v>112500</v>
      </c>
      <c r="AG15">
        <v>8</v>
      </c>
      <c r="AH15">
        <v>7</v>
      </c>
      <c r="AI15">
        <v>0</v>
      </c>
      <c r="AJ15">
        <v>0</v>
      </c>
      <c r="AK15">
        <v>1</v>
      </c>
      <c r="AL15">
        <v>1</v>
      </c>
      <c r="AM15" t="s">
        <v>168</v>
      </c>
      <c r="AN15">
        <v>519</v>
      </c>
      <c r="AO15">
        <v>179</v>
      </c>
      <c r="AQ15">
        <v>807</v>
      </c>
      <c r="AS15">
        <v>1</v>
      </c>
      <c r="AT15">
        <v>72</v>
      </c>
      <c r="AU15" t="s">
        <v>116</v>
      </c>
      <c r="AV15">
        <v>16</v>
      </c>
      <c r="AW15" t="s">
        <v>108</v>
      </c>
      <c r="AX15">
        <v>21</v>
      </c>
      <c r="AY15">
        <f t="shared" si="0"/>
        <v>15</v>
      </c>
      <c r="AZ15">
        <f t="shared" si="1"/>
        <v>2</v>
      </c>
      <c r="BA15">
        <v>119</v>
      </c>
      <c r="BB15" t="str">
        <f t="shared" si="2"/>
        <v>(U-village)</v>
      </c>
      <c r="BC15">
        <f t="shared" si="3"/>
        <v>-1</v>
      </c>
      <c r="BD15">
        <f t="shared" si="4"/>
        <v>0</v>
      </c>
      <c r="BE15">
        <v>15000</v>
      </c>
      <c r="BF15" t="str">
        <f t="shared" si="5"/>
        <v>(U-village)</v>
      </c>
    </row>
    <row r="16" spans="1:58" x14ac:dyDescent="0.3">
      <c r="A16">
        <v>684</v>
      </c>
      <c r="B16" s="2">
        <v>45559.439143518517</v>
      </c>
      <c r="C16">
        <v>80000</v>
      </c>
      <c r="D16">
        <v>40000</v>
      </c>
      <c r="E16">
        <v>0</v>
      </c>
      <c r="F16">
        <v>12500</v>
      </c>
      <c r="G16">
        <v>0</v>
      </c>
      <c r="H16">
        <v>0</v>
      </c>
      <c r="I16">
        <v>20000</v>
      </c>
      <c r="J16">
        <v>6250</v>
      </c>
      <c r="K16">
        <v>0</v>
      </c>
      <c r="L16">
        <v>0</v>
      </c>
      <c r="M16">
        <v>0</v>
      </c>
      <c r="N16">
        <v>8750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5</v>
      </c>
      <c r="W16">
        <v>5</v>
      </c>
      <c r="X16">
        <v>130000</v>
      </c>
      <c r="Y16">
        <v>125000</v>
      </c>
      <c r="Z16">
        <v>112500</v>
      </c>
      <c r="AA16">
        <v>0</v>
      </c>
      <c r="AB16">
        <v>0</v>
      </c>
      <c r="AC16">
        <v>125000</v>
      </c>
      <c r="AD16">
        <v>100000</v>
      </c>
      <c r="AG16">
        <v>8</v>
      </c>
      <c r="AH16">
        <v>7</v>
      </c>
      <c r="AI16">
        <v>-2</v>
      </c>
      <c r="AJ16">
        <v>-1</v>
      </c>
      <c r="AK16">
        <v>0</v>
      </c>
      <c r="AL16">
        <v>0</v>
      </c>
      <c r="AM16" t="s">
        <v>168</v>
      </c>
      <c r="AN16">
        <v>519</v>
      </c>
      <c r="AO16">
        <v>183</v>
      </c>
      <c r="AP16">
        <v>807</v>
      </c>
      <c r="AQ16">
        <v>807</v>
      </c>
      <c r="AS16">
        <v>2</v>
      </c>
      <c r="AT16">
        <v>72</v>
      </c>
      <c r="AU16" t="s">
        <v>116</v>
      </c>
      <c r="AV16">
        <v>16</v>
      </c>
      <c r="AW16" t="s">
        <v>108</v>
      </c>
      <c r="AX16">
        <v>21</v>
      </c>
      <c r="AY16">
        <f t="shared" si="0"/>
        <v>15</v>
      </c>
      <c r="AZ16">
        <f t="shared" si="1"/>
        <v>0</v>
      </c>
      <c r="BA16">
        <v>119</v>
      </c>
      <c r="BB16" t="str">
        <f t="shared" si="2"/>
        <v>(U-village)</v>
      </c>
      <c r="BC16">
        <f t="shared" si="3"/>
        <v>1</v>
      </c>
      <c r="BD16">
        <f t="shared" si="4"/>
        <v>0</v>
      </c>
      <c r="BE16">
        <v>6250</v>
      </c>
      <c r="BF16" t="str">
        <f t="shared" si="5"/>
        <v>(U-village)</v>
      </c>
    </row>
    <row r="17" spans="1:58" x14ac:dyDescent="0.3">
      <c r="A17">
        <v>723</v>
      </c>
      <c r="B17" s="2">
        <v>45559.439143518517</v>
      </c>
      <c r="C17">
        <v>80000</v>
      </c>
      <c r="D17">
        <v>40000</v>
      </c>
      <c r="E17">
        <v>0</v>
      </c>
      <c r="F17">
        <v>12500</v>
      </c>
      <c r="G17">
        <v>20000</v>
      </c>
      <c r="H17">
        <v>0</v>
      </c>
      <c r="I17">
        <v>20000</v>
      </c>
      <c r="J17">
        <v>23500</v>
      </c>
      <c r="K17">
        <v>0</v>
      </c>
      <c r="L17">
        <v>0</v>
      </c>
      <c r="M17">
        <v>0</v>
      </c>
      <c r="N17">
        <v>12750</v>
      </c>
      <c r="O17">
        <v>1</v>
      </c>
      <c r="P17">
        <v>-1</v>
      </c>
      <c r="Q17">
        <v>0</v>
      </c>
      <c r="R17">
        <v>3</v>
      </c>
      <c r="S17">
        <v>0</v>
      </c>
      <c r="T17">
        <v>0</v>
      </c>
      <c r="U17">
        <v>0</v>
      </c>
      <c r="V17">
        <v>6</v>
      </c>
      <c r="W17">
        <v>5</v>
      </c>
      <c r="X17">
        <v>130000</v>
      </c>
      <c r="Y17">
        <v>125000</v>
      </c>
      <c r="Z17">
        <v>100000</v>
      </c>
      <c r="AA17">
        <v>120000</v>
      </c>
      <c r="AB17">
        <v>125000</v>
      </c>
      <c r="AC17">
        <v>125000</v>
      </c>
      <c r="AD17">
        <v>112500</v>
      </c>
      <c r="AE17">
        <v>29</v>
      </c>
      <c r="AF17" t="s">
        <v>169</v>
      </c>
      <c r="AG17">
        <v>8</v>
      </c>
      <c r="AH17">
        <v>7</v>
      </c>
      <c r="AI17">
        <v>-2</v>
      </c>
      <c r="AJ17">
        <v>-1</v>
      </c>
      <c r="AK17">
        <v>2</v>
      </c>
      <c r="AL17">
        <v>2</v>
      </c>
      <c r="AM17" t="s">
        <v>168</v>
      </c>
      <c r="AN17">
        <v>519</v>
      </c>
      <c r="AO17">
        <v>188</v>
      </c>
      <c r="AP17">
        <v>807</v>
      </c>
      <c r="AQ17">
        <v>861</v>
      </c>
      <c r="AS17">
        <v>3</v>
      </c>
      <c r="AT17">
        <v>72</v>
      </c>
      <c r="AU17" t="s">
        <v>116</v>
      </c>
      <c r="AV17">
        <v>16</v>
      </c>
      <c r="AW17" t="s">
        <v>108</v>
      </c>
      <c r="AX17">
        <v>21</v>
      </c>
      <c r="AY17">
        <f t="shared" si="0"/>
        <v>15</v>
      </c>
      <c r="AZ17">
        <f t="shared" si="1"/>
        <v>4</v>
      </c>
      <c r="BA17">
        <v>119</v>
      </c>
      <c r="BB17" t="str">
        <f t="shared" si="2"/>
        <v>(U-village)</v>
      </c>
      <c r="BC17">
        <f t="shared" si="3"/>
        <v>1</v>
      </c>
      <c r="BD17">
        <f t="shared" si="4"/>
        <v>0</v>
      </c>
      <c r="BE17">
        <v>23500</v>
      </c>
      <c r="BF17" t="str">
        <f t="shared" si="5"/>
        <v>(U-village)</v>
      </c>
    </row>
    <row r="18" spans="1:58" x14ac:dyDescent="0.3">
      <c r="A18">
        <v>618</v>
      </c>
      <c r="B18" s="2">
        <v>45559.439189814817</v>
      </c>
      <c r="C18">
        <v>120000</v>
      </c>
      <c r="D18">
        <v>65000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50000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7</v>
      </c>
      <c r="X18">
        <v>200000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134</v>
      </c>
      <c r="AN18">
        <v>520</v>
      </c>
      <c r="AO18">
        <v>170</v>
      </c>
      <c r="AS18">
        <v>0</v>
      </c>
      <c r="AT18">
        <v>72</v>
      </c>
      <c r="AU18" t="s">
        <v>116</v>
      </c>
      <c r="AV18">
        <v>16</v>
      </c>
      <c r="AW18" t="s">
        <v>108</v>
      </c>
      <c r="AX18">
        <v>21</v>
      </c>
      <c r="AY18">
        <f t="shared" si="0"/>
        <v>0</v>
      </c>
      <c r="AZ18">
        <f t="shared" si="1"/>
        <v>0</v>
      </c>
      <c r="BA18">
        <v>121</v>
      </c>
      <c r="BB18" t="str">
        <f t="shared" si="2"/>
        <v/>
      </c>
      <c r="BC18" t="str">
        <f t="shared" si="3"/>
        <v/>
      </c>
      <c r="BD18">
        <f t="shared" si="4"/>
        <v>0</v>
      </c>
      <c r="BE18">
        <v>0</v>
      </c>
      <c r="BF18" t="str">
        <f t="shared" si="5"/>
        <v/>
      </c>
    </row>
    <row r="19" spans="1:58" x14ac:dyDescent="0.3">
      <c r="A19">
        <v>650</v>
      </c>
      <c r="B19" s="2">
        <v>45559.439189814817</v>
      </c>
      <c r="C19">
        <v>120000</v>
      </c>
      <c r="D19">
        <v>65000</v>
      </c>
      <c r="E19">
        <v>0</v>
      </c>
      <c r="F19">
        <v>20000</v>
      </c>
      <c r="G19">
        <v>0</v>
      </c>
      <c r="H19">
        <v>0</v>
      </c>
      <c r="I19">
        <v>15000</v>
      </c>
      <c r="J19">
        <v>58000</v>
      </c>
      <c r="K19">
        <v>0</v>
      </c>
      <c r="L19">
        <v>0</v>
      </c>
      <c r="M19">
        <v>0</v>
      </c>
      <c r="N19">
        <v>12000</v>
      </c>
      <c r="O19">
        <v>0</v>
      </c>
      <c r="P19">
        <v>-1</v>
      </c>
      <c r="Q19">
        <v>1</v>
      </c>
      <c r="R19">
        <v>2</v>
      </c>
      <c r="S19">
        <v>0</v>
      </c>
      <c r="T19">
        <v>0</v>
      </c>
      <c r="U19">
        <v>0</v>
      </c>
      <c r="V19">
        <v>7</v>
      </c>
      <c r="W19">
        <v>7</v>
      </c>
      <c r="X19">
        <v>200000</v>
      </c>
      <c r="Y19">
        <v>0</v>
      </c>
      <c r="Z19">
        <v>0</v>
      </c>
      <c r="AA19">
        <v>0</v>
      </c>
      <c r="AB19">
        <v>200000</v>
      </c>
      <c r="AC19">
        <v>200000</v>
      </c>
      <c r="AD19">
        <v>180000</v>
      </c>
      <c r="AG19">
        <v>8</v>
      </c>
      <c r="AH19">
        <v>10</v>
      </c>
      <c r="AI19">
        <v>0</v>
      </c>
      <c r="AJ19">
        <v>0</v>
      </c>
      <c r="AK19">
        <v>3</v>
      </c>
      <c r="AL19">
        <v>1</v>
      </c>
      <c r="AM19" t="s">
        <v>168</v>
      </c>
      <c r="AN19">
        <v>520</v>
      </c>
      <c r="AO19">
        <v>179</v>
      </c>
      <c r="AQ19">
        <v>800</v>
      </c>
      <c r="AS19">
        <v>1</v>
      </c>
      <c r="AT19">
        <v>72</v>
      </c>
      <c r="AU19" t="s">
        <v>116</v>
      </c>
      <c r="AV19">
        <v>16</v>
      </c>
      <c r="AW19" t="s">
        <v>108</v>
      </c>
      <c r="AX19">
        <v>21</v>
      </c>
      <c r="AY19">
        <f t="shared" si="0"/>
        <v>18</v>
      </c>
      <c r="AZ19">
        <f t="shared" si="1"/>
        <v>4</v>
      </c>
      <c r="BA19">
        <v>121</v>
      </c>
      <c r="BB19" t="str">
        <f t="shared" si="2"/>
        <v>(Natu-city)</v>
      </c>
      <c r="BC19">
        <f t="shared" si="3"/>
        <v>2</v>
      </c>
      <c r="BD19">
        <f t="shared" si="4"/>
        <v>0</v>
      </c>
      <c r="BE19">
        <v>58000</v>
      </c>
      <c r="BF19" t="str">
        <f t="shared" si="5"/>
        <v>(Natu-city)</v>
      </c>
    </row>
    <row r="20" spans="1:58" x14ac:dyDescent="0.3">
      <c r="A20">
        <v>683</v>
      </c>
      <c r="B20" s="2">
        <v>45559.439189814817</v>
      </c>
      <c r="C20">
        <v>120000</v>
      </c>
      <c r="D20">
        <v>65000</v>
      </c>
      <c r="E20">
        <v>0</v>
      </c>
      <c r="F20">
        <v>20000</v>
      </c>
      <c r="G20">
        <v>0</v>
      </c>
      <c r="H20">
        <v>0</v>
      </c>
      <c r="I20">
        <v>15000</v>
      </c>
      <c r="J20">
        <v>12000</v>
      </c>
      <c r="K20">
        <v>0</v>
      </c>
      <c r="L20">
        <v>0</v>
      </c>
      <c r="M20">
        <v>0</v>
      </c>
      <c r="N20">
        <v>20000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8</v>
      </c>
      <c r="W20">
        <v>7</v>
      </c>
      <c r="X20">
        <v>200000</v>
      </c>
      <c r="Y20">
        <v>200000</v>
      </c>
      <c r="Z20">
        <v>180000</v>
      </c>
      <c r="AA20">
        <v>0</v>
      </c>
      <c r="AB20">
        <v>0</v>
      </c>
      <c r="AC20">
        <v>200000</v>
      </c>
      <c r="AD20">
        <v>160000</v>
      </c>
      <c r="AG20">
        <v>8</v>
      </c>
      <c r="AH20">
        <v>10</v>
      </c>
      <c r="AI20">
        <v>-2</v>
      </c>
      <c r="AJ20">
        <v>-1</v>
      </c>
      <c r="AK20">
        <v>1</v>
      </c>
      <c r="AL20">
        <v>0</v>
      </c>
      <c r="AM20" t="s">
        <v>168</v>
      </c>
      <c r="AN20">
        <v>520</v>
      </c>
      <c r="AO20">
        <v>183</v>
      </c>
      <c r="AP20">
        <v>800</v>
      </c>
      <c r="AQ20">
        <v>800</v>
      </c>
      <c r="AS20">
        <v>2</v>
      </c>
      <c r="AT20">
        <v>72</v>
      </c>
      <c r="AU20" t="s">
        <v>116</v>
      </c>
      <c r="AV20">
        <v>16</v>
      </c>
      <c r="AW20" t="s">
        <v>108</v>
      </c>
      <c r="AX20">
        <v>21</v>
      </c>
      <c r="AY20">
        <f t="shared" si="0"/>
        <v>18</v>
      </c>
      <c r="AZ20">
        <f t="shared" si="1"/>
        <v>1</v>
      </c>
      <c r="BA20">
        <v>121</v>
      </c>
      <c r="BB20" t="str">
        <f t="shared" si="2"/>
        <v>(Natu-city)</v>
      </c>
      <c r="BC20">
        <f t="shared" si="3"/>
        <v>1</v>
      </c>
      <c r="BD20">
        <f t="shared" si="4"/>
        <v>0</v>
      </c>
      <c r="BE20">
        <v>12000</v>
      </c>
      <c r="BF20" t="str">
        <f t="shared" si="5"/>
        <v>(Natu-city)</v>
      </c>
    </row>
    <row r="21" spans="1:58" x14ac:dyDescent="0.3">
      <c r="A21">
        <v>721</v>
      </c>
      <c r="B21" s="2">
        <v>45559.439189814817</v>
      </c>
      <c r="C21">
        <v>120000</v>
      </c>
      <c r="D21">
        <v>65000</v>
      </c>
      <c r="E21">
        <v>0</v>
      </c>
      <c r="F21">
        <v>20000</v>
      </c>
      <c r="G21">
        <v>0</v>
      </c>
      <c r="H21">
        <v>0</v>
      </c>
      <c r="I21">
        <v>30000</v>
      </c>
      <c r="J21">
        <v>22000</v>
      </c>
      <c r="K21">
        <v>0</v>
      </c>
      <c r="L21">
        <v>0</v>
      </c>
      <c r="M21">
        <v>0</v>
      </c>
      <c r="N21">
        <v>3000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10</v>
      </c>
      <c r="W21">
        <v>7</v>
      </c>
      <c r="X21">
        <v>200000</v>
      </c>
      <c r="Y21">
        <v>200000</v>
      </c>
      <c r="Z21">
        <v>160000</v>
      </c>
      <c r="AA21">
        <v>0</v>
      </c>
      <c r="AB21">
        <v>0</v>
      </c>
      <c r="AC21">
        <v>200000</v>
      </c>
      <c r="AD21">
        <v>140000</v>
      </c>
      <c r="AG21">
        <v>8</v>
      </c>
      <c r="AH21">
        <v>10</v>
      </c>
      <c r="AI21">
        <v>-2</v>
      </c>
      <c r="AJ21">
        <v>-1</v>
      </c>
      <c r="AK21">
        <v>0</v>
      </c>
      <c r="AL21">
        <v>0</v>
      </c>
      <c r="AM21" t="s">
        <v>168</v>
      </c>
      <c r="AN21">
        <v>520</v>
      </c>
      <c r="AO21">
        <v>188</v>
      </c>
      <c r="AP21">
        <v>800</v>
      </c>
      <c r="AQ21">
        <v>800</v>
      </c>
      <c r="AS21">
        <v>3</v>
      </c>
      <c r="AT21">
        <v>72</v>
      </c>
      <c r="AU21" t="s">
        <v>116</v>
      </c>
      <c r="AV21">
        <v>16</v>
      </c>
      <c r="AW21" t="s">
        <v>108</v>
      </c>
      <c r="AX21">
        <v>21</v>
      </c>
      <c r="AY21">
        <f t="shared" si="0"/>
        <v>18</v>
      </c>
      <c r="AZ21">
        <f t="shared" si="1"/>
        <v>0</v>
      </c>
      <c r="BA21">
        <v>121</v>
      </c>
      <c r="BB21" t="str">
        <f t="shared" si="2"/>
        <v>(Natu-city)</v>
      </c>
      <c r="BC21">
        <f t="shared" si="3"/>
        <v>2</v>
      </c>
      <c r="BD21">
        <f t="shared" si="4"/>
        <v>0</v>
      </c>
      <c r="BE21">
        <v>22000</v>
      </c>
      <c r="BF21" t="str">
        <f t="shared" si="5"/>
        <v>(Natu-city)</v>
      </c>
    </row>
    <row r="22" spans="1:58" x14ac:dyDescent="0.3">
      <c r="A22">
        <v>622</v>
      </c>
      <c r="B22" s="2">
        <v>45559.439560185187</v>
      </c>
      <c r="C22">
        <v>180000</v>
      </c>
      <c r="D22">
        <v>105000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8</v>
      </c>
      <c r="X22">
        <v>300000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134</v>
      </c>
      <c r="AN22">
        <v>521</v>
      </c>
      <c r="AO22">
        <v>170</v>
      </c>
      <c r="AS22">
        <v>0</v>
      </c>
      <c r="AT22">
        <v>72</v>
      </c>
      <c r="AU22" t="s">
        <v>116</v>
      </c>
      <c r="AV22">
        <v>16</v>
      </c>
      <c r="AW22" t="s">
        <v>108</v>
      </c>
      <c r="AX22">
        <v>21</v>
      </c>
      <c r="AY22">
        <f t="shared" si="0"/>
        <v>0</v>
      </c>
      <c r="AZ22">
        <f t="shared" si="1"/>
        <v>0</v>
      </c>
      <c r="BA22">
        <v>122</v>
      </c>
      <c r="BB22" t="str">
        <f t="shared" si="2"/>
        <v/>
      </c>
      <c r="BC22" t="str">
        <f t="shared" si="3"/>
        <v/>
      </c>
      <c r="BD22">
        <f t="shared" si="4"/>
        <v>0</v>
      </c>
      <c r="BE22">
        <v>0</v>
      </c>
      <c r="BF22" t="str">
        <f t="shared" si="5"/>
        <v/>
      </c>
    </row>
    <row r="23" spans="1:58" x14ac:dyDescent="0.3">
      <c r="A23">
        <v>649</v>
      </c>
      <c r="B23" s="2">
        <v>45559.439560185187</v>
      </c>
      <c r="C23">
        <v>180000</v>
      </c>
      <c r="D23">
        <v>105000</v>
      </c>
      <c r="E23">
        <v>0</v>
      </c>
      <c r="F23">
        <v>30000</v>
      </c>
      <c r="G23">
        <v>0</v>
      </c>
      <c r="H23">
        <v>125000</v>
      </c>
      <c r="I23">
        <v>15000</v>
      </c>
      <c r="J23">
        <v>0</v>
      </c>
      <c r="K23">
        <v>0</v>
      </c>
      <c r="L23">
        <v>0</v>
      </c>
      <c r="M23">
        <v>0</v>
      </c>
      <c r="N23">
        <v>-15000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6</v>
      </c>
      <c r="W23">
        <v>8</v>
      </c>
      <c r="X23">
        <v>300000</v>
      </c>
      <c r="Y23">
        <v>0</v>
      </c>
      <c r="Z23">
        <v>0</v>
      </c>
      <c r="AA23">
        <v>0</v>
      </c>
      <c r="AB23">
        <v>425000</v>
      </c>
      <c r="AC23">
        <v>300000</v>
      </c>
      <c r="AD23">
        <v>270000</v>
      </c>
      <c r="AG23">
        <v>8</v>
      </c>
      <c r="AH23">
        <v>10</v>
      </c>
      <c r="AI23">
        <v>0</v>
      </c>
      <c r="AJ23">
        <v>0</v>
      </c>
      <c r="AK23">
        <v>0</v>
      </c>
      <c r="AL23">
        <v>0</v>
      </c>
      <c r="AM23" t="s">
        <v>168</v>
      </c>
      <c r="AN23">
        <v>521</v>
      </c>
      <c r="AO23">
        <v>179</v>
      </c>
      <c r="AQ23">
        <v>799</v>
      </c>
      <c r="AS23">
        <v>1</v>
      </c>
      <c r="AT23">
        <v>72</v>
      </c>
      <c r="AU23" t="s">
        <v>116</v>
      </c>
      <c r="AV23">
        <v>16</v>
      </c>
      <c r="AW23" t="s">
        <v>108</v>
      </c>
      <c r="AX23">
        <v>21</v>
      </c>
      <c r="AY23">
        <f t="shared" si="0"/>
        <v>18</v>
      </c>
      <c r="AZ23">
        <f t="shared" si="1"/>
        <v>0</v>
      </c>
      <c r="BA23">
        <v>122</v>
      </c>
      <c r="BB23" t="str">
        <f t="shared" si="2"/>
        <v>(Natu-city)</v>
      </c>
      <c r="BC23">
        <f t="shared" si="3"/>
        <v>1</v>
      </c>
      <c r="BD23">
        <f t="shared" si="4"/>
        <v>0</v>
      </c>
      <c r="BE23">
        <v>0</v>
      </c>
      <c r="BF23" t="str">
        <f t="shared" si="5"/>
        <v>(Natu-city)</v>
      </c>
    </row>
    <row r="24" spans="1:58" x14ac:dyDescent="0.3">
      <c r="A24">
        <v>680</v>
      </c>
      <c r="B24" s="2">
        <v>45559.439560185187</v>
      </c>
      <c r="C24">
        <v>180000</v>
      </c>
      <c r="D24">
        <v>105000</v>
      </c>
      <c r="E24">
        <v>15000</v>
      </c>
      <c r="F24">
        <v>30000</v>
      </c>
      <c r="G24">
        <v>0</v>
      </c>
      <c r="H24">
        <v>0</v>
      </c>
      <c r="I24">
        <v>15000</v>
      </c>
      <c r="J24">
        <v>15000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6</v>
      </c>
      <c r="W24">
        <v>8</v>
      </c>
      <c r="X24">
        <v>300000</v>
      </c>
      <c r="Y24">
        <v>300000</v>
      </c>
      <c r="Z24">
        <v>270000</v>
      </c>
      <c r="AA24">
        <v>0</v>
      </c>
      <c r="AB24">
        <v>0</v>
      </c>
      <c r="AC24">
        <v>300000</v>
      </c>
      <c r="AD24">
        <v>240000</v>
      </c>
      <c r="AG24">
        <v>8</v>
      </c>
      <c r="AH24">
        <v>10</v>
      </c>
      <c r="AI24">
        <v>-2</v>
      </c>
      <c r="AJ24">
        <v>-1</v>
      </c>
      <c r="AK24">
        <v>1</v>
      </c>
      <c r="AL24">
        <v>1</v>
      </c>
      <c r="AM24" t="s">
        <v>168</v>
      </c>
      <c r="AN24">
        <v>521</v>
      </c>
      <c r="AO24">
        <v>183</v>
      </c>
      <c r="AP24">
        <v>799</v>
      </c>
      <c r="AQ24">
        <v>799</v>
      </c>
      <c r="AS24">
        <v>2</v>
      </c>
      <c r="AT24">
        <v>72</v>
      </c>
      <c r="AU24" t="s">
        <v>116</v>
      </c>
      <c r="AV24">
        <v>16</v>
      </c>
      <c r="AW24" t="s">
        <v>108</v>
      </c>
      <c r="AX24">
        <v>21</v>
      </c>
      <c r="AY24">
        <f t="shared" si="0"/>
        <v>18</v>
      </c>
      <c r="AZ24">
        <f t="shared" si="1"/>
        <v>2</v>
      </c>
      <c r="BA24">
        <v>122</v>
      </c>
      <c r="BB24" t="str">
        <f t="shared" si="2"/>
        <v>(Natu-city)</v>
      </c>
      <c r="BC24">
        <f t="shared" si="3"/>
        <v>0</v>
      </c>
      <c r="BD24">
        <f t="shared" si="4"/>
        <v>0</v>
      </c>
      <c r="BE24">
        <v>15000</v>
      </c>
      <c r="BF24" t="str">
        <f t="shared" si="5"/>
        <v>(Natu-city)</v>
      </c>
    </row>
    <row r="25" spans="1:58" x14ac:dyDescent="0.3">
      <c r="A25">
        <v>720</v>
      </c>
      <c r="B25" s="2">
        <v>45559.439560185187</v>
      </c>
      <c r="C25">
        <v>180000</v>
      </c>
      <c r="D25">
        <v>105000</v>
      </c>
      <c r="E25">
        <v>0</v>
      </c>
      <c r="F25">
        <v>30000</v>
      </c>
      <c r="G25">
        <v>0</v>
      </c>
      <c r="H25">
        <v>0</v>
      </c>
      <c r="I25">
        <v>30000</v>
      </c>
      <c r="J25">
        <v>12000</v>
      </c>
      <c r="K25">
        <v>0</v>
      </c>
      <c r="L25">
        <v>0</v>
      </c>
      <c r="M25">
        <v>0</v>
      </c>
      <c r="N25">
        <v>3000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8</v>
      </c>
      <c r="X25">
        <v>300000</v>
      </c>
      <c r="Y25">
        <v>300000</v>
      </c>
      <c r="Z25">
        <v>240000</v>
      </c>
      <c r="AA25">
        <v>0</v>
      </c>
      <c r="AB25">
        <v>0</v>
      </c>
      <c r="AC25">
        <v>300000</v>
      </c>
      <c r="AD25">
        <v>210000</v>
      </c>
      <c r="AG25">
        <v>8</v>
      </c>
      <c r="AH25">
        <v>10</v>
      </c>
      <c r="AI25">
        <v>-2</v>
      </c>
      <c r="AJ25">
        <v>-1</v>
      </c>
      <c r="AK25">
        <v>1</v>
      </c>
      <c r="AL25">
        <v>1</v>
      </c>
      <c r="AM25" t="s">
        <v>168</v>
      </c>
      <c r="AN25">
        <v>521</v>
      </c>
      <c r="AO25">
        <v>188</v>
      </c>
      <c r="AP25">
        <v>799</v>
      </c>
      <c r="AQ25">
        <v>799</v>
      </c>
      <c r="AS25">
        <v>3</v>
      </c>
      <c r="AT25">
        <v>72</v>
      </c>
      <c r="AU25" t="s">
        <v>116</v>
      </c>
      <c r="AV25">
        <v>16</v>
      </c>
      <c r="AW25" t="s">
        <v>108</v>
      </c>
      <c r="AX25">
        <v>21</v>
      </c>
      <c r="AY25">
        <f t="shared" si="0"/>
        <v>18</v>
      </c>
      <c r="AZ25">
        <f t="shared" si="1"/>
        <v>2</v>
      </c>
      <c r="BA25">
        <v>122</v>
      </c>
      <c r="BB25" t="str">
        <f t="shared" si="2"/>
        <v>(Natu-city)</v>
      </c>
      <c r="BC25">
        <f t="shared" si="3"/>
        <v>0</v>
      </c>
      <c r="BD25">
        <f t="shared" si="4"/>
        <v>0</v>
      </c>
      <c r="BE25">
        <v>12000</v>
      </c>
      <c r="BF25" t="str">
        <f t="shared" si="5"/>
        <v>(Natu-city)</v>
      </c>
    </row>
    <row r="26" spans="1:58" x14ac:dyDescent="0.3">
      <c r="A26">
        <v>617</v>
      </c>
      <c r="B26" s="2">
        <v>45559.439155092587</v>
      </c>
      <c r="C26">
        <v>100000</v>
      </c>
      <c r="D26">
        <v>50000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30000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</v>
      </c>
      <c r="W26">
        <v>6</v>
      </c>
      <c r="X26">
        <v>170000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t="s">
        <v>134</v>
      </c>
      <c r="AN26">
        <v>522</v>
      </c>
      <c r="AO26">
        <v>170</v>
      </c>
      <c r="AS26">
        <v>0</v>
      </c>
      <c r="AT26">
        <v>72</v>
      </c>
      <c r="AU26" t="s">
        <v>116</v>
      </c>
      <c r="AV26">
        <v>16</v>
      </c>
      <c r="AW26" t="s">
        <v>108</v>
      </c>
      <c r="AX26">
        <v>21</v>
      </c>
      <c r="AY26">
        <f t="shared" si="0"/>
        <v>0</v>
      </c>
      <c r="AZ26">
        <f t="shared" si="1"/>
        <v>0</v>
      </c>
      <c r="BA26">
        <v>120</v>
      </c>
      <c r="BB26" t="str">
        <f t="shared" si="2"/>
        <v/>
      </c>
      <c r="BC26" t="str">
        <f t="shared" si="3"/>
        <v/>
      </c>
      <c r="BD26">
        <f t="shared" si="4"/>
        <v>0</v>
      </c>
      <c r="BE26">
        <v>0</v>
      </c>
      <c r="BF26" t="str">
        <f t="shared" si="5"/>
        <v/>
      </c>
    </row>
    <row r="27" spans="1:58" x14ac:dyDescent="0.3">
      <c r="A27">
        <v>652</v>
      </c>
      <c r="B27" s="2">
        <v>45559.439155092587</v>
      </c>
      <c r="C27">
        <v>100000</v>
      </c>
      <c r="D27">
        <v>50000</v>
      </c>
      <c r="E27">
        <v>0</v>
      </c>
      <c r="F27">
        <v>16000</v>
      </c>
      <c r="G27">
        <v>0</v>
      </c>
      <c r="H27">
        <v>0</v>
      </c>
      <c r="I27">
        <v>20000</v>
      </c>
      <c r="J27">
        <v>14000</v>
      </c>
      <c r="K27">
        <v>0</v>
      </c>
      <c r="L27">
        <v>0</v>
      </c>
      <c r="M27">
        <v>0</v>
      </c>
      <c r="N27">
        <v>30000</v>
      </c>
      <c r="O27">
        <v>0</v>
      </c>
      <c r="P27">
        <v>-1</v>
      </c>
      <c r="Q27">
        <v>0</v>
      </c>
      <c r="R27">
        <v>1</v>
      </c>
      <c r="S27">
        <v>0</v>
      </c>
      <c r="T27">
        <v>0</v>
      </c>
      <c r="U27">
        <v>0</v>
      </c>
      <c r="V27">
        <v>5</v>
      </c>
      <c r="W27">
        <v>6</v>
      </c>
      <c r="X27">
        <v>170000</v>
      </c>
      <c r="Y27">
        <v>0</v>
      </c>
      <c r="Z27">
        <v>0</v>
      </c>
      <c r="AA27">
        <v>0</v>
      </c>
      <c r="AB27">
        <v>160000</v>
      </c>
      <c r="AC27">
        <v>160000</v>
      </c>
      <c r="AD27">
        <v>144000</v>
      </c>
      <c r="AG27">
        <v>6</v>
      </c>
      <c r="AH27">
        <v>10</v>
      </c>
      <c r="AI27">
        <v>0</v>
      </c>
      <c r="AJ27">
        <v>0</v>
      </c>
      <c r="AK27">
        <v>1</v>
      </c>
      <c r="AL27">
        <v>0</v>
      </c>
      <c r="AM27" t="s">
        <v>168</v>
      </c>
      <c r="AN27">
        <v>522</v>
      </c>
      <c r="AO27">
        <v>179</v>
      </c>
      <c r="AQ27">
        <v>804</v>
      </c>
      <c r="AS27">
        <v>1</v>
      </c>
      <c r="AT27">
        <v>72</v>
      </c>
      <c r="AU27" t="s">
        <v>116</v>
      </c>
      <c r="AV27">
        <v>16</v>
      </c>
      <c r="AW27" t="s">
        <v>108</v>
      </c>
      <c r="AX27">
        <v>21</v>
      </c>
      <c r="AY27">
        <f t="shared" si="0"/>
        <v>16</v>
      </c>
      <c r="AZ27">
        <f t="shared" si="1"/>
        <v>1</v>
      </c>
      <c r="BA27">
        <v>120</v>
      </c>
      <c r="BB27" t="str">
        <f t="shared" si="2"/>
        <v>(Dike-town)</v>
      </c>
      <c r="BC27">
        <f t="shared" si="3"/>
        <v>0</v>
      </c>
      <c r="BD27">
        <f t="shared" si="4"/>
        <v>0</v>
      </c>
      <c r="BE27">
        <v>14000</v>
      </c>
      <c r="BF27" t="str">
        <f t="shared" si="5"/>
        <v>(Dike-town)</v>
      </c>
    </row>
    <row r="28" spans="1:58" x14ac:dyDescent="0.3">
      <c r="A28">
        <v>702</v>
      </c>
      <c r="B28" s="2">
        <v>45559.439155092587</v>
      </c>
      <c r="C28">
        <v>100000</v>
      </c>
      <c r="D28">
        <v>50000</v>
      </c>
      <c r="E28">
        <v>0</v>
      </c>
      <c r="F28">
        <v>16000</v>
      </c>
      <c r="G28">
        <v>0</v>
      </c>
      <c r="H28">
        <v>0</v>
      </c>
      <c r="I28">
        <v>20000</v>
      </c>
      <c r="J28">
        <v>28000</v>
      </c>
      <c r="K28">
        <v>0</v>
      </c>
      <c r="L28">
        <v>0</v>
      </c>
      <c r="M28">
        <v>0</v>
      </c>
      <c r="N28">
        <v>16000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8</v>
      </c>
      <c r="W28">
        <v>6</v>
      </c>
      <c r="X28">
        <v>170000</v>
      </c>
      <c r="Y28">
        <v>160000</v>
      </c>
      <c r="Z28">
        <v>144000</v>
      </c>
      <c r="AA28">
        <v>0</v>
      </c>
      <c r="AB28">
        <v>0</v>
      </c>
      <c r="AC28">
        <v>160000</v>
      </c>
      <c r="AD28">
        <v>128000</v>
      </c>
      <c r="AG28">
        <v>6</v>
      </c>
      <c r="AH28">
        <v>10</v>
      </c>
      <c r="AI28">
        <v>-2</v>
      </c>
      <c r="AJ28">
        <v>-1</v>
      </c>
      <c r="AK28">
        <v>1</v>
      </c>
      <c r="AL28">
        <v>0</v>
      </c>
      <c r="AM28" t="s">
        <v>168</v>
      </c>
      <c r="AN28">
        <v>522</v>
      </c>
      <c r="AO28">
        <v>183</v>
      </c>
      <c r="AP28">
        <v>804</v>
      </c>
      <c r="AQ28">
        <v>804</v>
      </c>
      <c r="AS28">
        <v>2</v>
      </c>
      <c r="AT28">
        <v>72</v>
      </c>
      <c r="AU28" t="s">
        <v>116</v>
      </c>
      <c r="AV28">
        <v>16</v>
      </c>
      <c r="AW28" t="s">
        <v>108</v>
      </c>
      <c r="AX28">
        <v>21</v>
      </c>
      <c r="AY28">
        <f t="shared" si="0"/>
        <v>16</v>
      </c>
      <c r="AZ28">
        <f t="shared" si="1"/>
        <v>1</v>
      </c>
      <c r="BA28">
        <v>120</v>
      </c>
      <c r="BB28" t="str">
        <f t="shared" si="2"/>
        <v>(Dike-town)</v>
      </c>
      <c r="BC28">
        <f t="shared" si="3"/>
        <v>3</v>
      </c>
      <c r="BD28">
        <f t="shared" si="4"/>
        <v>0</v>
      </c>
      <c r="BE28">
        <v>28000</v>
      </c>
      <c r="BF28" t="str">
        <f t="shared" si="5"/>
        <v>(Dike-town)</v>
      </c>
    </row>
    <row r="29" spans="1:58" x14ac:dyDescent="0.3">
      <c r="A29">
        <v>725</v>
      </c>
      <c r="B29" s="2">
        <v>45559.439155092587</v>
      </c>
      <c r="C29">
        <v>100000</v>
      </c>
      <c r="D29">
        <v>50000</v>
      </c>
      <c r="E29">
        <v>0</v>
      </c>
      <c r="F29">
        <v>16000</v>
      </c>
      <c r="G29">
        <v>0</v>
      </c>
      <c r="H29">
        <v>0</v>
      </c>
      <c r="I29">
        <v>20000</v>
      </c>
      <c r="J29">
        <v>3000</v>
      </c>
      <c r="K29">
        <v>0</v>
      </c>
      <c r="L29">
        <v>0</v>
      </c>
      <c r="M29">
        <v>4000</v>
      </c>
      <c r="N29">
        <v>23000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7</v>
      </c>
      <c r="W29">
        <v>6</v>
      </c>
      <c r="X29">
        <v>170000</v>
      </c>
      <c r="Y29">
        <v>160000</v>
      </c>
      <c r="Z29">
        <v>128000</v>
      </c>
      <c r="AA29">
        <v>0</v>
      </c>
      <c r="AB29">
        <v>0</v>
      </c>
      <c r="AC29">
        <v>160000</v>
      </c>
      <c r="AD29">
        <v>112000</v>
      </c>
      <c r="AG29">
        <v>6</v>
      </c>
      <c r="AH29">
        <v>10</v>
      </c>
      <c r="AI29">
        <v>-2</v>
      </c>
      <c r="AJ29">
        <v>-1</v>
      </c>
      <c r="AK29">
        <v>0</v>
      </c>
      <c r="AL29">
        <v>1</v>
      </c>
      <c r="AM29" t="s">
        <v>170</v>
      </c>
      <c r="AN29">
        <v>522</v>
      </c>
      <c r="AO29">
        <v>188</v>
      </c>
      <c r="AP29">
        <v>804</v>
      </c>
      <c r="AQ29">
        <v>804</v>
      </c>
      <c r="AS29">
        <v>3</v>
      </c>
      <c r="AT29">
        <v>72</v>
      </c>
      <c r="AU29" t="s">
        <v>116</v>
      </c>
      <c r="AV29">
        <v>16</v>
      </c>
      <c r="AW29" t="s">
        <v>108</v>
      </c>
      <c r="AX29">
        <v>21</v>
      </c>
      <c r="AY29">
        <f t="shared" si="0"/>
        <v>16</v>
      </c>
      <c r="AZ29">
        <f t="shared" si="1"/>
        <v>1</v>
      </c>
      <c r="BA29">
        <v>120</v>
      </c>
      <c r="BB29" t="str">
        <f t="shared" si="2"/>
        <v>(Dike-town)</v>
      </c>
      <c r="BC29">
        <f t="shared" si="3"/>
        <v>-1</v>
      </c>
      <c r="BD29">
        <f t="shared" si="4"/>
        <v>4000</v>
      </c>
      <c r="BE29">
        <v>3000</v>
      </c>
      <c r="BF29" t="str">
        <f t="shared" si="5"/>
        <v>(Dike-town)</v>
      </c>
    </row>
    <row r="30" spans="1:58" x14ac:dyDescent="0.3">
      <c r="A30">
        <v>746</v>
      </c>
      <c r="B30" s="2">
        <v>45559.597881944443</v>
      </c>
      <c r="C30">
        <v>65000</v>
      </c>
      <c r="D30">
        <v>30000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</v>
      </c>
      <c r="W30">
        <v>4</v>
      </c>
      <c r="X30">
        <v>110000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t="s">
        <v>134</v>
      </c>
      <c r="AN30">
        <v>588</v>
      </c>
      <c r="AO30">
        <v>193</v>
      </c>
      <c r="AS30">
        <v>0</v>
      </c>
      <c r="AT30">
        <v>81</v>
      </c>
      <c r="AU30" t="s">
        <v>117</v>
      </c>
      <c r="AV30">
        <v>16</v>
      </c>
      <c r="AW30" t="s">
        <v>108</v>
      </c>
      <c r="AX30">
        <v>21</v>
      </c>
      <c r="AY30">
        <f t="shared" si="0"/>
        <v>0</v>
      </c>
      <c r="AZ30">
        <f t="shared" si="1"/>
        <v>0</v>
      </c>
      <c r="BA30">
        <v>118</v>
      </c>
      <c r="BB30" t="str">
        <f t="shared" si="2"/>
        <v/>
      </c>
      <c r="BC30" t="str">
        <f t="shared" si="3"/>
        <v/>
      </c>
      <c r="BD30">
        <f t="shared" si="4"/>
        <v>0</v>
      </c>
      <c r="BE30">
        <v>0</v>
      </c>
      <c r="BF30" t="str">
        <f t="shared" si="5"/>
        <v/>
      </c>
    </row>
    <row r="31" spans="1:58" x14ac:dyDescent="0.3">
      <c r="A31">
        <v>774</v>
      </c>
      <c r="B31" s="2">
        <v>45559.597881944443</v>
      </c>
      <c r="C31">
        <v>65000</v>
      </c>
      <c r="D31">
        <v>30000</v>
      </c>
      <c r="E31">
        <v>0</v>
      </c>
      <c r="F31">
        <v>11000</v>
      </c>
      <c r="G31">
        <v>0</v>
      </c>
      <c r="H31">
        <v>15000</v>
      </c>
      <c r="I31">
        <v>20000</v>
      </c>
      <c r="J31">
        <v>0</v>
      </c>
      <c r="K31">
        <v>0</v>
      </c>
      <c r="L31">
        <v>0</v>
      </c>
      <c r="M31">
        <v>4000</v>
      </c>
      <c r="N31">
        <v>-10000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4</v>
      </c>
      <c r="W31">
        <v>4</v>
      </c>
      <c r="X31">
        <v>110000</v>
      </c>
      <c r="Y31">
        <v>0</v>
      </c>
      <c r="Z31">
        <v>0</v>
      </c>
      <c r="AA31">
        <v>0</v>
      </c>
      <c r="AB31">
        <v>125000</v>
      </c>
      <c r="AC31">
        <v>110000</v>
      </c>
      <c r="AD31">
        <v>99000</v>
      </c>
      <c r="AG31">
        <v>8</v>
      </c>
      <c r="AH31">
        <v>7</v>
      </c>
      <c r="AI31">
        <v>0</v>
      </c>
      <c r="AJ31">
        <v>0</v>
      </c>
      <c r="AK31">
        <v>0</v>
      </c>
      <c r="AL31">
        <v>0</v>
      </c>
      <c r="AM31" t="s">
        <v>168</v>
      </c>
      <c r="AN31">
        <v>588</v>
      </c>
      <c r="AO31">
        <v>195</v>
      </c>
      <c r="AQ31">
        <v>882</v>
      </c>
      <c r="AS31">
        <v>1</v>
      </c>
      <c r="AT31">
        <v>81</v>
      </c>
      <c r="AU31" t="s">
        <v>117</v>
      </c>
      <c r="AV31">
        <v>16</v>
      </c>
      <c r="AW31" t="s">
        <v>108</v>
      </c>
      <c r="AX31">
        <v>21</v>
      </c>
      <c r="AY31">
        <f t="shared" si="0"/>
        <v>15</v>
      </c>
      <c r="AZ31">
        <f t="shared" si="1"/>
        <v>0</v>
      </c>
      <c r="BA31">
        <v>118</v>
      </c>
      <c r="BB31" t="str">
        <f t="shared" si="2"/>
        <v>(U-village)</v>
      </c>
      <c r="BC31">
        <f t="shared" si="3"/>
        <v>-1</v>
      </c>
      <c r="BD31">
        <f t="shared" si="4"/>
        <v>4000</v>
      </c>
      <c r="BE31">
        <v>0</v>
      </c>
      <c r="BF31" t="str">
        <f t="shared" si="5"/>
        <v>(U-village)</v>
      </c>
    </row>
    <row r="32" spans="1:58" x14ac:dyDescent="0.3">
      <c r="A32">
        <v>823</v>
      </c>
      <c r="B32" s="2">
        <v>45559.597881944443</v>
      </c>
      <c r="C32">
        <v>65000</v>
      </c>
      <c r="D32">
        <v>30000</v>
      </c>
      <c r="E32">
        <v>10000</v>
      </c>
      <c r="F32">
        <v>8000</v>
      </c>
      <c r="G32">
        <v>26000</v>
      </c>
      <c r="H32">
        <v>0</v>
      </c>
      <c r="I32">
        <v>15000</v>
      </c>
      <c r="J32">
        <v>24000</v>
      </c>
      <c r="K32">
        <v>0</v>
      </c>
      <c r="L32">
        <v>0</v>
      </c>
      <c r="M32">
        <v>4000</v>
      </c>
      <c r="N32">
        <v>0</v>
      </c>
      <c r="O32">
        <v>1</v>
      </c>
      <c r="P32">
        <v>-2</v>
      </c>
      <c r="Q32">
        <v>1</v>
      </c>
      <c r="R32">
        <v>3</v>
      </c>
      <c r="S32">
        <v>0</v>
      </c>
      <c r="T32">
        <v>1</v>
      </c>
      <c r="U32">
        <v>1</v>
      </c>
      <c r="V32">
        <v>3</v>
      </c>
      <c r="W32">
        <v>4</v>
      </c>
      <c r="X32">
        <v>110000</v>
      </c>
      <c r="Y32">
        <v>110000</v>
      </c>
      <c r="Z32">
        <v>99000</v>
      </c>
      <c r="AA32">
        <v>125000</v>
      </c>
      <c r="AB32">
        <v>80000</v>
      </c>
      <c r="AC32">
        <v>80000</v>
      </c>
      <c r="AD32">
        <v>72000</v>
      </c>
      <c r="AE32">
        <v>28</v>
      </c>
      <c r="AG32">
        <v>6</v>
      </c>
      <c r="AH32">
        <v>10</v>
      </c>
      <c r="AI32">
        <v>-2</v>
      </c>
      <c r="AJ32">
        <v>-1</v>
      </c>
      <c r="AK32">
        <v>1</v>
      </c>
      <c r="AL32">
        <v>0</v>
      </c>
      <c r="AM32" t="s">
        <v>168</v>
      </c>
      <c r="AN32">
        <v>588</v>
      </c>
      <c r="AO32">
        <v>200</v>
      </c>
      <c r="AP32">
        <v>882</v>
      </c>
      <c r="AQ32">
        <v>926</v>
      </c>
      <c r="AS32">
        <v>2</v>
      </c>
      <c r="AT32">
        <v>81</v>
      </c>
      <c r="AU32" t="s">
        <v>117</v>
      </c>
      <c r="AV32">
        <v>16</v>
      </c>
      <c r="AW32" t="s">
        <v>108</v>
      </c>
      <c r="AX32">
        <v>21</v>
      </c>
      <c r="AY32">
        <f t="shared" si="0"/>
        <v>16</v>
      </c>
      <c r="AZ32">
        <f t="shared" si="1"/>
        <v>1</v>
      </c>
      <c r="BA32">
        <v>118</v>
      </c>
      <c r="BB32" t="str">
        <f t="shared" si="2"/>
        <v>(Dike-town)</v>
      </c>
      <c r="BC32">
        <f t="shared" si="3"/>
        <v>-1</v>
      </c>
      <c r="BD32">
        <f t="shared" si="4"/>
        <v>4000</v>
      </c>
      <c r="BE32">
        <v>24000</v>
      </c>
      <c r="BF32" t="str">
        <f t="shared" si="5"/>
        <v>(Dike-town)</v>
      </c>
    </row>
    <row r="33" spans="1:58" x14ac:dyDescent="0.3">
      <c r="A33">
        <v>871</v>
      </c>
      <c r="B33" s="2">
        <v>45559.597881944443</v>
      </c>
      <c r="C33">
        <v>65000</v>
      </c>
      <c r="D33">
        <v>30000</v>
      </c>
      <c r="E33">
        <v>0</v>
      </c>
      <c r="F33">
        <v>8000</v>
      </c>
      <c r="G33">
        <v>0</v>
      </c>
      <c r="H33">
        <v>0</v>
      </c>
      <c r="I33">
        <v>20000</v>
      </c>
      <c r="J33">
        <v>3000</v>
      </c>
      <c r="K33">
        <v>0</v>
      </c>
      <c r="L33">
        <v>0</v>
      </c>
      <c r="M33">
        <v>0</v>
      </c>
      <c r="N33">
        <v>4000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3</v>
      </c>
      <c r="W33">
        <v>4</v>
      </c>
      <c r="X33">
        <v>110000</v>
      </c>
      <c r="Y33">
        <v>80000</v>
      </c>
      <c r="Z33">
        <v>72000</v>
      </c>
      <c r="AA33">
        <v>0</v>
      </c>
      <c r="AB33">
        <v>0</v>
      </c>
      <c r="AC33">
        <v>80000</v>
      </c>
      <c r="AD33">
        <v>64000</v>
      </c>
      <c r="AG33">
        <v>6</v>
      </c>
      <c r="AH33">
        <v>10</v>
      </c>
      <c r="AI33">
        <v>-2</v>
      </c>
      <c r="AJ33">
        <v>-1</v>
      </c>
      <c r="AK33">
        <v>0</v>
      </c>
      <c r="AL33">
        <v>1</v>
      </c>
      <c r="AM33" t="s">
        <v>168</v>
      </c>
      <c r="AN33">
        <v>588</v>
      </c>
      <c r="AO33">
        <v>206</v>
      </c>
      <c r="AP33">
        <v>926</v>
      </c>
      <c r="AQ33">
        <v>926</v>
      </c>
      <c r="AS33">
        <v>3</v>
      </c>
      <c r="AT33">
        <v>81</v>
      </c>
      <c r="AU33" t="s">
        <v>117</v>
      </c>
      <c r="AV33">
        <v>16</v>
      </c>
      <c r="AW33" t="s">
        <v>108</v>
      </c>
      <c r="AX33">
        <v>21</v>
      </c>
      <c r="AY33">
        <f t="shared" si="0"/>
        <v>16</v>
      </c>
      <c r="AZ33">
        <f t="shared" si="1"/>
        <v>1</v>
      </c>
      <c r="BA33">
        <v>118</v>
      </c>
      <c r="BB33" t="str">
        <f t="shared" si="2"/>
        <v>(Dike-town)</v>
      </c>
      <c r="BC33">
        <f t="shared" si="3"/>
        <v>0</v>
      </c>
      <c r="BD33">
        <f t="shared" si="4"/>
        <v>0</v>
      </c>
      <c r="BE33">
        <v>3000</v>
      </c>
      <c r="BF33" t="str">
        <f t="shared" si="5"/>
        <v>(Dike-town)</v>
      </c>
    </row>
    <row r="34" spans="1:58" x14ac:dyDescent="0.3">
      <c r="A34">
        <v>745</v>
      </c>
      <c r="B34" s="2">
        <v>45559.59756944445</v>
      </c>
      <c r="C34">
        <v>100000</v>
      </c>
      <c r="D34">
        <v>50000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30000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</v>
      </c>
      <c r="W34">
        <v>6</v>
      </c>
      <c r="X34">
        <v>170000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t="s">
        <v>134</v>
      </c>
      <c r="AN34">
        <v>589</v>
      </c>
      <c r="AO34">
        <v>193</v>
      </c>
      <c r="AS34">
        <v>0</v>
      </c>
      <c r="AT34">
        <v>81</v>
      </c>
      <c r="AU34" t="s">
        <v>117</v>
      </c>
      <c r="AV34">
        <v>16</v>
      </c>
      <c r="AW34" t="s">
        <v>108</v>
      </c>
      <c r="AX34">
        <v>21</v>
      </c>
      <c r="AY34">
        <f t="shared" si="0"/>
        <v>0</v>
      </c>
      <c r="AZ34">
        <f t="shared" si="1"/>
        <v>0</v>
      </c>
      <c r="BA34">
        <v>120</v>
      </c>
      <c r="BB34" t="str">
        <f t="shared" si="2"/>
        <v/>
      </c>
      <c r="BC34" t="str">
        <f t="shared" si="3"/>
        <v/>
      </c>
      <c r="BD34">
        <f t="shared" si="4"/>
        <v>0</v>
      </c>
      <c r="BE34">
        <v>0</v>
      </c>
      <c r="BF34" t="str">
        <f t="shared" si="5"/>
        <v/>
      </c>
    </row>
    <row r="35" spans="1:58" x14ac:dyDescent="0.3">
      <c r="A35">
        <v>773</v>
      </c>
      <c r="B35" s="2">
        <v>45559.59756944445</v>
      </c>
      <c r="C35">
        <v>100000</v>
      </c>
      <c r="D35">
        <v>50000</v>
      </c>
      <c r="E35">
        <v>0</v>
      </c>
      <c r="F35">
        <v>10000</v>
      </c>
      <c r="G35">
        <v>0</v>
      </c>
      <c r="H35">
        <v>0</v>
      </c>
      <c r="I35">
        <v>20000</v>
      </c>
      <c r="J35">
        <v>12000</v>
      </c>
      <c r="K35">
        <v>0</v>
      </c>
      <c r="L35">
        <v>0</v>
      </c>
      <c r="M35">
        <v>0</v>
      </c>
      <c r="N35">
        <v>38000</v>
      </c>
      <c r="O35">
        <v>0</v>
      </c>
      <c r="P35">
        <v>-3</v>
      </c>
      <c r="Q35">
        <v>1</v>
      </c>
      <c r="R35">
        <v>0</v>
      </c>
      <c r="S35">
        <v>0</v>
      </c>
      <c r="T35">
        <v>0</v>
      </c>
      <c r="U35">
        <v>0</v>
      </c>
      <c r="V35">
        <v>3</v>
      </c>
      <c r="W35">
        <v>6</v>
      </c>
      <c r="X35">
        <v>170000</v>
      </c>
      <c r="Y35">
        <v>0</v>
      </c>
      <c r="Z35">
        <v>0</v>
      </c>
      <c r="AA35">
        <v>0</v>
      </c>
      <c r="AB35">
        <v>100000</v>
      </c>
      <c r="AC35">
        <v>100000</v>
      </c>
      <c r="AD35">
        <v>90000</v>
      </c>
      <c r="AG35">
        <v>8</v>
      </c>
      <c r="AH35">
        <v>10</v>
      </c>
      <c r="AI35">
        <v>0</v>
      </c>
      <c r="AJ35">
        <v>0</v>
      </c>
      <c r="AK35">
        <v>1</v>
      </c>
      <c r="AL35">
        <v>0</v>
      </c>
      <c r="AM35" t="s">
        <v>168</v>
      </c>
      <c r="AN35">
        <v>589</v>
      </c>
      <c r="AO35">
        <v>195</v>
      </c>
      <c r="AQ35">
        <v>876</v>
      </c>
      <c r="AS35">
        <v>1</v>
      </c>
      <c r="AT35">
        <v>81</v>
      </c>
      <c r="AU35" t="s">
        <v>117</v>
      </c>
      <c r="AV35">
        <v>16</v>
      </c>
      <c r="AW35" t="s">
        <v>108</v>
      </c>
      <c r="AX35">
        <v>21</v>
      </c>
      <c r="AY35">
        <f t="shared" si="0"/>
        <v>18</v>
      </c>
      <c r="AZ35">
        <f t="shared" si="1"/>
        <v>1</v>
      </c>
      <c r="BA35">
        <v>120</v>
      </c>
      <c r="BB35" t="str">
        <f t="shared" si="2"/>
        <v>(Natu-city)</v>
      </c>
      <c r="BC35">
        <f t="shared" si="3"/>
        <v>-2</v>
      </c>
      <c r="BD35">
        <f t="shared" si="4"/>
        <v>0</v>
      </c>
      <c r="BE35">
        <v>12000</v>
      </c>
      <c r="BF35" t="str">
        <f t="shared" si="5"/>
        <v>(Natu-city)</v>
      </c>
    </row>
    <row r="36" spans="1:58" x14ac:dyDescent="0.3">
      <c r="A36">
        <v>825</v>
      </c>
      <c r="B36" s="2">
        <v>45559.59756944445</v>
      </c>
      <c r="C36">
        <v>100000</v>
      </c>
      <c r="D36">
        <v>50000</v>
      </c>
      <c r="E36">
        <v>0</v>
      </c>
      <c r="F36">
        <v>10000</v>
      </c>
      <c r="G36">
        <v>0</v>
      </c>
      <c r="H36">
        <v>0</v>
      </c>
      <c r="I36">
        <v>15000</v>
      </c>
      <c r="J36">
        <v>20000</v>
      </c>
      <c r="K36">
        <v>0</v>
      </c>
      <c r="L36">
        <v>0</v>
      </c>
      <c r="M36">
        <v>4000</v>
      </c>
      <c r="N36">
        <v>39000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3</v>
      </c>
      <c r="W36">
        <v>6</v>
      </c>
      <c r="X36">
        <v>170000</v>
      </c>
      <c r="Y36">
        <v>100000</v>
      </c>
      <c r="Z36">
        <v>90000</v>
      </c>
      <c r="AA36">
        <v>0</v>
      </c>
      <c r="AB36">
        <v>0</v>
      </c>
      <c r="AC36">
        <v>100000</v>
      </c>
      <c r="AD36">
        <v>80000</v>
      </c>
      <c r="AG36">
        <v>8</v>
      </c>
      <c r="AH36">
        <v>10</v>
      </c>
      <c r="AI36">
        <v>-2</v>
      </c>
      <c r="AJ36">
        <v>-1</v>
      </c>
      <c r="AK36">
        <v>1</v>
      </c>
      <c r="AL36">
        <v>1</v>
      </c>
      <c r="AM36" t="s">
        <v>168</v>
      </c>
      <c r="AN36">
        <v>589</v>
      </c>
      <c r="AO36">
        <v>200</v>
      </c>
      <c r="AP36">
        <v>876</v>
      </c>
      <c r="AQ36">
        <v>876</v>
      </c>
      <c r="AS36">
        <v>2</v>
      </c>
      <c r="AT36">
        <v>81</v>
      </c>
      <c r="AU36" t="s">
        <v>117</v>
      </c>
      <c r="AV36">
        <v>16</v>
      </c>
      <c r="AW36" t="s">
        <v>108</v>
      </c>
      <c r="AX36">
        <v>21</v>
      </c>
      <c r="AY36">
        <f t="shared" si="0"/>
        <v>18</v>
      </c>
      <c r="AZ36">
        <f t="shared" si="1"/>
        <v>2</v>
      </c>
      <c r="BA36">
        <v>120</v>
      </c>
      <c r="BB36" t="str">
        <f t="shared" si="2"/>
        <v>(Natu-city)</v>
      </c>
      <c r="BC36">
        <f t="shared" si="3"/>
        <v>0</v>
      </c>
      <c r="BD36">
        <f t="shared" si="4"/>
        <v>4000</v>
      </c>
      <c r="BE36">
        <v>20000</v>
      </c>
      <c r="BF36" t="str">
        <f t="shared" si="5"/>
        <v>(Natu-city)</v>
      </c>
    </row>
    <row r="37" spans="1:58" x14ac:dyDescent="0.3">
      <c r="A37">
        <v>870</v>
      </c>
      <c r="B37" s="2">
        <v>45559.59756944445</v>
      </c>
      <c r="C37">
        <v>100000</v>
      </c>
      <c r="D37">
        <v>50000</v>
      </c>
      <c r="E37">
        <v>0</v>
      </c>
      <c r="F37">
        <v>10000</v>
      </c>
      <c r="G37">
        <v>0</v>
      </c>
      <c r="H37">
        <v>0</v>
      </c>
      <c r="I37">
        <v>20000</v>
      </c>
      <c r="J37">
        <v>56000</v>
      </c>
      <c r="K37">
        <v>0</v>
      </c>
      <c r="L37">
        <v>0</v>
      </c>
      <c r="M37">
        <v>0</v>
      </c>
      <c r="N37">
        <v>3000</v>
      </c>
      <c r="O37">
        <v>0</v>
      </c>
      <c r="P37">
        <v>0</v>
      </c>
      <c r="Q37">
        <v>0</v>
      </c>
      <c r="R37">
        <v>4</v>
      </c>
      <c r="S37">
        <v>0</v>
      </c>
      <c r="T37">
        <v>0</v>
      </c>
      <c r="U37">
        <v>0</v>
      </c>
      <c r="V37">
        <v>7</v>
      </c>
      <c r="W37">
        <v>6</v>
      </c>
      <c r="X37">
        <v>170000</v>
      </c>
      <c r="Y37">
        <v>100000</v>
      </c>
      <c r="Z37">
        <v>80000</v>
      </c>
      <c r="AA37">
        <v>0</v>
      </c>
      <c r="AB37">
        <v>0</v>
      </c>
      <c r="AC37">
        <v>100000</v>
      </c>
      <c r="AD37">
        <v>70000</v>
      </c>
      <c r="AG37">
        <v>8</v>
      </c>
      <c r="AH37">
        <v>10</v>
      </c>
      <c r="AI37">
        <v>-2</v>
      </c>
      <c r="AJ37">
        <v>-1</v>
      </c>
      <c r="AK37">
        <v>2</v>
      </c>
      <c r="AL37">
        <v>2</v>
      </c>
      <c r="AM37" t="s">
        <v>168</v>
      </c>
      <c r="AN37">
        <v>589</v>
      </c>
      <c r="AO37">
        <v>206</v>
      </c>
      <c r="AP37">
        <v>876</v>
      </c>
      <c r="AQ37">
        <v>876</v>
      </c>
      <c r="AS37">
        <v>3</v>
      </c>
      <c r="AT37">
        <v>81</v>
      </c>
      <c r="AU37" t="s">
        <v>117</v>
      </c>
      <c r="AV37">
        <v>16</v>
      </c>
      <c r="AW37" t="s">
        <v>108</v>
      </c>
      <c r="AX37">
        <v>21</v>
      </c>
      <c r="AY37">
        <f t="shared" si="0"/>
        <v>18</v>
      </c>
      <c r="AZ37">
        <f t="shared" si="1"/>
        <v>4</v>
      </c>
      <c r="BA37">
        <v>120</v>
      </c>
      <c r="BB37" t="str">
        <f t="shared" si="2"/>
        <v>(Natu-city)</v>
      </c>
      <c r="BC37">
        <f t="shared" si="3"/>
        <v>4</v>
      </c>
      <c r="BD37">
        <f t="shared" si="4"/>
        <v>0</v>
      </c>
      <c r="BE37">
        <v>56000</v>
      </c>
      <c r="BF37" t="str">
        <f t="shared" si="5"/>
        <v>(Natu-city)</v>
      </c>
    </row>
    <row r="38" spans="1:58" x14ac:dyDescent="0.3">
      <c r="A38">
        <v>765</v>
      </c>
      <c r="B38" s="2">
        <v>45559.599120370367</v>
      </c>
      <c r="C38">
        <v>50000</v>
      </c>
      <c r="D38">
        <v>20000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</v>
      </c>
      <c r="W38">
        <v>3</v>
      </c>
      <c r="X38">
        <v>80000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t="s">
        <v>134</v>
      </c>
      <c r="AN38">
        <v>590</v>
      </c>
      <c r="AO38">
        <v>193</v>
      </c>
      <c r="AS38">
        <v>0</v>
      </c>
      <c r="AT38">
        <v>81</v>
      </c>
      <c r="AU38" t="s">
        <v>117</v>
      </c>
      <c r="AV38">
        <v>16</v>
      </c>
      <c r="AW38" t="s">
        <v>108</v>
      </c>
      <c r="AX38">
        <v>21</v>
      </c>
      <c r="AY38">
        <f t="shared" si="0"/>
        <v>0</v>
      </c>
      <c r="AZ38">
        <f t="shared" si="1"/>
        <v>0</v>
      </c>
      <c r="BA38">
        <v>117</v>
      </c>
      <c r="BB38" t="str">
        <f t="shared" si="2"/>
        <v/>
      </c>
      <c r="BC38" t="str">
        <f t="shared" si="3"/>
        <v/>
      </c>
      <c r="BD38">
        <f t="shared" si="4"/>
        <v>0</v>
      </c>
      <c r="BE38">
        <v>0</v>
      </c>
      <c r="BF38" t="str">
        <f t="shared" si="5"/>
        <v/>
      </c>
    </row>
    <row r="39" spans="1:58" x14ac:dyDescent="0.3">
      <c r="A39">
        <v>777</v>
      </c>
      <c r="B39" s="2">
        <v>45559.599120370367</v>
      </c>
      <c r="C39">
        <v>50000</v>
      </c>
      <c r="D39">
        <v>20000</v>
      </c>
      <c r="E39">
        <v>0</v>
      </c>
      <c r="F39">
        <v>8000</v>
      </c>
      <c r="G39">
        <v>0</v>
      </c>
      <c r="H39">
        <v>0</v>
      </c>
      <c r="I39">
        <v>15000</v>
      </c>
      <c r="J39">
        <v>3000</v>
      </c>
      <c r="K39">
        <v>0</v>
      </c>
      <c r="L39">
        <v>0</v>
      </c>
      <c r="M39">
        <v>4000</v>
      </c>
      <c r="N39">
        <v>0</v>
      </c>
      <c r="O39">
        <v>0</v>
      </c>
      <c r="P39">
        <v>-1</v>
      </c>
      <c r="Q39">
        <v>0</v>
      </c>
      <c r="R39">
        <v>0</v>
      </c>
      <c r="S39">
        <v>0</v>
      </c>
      <c r="T39">
        <v>1</v>
      </c>
      <c r="U39">
        <v>0</v>
      </c>
      <c r="V39">
        <v>3</v>
      </c>
      <c r="W39">
        <v>3</v>
      </c>
      <c r="X39">
        <v>80000</v>
      </c>
      <c r="Y39">
        <v>0</v>
      </c>
      <c r="Z39">
        <v>0</v>
      </c>
      <c r="AA39">
        <v>0</v>
      </c>
      <c r="AB39">
        <v>80000</v>
      </c>
      <c r="AC39">
        <v>80000</v>
      </c>
      <c r="AD39">
        <v>72000</v>
      </c>
      <c r="AG39">
        <v>6</v>
      </c>
      <c r="AH39">
        <v>10</v>
      </c>
      <c r="AI39">
        <v>0</v>
      </c>
      <c r="AJ39">
        <v>0</v>
      </c>
      <c r="AK39">
        <v>0</v>
      </c>
      <c r="AL39">
        <v>1</v>
      </c>
      <c r="AM39" t="s">
        <v>168</v>
      </c>
      <c r="AN39">
        <v>590</v>
      </c>
      <c r="AO39">
        <v>195</v>
      </c>
      <c r="AQ39">
        <v>880</v>
      </c>
      <c r="AS39">
        <v>1</v>
      </c>
      <c r="AT39">
        <v>81</v>
      </c>
      <c r="AU39" t="s">
        <v>117</v>
      </c>
      <c r="AV39">
        <v>16</v>
      </c>
      <c r="AW39" t="s">
        <v>108</v>
      </c>
      <c r="AX39">
        <v>21</v>
      </c>
      <c r="AY39">
        <f t="shared" si="0"/>
        <v>16</v>
      </c>
      <c r="AZ39">
        <f t="shared" si="1"/>
        <v>1</v>
      </c>
      <c r="BA39">
        <v>117</v>
      </c>
      <c r="BB39" t="str">
        <f t="shared" si="2"/>
        <v>(Dike-town)</v>
      </c>
      <c r="BC39">
        <f t="shared" si="3"/>
        <v>-2</v>
      </c>
      <c r="BD39">
        <f t="shared" si="4"/>
        <v>4000</v>
      </c>
      <c r="BE39">
        <v>3000</v>
      </c>
      <c r="BF39" t="str">
        <f t="shared" si="5"/>
        <v>(Dike-town)</v>
      </c>
    </row>
    <row r="40" spans="1:58" x14ac:dyDescent="0.3">
      <c r="A40">
        <v>824</v>
      </c>
      <c r="B40" s="2">
        <v>45559.599120370367</v>
      </c>
      <c r="C40">
        <v>50000</v>
      </c>
      <c r="D40">
        <v>20000</v>
      </c>
      <c r="E40">
        <v>0</v>
      </c>
      <c r="F40">
        <v>8000</v>
      </c>
      <c r="G40">
        <v>0</v>
      </c>
      <c r="H40">
        <v>0</v>
      </c>
      <c r="I40">
        <v>15000</v>
      </c>
      <c r="J40">
        <v>4000</v>
      </c>
      <c r="K40">
        <v>0</v>
      </c>
      <c r="L40">
        <v>0</v>
      </c>
      <c r="M40">
        <v>4000</v>
      </c>
      <c r="N40">
        <v>-1000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0</v>
      </c>
      <c r="V40">
        <v>3</v>
      </c>
      <c r="W40">
        <v>3</v>
      </c>
      <c r="X40">
        <v>80000</v>
      </c>
      <c r="Y40">
        <v>80000</v>
      </c>
      <c r="Z40">
        <v>72000</v>
      </c>
      <c r="AA40">
        <v>0</v>
      </c>
      <c r="AB40">
        <v>0</v>
      </c>
      <c r="AC40">
        <v>80000</v>
      </c>
      <c r="AD40">
        <v>64000</v>
      </c>
      <c r="AG40">
        <v>6</v>
      </c>
      <c r="AH40">
        <v>10</v>
      </c>
      <c r="AI40">
        <v>-2</v>
      </c>
      <c r="AJ40">
        <v>-1</v>
      </c>
      <c r="AK40">
        <v>0</v>
      </c>
      <c r="AL40">
        <v>0</v>
      </c>
      <c r="AM40" t="s">
        <v>168</v>
      </c>
      <c r="AN40">
        <v>590</v>
      </c>
      <c r="AO40">
        <v>200</v>
      </c>
      <c r="AP40">
        <v>880</v>
      </c>
      <c r="AQ40">
        <v>880</v>
      </c>
      <c r="AS40">
        <v>2</v>
      </c>
      <c r="AT40">
        <v>81</v>
      </c>
      <c r="AU40" t="s">
        <v>117</v>
      </c>
      <c r="AV40">
        <v>16</v>
      </c>
      <c r="AW40" t="s">
        <v>108</v>
      </c>
      <c r="AX40">
        <v>21</v>
      </c>
      <c r="AY40">
        <f t="shared" si="0"/>
        <v>16</v>
      </c>
      <c r="AZ40">
        <f t="shared" si="1"/>
        <v>0</v>
      </c>
      <c r="BA40">
        <v>117</v>
      </c>
      <c r="BB40" t="str">
        <f t="shared" si="2"/>
        <v>(Dike-town)</v>
      </c>
      <c r="BC40">
        <f t="shared" si="3"/>
        <v>0</v>
      </c>
      <c r="BD40">
        <f t="shared" si="4"/>
        <v>4000</v>
      </c>
      <c r="BE40">
        <v>4000</v>
      </c>
      <c r="BF40" t="str">
        <f t="shared" si="5"/>
        <v>(Dike-town)</v>
      </c>
    </row>
    <row r="41" spans="1:58" x14ac:dyDescent="0.3">
      <c r="A41">
        <v>869</v>
      </c>
      <c r="B41" s="2">
        <v>45559.599120370367</v>
      </c>
      <c r="C41">
        <v>50000</v>
      </c>
      <c r="D41">
        <v>20000</v>
      </c>
      <c r="E41">
        <v>1000</v>
      </c>
      <c r="F41">
        <v>8000</v>
      </c>
      <c r="G41">
        <v>0</v>
      </c>
      <c r="H41">
        <v>0</v>
      </c>
      <c r="I41">
        <v>20000</v>
      </c>
      <c r="J41">
        <v>0</v>
      </c>
      <c r="K41">
        <v>0</v>
      </c>
      <c r="L41">
        <v>0</v>
      </c>
      <c r="M41">
        <v>0</v>
      </c>
      <c r="N41">
        <v>1000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2</v>
      </c>
      <c r="W41">
        <v>3</v>
      </c>
      <c r="X41">
        <v>80000</v>
      </c>
      <c r="Y41">
        <v>80000</v>
      </c>
      <c r="Z41">
        <v>64000</v>
      </c>
      <c r="AA41">
        <v>0</v>
      </c>
      <c r="AB41">
        <v>0</v>
      </c>
      <c r="AC41">
        <v>80000</v>
      </c>
      <c r="AD41">
        <v>56000</v>
      </c>
      <c r="AG41">
        <v>6</v>
      </c>
      <c r="AH41">
        <v>10</v>
      </c>
      <c r="AI41">
        <v>-2</v>
      </c>
      <c r="AJ41">
        <v>-1</v>
      </c>
      <c r="AK41">
        <v>0</v>
      </c>
      <c r="AL41">
        <v>0</v>
      </c>
      <c r="AM41" t="s">
        <v>168</v>
      </c>
      <c r="AN41">
        <v>590</v>
      </c>
      <c r="AO41">
        <v>206</v>
      </c>
      <c r="AP41">
        <v>880</v>
      </c>
      <c r="AQ41">
        <v>880</v>
      </c>
      <c r="AS41">
        <v>3</v>
      </c>
      <c r="AT41">
        <v>81</v>
      </c>
      <c r="AU41" t="s">
        <v>117</v>
      </c>
      <c r="AV41">
        <v>16</v>
      </c>
      <c r="AW41" t="s">
        <v>108</v>
      </c>
      <c r="AX41">
        <v>21</v>
      </c>
      <c r="AY41">
        <f t="shared" si="0"/>
        <v>16</v>
      </c>
      <c r="AZ41">
        <f t="shared" si="1"/>
        <v>0</v>
      </c>
      <c r="BA41">
        <v>117</v>
      </c>
      <c r="BB41" t="str">
        <f t="shared" si="2"/>
        <v>(Dike-town)</v>
      </c>
      <c r="BC41">
        <f t="shared" si="3"/>
        <v>-1</v>
      </c>
      <c r="BD41">
        <f t="shared" si="4"/>
        <v>0</v>
      </c>
      <c r="BE41">
        <v>0</v>
      </c>
      <c r="BF41" t="str">
        <f t="shared" si="5"/>
        <v>(Dike-town)</v>
      </c>
    </row>
    <row r="42" spans="1:58" x14ac:dyDescent="0.3">
      <c r="A42">
        <v>770</v>
      </c>
      <c r="B42" s="2">
        <v>45559.599641203713</v>
      </c>
      <c r="C42">
        <v>80000</v>
      </c>
      <c r="D42">
        <v>40000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15000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5</v>
      </c>
      <c r="X42">
        <v>130000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134</v>
      </c>
      <c r="AN42">
        <v>591</v>
      </c>
      <c r="AO42">
        <v>193</v>
      </c>
      <c r="AS42">
        <v>0</v>
      </c>
      <c r="AT42">
        <v>81</v>
      </c>
      <c r="AU42" t="s">
        <v>117</v>
      </c>
      <c r="AV42">
        <v>16</v>
      </c>
      <c r="AW42" t="s">
        <v>108</v>
      </c>
      <c r="AX42">
        <v>21</v>
      </c>
      <c r="AY42">
        <f t="shared" si="0"/>
        <v>0</v>
      </c>
      <c r="AZ42">
        <f t="shared" si="1"/>
        <v>0</v>
      </c>
      <c r="BA42">
        <v>119</v>
      </c>
      <c r="BB42" t="str">
        <f t="shared" si="2"/>
        <v/>
      </c>
      <c r="BC42" t="str">
        <f t="shared" si="3"/>
        <v/>
      </c>
      <c r="BD42">
        <f t="shared" si="4"/>
        <v>0</v>
      </c>
      <c r="BE42">
        <v>0</v>
      </c>
      <c r="BF42" t="str">
        <f t="shared" si="5"/>
        <v/>
      </c>
    </row>
    <row r="43" spans="1:58" x14ac:dyDescent="0.3">
      <c r="A43">
        <v>779</v>
      </c>
      <c r="B43" s="2">
        <v>45559.599641203713</v>
      </c>
      <c r="C43">
        <v>80000</v>
      </c>
      <c r="D43">
        <v>40000</v>
      </c>
      <c r="E43">
        <v>0</v>
      </c>
      <c r="F43">
        <v>13000</v>
      </c>
      <c r="G43">
        <v>0</v>
      </c>
      <c r="H43">
        <v>30000</v>
      </c>
      <c r="I43">
        <v>15000</v>
      </c>
      <c r="J43">
        <v>0</v>
      </c>
      <c r="K43">
        <v>0</v>
      </c>
      <c r="L43">
        <v>0</v>
      </c>
      <c r="M43">
        <v>4000</v>
      </c>
      <c r="N43">
        <v>-7000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4</v>
      </c>
      <c r="W43">
        <v>5</v>
      </c>
      <c r="X43">
        <v>130000</v>
      </c>
      <c r="Y43">
        <v>0</v>
      </c>
      <c r="Z43">
        <v>0</v>
      </c>
      <c r="AA43">
        <v>0</v>
      </c>
      <c r="AB43">
        <v>160000</v>
      </c>
      <c r="AC43">
        <v>130000</v>
      </c>
      <c r="AD43">
        <v>117000</v>
      </c>
      <c r="AG43">
        <v>6</v>
      </c>
      <c r="AH43">
        <v>10</v>
      </c>
      <c r="AI43">
        <v>0</v>
      </c>
      <c r="AJ43">
        <v>0</v>
      </c>
      <c r="AK43">
        <v>0</v>
      </c>
      <c r="AL43">
        <v>0</v>
      </c>
      <c r="AM43" t="s">
        <v>168</v>
      </c>
      <c r="AN43">
        <v>591</v>
      </c>
      <c r="AO43">
        <v>195</v>
      </c>
      <c r="AQ43">
        <v>878</v>
      </c>
      <c r="AS43">
        <v>1</v>
      </c>
      <c r="AT43">
        <v>81</v>
      </c>
      <c r="AU43" t="s">
        <v>117</v>
      </c>
      <c r="AV43">
        <v>16</v>
      </c>
      <c r="AW43" t="s">
        <v>108</v>
      </c>
      <c r="AX43">
        <v>21</v>
      </c>
      <c r="AY43">
        <f t="shared" si="0"/>
        <v>16</v>
      </c>
      <c r="AZ43">
        <f t="shared" si="1"/>
        <v>0</v>
      </c>
      <c r="BA43">
        <v>119</v>
      </c>
      <c r="BB43" t="str">
        <f t="shared" si="2"/>
        <v>(Dike-town)</v>
      </c>
      <c r="BC43">
        <f t="shared" si="3"/>
        <v>-1</v>
      </c>
      <c r="BD43">
        <f t="shared" si="4"/>
        <v>4000</v>
      </c>
      <c r="BE43">
        <v>0</v>
      </c>
      <c r="BF43" t="str">
        <f t="shared" si="5"/>
        <v>(Dike-town)</v>
      </c>
    </row>
    <row r="44" spans="1:58" x14ac:dyDescent="0.3">
      <c r="A44">
        <v>834</v>
      </c>
      <c r="B44" s="2">
        <v>45559.599641203713</v>
      </c>
      <c r="C44">
        <v>80000</v>
      </c>
      <c r="D44">
        <v>40000</v>
      </c>
      <c r="E44">
        <v>7000</v>
      </c>
      <c r="F44">
        <v>13000</v>
      </c>
      <c r="G44">
        <v>0</v>
      </c>
      <c r="H44">
        <v>0</v>
      </c>
      <c r="I44">
        <v>15000</v>
      </c>
      <c r="J44">
        <v>0</v>
      </c>
      <c r="K44">
        <v>0</v>
      </c>
      <c r="L44">
        <v>0</v>
      </c>
      <c r="M44">
        <v>4000</v>
      </c>
      <c r="N44">
        <v>1000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2</v>
      </c>
      <c r="W44">
        <v>5</v>
      </c>
      <c r="X44">
        <v>130000</v>
      </c>
      <c r="Y44">
        <v>130000</v>
      </c>
      <c r="Z44">
        <v>117000</v>
      </c>
      <c r="AA44">
        <v>0</v>
      </c>
      <c r="AB44">
        <v>0</v>
      </c>
      <c r="AC44">
        <v>130000</v>
      </c>
      <c r="AD44">
        <v>104000</v>
      </c>
      <c r="AG44">
        <v>6</v>
      </c>
      <c r="AH44">
        <v>10</v>
      </c>
      <c r="AI44">
        <v>-2</v>
      </c>
      <c r="AJ44">
        <v>-1</v>
      </c>
      <c r="AK44">
        <v>0</v>
      </c>
      <c r="AL44">
        <v>0</v>
      </c>
      <c r="AM44" t="s">
        <v>168</v>
      </c>
      <c r="AN44">
        <v>591</v>
      </c>
      <c r="AO44">
        <v>200</v>
      </c>
      <c r="AP44">
        <v>878</v>
      </c>
      <c r="AQ44">
        <v>878</v>
      </c>
      <c r="AS44">
        <v>2</v>
      </c>
      <c r="AT44">
        <v>81</v>
      </c>
      <c r="AU44" t="s">
        <v>117</v>
      </c>
      <c r="AV44">
        <v>16</v>
      </c>
      <c r="AW44" t="s">
        <v>108</v>
      </c>
      <c r="AX44">
        <v>21</v>
      </c>
      <c r="AY44">
        <f t="shared" si="0"/>
        <v>16</v>
      </c>
      <c r="AZ44">
        <f t="shared" si="1"/>
        <v>0</v>
      </c>
      <c r="BA44">
        <v>119</v>
      </c>
      <c r="BB44" t="str">
        <f t="shared" si="2"/>
        <v>(Dike-town)</v>
      </c>
      <c r="BC44">
        <f t="shared" si="3"/>
        <v>-2</v>
      </c>
      <c r="BD44">
        <f t="shared" si="4"/>
        <v>4000</v>
      </c>
      <c r="BE44">
        <v>0</v>
      </c>
      <c r="BF44" t="str">
        <f t="shared" si="5"/>
        <v>(Dike-town)</v>
      </c>
    </row>
    <row r="45" spans="1:58" x14ac:dyDescent="0.3">
      <c r="A45">
        <v>874</v>
      </c>
      <c r="B45" s="2">
        <v>45559.599641203713</v>
      </c>
      <c r="C45">
        <v>80000</v>
      </c>
      <c r="D45">
        <v>40000</v>
      </c>
      <c r="E45">
        <v>0</v>
      </c>
      <c r="F45">
        <v>12500</v>
      </c>
      <c r="G45">
        <v>56000</v>
      </c>
      <c r="H45">
        <v>0</v>
      </c>
      <c r="I45">
        <v>20000</v>
      </c>
      <c r="J45">
        <v>63250</v>
      </c>
      <c r="K45">
        <v>0</v>
      </c>
      <c r="L45">
        <v>0</v>
      </c>
      <c r="M45">
        <v>0</v>
      </c>
      <c r="N45">
        <v>1250</v>
      </c>
      <c r="O45">
        <v>1</v>
      </c>
      <c r="P45">
        <v>-1</v>
      </c>
      <c r="Q45">
        <v>2</v>
      </c>
      <c r="R45">
        <v>3</v>
      </c>
      <c r="S45">
        <v>0</v>
      </c>
      <c r="T45">
        <v>0</v>
      </c>
      <c r="U45">
        <v>0</v>
      </c>
      <c r="V45">
        <v>5</v>
      </c>
      <c r="W45">
        <v>5</v>
      </c>
      <c r="X45">
        <v>130000</v>
      </c>
      <c r="Y45">
        <v>130000</v>
      </c>
      <c r="Z45">
        <v>104000</v>
      </c>
      <c r="AA45">
        <v>160000</v>
      </c>
      <c r="AB45">
        <v>125000</v>
      </c>
      <c r="AC45">
        <v>125000</v>
      </c>
      <c r="AD45">
        <v>112500</v>
      </c>
      <c r="AE45">
        <v>30</v>
      </c>
      <c r="AG45">
        <v>8</v>
      </c>
      <c r="AH45">
        <v>7</v>
      </c>
      <c r="AI45">
        <v>-2</v>
      </c>
      <c r="AJ45">
        <v>-1</v>
      </c>
      <c r="AK45">
        <v>2</v>
      </c>
      <c r="AL45">
        <v>2</v>
      </c>
      <c r="AM45" t="s">
        <v>168</v>
      </c>
      <c r="AN45">
        <v>591</v>
      </c>
      <c r="AO45">
        <v>206</v>
      </c>
      <c r="AP45">
        <v>878</v>
      </c>
      <c r="AQ45">
        <v>959</v>
      </c>
      <c r="AS45">
        <v>3</v>
      </c>
      <c r="AT45">
        <v>81</v>
      </c>
      <c r="AU45" t="s">
        <v>117</v>
      </c>
      <c r="AV45">
        <v>16</v>
      </c>
      <c r="AW45" t="s">
        <v>108</v>
      </c>
      <c r="AX45">
        <v>21</v>
      </c>
      <c r="AY45">
        <f t="shared" si="0"/>
        <v>15</v>
      </c>
      <c r="AZ45">
        <f t="shared" si="1"/>
        <v>4</v>
      </c>
      <c r="BA45">
        <v>119</v>
      </c>
      <c r="BB45" t="str">
        <f t="shared" si="2"/>
        <v>(U-village)</v>
      </c>
      <c r="BC45">
        <f t="shared" si="3"/>
        <v>3</v>
      </c>
      <c r="BD45">
        <f t="shared" si="4"/>
        <v>0</v>
      </c>
      <c r="BE45">
        <v>63250</v>
      </c>
      <c r="BF45" t="str">
        <f t="shared" si="5"/>
        <v>(U-village)</v>
      </c>
    </row>
    <row r="46" spans="1:58" x14ac:dyDescent="0.3">
      <c r="A46">
        <v>763</v>
      </c>
      <c r="B46" s="2">
        <v>45559.598576388889</v>
      </c>
      <c r="C46">
        <v>120000</v>
      </c>
      <c r="D46">
        <v>65000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50000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5</v>
      </c>
      <c r="W46">
        <v>7</v>
      </c>
      <c r="X46">
        <v>200000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t="s">
        <v>134</v>
      </c>
      <c r="AN46">
        <v>592</v>
      </c>
      <c r="AO46">
        <v>193</v>
      </c>
      <c r="AS46">
        <v>0</v>
      </c>
      <c r="AT46">
        <v>81</v>
      </c>
      <c r="AU46" t="s">
        <v>117</v>
      </c>
      <c r="AV46">
        <v>16</v>
      </c>
      <c r="AW46" t="s">
        <v>108</v>
      </c>
      <c r="AX46">
        <v>21</v>
      </c>
      <c r="AY46">
        <f t="shared" si="0"/>
        <v>0</v>
      </c>
      <c r="AZ46">
        <f t="shared" si="1"/>
        <v>0</v>
      </c>
      <c r="BA46">
        <v>121</v>
      </c>
      <c r="BB46" t="str">
        <f t="shared" si="2"/>
        <v/>
      </c>
      <c r="BC46" t="str">
        <f t="shared" si="3"/>
        <v/>
      </c>
      <c r="BD46">
        <f t="shared" si="4"/>
        <v>0</v>
      </c>
      <c r="BE46">
        <v>0</v>
      </c>
      <c r="BF46" t="str">
        <f t="shared" si="5"/>
        <v/>
      </c>
    </row>
    <row r="47" spans="1:58" x14ac:dyDescent="0.3">
      <c r="A47">
        <v>778</v>
      </c>
      <c r="B47" s="2">
        <v>45559.598576388889</v>
      </c>
      <c r="C47">
        <v>120000</v>
      </c>
      <c r="D47">
        <v>65000</v>
      </c>
      <c r="E47">
        <v>0</v>
      </c>
      <c r="F47">
        <v>16000</v>
      </c>
      <c r="G47">
        <v>0</v>
      </c>
      <c r="H47">
        <v>0</v>
      </c>
      <c r="I47">
        <v>15000</v>
      </c>
      <c r="J47">
        <v>28000</v>
      </c>
      <c r="K47">
        <v>0</v>
      </c>
      <c r="L47">
        <v>0</v>
      </c>
      <c r="M47">
        <v>4000</v>
      </c>
      <c r="N47">
        <v>42000</v>
      </c>
      <c r="O47">
        <v>0</v>
      </c>
      <c r="P47">
        <v>-2</v>
      </c>
      <c r="Q47">
        <v>1</v>
      </c>
      <c r="R47">
        <v>1</v>
      </c>
      <c r="S47">
        <v>0</v>
      </c>
      <c r="T47">
        <v>1</v>
      </c>
      <c r="U47">
        <v>0</v>
      </c>
      <c r="V47">
        <v>4</v>
      </c>
      <c r="W47">
        <v>7</v>
      </c>
      <c r="X47">
        <v>200000</v>
      </c>
      <c r="Y47">
        <v>0</v>
      </c>
      <c r="Z47">
        <v>0</v>
      </c>
      <c r="AA47">
        <v>0</v>
      </c>
      <c r="AB47">
        <v>160000</v>
      </c>
      <c r="AC47">
        <v>160000</v>
      </c>
      <c r="AD47">
        <v>144000</v>
      </c>
      <c r="AG47">
        <v>6</v>
      </c>
      <c r="AH47">
        <v>10</v>
      </c>
      <c r="AI47">
        <v>0</v>
      </c>
      <c r="AJ47">
        <v>0</v>
      </c>
      <c r="AK47">
        <v>1</v>
      </c>
      <c r="AL47">
        <v>1</v>
      </c>
      <c r="AM47" t="s">
        <v>168</v>
      </c>
      <c r="AN47">
        <v>592</v>
      </c>
      <c r="AO47">
        <v>195</v>
      </c>
      <c r="AQ47">
        <v>879</v>
      </c>
      <c r="AS47">
        <v>1</v>
      </c>
      <c r="AT47">
        <v>81</v>
      </c>
      <c r="AU47" t="s">
        <v>117</v>
      </c>
      <c r="AV47">
        <v>16</v>
      </c>
      <c r="AW47" t="s">
        <v>108</v>
      </c>
      <c r="AX47">
        <v>21</v>
      </c>
      <c r="AY47">
        <f t="shared" si="0"/>
        <v>16</v>
      </c>
      <c r="AZ47">
        <f t="shared" si="1"/>
        <v>2</v>
      </c>
      <c r="BA47">
        <v>121</v>
      </c>
      <c r="BB47" t="str">
        <f t="shared" si="2"/>
        <v>(Dike-town)</v>
      </c>
      <c r="BC47">
        <f t="shared" si="3"/>
        <v>-1</v>
      </c>
      <c r="BD47">
        <f t="shared" si="4"/>
        <v>4000</v>
      </c>
      <c r="BE47">
        <v>28000</v>
      </c>
      <c r="BF47" t="str">
        <f t="shared" si="5"/>
        <v>(Dike-town)</v>
      </c>
    </row>
    <row r="48" spans="1:58" x14ac:dyDescent="0.3">
      <c r="A48">
        <v>835</v>
      </c>
      <c r="B48" s="2">
        <v>45559.598576388889</v>
      </c>
      <c r="C48">
        <v>120000</v>
      </c>
      <c r="D48">
        <v>65000</v>
      </c>
      <c r="E48">
        <v>0</v>
      </c>
      <c r="F48">
        <v>20000</v>
      </c>
      <c r="G48">
        <v>16000</v>
      </c>
      <c r="H48">
        <v>0</v>
      </c>
      <c r="I48">
        <v>15000</v>
      </c>
      <c r="J48">
        <v>20000</v>
      </c>
      <c r="K48">
        <v>0</v>
      </c>
      <c r="L48">
        <v>0</v>
      </c>
      <c r="M48">
        <v>4000</v>
      </c>
      <c r="N48">
        <v>54000</v>
      </c>
      <c r="O48">
        <v>1</v>
      </c>
      <c r="P48">
        <v>-1</v>
      </c>
      <c r="Q48">
        <v>1</v>
      </c>
      <c r="R48">
        <v>0</v>
      </c>
      <c r="S48">
        <v>0</v>
      </c>
      <c r="T48">
        <v>1</v>
      </c>
      <c r="U48">
        <v>0</v>
      </c>
      <c r="V48">
        <v>2</v>
      </c>
      <c r="W48">
        <v>7</v>
      </c>
      <c r="X48">
        <v>200000</v>
      </c>
      <c r="Y48">
        <v>160000</v>
      </c>
      <c r="Z48">
        <v>144000</v>
      </c>
      <c r="AA48">
        <v>160000</v>
      </c>
      <c r="AB48">
        <v>200000</v>
      </c>
      <c r="AC48">
        <v>200000</v>
      </c>
      <c r="AD48">
        <v>180000</v>
      </c>
      <c r="AE48">
        <v>27</v>
      </c>
      <c r="AG48">
        <v>8</v>
      </c>
      <c r="AH48">
        <v>10</v>
      </c>
      <c r="AI48">
        <v>-2</v>
      </c>
      <c r="AJ48">
        <v>-1</v>
      </c>
      <c r="AK48">
        <v>1</v>
      </c>
      <c r="AL48">
        <v>1</v>
      </c>
      <c r="AM48" t="s">
        <v>168</v>
      </c>
      <c r="AN48">
        <v>592</v>
      </c>
      <c r="AO48">
        <v>200</v>
      </c>
      <c r="AP48">
        <v>879</v>
      </c>
      <c r="AQ48">
        <v>924</v>
      </c>
      <c r="AS48">
        <v>2</v>
      </c>
      <c r="AT48">
        <v>81</v>
      </c>
      <c r="AU48" t="s">
        <v>117</v>
      </c>
      <c r="AV48">
        <v>16</v>
      </c>
      <c r="AW48" t="s">
        <v>108</v>
      </c>
      <c r="AX48">
        <v>21</v>
      </c>
      <c r="AY48">
        <f t="shared" si="0"/>
        <v>18</v>
      </c>
      <c r="AZ48">
        <f t="shared" si="1"/>
        <v>2</v>
      </c>
      <c r="BA48">
        <v>121</v>
      </c>
      <c r="BB48" t="str">
        <f t="shared" si="2"/>
        <v>(Natu-city)</v>
      </c>
      <c r="BC48">
        <f t="shared" si="3"/>
        <v>-2</v>
      </c>
      <c r="BD48">
        <f t="shared" si="4"/>
        <v>4000</v>
      </c>
      <c r="BE48">
        <v>20000</v>
      </c>
      <c r="BF48" t="str">
        <f t="shared" si="5"/>
        <v>(Natu-city)</v>
      </c>
    </row>
    <row r="49" spans="1:58" x14ac:dyDescent="0.3">
      <c r="A49">
        <v>873</v>
      </c>
      <c r="B49" s="2">
        <v>45559.598576388889</v>
      </c>
      <c r="C49">
        <v>120000</v>
      </c>
      <c r="D49">
        <v>65000</v>
      </c>
      <c r="E49">
        <v>0</v>
      </c>
      <c r="F49">
        <v>20000</v>
      </c>
      <c r="G49">
        <v>0</v>
      </c>
      <c r="H49">
        <v>0</v>
      </c>
      <c r="I49">
        <v>20000</v>
      </c>
      <c r="J49">
        <v>32000</v>
      </c>
      <c r="K49">
        <v>0</v>
      </c>
      <c r="L49">
        <v>0</v>
      </c>
      <c r="M49">
        <v>0</v>
      </c>
      <c r="N49">
        <v>37000</v>
      </c>
      <c r="O49">
        <v>0</v>
      </c>
      <c r="P49">
        <v>0</v>
      </c>
      <c r="Q49">
        <v>2</v>
      </c>
      <c r="R49">
        <v>0</v>
      </c>
      <c r="S49">
        <v>0</v>
      </c>
      <c r="T49">
        <v>0</v>
      </c>
      <c r="U49">
        <v>0</v>
      </c>
      <c r="V49">
        <v>4</v>
      </c>
      <c r="W49">
        <v>7</v>
      </c>
      <c r="X49">
        <v>200000</v>
      </c>
      <c r="Y49">
        <v>200000</v>
      </c>
      <c r="Z49">
        <v>180000</v>
      </c>
      <c r="AA49">
        <v>0</v>
      </c>
      <c r="AB49">
        <v>0</v>
      </c>
      <c r="AC49">
        <v>200000</v>
      </c>
      <c r="AD49">
        <v>160000</v>
      </c>
      <c r="AG49">
        <v>8</v>
      </c>
      <c r="AH49">
        <v>10</v>
      </c>
      <c r="AI49">
        <v>-2</v>
      </c>
      <c r="AJ49">
        <v>-1</v>
      </c>
      <c r="AK49">
        <v>2</v>
      </c>
      <c r="AL49">
        <v>0</v>
      </c>
      <c r="AM49" t="s">
        <v>168</v>
      </c>
      <c r="AN49">
        <v>592</v>
      </c>
      <c r="AO49">
        <v>206</v>
      </c>
      <c r="AP49">
        <v>924</v>
      </c>
      <c r="AQ49">
        <v>924</v>
      </c>
      <c r="AS49">
        <v>3</v>
      </c>
      <c r="AT49">
        <v>81</v>
      </c>
      <c r="AU49" t="s">
        <v>117</v>
      </c>
      <c r="AV49">
        <v>16</v>
      </c>
      <c r="AW49" t="s">
        <v>108</v>
      </c>
      <c r="AX49">
        <v>21</v>
      </c>
      <c r="AY49">
        <f t="shared" si="0"/>
        <v>18</v>
      </c>
      <c r="AZ49">
        <f t="shared" si="1"/>
        <v>2</v>
      </c>
      <c r="BA49">
        <v>121</v>
      </c>
      <c r="BB49" t="str">
        <f t="shared" si="2"/>
        <v>(Natu-city)</v>
      </c>
      <c r="BC49">
        <f t="shared" si="3"/>
        <v>2</v>
      </c>
      <c r="BD49">
        <f t="shared" si="4"/>
        <v>0</v>
      </c>
      <c r="BE49">
        <v>32000</v>
      </c>
      <c r="BF49" t="str">
        <f t="shared" si="5"/>
        <v>(Natu-city)</v>
      </c>
    </row>
    <row r="50" spans="1:58" x14ac:dyDescent="0.3">
      <c r="A50">
        <v>771</v>
      </c>
      <c r="B50" s="2">
        <v>45559.599733796298</v>
      </c>
      <c r="C50">
        <v>180000</v>
      </c>
      <c r="D50">
        <v>105000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80000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5</v>
      </c>
      <c r="W50">
        <v>8</v>
      </c>
      <c r="X50">
        <v>300000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t="s">
        <v>134</v>
      </c>
      <c r="AN50">
        <v>593</v>
      </c>
      <c r="AO50">
        <v>193</v>
      </c>
      <c r="AS50">
        <v>0</v>
      </c>
      <c r="AT50">
        <v>81</v>
      </c>
      <c r="AU50" t="s">
        <v>117</v>
      </c>
      <c r="AV50">
        <v>16</v>
      </c>
      <c r="AW50" t="s">
        <v>108</v>
      </c>
      <c r="AX50">
        <v>21</v>
      </c>
      <c r="AY50">
        <f t="shared" si="0"/>
        <v>0</v>
      </c>
      <c r="AZ50">
        <f t="shared" si="1"/>
        <v>0</v>
      </c>
      <c r="BA50">
        <v>122</v>
      </c>
      <c r="BB50" t="str">
        <f t="shared" si="2"/>
        <v/>
      </c>
      <c r="BC50" t="str">
        <f t="shared" si="3"/>
        <v/>
      </c>
      <c r="BD50">
        <f t="shared" si="4"/>
        <v>0</v>
      </c>
      <c r="BE50">
        <v>0</v>
      </c>
      <c r="BF50" t="str">
        <f t="shared" si="5"/>
        <v/>
      </c>
    </row>
    <row r="51" spans="1:58" x14ac:dyDescent="0.3">
      <c r="A51">
        <v>775</v>
      </c>
      <c r="B51" s="2">
        <v>45559.599733796298</v>
      </c>
      <c r="C51">
        <v>180000</v>
      </c>
      <c r="D51">
        <v>105000</v>
      </c>
      <c r="E51">
        <v>0</v>
      </c>
      <c r="F51">
        <v>20000</v>
      </c>
      <c r="G51">
        <v>0</v>
      </c>
      <c r="H51">
        <v>0</v>
      </c>
      <c r="I51">
        <v>20000</v>
      </c>
      <c r="J51">
        <v>40000</v>
      </c>
      <c r="K51">
        <v>0</v>
      </c>
      <c r="L51">
        <v>0</v>
      </c>
      <c r="M51">
        <v>0</v>
      </c>
      <c r="N51">
        <v>75000</v>
      </c>
      <c r="O51">
        <v>0</v>
      </c>
      <c r="P51">
        <v>-2</v>
      </c>
      <c r="Q51">
        <v>2</v>
      </c>
      <c r="R51">
        <v>0</v>
      </c>
      <c r="S51">
        <v>0</v>
      </c>
      <c r="T51">
        <v>0</v>
      </c>
      <c r="U51">
        <v>0</v>
      </c>
      <c r="V51">
        <v>5</v>
      </c>
      <c r="W51">
        <v>8</v>
      </c>
      <c r="X51">
        <v>300000</v>
      </c>
      <c r="Y51">
        <v>0</v>
      </c>
      <c r="Z51">
        <v>0</v>
      </c>
      <c r="AA51">
        <v>0</v>
      </c>
      <c r="AB51">
        <v>200000</v>
      </c>
      <c r="AC51">
        <v>200000</v>
      </c>
      <c r="AD51">
        <v>180000</v>
      </c>
      <c r="AG51">
        <v>8</v>
      </c>
      <c r="AH51">
        <v>10</v>
      </c>
      <c r="AI51">
        <v>0</v>
      </c>
      <c r="AJ51">
        <v>0</v>
      </c>
      <c r="AK51">
        <v>2</v>
      </c>
      <c r="AL51">
        <v>1</v>
      </c>
      <c r="AM51" t="s">
        <v>168</v>
      </c>
      <c r="AN51">
        <v>593</v>
      </c>
      <c r="AO51">
        <v>195</v>
      </c>
      <c r="AQ51">
        <v>875</v>
      </c>
      <c r="AS51">
        <v>1</v>
      </c>
      <c r="AT51">
        <v>81</v>
      </c>
      <c r="AU51" t="s">
        <v>117</v>
      </c>
      <c r="AV51">
        <v>16</v>
      </c>
      <c r="AW51" t="s">
        <v>108</v>
      </c>
      <c r="AX51">
        <v>21</v>
      </c>
      <c r="AY51">
        <f t="shared" si="0"/>
        <v>18</v>
      </c>
      <c r="AZ51">
        <f t="shared" si="1"/>
        <v>3</v>
      </c>
      <c r="BA51">
        <v>122</v>
      </c>
      <c r="BB51" t="str">
        <f t="shared" si="2"/>
        <v>(Natu-city)</v>
      </c>
      <c r="BC51">
        <f t="shared" si="3"/>
        <v>0</v>
      </c>
      <c r="BD51">
        <f t="shared" si="4"/>
        <v>0</v>
      </c>
      <c r="BE51">
        <v>40000</v>
      </c>
      <c r="BF51" t="str">
        <f t="shared" si="5"/>
        <v>(Natu-city)</v>
      </c>
    </row>
    <row r="52" spans="1:58" x14ac:dyDescent="0.3">
      <c r="A52">
        <v>821</v>
      </c>
      <c r="B52" s="2">
        <v>45559.599733796298</v>
      </c>
      <c r="C52">
        <v>180000</v>
      </c>
      <c r="D52">
        <v>105000</v>
      </c>
      <c r="E52">
        <v>0</v>
      </c>
      <c r="F52">
        <v>20000</v>
      </c>
      <c r="G52">
        <v>0</v>
      </c>
      <c r="H52">
        <v>0</v>
      </c>
      <c r="I52">
        <v>15000</v>
      </c>
      <c r="J52">
        <v>68000</v>
      </c>
      <c r="K52">
        <v>0</v>
      </c>
      <c r="L52">
        <v>0</v>
      </c>
      <c r="M52">
        <v>4000</v>
      </c>
      <c r="N52">
        <v>43000</v>
      </c>
      <c r="O52">
        <v>0</v>
      </c>
      <c r="P52">
        <v>0</v>
      </c>
      <c r="Q52">
        <v>1</v>
      </c>
      <c r="R52">
        <v>3</v>
      </c>
      <c r="S52">
        <v>0</v>
      </c>
      <c r="T52">
        <v>1</v>
      </c>
      <c r="U52">
        <v>0</v>
      </c>
      <c r="V52">
        <v>8</v>
      </c>
      <c r="W52">
        <v>8</v>
      </c>
      <c r="X52">
        <v>300000</v>
      </c>
      <c r="Y52">
        <v>200000</v>
      </c>
      <c r="Z52">
        <v>180000</v>
      </c>
      <c r="AA52">
        <v>0</v>
      </c>
      <c r="AB52">
        <v>0</v>
      </c>
      <c r="AC52">
        <v>200000</v>
      </c>
      <c r="AD52">
        <v>160000</v>
      </c>
      <c r="AG52">
        <v>8</v>
      </c>
      <c r="AH52">
        <v>10</v>
      </c>
      <c r="AI52">
        <v>-2</v>
      </c>
      <c r="AJ52">
        <v>-1</v>
      </c>
      <c r="AK52">
        <v>3</v>
      </c>
      <c r="AL52">
        <v>1</v>
      </c>
      <c r="AM52" t="s">
        <v>168</v>
      </c>
      <c r="AN52">
        <v>593</v>
      </c>
      <c r="AO52">
        <v>200</v>
      </c>
      <c r="AP52">
        <v>875</v>
      </c>
      <c r="AQ52">
        <v>875</v>
      </c>
      <c r="AS52">
        <v>2</v>
      </c>
      <c r="AT52">
        <v>81</v>
      </c>
      <c r="AU52" t="s">
        <v>117</v>
      </c>
      <c r="AV52">
        <v>16</v>
      </c>
      <c r="AW52" t="s">
        <v>108</v>
      </c>
      <c r="AX52">
        <v>21</v>
      </c>
      <c r="AY52">
        <f t="shared" si="0"/>
        <v>18</v>
      </c>
      <c r="AZ52">
        <f t="shared" si="1"/>
        <v>4</v>
      </c>
      <c r="BA52">
        <v>122</v>
      </c>
      <c r="BB52" t="str">
        <f t="shared" si="2"/>
        <v>(Natu-city)</v>
      </c>
      <c r="BC52">
        <f t="shared" si="3"/>
        <v>3</v>
      </c>
      <c r="BD52">
        <f t="shared" si="4"/>
        <v>4000</v>
      </c>
      <c r="BE52">
        <v>68000</v>
      </c>
      <c r="BF52" t="str">
        <f t="shared" si="5"/>
        <v>(Natu-city)</v>
      </c>
    </row>
    <row r="53" spans="1:58" x14ac:dyDescent="0.3">
      <c r="A53">
        <v>872</v>
      </c>
      <c r="B53" s="2">
        <v>45559.599733796298</v>
      </c>
      <c r="C53">
        <v>180000</v>
      </c>
      <c r="D53">
        <v>105000</v>
      </c>
      <c r="E53">
        <v>0</v>
      </c>
      <c r="F53">
        <v>20000</v>
      </c>
      <c r="G53">
        <v>0</v>
      </c>
      <c r="H53">
        <v>0</v>
      </c>
      <c r="I53">
        <v>20000</v>
      </c>
      <c r="J53">
        <v>33000</v>
      </c>
      <c r="K53">
        <v>0</v>
      </c>
      <c r="L53">
        <v>0</v>
      </c>
      <c r="M53">
        <v>0</v>
      </c>
      <c r="N53">
        <v>45000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9</v>
      </c>
      <c r="W53">
        <v>8</v>
      </c>
      <c r="X53">
        <v>300000</v>
      </c>
      <c r="Y53">
        <v>200000</v>
      </c>
      <c r="Z53">
        <v>160000</v>
      </c>
      <c r="AA53">
        <v>0</v>
      </c>
      <c r="AB53">
        <v>0</v>
      </c>
      <c r="AC53">
        <v>200000</v>
      </c>
      <c r="AD53">
        <v>140000</v>
      </c>
      <c r="AG53">
        <v>8</v>
      </c>
      <c r="AH53">
        <v>10</v>
      </c>
      <c r="AI53">
        <v>-2</v>
      </c>
      <c r="AJ53">
        <v>-1</v>
      </c>
      <c r="AK53">
        <v>0</v>
      </c>
      <c r="AL53">
        <v>1</v>
      </c>
      <c r="AM53" t="s">
        <v>168</v>
      </c>
      <c r="AN53">
        <v>593</v>
      </c>
      <c r="AO53">
        <v>206</v>
      </c>
      <c r="AP53">
        <v>875</v>
      </c>
      <c r="AQ53">
        <v>875</v>
      </c>
      <c r="AS53">
        <v>3</v>
      </c>
      <c r="AT53">
        <v>81</v>
      </c>
      <c r="AU53" t="s">
        <v>117</v>
      </c>
      <c r="AV53">
        <v>16</v>
      </c>
      <c r="AW53" t="s">
        <v>108</v>
      </c>
      <c r="AX53">
        <v>21</v>
      </c>
      <c r="AY53">
        <f t="shared" si="0"/>
        <v>18</v>
      </c>
      <c r="AZ53">
        <f t="shared" si="1"/>
        <v>1</v>
      </c>
      <c r="BA53">
        <v>122</v>
      </c>
      <c r="BB53" t="str">
        <f t="shared" si="2"/>
        <v>(Natu-city)</v>
      </c>
      <c r="BC53">
        <f t="shared" si="3"/>
        <v>1</v>
      </c>
      <c r="BD53">
        <f t="shared" si="4"/>
        <v>0</v>
      </c>
      <c r="BE53">
        <v>33000</v>
      </c>
      <c r="BF53" t="str">
        <f t="shared" si="5"/>
        <v>(Natu-city)</v>
      </c>
    </row>
    <row r="54" spans="1:58" x14ac:dyDescent="0.3">
      <c r="A54">
        <v>749</v>
      </c>
      <c r="B54" s="2">
        <v>45559.597916666673</v>
      </c>
      <c r="C54">
        <v>100000</v>
      </c>
      <c r="D54">
        <v>50000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30000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</v>
      </c>
      <c r="W54">
        <v>6</v>
      </c>
      <c r="X54">
        <v>170000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t="s">
        <v>134</v>
      </c>
      <c r="AN54">
        <v>594</v>
      </c>
      <c r="AO54">
        <v>193</v>
      </c>
      <c r="AS54">
        <v>0</v>
      </c>
      <c r="AT54">
        <v>81</v>
      </c>
      <c r="AU54" t="s">
        <v>117</v>
      </c>
      <c r="AV54">
        <v>16</v>
      </c>
      <c r="AW54" t="s">
        <v>108</v>
      </c>
      <c r="AX54">
        <v>21</v>
      </c>
      <c r="AY54">
        <f t="shared" si="0"/>
        <v>0</v>
      </c>
      <c r="AZ54">
        <f t="shared" si="1"/>
        <v>0</v>
      </c>
      <c r="BA54">
        <v>120</v>
      </c>
      <c r="BB54" t="str">
        <f t="shared" si="2"/>
        <v/>
      </c>
      <c r="BC54" t="str">
        <f t="shared" si="3"/>
        <v/>
      </c>
      <c r="BD54">
        <f t="shared" si="4"/>
        <v>0</v>
      </c>
      <c r="BE54">
        <v>0</v>
      </c>
      <c r="BF54" t="str">
        <f t="shared" si="5"/>
        <v/>
      </c>
    </row>
    <row r="55" spans="1:58" x14ac:dyDescent="0.3">
      <c r="A55">
        <v>776</v>
      </c>
      <c r="B55" s="2">
        <v>45559.597916666673</v>
      </c>
      <c r="C55">
        <v>100000</v>
      </c>
      <c r="D55">
        <v>50000</v>
      </c>
      <c r="E55">
        <v>0</v>
      </c>
      <c r="F55">
        <v>17000</v>
      </c>
      <c r="G55">
        <v>0</v>
      </c>
      <c r="H55">
        <v>30000</v>
      </c>
      <c r="I55">
        <v>20000</v>
      </c>
      <c r="J55">
        <v>6000</v>
      </c>
      <c r="K55">
        <v>0</v>
      </c>
      <c r="L55">
        <v>0</v>
      </c>
      <c r="M55">
        <v>0</v>
      </c>
      <c r="N55">
        <v>7000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5</v>
      </c>
      <c r="W55">
        <v>6</v>
      </c>
      <c r="X55">
        <v>170000</v>
      </c>
      <c r="Y55">
        <v>0</v>
      </c>
      <c r="Z55">
        <v>0</v>
      </c>
      <c r="AA55">
        <v>0</v>
      </c>
      <c r="AB55">
        <v>200000</v>
      </c>
      <c r="AC55">
        <v>170000</v>
      </c>
      <c r="AD55">
        <v>153000</v>
      </c>
      <c r="AG55">
        <v>8</v>
      </c>
      <c r="AH55">
        <v>7</v>
      </c>
      <c r="AI55">
        <v>0</v>
      </c>
      <c r="AJ55">
        <v>0</v>
      </c>
      <c r="AK55">
        <v>1</v>
      </c>
      <c r="AL55">
        <v>0</v>
      </c>
      <c r="AM55" t="s">
        <v>168</v>
      </c>
      <c r="AN55">
        <v>594</v>
      </c>
      <c r="AO55">
        <v>195</v>
      </c>
      <c r="AQ55">
        <v>881</v>
      </c>
      <c r="AS55">
        <v>1</v>
      </c>
      <c r="AT55">
        <v>81</v>
      </c>
      <c r="AU55" t="s">
        <v>117</v>
      </c>
      <c r="AV55">
        <v>16</v>
      </c>
      <c r="AW55" t="s">
        <v>108</v>
      </c>
      <c r="AX55">
        <v>21</v>
      </c>
      <c r="AY55">
        <f t="shared" si="0"/>
        <v>15</v>
      </c>
      <c r="AZ55">
        <f t="shared" si="1"/>
        <v>1</v>
      </c>
      <c r="BA55">
        <v>120</v>
      </c>
      <c r="BB55" t="str">
        <f t="shared" si="2"/>
        <v>(U-village)</v>
      </c>
      <c r="BC55">
        <f t="shared" si="3"/>
        <v>0</v>
      </c>
      <c r="BD55">
        <f t="shared" si="4"/>
        <v>0</v>
      </c>
      <c r="BE55">
        <v>6000</v>
      </c>
      <c r="BF55" t="str">
        <f t="shared" si="5"/>
        <v>(U-village)</v>
      </c>
    </row>
    <row r="56" spans="1:58" x14ac:dyDescent="0.3">
      <c r="A56">
        <v>822</v>
      </c>
      <c r="B56" s="2">
        <v>45559.597916666673</v>
      </c>
      <c r="C56">
        <v>100000</v>
      </c>
      <c r="D56">
        <v>50000</v>
      </c>
      <c r="E56">
        <v>0</v>
      </c>
      <c r="F56">
        <v>17000</v>
      </c>
      <c r="G56">
        <v>0</v>
      </c>
      <c r="H56">
        <v>0</v>
      </c>
      <c r="I56">
        <v>20000</v>
      </c>
      <c r="J56">
        <v>15000</v>
      </c>
      <c r="K56">
        <v>0</v>
      </c>
      <c r="L56">
        <v>0</v>
      </c>
      <c r="M56">
        <v>4000</v>
      </c>
      <c r="N56">
        <v>1000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4</v>
      </c>
      <c r="W56">
        <v>6</v>
      </c>
      <c r="X56">
        <v>170000</v>
      </c>
      <c r="Y56">
        <v>170000</v>
      </c>
      <c r="Z56">
        <v>153000</v>
      </c>
      <c r="AA56">
        <v>0</v>
      </c>
      <c r="AB56">
        <v>0</v>
      </c>
      <c r="AC56">
        <v>170000</v>
      </c>
      <c r="AD56">
        <v>136000</v>
      </c>
      <c r="AG56">
        <v>8</v>
      </c>
      <c r="AH56">
        <v>7</v>
      </c>
      <c r="AI56">
        <v>-2</v>
      </c>
      <c r="AJ56">
        <v>-1</v>
      </c>
      <c r="AK56">
        <v>1</v>
      </c>
      <c r="AL56">
        <v>2</v>
      </c>
      <c r="AM56" t="s">
        <v>168</v>
      </c>
      <c r="AN56">
        <v>594</v>
      </c>
      <c r="AO56">
        <v>200</v>
      </c>
      <c r="AP56">
        <v>881</v>
      </c>
      <c r="AQ56">
        <v>881</v>
      </c>
      <c r="AS56">
        <v>2</v>
      </c>
      <c r="AT56">
        <v>81</v>
      </c>
      <c r="AU56" t="s">
        <v>117</v>
      </c>
      <c r="AV56">
        <v>16</v>
      </c>
      <c r="AW56" t="s">
        <v>108</v>
      </c>
      <c r="AX56">
        <v>21</v>
      </c>
      <c r="AY56">
        <f t="shared" si="0"/>
        <v>15</v>
      </c>
      <c r="AZ56">
        <f t="shared" si="1"/>
        <v>3</v>
      </c>
      <c r="BA56">
        <v>120</v>
      </c>
      <c r="BB56" t="str">
        <f t="shared" si="2"/>
        <v>(U-village)</v>
      </c>
      <c r="BC56">
        <f t="shared" si="3"/>
        <v>-1</v>
      </c>
      <c r="BD56">
        <f t="shared" si="4"/>
        <v>4000</v>
      </c>
      <c r="BE56">
        <v>15000</v>
      </c>
      <c r="BF56" t="str">
        <f t="shared" si="5"/>
        <v>(U-village)</v>
      </c>
    </row>
    <row r="57" spans="1:58" x14ac:dyDescent="0.3">
      <c r="A57">
        <v>868</v>
      </c>
      <c r="B57" s="2">
        <v>45559.597916666673</v>
      </c>
      <c r="C57">
        <v>100000</v>
      </c>
      <c r="D57">
        <v>50000</v>
      </c>
      <c r="E57">
        <v>0</v>
      </c>
      <c r="F57">
        <v>17000</v>
      </c>
      <c r="G57">
        <v>0</v>
      </c>
      <c r="H57">
        <v>0</v>
      </c>
      <c r="I57">
        <v>20000</v>
      </c>
      <c r="J57">
        <v>12000</v>
      </c>
      <c r="K57">
        <v>0</v>
      </c>
      <c r="L57">
        <v>0</v>
      </c>
      <c r="M57">
        <v>0</v>
      </c>
      <c r="N57">
        <v>2000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5</v>
      </c>
      <c r="W57">
        <v>6</v>
      </c>
      <c r="X57">
        <v>170000</v>
      </c>
      <c r="Y57">
        <v>170000</v>
      </c>
      <c r="Z57">
        <v>136000</v>
      </c>
      <c r="AA57">
        <v>0</v>
      </c>
      <c r="AB57">
        <v>0</v>
      </c>
      <c r="AC57">
        <v>170000</v>
      </c>
      <c r="AD57">
        <v>119000</v>
      </c>
      <c r="AG57">
        <v>8</v>
      </c>
      <c r="AH57">
        <v>7</v>
      </c>
      <c r="AI57">
        <v>-2</v>
      </c>
      <c r="AJ57">
        <v>-1</v>
      </c>
      <c r="AK57">
        <v>1</v>
      </c>
      <c r="AL57">
        <v>0</v>
      </c>
      <c r="AM57" t="s">
        <v>168</v>
      </c>
      <c r="AN57">
        <v>594</v>
      </c>
      <c r="AO57">
        <v>206</v>
      </c>
      <c r="AP57">
        <v>881</v>
      </c>
      <c r="AQ57">
        <v>881</v>
      </c>
      <c r="AS57">
        <v>3</v>
      </c>
      <c r="AT57">
        <v>81</v>
      </c>
      <c r="AU57" t="s">
        <v>117</v>
      </c>
      <c r="AV57">
        <v>16</v>
      </c>
      <c r="AW57" t="s">
        <v>108</v>
      </c>
      <c r="AX57">
        <v>21</v>
      </c>
      <c r="AY57">
        <f t="shared" si="0"/>
        <v>15</v>
      </c>
      <c r="AZ57">
        <f t="shared" si="1"/>
        <v>1</v>
      </c>
      <c r="BA57">
        <v>120</v>
      </c>
      <c r="BB57" t="str">
        <f t="shared" si="2"/>
        <v>(U-village)</v>
      </c>
      <c r="BC57">
        <f t="shared" si="3"/>
        <v>1</v>
      </c>
      <c r="BD57">
        <f t="shared" si="4"/>
        <v>0</v>
      </c>
      <c r="BE57">
        <v>12000</v>
      </c>
      <c r="BF57" t="str">
        <f t="shared" si="5"/>
        <v>(U-village)</v>
      </c>
    </row>
    <row r="58" spans="1:58" x14ac:dyDescent="0.3">
      <c r="A58">
        <v>756</v>
      </c>
      <c r="B58" s="2">
        <v>45559.598194444443</v>
      </c>
      <c r="C58">
        <v>100000</v>
      </c>
      <c r="D58">
        <v>50000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30000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5</v>
      </c>
      <c r="W58">
        <v>6</v>
      </c>
      <c r="X58">
        <v>170000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134</v>
      </c>
      <c r="AN58">
        <v>595</v>
      </c>
      <c r="AO58">
        <v>193</v>
      </c>
      <c r="AS58">
        <v>0</v>
      </c>
      <c r="AT58">
        <v>81</v>
      </c>
      <c r="AU58" t="s">
        <v>117</v>
      </c>
      <c r="AV58">
        <v>16</v>
      </c>
      <c r="AW58" t="s">
        <v>108</v>
      </c>
      <c r="AX58">
        <v>21</v>
      </c>
      <c r="AY58">
        <f t="shared" si="0"/>
        <v>0</v>
      </c>
      <c r="AZ58">
        <f t="shared" si="1"/>
        <v>0</v>
      </c>
      <c r="BA58">
        <v>120</v>
      </c>
      <c r="BB58" t="str">
        <f t="shared" si="2"/>
        <v/>
      </c>
      <c r="BC58" t="str">
        <f t="shared" si="3"/>
        <v/>
      </c>
      <c r="BD58">
        <f t="shared" si="4"/>
        <v>0</v>
      </c>
      <c r="BE58">
        <v>0</v>
      </c>
      <c r="BF58" t="str">
        <f t="shared" si="5"/>
        <v/>
      </c>
    </row>
    <row r="59" spans="1:58" x14ac:dyDescent="0.3">
      <c r="A59">
        <v>600</v>
      </c>
      <c r="B59" s="2">
        <v>45559.437719907408</v>
      </c>
      <c r="C59">
        <v>65000</v>
      </c>
      <c r="D59">
        <v>30000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5000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5</v>
      </c>
      <c r="W59">
        <v>4</v>
      </c>
      <c r="X59">
        <v>110000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134</v>
      </c>
      <c r="AN59">
        <v>524</v>
      </c>
      <c r="AO59">
        <v>174</v>
      </c>
      <c r="AS59">
        <v>0</v>
      </c>
      <c r="AT59">
        <v>73</v>
      </c>
      <c r="AU59" t="s">
        <v>118</v>
      </c>
      <c r="AV59">
        <v>16</v>
      </c>
      <c r="AW59" t="s">
        <v>108</v>
      </c>
      <c r="AX59">
        <v>21</v>
      </c>
      <c r="AY59">
        <f t="shared" si="0"/>
        <v>0</v>
      </c>
      <c r="AZ59">
        <f t="shared" si="1"/>
        <v>0</v>
      </c>
      <c r="BA59">
        <v>118</v>
      </c>
      <c r="BB59" t="str">
        <f t="shared" si="2"/>
        <v/>
      </c>
      <c r="BC59" t="str">
        <f t="shared" si="3"/>
        <v/>
      </c>
      <c r="BD59">
        <f t="shared" si="4"/>
        <v>0</v>
      </c>
      <c r="BE59">
        <v>0</v>
      </c>
      <c r="BF59" t="str">
        <f t="shared" si="5"/>
        <v/>
      </c>
    </row>
    <row r="60" spans="1:58" x14ac:dyDescent="0.3">
      <c r="A60">
        <v>633</v>
      </c>
      <c r="B60" s="2">
        <v>45559.437719907408</v>
      </c>
      <c r="C60">
        <v>65000</v>
      </c>
      <c r="D60">
        <v>30000</v>
      </c>
      <c r="E60">
        <v>0</v>
      </c>
      <c r="F60">
        <v>10000</v>
      </c>
      <c r="G60">
        <v>0</v>
      </c>
      <c r="H60">
        <v>0</v>
      </c>
      <c r="I60">
        <v>20000</v>
      </c>
      <c r="J60">
        <v>8000</v>
      </c>
      <c r="K60">
        <v>0</v>
      </c>
      <c r="L60">
        <v>0</v>
      </c>
      <c r="M60">
        <v>0</v>
      </c>
      <c r="N60">
        <v>2000</v>
      </c>
      <c r="O60">
        <v>0</v>
      </c>
      <c r="P60">
        <v>-1</v>
      </c>
      <c r="Q60">
        <v>0</v>
      </c>
      <c r="R60">
        <v>1</v>
      </c>
      <c r="S60">
        <v>0</v>
      </c>
      <c r="T60">
        <v>0</v>
      </c>
      <c r="U60">
        <v>0</v>
      </c>
      <c r="V60">
        <v>5</v>
      </c>
      <c r="W60">
        <v>4</v>
      </c>
      <c r="X60">
        <v>110000</v>
      </c>
      <c r="Y60">
        <v>0</v>
      </c>
      <c r="Z60">
        <v>0</v>
      </c>
      <c r="AA60">
        <v>0</v>
      </c>
      <c r="AB60">
        <v>100000</v>
      </c>
      <c r="AC60">
        <v>100000</v>
      </c>
      <c r="AD60">
        <v>90000</v>
      </c>
      <c r="AG60">
        <v>8</v>
      </c>
      <c r="AH60">
        <v>10</v>
      </c>
      <c r="AI60">
        <v>0</v>
      </c>
      <c r="AJ60">
        <v>0</v>
      </c>
      <c r="AK60">
        <v>0</v>
      </c>
      <c r="AL60">
        <v>1</v>
      </c>
      <c r="AM60" t="s">
        <v>168</v>
      </c>
      <c r="AN60">
        <v>524</v>
      </c>
      <c r="AO60">
        <v>177</v>
      </c>
      <c r="AQ60">
        <v>781</v>
      </c>
      <c r="AS60">
        <v>1</v>
      </c>
      <c r="AT60">
        <v>73</v>
      </c>
      <c r="AU60" t="s">
        <v>118</v>
      </c>
      <c r="AV60">
        <v>16</v>
      </c>
      <c r="AW60" t="s">
        <v>108</v>
      </c>
      <c r="AX60">
        <v>21</v>
      </c>
      <c r="AY60">
        <f t="shared" si="0"/>
        <v>18</v>
      </c>
      <c r="AZ60">
        <f t="shared" si="1"/>
        <v>1</v>
      </c>
      <c r="BA60">
        <v>118</v>
      </c>
      <c r="BB60" t="str">
        <f t="shared" si="2"/>
        <v>(Natu-city)</v>
      </c>
      <c r="BC60">
        <f t="shared" si="3"/>
        <v>0</v>
      </c>
      <c r="BD60">
        <f t="shared" si="4"/>
        <v>0</v>
      </c>
      <c r="BE60">
        <v>8000</v>
      </c>
      <c r="BF60" t="str">
        <f t="shared" si="5"/>
        <v>(Natu-city)</v>
      </c>
    </row>
    <row r="61" spans="1:58" x14ac:dyDescent="0.3">
      <c r="A61">
        <v>666</v>
      </c>
      <c r="B61" s="2">
        <v>45559.437719907408</v>
      </c>
      <c r="C61">
        <v>65000</v>
      </c>
      <c r="D61">
        <v>30000</v>
      </c>
      <c r="E61">
        <v>0</v>
      </c>
      <c r="F61">
        <v>10000</v>
      </c>
      <c r="G61">
        <v>0</v>
      </c>
      <c r="H61">
        <v>0</v>
      </c>
      <c r="I61">
        <v>20000</v>
      </c>
      <c r="J61">
        <v>0</v>
      </c>
      <c r="K61">
        <v>0</v>
      </c>
      <c r="L61">
        <v>0</v>
      </c>
      <c r="M61">
        <v>0</v>
      </c>
      <c r="N61">
        <v>7000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5</v>
      </c>
      <c r="W61">
        <v>4</v>
      </c>
      <c r="X61">
        <v>110000</v>
      </c>
      <c r="Y61">
        <v>100000</v>
      </c>
      <c r="Z61">
        <v>90000</v>
      </c>
      <c r="AA61">
        <v>0</v>
      </c>
      <c r="AB61">
        <v>0</v>
      </c>
      <c r="AC61">
        <v>100000</v>
      </c>
      <c r="AD61">
        <v>80000</v>
      </c>
      <c r="AG61">
        <v>8</v>
      </c>
      <c r="AH61">
        <v>10</v>
      </c>
      <c r="AI61">
        <v>-2</v>
      </c>
      <c r="AJ61">
        <v>-1</v>
      </c>
      <c r="AK61">
        <v>0</v>
      </c>
      <c r="AL61">
        <v>0</v>
      </c>
      <c r="AM61" t="s">
        <v>168</v>
      </c>
      <c r="AN61">
        <v>524</v>
      </c>
      <c r="AO61">
        <v>181</v>
      </c>
      <c r="AP61">
        <v>781</v>
      </c>
      <c r="AQ61">
        <v>781</v>
      </c>
      <c r="AS61">
        <v>2</v>
      </c>
      <c r="AT61">
        <v>73</v>
      </c>
      <c r="AU61" t="s">
        <v>118</v>
      </c>
      <c r="AV61">
        <v>16</v>
      </c>
      <c r="AW61" t="s">
        <v>108</v>
      </c>
      <c r="AX61">
        <v>21</v>
      </c>
      <c r="AY61">
        <f t="shared" si="0"/>
        <v>18</v>
      </c>
      <c r="AZ61">
        <f t="shared" si="1"/>
        <v>0</v>
      </c>
      <c r="BA61">
        <v>118</v>
      </c>
      <c r="BB61" t="str">
        <f t="shared" si="2"/>
        <v>(Natu-city)</v>
      </c>
      <c r="BC61">
        <f t="shared" si="3"/>
        <v>0</v>
      </c>
      <c r="BD61">
        <f t="shared" si="4"/>
        <v>0</v>
      </c>
      <c r="BE61">
        <v>0</v>
      </c>
      <c r="BF61" t="str">
        <f t="shared" si="5"/>
        <v>(Natu-city)</v>
      </c>
    </row>
    <row r="62" spans="1:58" x14ac:dyDescent="0.3">
      <c r="A62">
        <v>704</v>
      </c>
      <c r="B62" s="2">
        <v>45559.437719907408</v>
      </c>
      <c r="C62">
        <v>65000</v>
      </c>
      <c r="D62">
        <v>30000</v>
      </c>
      <c r="E62">
        <v>0</v>
      </c>
      <c r="F62">
        <v>10000</v>
      </c>
      <c r="G62">
        <v>0</v>
      </c>
      <c r="H62">
        <v>0</v>
      </c>
      <c r="I62">
        <v>20000</v>
      </c>
      <c r="J62">
        <v>12000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6</v>
      </c>
      <c r="W62">
        <v>4</v>
      </c>
      <c r="X62">
        <v>110000</v>
      </c>
      <c r="Y62">
        <v>100000</v>
      </c>
      <c r="Z62">
        <v>80000</v>
      </c>
      <c r="AA62">
        <v>0</v>
      </c>
      <c r="AB62">
        <v>0</v>
      </c>
      <c r="AC62">
        <v>100000</v>
      </c>
      <c r="AD62">
        <v>70000</v>
      </c>
      <c r="AG62">
        <v>8</v>
      </c>
      <c r="AH62">
        <v>10</v>
      </c>
      <c r="AI62">
        <v>-2</v>
      </c>
      <c r="AJ62">
        <v>-1</v>
      </c>
      <c r="AK62">
        <v>1</v>
      </c>
      <c r="AL62">
        <v>0</v>
      </c>
      <c r="AM62" t="s">
        <v>168</v>
      </c>
      <c r="AN62">
        <v>524</v>
      </c>
      <c r="AO62">
        <v>186</v>
      </c>
      <c r="AP62">
        <v>781</v>
      </c>
      <c r="AQ62">
        <v>781</v>
      </c>
      <c r="AS62">
        <v>3</v>
      </c>
      <c r="AT62">
        <v>73</v>
      </c>
      <c r="AU62" t="s">
        <v>118</v>
      </c>
      <c r="AV62">
        <v>16</v>
      </c>
      <c r="AW62" t="s">
        <v>108</v>
      </c>
      <c r="AX62">
        <v>21</v>
      </c>
      <c r="AY62">
        <f t="shared" si="0"/>
        <v>18</v>
      </c>
      <c r="AZ62">
        <f t="shared" si="1"/>
        <v>1</v>
      </c>
      <c r="BA62">
        <v>118</v>
      </c>
      <c r="BB62" t="str">
        <f t="shared" si="2"/>
        <v>(Natu-city)</v>
      </c>
      <c r="BC62">
        <f t="shared" si="3"/>
        <v>1</v>
      </c>
      <c r="BD62">
        <f t="shared" si="4"/>
        <v>0</v>
      </c>
      <c r="BE62">
        <v>12000</v>
      </c>
      <c r="BF62" t="str">
        <f t="shared" si="5"/>
        <v>(Natu-city)</v>
      </c>
    </row>
    <row r="63" spans="1:58" x14ac:dyDescent="0.3">
      <c r="A63">
        <v>594</v>
      </c>
      <c r="B63" s="2">
        <v>45559.437430555547</v>
      </c>
      <c r="C63">
        <v>100000</v>
      </c>
      <c r="D63">
        <v>50000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30000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</v>
      </c>
      <c r="W63">
        <v>6</v>
      </c>
      <c r="X63">
        <v>170000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t="s">
        <v>134</v>
      </c>
      <c r="AN63">
        <v>525</v>
      </c>
      <c r="AO63">
        <v>174</v>
      </c>
      <c r="AS63">
        <v>0</v>
      </c>
      <c r="AT63">
        <v>73</v>
      </c>
      <c r="AU63" t="s">
        <v>118</v>
      </c>
      <c r="AV63">
        <v>16</v>
      </c>
      <c r="AW63" t="s">
        <v>108</v>
      </c>
      <c r="AX63">
        <v>21</v>
      </c>
      <c r="AY63">
        <f t="shared" si="0"/>
        <v>0</v>
      </c>
      <c r="AZ63">
        <f t="shared" si="1"/>
        <v>0</v>
      </c>
      <c r="BA63">
        <v>120</v>
      </c>
      <c r="BB63" t="str">
        <f t="shared" si="2"/>
        <v/>
      </c>
      <c r="BC63" t="str">
        <f t="shared" si="3"/>
        <v/>
      </c>
      <c r="BD63">
        <f t="shared" si="4"/>
        <v>0</v>
      </c>
      <c r="BE63">
        <v>0</v>
      </c>
      <c r="BF63" t="str">
        <f t="shared" si="5"/>
        <v/>
      </c>
    </row>
    <row r="64" spans="1:58" x14ac:dyDescent="0.3">
      <c r="A64">
        <v>637</v>
      </c>
      <c r="B64" s="2">
        <v>45559.437430555547</v>
      </c>
      <c r="C64">
        <v>100000</v>
      </c>
      <c r="D64">
        <v>50000</v>
      </c>
      <c r="E64">
        <v>0</v>
      </c>
      <c r="F64">
        <v>17000</v>
      </c>
      <c r="G64">
        <v>0</v>
      </c>
      <c r="H64">
        <v>30000</v>
      </c>
      <c r="I64">
        <v>20000</v>
      </c>
      <c r="J64">
        <v>0</v>
      </c>
      <c r="K64">
        <v>0</v>
      </c>
      <c r="L64">
        <v>0</v>
      </c>
      <c r="M64">
        <v>0</v>
      </c>
      <c r="N64">
        <v>13000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</v>
      </c>
      <c r="W64">
        <v>6</v>
      </c>
      <c r="X64">
        <v>170000</v>
      </c>
      <c r="Y64">
        <v>0</v>
      </c>
      <c r="Z64">
        <v>0</v>
      </c>
      <c r="AA64">
        <v>0</v>
      </c>
      <c r="AB64">
        <v>200000</v>
      </c>
      <c r="AC64">
        <v>170000</v>
      </c>
      <c r="AD64">
        <v>153000</v>
      </c>
      <c r="AG64">
        <v>8</v>
      </c>
      <c r="AH64">
        <v>10</v>
      </c>
      <c r="AI64">
        <v>0</v>
      </c>
      <c r="AJ64">
        <v>0</v>
      </c>
      <c r="AK64">
        <v>0</v>
      </c>
      <c r="AL64">
        <v>0</v>
      </c>
      <c r="AM64" t="s">
        <v>168</v>
      </c>
      <c r="AN64">
        <v>525</v>
      </c>
      <c r="AO64">
        <v>177</v>
      </c>
      <c r="AQ64">
        <v>780</v>
      </c>
      <c r="AS64">
        <v>1</v>
      </c>
      <c r="AT64">
        <v>73</v>
      </c>
      <c r="AU64" t="s">
        <v>118</v>
      </c>
      <c r="AV64">
        <v>16</v>
      </c>
      <c r="AW64" t="s">
        <v>108</v>
      </c>
      <c r="AX64">
        <v>21</v>
      </c>
      <c r="AY64">
        <f t="shared" si="0"/>
        <v>18</v>
      </c>
      <c r="AZ64">
        <f t="shared" si="1"/>
        <v>0</v>
      </c>
      <c r="BA64">
        <v>120</v>
      </c>
      <c r="BB64" t="str">
        <f t="shared" si="2"/>
        <v>(Natu-city)</v>
      </c>
      <c r="BC64">
        <f t="shared" si="3"/>
        <v>0</v>
      </c>
      <c r="BD64">
        <f t="shared" si="4"/>
        <v>0</v>
      </c>
      <c r="BE64">
        <v>0</v>
      </c>
      <c r="BF64" t="str">
        <f t="shared" si="5"/>
        <v>(Natu-city)</v>
      </c>
    </row>
    <row r="65" spans="1:58" x14ac:dyDescent="0.3">
      <c r="A65">
        <v>667</v>
      </c>
      <c r="B65" s="2">
        <v>45559.437430555547</v>
      </c>
      <c r="C65">
        <v>100000</v>
      </c>
      <c r="D65">
        <v>50000</v>
      </c>
      <c r="E65">
        <v>0</v>
      </c>
      <c r="F65">
        <v>17000</v>
      </c>
      <c r="G65">
        <v>0</v>
      </c>
      <c r="H65">
        <v>0</v>
      </c>
      <c r="I65">
        <v>20000</v>
      </c>
      <c r="J65">
        <v>6000</v>
      </c>
      <c r="K65">
        <v>0</v>
      </c>
      <c r="L65">
        <v>0</v>
      </c>
      <c r="M65">
        <v>0</v>
      </c>
      <c r="N65">
        <v>20000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</v>
      </c>
      <c r="W65">
        <v>6</v>
      </c>
      <c r="X65">
        <v>170000</v>
      </c>
      <c r="Y65">
        <v>170000</v>
      </c>
      <c r="Z65">
        <v>153000</v>
      </c>
      <c r="AA65">
        <v>0</v>
      </c>
      <c r="AB65">
        <v>0</v>
      </c>
      <c r="AC65">
        <v>170000</v>
      </c>
      <c r="AD65">
        <v>136000</v>
      </c>
      <c r="AG65">
        <v>8</v>
      </c>
      <c r="AH65">
        <v>10</v>
      </c>
      <c r="AI65">
        <v>-2</v>
      </c>
      <c r="AJ65">
        <v>-1</v>
      </c>
      <c r="AK65">
        <v>1</v>
      </c>
      <c r="AL65">
        <v>0</v>
      </c>
      <c r="AM65" t="s">
        <v>168</v>
      </c>
      <c r="AN65">
        <v>525</v>
      </c>
      <c r="AO65">
        <v>181</v>
      </c>
      <c r="AP65">
        <v>780</v>
      </c>
      <c r="AQ65">
        <v>780</v>
      </c>
      <c r="AS65">
        <v>2</v>
      </c>
      <c r="AT65">
        <v>73</v>
      </c>
      <c r="AU65" t="s">
        <v>118</v>
      </c>
      <c r="AV65">
        <v>16</v>
      </c>
      <c r="AW65" t="s">
        <v>108</v>
      </c>
      <c r="AX65">
        <v>21</v>
      </c>
      <c r="AY65">
        <f t="shared" si="0"/>
        <v>18</v>
      </c>
      <c r="AZ65">
        <f t="shared" si="1"/>
        <v>1</v>
      </c>
      <c r="BA65">
        <v>120</v>
      </c>
      <c r="BB65" t="str">
        <f t="shared" si="2"/>
        <v>(Natu-city)</v>
      </c>
      <c r="BC65">
        <f t="shared" si="3"/>
        <v>0</v>
      </c>
      <c r="BD65">
        <f t="shared" si="4"/>
        <v>0</v>
      </c>
      <c r="BE65">
        <v>6000</v>
      </c>
      <c r="BF65" t="str">
        <f t="shared" si="5"/>
        <v>(Natu-city)</v>
      </c>
    </row>
    <row r="66" spans="1:58" x14ac:dyDescent="0.3">
      <c r="A66">
        <v>705</v>
      </c>
      <c r="B66" s="2">
        <v>45559.437430555547</v>
      </c>
      <c r="C66">
        <v>100000</v>
      </c>
      <c r="D66">
        <v>50000</v>
      </c>
      <c r="E66">
        <v>0</v>
      </c>
      <c r="F66">
        <v>17000</v>
      </c>
      <c r="G66">
        <v>0</v>
      </c>
      <c r="H66">
        <v>0</v>
      </c>
      <c r="I66">
        <v>20000</v>
      </c>
      <c r="J66">
        <v>20000</v>
      </c>
      <c r="K66">
        <v>0</v>
      </c>
      <c r="L66">
        <v>0</v>
      </c>
      <c r="M66">
        <v>0</v>
      </c>
      <c r="N66">
        <v>13000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6</v>
      </c>
      <c r="W66">
        <v>6</v>
      </c>
      <c r="X66">
        <v>170000</v>
      </c>
      <c r="Y66">
        <v>170000</v>
      </c>
      <c r="Z66">
        <v>136000</v>
      </c>
      <c r="AA66">
        <v>0</v>
      </c>
      <c r="AB66">
        <v>0</v>
      </c>
      <c r="AC66">
        <v>170000</v>
      </c>
      <c r="AD66">
        <v>119000</v>
      </c>
      <c r="AG66">
        <v>8</v>
      </c>
      <c r="AH66">
        <v>10</v>
      </c>
      <c r="AI66">
        <v>-2</v>
      </c>
      <c r="AJ66">
        <v>-1</v>
      </c>
      <c r="AK66">
        <v>1</v>
      </c>
      <c r="AL66">
        <v>1</v>
      </c>
      <c r="AM66" t="s">
        <v>168</v>
      </c>
      <c r="AN66">
        <v>525</v>
      </c>
      <c r="AO66">
        <v>186</v>
      </c>
      <c r="AP66">
        <v>780</v>
      </c>
      <c r="AQ66">
        <v>780</v>
      </c>
      <c r="AS66">
        <v>3</v>
      </c>
      <c r="AT66">
        <v>73</v>
      </c>
      <c r="AU66" t="s">
        <v>118</v>
      </c>
      <c r="AV66">
        <v>16</v>
      </c>
      <c r="AW66" t="s">
        <v>108</v>
      </c>
      <c r="AX66">
        <v>21</v>
      </c>
      <c r="AY66">
        <f t="shared" si="0"/>
        <v>18</v>
      </c>
      <c r="AZ66">
        <f t="shared" si="1"/>
        <v>2</v>
      </c>
      <c r="BA66">
        <v>120</v>
      </c>
      <c r="BB66" t="str">
        <f t="shared" si="2"/>
        <v>(Natu-city)</v>
      </c>
      <c r="BC66">
        <f t="shared" si="3"/>
        <v>1</v>
      </c>
      <c r="BD66">
        <f t="shared" si="4"/>
        <v>0</v>
      </c>
      <c r="BE66">
        <v>20000</v>
      </c>
      <c r="BF66" t="str">
        <f t="shared" si="5"/>
        <v>(Natu-city)</v>
      </c>
    </row>
    <row r="67" spans="1:58" x14ac:dyDescent="0.3">
      <c r="A67">
        <v>597</v>
      </c>
      <c r="B67" s="2">
        <v>45559.437569444453</v>
      </c>
      <c r="C67">
        <v>50000</v>
      </c>
      <c r="D67">
        <v>20000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3</v>
      </c>
      <c r="X67">
        <v>80000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134</v>
      </c>
      <c r="AN67">
        <v>526</v>
      </c>
      <c r="AO67">
        <v>174</v>
      </c>
      <c r="AS67">
        <v>0</v>
      </c>
      <c r="AT67">
        <v>73</v>
      </c>
      <c r="AU67" t="s">
        <v>118</v>
      </c>
      <c r="AV67">
        <v>16</v>
      </c>
      <c r="AW67" t="s">
        <v>108</v>
      </c>
      <c r="AX67">
        <v>21</v>
      </c>
      <c r="AY67">
        <f t="shared" ref="AY67:AY130" si="6">AG67+AH67</f>
        <v>0</v>
      </c>
      <c r="AZ67">
        <f t="shared" ref="AZ67:AZ130" si="7">AK67+AL67</f>
        <v>0</v>
      </c>
      <c r="BA67">
        <v>117</v>
      </c>
      <c r="BB67" t="str">
        <f t="shared" ref="BB67:BB130" si="8">IF(AY67=15,"(U-village)",IF(AY67=16,"(Dike-town)",IF(AY67=18,"(Natu-city)","")))</f>
        <v/>
      </c>
      <c r="BC67" t="str">
        <f t="shared" ref="BC67:BC130" si="9">IF(AN67=AN66,V67-V66,"")</f>
        <v/>
      </c>
      <c r="BD67">
        <f t="shared" ref="BD67:BD130" si="10">L67+M67</f>
        <v>0</v>
      </c>
      <c r="BE67">
        <v>0</v>
      </c>
      <c r="BF67" t="str">
        <f t="shared" ref="BF67:BF130" si="11">IF(AY67=15,"(U-village)",IF(AY67=16,"(Dike-town)",IF(AY67=18,"(Natu-city)","")))</f>
        <v/>
      </c>
    </row>
    <row r="68" spans="1:58" x14ac:dyDescent="0.3">
      <c r="A68">
        <v>635</v>
      </c>
      <c r="B68" s="2">
        <v>45559.437569444453</v>
      </c>
      <c r="C68">
        <v>50000</v>
      </c>
      <c r="D68">
        <v>20000</v>
      </c>
      <c r="E68">
        <v>0</v>
      </c>
      <c r="F68">
        <v>7000</v>
      </c>
      <c r="G68">
        <v>0</v>
      </c>
      <c r="H68">
        <v>0</v>
      </c>
      <c r="I68">
        <v>15000</v>
      </c>
      <c r="J68">
        <v>6000</v>
      </c>
      <c r="K68">
        <v>0</v>
      </c>
      <c r="L68">
        <v>0</v>
      </c>
      <c r="M68">
        <v>0</v>
      </c>
      <c r="N68">
        <v>2000</v>
      </c>
      <c r="O68">
        <v>0</v>
      </c>
      <c r="P68">
        <v>-1</v>
      </c>
      <c r="Q68">
        <v>0</v>
      </c>
      <c r="R68">
        <v>0</v>
      </c>
      <c r="S68">
        <v>0</v>
      </c>
      <c r="T68">
        <v>0</v>
      </c>
      <c r="U68">
        <v>0</v>
      </c>
      <c r="V68">
        <v>4</v>
      </c>
      <c r="W68">
        <v>3</v>
      </c>
      <c r="X68">
        <v>80000</v>
      </c>
      <c r="Y68">
        <v>0</v>
      </c>
      <c r="Z68">
        <v>0</v>
      </c>
      <c r="AA68">
        <v>0</v>
      </c>
      <c r="AB68">
        <v>70000</v>
      </c>
      <c r="AC68">
        <v>70000</v>
      </c>
      <c r="AD68">
        <v>63000</v>
      </c>
      <c r="AG68">
        <v>8</v>
      </c>
      <c r="AH68">
        <v>7</v>
      </c>
      <c r="AI68">
        <v>0</v>
      </c>
      <c r="AJ68">
        <v>0</v>
      </c>
      <c r="AK68">
        <v>1</v>
      </c>
      <c r="AL68">
        <v>0</v>
      </c>
      <c r="AM68" t="s">
        <v>168</v>
      </c>
      <c r="AN68">
        <v>526</v>
      </c>
      <c r="AO68">
        <v>177</v>
      </c>
      <c r="AQ68">
        <v>788</v>
      </c>
      <c r="AS68">
        <v>1</v>
      </c>
      <c r="AT68">
        <v>73</v>
      </c>
      <c r="AU68" t="s">
        <v>118</v>
      </c>
      <c r="AV68">
        <v>16</v>
      </c>
      <c r="AW68" t="s">
        <v>108</v>
      </c>
      <c r="AX68">
        <v>21</v>
      </c>
      <c r="AY68">
        <f t="shared" si="6"/>
        <v>15</v>
      </c>
      <c r="AZ68">
        <f t="shared" si="7"/>
        <v>1</v>
      </c>
      <c r="BA68">
        <v>117</v>
      </c>
      <c r="BB68" t="str">
        <f t="shared" si="8"/>
        <v>(U-village)</v>
      </c>
      <c r="BC68">
        <f t="shared" si="9"/>
        <v>-1</v>
      </c>
      <c r="BD68">
        <f t="shared" si="10"/>
        <v>0</v>
      </c>
      <c r="BE68">
        <v>6000</v>
      </c>
      <c r="BF68" t="str">
        <f t="shared" si="11"/>
        <v>(U-village)</v>
      </c>
    </row>
    <row r="69" spans="1:58" x14ac:dyDescent="0.3">
      <c r="A69">
        <v>669</v>
      </c>
      <c r="B69" s="2">
        <v>45559.437569444453</v>
      </c>
      <c r="C69">
        <v>50000</v>
      </c>
      <c r="D69">
        <v>20000</v>
      </c>
      <c r="E69">
        <v>0</v>
      </c>
      <c r="F69">
        <v>7000</v>
      </c>
      <c r="G69">
        <v>0</v>
      </c>
      <c r="H69">
        <v>0</v>
      </c>
      <c r="I69">
        <v>15000</v>
      </c>
      <c r="J69">
        <v>7000</v>
      </c>
      <c r="K69">
        <v>0</v>
      </c>
      <c r="L69">
        <v>8000</v>
      </c>
      <c r="M69">
        <v>0</v>
      </c>
      <c r="N69">
        <v>-5000</v>
      </c>
      <c r="O69">
        <v>0</v>
      </c>
      <c r="P69">
        <v>0</v>
      </c>
      <c r="Q69">
        <v>0</v>
      </c>
      <c r="R69">
        <v>0</v>
      </c>
      <c r="S69">
        <v>3</v>
      </c>
      <c r="T69">
        <v>0</v>
      </c>
      <c r="U69">
        <v>0</v>
      </c>
      <c r="V69">
        <v>1</v>
      </c>
      <c r="W69">
        <v>3</v>
      </c>
      <c r="X69">
        <v>80000</v>
      </c>
      <c r="Y69">
        <v>70000</v>
      </c>
      <c r="Z69">
        <v>63000</v>
      </c>
      <c r="AA69">
        <v>0</v>
      </c>
      <c r="AB69">
        <v>0</v>
      </c>
      <c r="AC69">
        <v>70000</v>
      </c>
      <c r="AD69">
        <v>56000</v>
      </c>
      <c r="AG69">
        <v>8</v>
      </c>
      <c r="AH69">
        <v>7</v>
      </c>
      <c r="AI69">
        <v>-2</v>
      </c>
      <c r="AJ69">
        <v>-1</v>
      </c>
      <c r="AK69">
        <v>0</v>
      </c>
      <c r="AL69">
        <v>0</v>
      </c>
      <c r="AM69" t="s">
        <v>168</v>
      </c>
      <c r="AN69">
        <v>526</v>
      </c>
      <c r="AO69">
        <v>181</v>
      </c>
      <c r="AP69">
        <v>788</v>
      </c>
      <c r="AQ69">
        <v>788</v>
      </c>
      <c r="AS69">
        <v>2</v>
      </c>
      <c r="AT69">
        <v>73</v>
      </c>
      <c r="AU69" t="s">
        <v>118</v>
      </c>
      <c r="AV69">
        <v>16</v>
      </c>
      <c r="AW69" t="s">
        <v>108</v>
      </c>
      <c r="AX69">
        <v>21</v>
      </c>
      <c r="AY69">
        <f t="shared" si="6"/>
        <v>15</v>
      </c>
      <c r="AZ69">
        <f t="shared" si="7"/>
        <v>0</v>
      </c>
      <c r="BA69">
        <v>117</v>
      </c>
      <c r="BB69" t="str">
        <f t="shared" si="8"/>
        <v>(U-village)</v>
      </c>
      <c r="BC69">
        <f t="shared" si="9"/>
        <v>-3</v>
      </c>
      <c r="BD69">
        <f t="shared" si="10"/>
        <v>8000</v>
      </c>
      <c r="BE69">
        <v>7000</v>
      </c>
      <c r="BF69" t="str">
        <f t="shared" si="11"/>
        <v>(U-village)</v>
      </c>
    </row>
    <row r="70" spans="1:58" x14ac:dyDescent="0.3">
      <c r="A70">
        <v>707</v>
      </c>
      <c r="B70" s="2">
        <v>45559.437569444453</v>
      </c>
      <c r="C70">
        <v>50000</v>
      </c>
      <c r="D70">
        <v>20000</v>
      </c>
      <c r="E70">
        <v>5000</v>
      </c>
      <c r="F70">
        <v>7000</v>
      </c>
      <c r="G70">
        <v>0</v>
      </c>
      <c r="H70">
        <v>0</v>
      </c>
      <c r="I70">
        <v>15000</v>
      </c>
      <c r="J70">
        <v>3000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3</v>
      </c>
      <c r="X70">
        <v>80000</v>
      </c>
      <c r="Y70">
        <v>70000</v>
      </c>
      <c r="Z70">
        <v>56000</v>
      </c>
      <c r="AA70">
        <v>0</v>
      </c>
      <c r="AB70">
        <v>0</v>
      </c>
      <c r="AC70">
        <v>70000</v>
      </c>
      <c r="AD70">
        <v>49000</v>
      </c>
      <c r="AG70">
        <v>8</v>
      </c>
      <c r="AH70">
        <v>7</v>
      </c>
      <c r="AI70">
        <v>-2</v>
      </c>
      <c r="AJ70">
        <v>-1</v>
      </c>
      <c r="AK70">
        <v>0</v>
      </c>
      <c r="AL70">
        <v>1</v>
      </c>
      <c r="AM70" t="s">
        <v>168</v>
      </c>
      <c r="AN70">
        <v>526</v>
      </c>
      <c r="AO70">
        <v>186</v>
      </c>
      <c r="AP70">
        <v>788</v>
      </c>
      <c r="AQ70">
        <v>788</v>
      </c>
      <c r="AS70">
        <v>3</v>
      </c>
      <c r="AT70">
        <v>73</v>
      </c>
      <c r="AU70" t="s">
        <v>118</v>
      </c>
      <c r="AV70">
        <v>16</v>
      </c>
      <c r="AW70" t="s">
        <v>108</v>
      </c>
      <c r="AX70">
        <v>21</v>
      </c>
      <c r="AY70">
        <f t="shared" si="6"/>
        <v>15</v>
      </c>
      <c r="AZ70">
        <f t="shared" si="7"/>
        <v>1</v>
      </c>
      <c r="BA70">
        <v>117</v>
      </c>
      <c r="BB70" t="str">
        <f t="shared" si="8"/>
        <v>(U-village)</v>
      </c>
      <c r="BC70">
        <f t="shared" si="9"/>
        <v>-1</v>
      </c>
      <c r="BD70">
        <f t="shared" si="10"/>
        <v>0</v>
      </c>
      <c r="BE70">
        <v>3000</v>
      </c>
      <c r="BF70" t="str">
        <f t="shared" si="11"/>
        <v>(U-village)</v>
      </c>
    </row>
    <row r="71" spans="1:58" x14ac:dyDescent="0.3">
      <c r="A71">
        <v>598</v>
      </c>
      <c r="B71" s="2">
        <v>45559.437581018523</v>
      </c>
      <c r="C71">
        <v>80000</v>
      </c>
      <c r="D71">
        <v>40000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15000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</v>
      </c>
      <c r="W71">
        <v>5</v>
      </c>
      <c r="X71">
        <v>130000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t="s">
        <v>134</v>
      </c>
      <c r="AN71">
        <v>527</v>
      </c>
      <c r="AO71">
        <v>174</v>
      </c>
      <c r="AS71">
        <v>0</v>
      </c>
      <c r="AT71">
        <v>73</v>
      </c>
      <c r="AU71" t="s">
        <v>118</v>
      </c>
      <c r="AV71">
        <v>16</v>
      </c>
      <c r="AW71" t="s">
        <v>108</v>
      </c>
      <c r="AX71">
        <v>21</v>
      </c>
      <c r="AY71">
        <f t="shared" si="6"/>
        <v>0</v>
      </c>
      <c r="AZ71">
        <f t="shared" si="7"/>
        <v>0</v>
      </c>
      <c r="BA71">
        <v>119</v>
      </c>
      <c r="BB71" t="str">
        <f t="shared" si="8"/>
        <v/>
      </c>
      <c r="BC71" t="str">
        <f t="shared" si="9"/>
        <v/>
      </c>
      <c r="BD71">
        <f t="shared" si="10"/>
        <v>0</v>
      </c>
      <c r="BE71">
        <v>0</v>
      </c>
      <c r="BF71" t="str">
        <f t="shared" si="11"/>
        <v/>
      </c>
    </row>
    <row r="72" spans="1:58" x14ac:dyDescent="0.3">
      <c r="A72">
        <v>640</v>
      </c>
      <c r="B72" s="2">
        <v>45559.437581018523</v>
      </c>
      <c r="C72">
        <v>80000</v>
      </c>
      <c r="D72">
        <v>40000</v>
      </c>
      <c r="E72">
        <v>0</v>
      </c>
      <c r="F72">
        <v>12500</v>
      </c>
      <c r="G72">
        <v>0</v>
      </c>
      <c r="H72">
        <v>0</v>
      </c>
      <c r="I72">
        <v>15000</v>
      </c>
      <c r="J72">
        <v>12000</v>
      </c>
      <c r="K72">
        <v>0</v>
      </c>
      <c r="L72">
        <v>0</v>
      </c>
      <c r="M72">
        <v>0</v>
      </c>
      <c r="N72">
        <v>15500</v>
      </c>
      <c r="O72">
        <v>0</v>
      </c>
      <c r="P72">
        <v>-1</v>
      </c>
      <c r="Q72">
        <v>0</v>
      </c>
      <c r="R72">
        <v>0</v>
      </c>
      <c r="S72">
        <v>0</v>
      </c>
      <c r="T72">
        <v>0</v>
      </c>
      <c r="U72">
        <v>0</v>
      </c>
      <c r="V72">
        <v>4</v>
      </c>
      <c r="W72">
        <v>5</v>
      </c>
      <c r="X72">
        <v>130000</v>
      </c>
      <c r="Y72">
        <v>0</v>
      </c>
      <c r="Z72">
        <v>0</v>
      </c>
      <c r="AA72">
        <v>0</v>
      </c>
      <c r="AB72">
        <v>125000</v>
      </c>
      <c r="AC72">
        <v>125000</v>
      </c>
      <c r="AD72">
        <v>112500</v>
      </c>
      <c r="AG72">
        <v>8</v>
      </c>
      <c r="AH72">
        <v>7</v>
      </c>
      <c r="AI72">
        <v>0</v>
      </c>
      <c r="AJ72">
        <v>0</v>
      </c>
      <c r="AK72">
        <v>1</v>
      </c>
      <c r="AL72">
        <v>1</v>
      </c>
      <c r="AM72" t="s">
        <v>168</v>
      </c>
      <c r="AN72">
        <v>527</v>
      </c>
      <c r="AO72">
        <v>177</v>
      </c>
      <c r="AQ72">
        <v>787</v>
      </c>
      <c r="AS72">
        <v>1</v>
      </c>
      <c r="AT72">
        <v>73</v>
      </c>
      <c r="AU72" t="s">
        <v>118</v>
      </c>
      <c r="AV72">
        <v>16</v>
      </c>
      <c r="AW72" t="s">
        <v>108</v>
      </c>
      <c r="AX72">
        <v>21</v>
      </c>
      <c r="AY72">
        <f t="shared" si="6"/>
        <v>15</v>
      </c>
      <c r="AZ72">
        <f t="shared" si="7"/>
        <v>2</v>
      </c>
      <c r="BA72">
        <v>119</v>
      </c>
      <c r="BB72" t="str">
        <f t="shared" si="8"/>
        <v>(U-village)</v>
      </c>
      <c r="BC72">
        <f t="shared" si="9"/>
        <v>-1</v>
      </c>
      <c r="BD72">
        <f t="shared" si="10"/>
        <v>0</v>
      </c>
      <c r="BE72">
        <v>12000</v>
      </c>
      <c r="BF72" t="str">
        <f t="shared" si="11"/>
        <v>(U-village)</v>
      </c>
    </row>
    <row r="73" spans="1:58" x14ac:dyDescent="0.3">
      <c r="A73">
        <v>665</v>
      </c>
      <c r="B73" s="2">
        <v>45559.437581018523</v>
      </c>
      <c r="C73">
        <v>80000</v>
      </c>
      <c r="D73">
        <v>40000</v>
      </c>
      <c r="E73">
        <v>0</v>
      </c>
      <c r="F73">
        <v>12500</v>
      </c>
      <c r="G73">
        <v>0</v>
      </c>
      <c r="H73">
        <v>0</v>
      </c>
      <c r="I73">
        <v>15000</v>
      </c>
      <c r="J73">
        <v>12500</v>
      </c>
      <c r="K73">
        <v>0</v>
      </c>
      <c r="L73">
        <v>8000</v>
      </c>
      <c r="M73">
        <v>0</v>
      </c>
      <c r="N73">
        <v>7500</v>
      </c>
      <c r="O73">
        <v>0</v>
      </c>
      <c r="P73">
        <v>0</v>
      </c>
      <c r="Q73">
        <v>0</v>
      </c>
      <c r="R73">
        <v>0</v>
      </c>
      <c r="S73">
        <v>3</v>
      </c>
      <c r="T73">
        <v>0</v>
      </c>
      <c r="U73">
        <v>0</v>
      </c>
      <c r="V73">
        <v>1</v>
      </c>
      <c r="W73">
        <v>5</v>
      </c>
      <c r="X73">
        <v>130000</v>
      </c>
      <c r="Y73">
        <v>125000</v>
      </c>
      <c r="Z73">
        <v>112500</v>
      </c>
      <c r="AA73">
        <v>0</v>
      </c>
      <c r="AB73">
        <v>0</v>
      </c>
      <c r="AC73">
        <v>125000</v>
      </c>
      <c r="AD73">
        <v>100000</v>
      </c>
      <c r="AG73">
        <v>8</v>
      </c>
      <c r="AH73">
        <v>7</v>
      </c>
      <c r="AI73">
        <v>-2</v>
      </c>
      <c r="AJ73">
        <v>-1</v>
      </c>
      <c r="AK73">
        <v>0</v>
      </c>
      <c r="AL73">
        <v>0</v>
      </c>
      <c r="AM73" t="s">
        <v>168</v>
      </c>
      <c r="AN73">
        <v>527</v>
      </c>
      <c r="AO73">
        <v>181</v>
      </c>
      <c r="AP73">
        <v>787</v>
      </c>
      <c r="AQ73">
        <v>787</v>
      </c>
      <c r="AS73">
        <v>2</v>
      </c>
      <c r="AT73">
        <v>73</v>
      </c>
      <c r="AU73" t="s">
        <v>118</v>
      </c>
      <c r="AV73">
        <v>16</v>
      </c>
      <c r="AW73" t="s">
        <v>108</v>
      </c>
      <c r="AX73">
        <v>21</v>
      </c>
      <c r="AY73">
        <f t="shared" si="6"/>
        <v>15</v>
      </c>
      <c r="AZ73">
        <f t="shared" si="7"/>
        <v>0</v>
      </c>
      <c r="BA73">
        <v>119</v>
      </c>
      <c r="BB73" t="str">
        <f t="shared" si="8"/>
        <v>(U-village)</v>
      </c>
      <c r="BC73">
        <f t="shared" si="9"/>
        <v>-3</v>
      </c>
      <c r="BD73">
        <f t="shared" si="10"/>
        <v>8000</v>
      </c>
      <c r="BE73">
        <v>12500</v>
      </c>
      <c r="BF73" t="str">
        <f t="shared" si="11"/>
        <v>(U-village)</v>
      </c>
    </row>
    <row r="74" spans="1:58" x14ac:dyDescent="0.3">
      <c r="A74">
        <v>703</v>
      </c>
      <c r="B74" s="2">
        <v>45559.437581018523</v>
      </c>
      <c r="C74">
        <v>80000</v>
      </c>
      <c r="D74">
        <v>40000</v>
      </c>
      <c r="E74">
        <v>0</v>
      </c>
      <c r="F74">
        <v>12500</v>
      </c>
      <c r="G74">
        <v>0</v>
      </c>
      <c r="H74">
        <v>0</v>
      </c>
      <c r="I74">
        <v>15000</v>
      </c>
      <c r="J74">
        <v>12000</v>
      </c>
      <c r="K74">
        <v>0</v>
      </c>
      <c r="L74">
        <v>0</v>
      </c>
      <c r="M74">
        <v>0</v>
      </c>
      <c r="N74">
        <v>8000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2</v>
      </c>
      <c r="W74">
        <v>5</v>
      </c>
      <c r="X74">
        <v>130000</v>
      </c>
      <c r="Y74">
        <v>125000</v>
      </c>
      <c r="Z74">
        <v>100000</v>
      </c>
      <c r="AA74">
        <v>0</v>
      </c>
      <c r="AB74">
        <v>0</v>
      </c>
      <c r="AC74">
        <v>125000</v>
      </c>
      <c r="AD74">
        <v>87500</v>
      </c>
      <c r="AG74">
        <v>8</v>
      </c>
      <c r="AH74">
        <v>7</v>
      </c>
      <c r="AI74">
        <v>-2</v>
      </c>
      <c r="AJ74">
        <v>-1</v>
      </c>
      <c r="AK74">
        <v>1</v>
      </c>
      <c r="AL74">
        <v>0</v>
      </c>
      <c r="AM74" t="s">
        <v>170</v>
      </c>
      <c r="AN74">
        <v>527</v>
      </c>
      <c r="AO74">
        <v>186</v>
      </c>
      <c r="AP74">
        <v>787</v>
      </c>
      <c r="AQ74">
        <v>787</v>
      </c>
      <c r="AS74">
        <v>3</v>
      </c>
      <c r="AT74">
        <v>73</v>
      </c>
      <c r="AU74" t="s">
        <v>118</v>
      </c>
      <c r="AV74">
        <v>16</v>
      </c>
      <c r="AW74" t="s">
        <v>108</v>
      </c>
      <c r="AX74">
        <v>21</v>
      </c>
      <c r="AY74">
        <f t="shared" si="6"/>
        <v>15</v>
      </c>
      <c r="AZ74">
        <f t="shared" si="7"/>
        <v>1</v>
      </c>
      <c r="BA74">
        <v>119</v>
      </c>
      <c r="BB74" t="str">
        <f t="shared" si="8"/>
        <v>(U-village)</v>
      </c>
      <c r="BC74">
        <f t="shared" si="9"/>
        <v>1</v>
      </c>
      <c r="BD74">
        <f t="shared" si="10"/>
        <v>0</v>
      </c>
      <c r="BE74">
        <v>12000</v>
      </c>
      <c r="BF74" t="str">
        <f t="shared" si="11"/>
        <v>(U-village)</v>
      </c>
    </row>
    <row r="75" spans="1:58" x14ac:dyDescent="0.3">
      <c r="A75">
        <v>599</v>
      </c>
      <c r="B75" s="2">
        <v>45559.437685185178</v>
      </c>
      <c r="C75">
        <v>120000</v>
      </c>
      <c r="D75">
        <v>65000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50000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</v>
      </c>
      <c r="W75">
        <v>7</v>
      </c>
      <c r="X75">
        <v>200000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t="s">
        <v>134</v>
      </c>
      <c r="AN75">
        <v>528</v>
      </c>
      <c r="AO75">
        <v>174</v>
      </c>
      <c r="AS75">
        <v>0</v>
      </c>
      <c r="AT75">
        <v>73</v>
      </c>
      <c r="AU75" t="s">
        <v>118</v>
      </c>
      <c r="AV75">
        <v>16</v>
      </c>
      <c r="AW75" t="s">
        <v>108</v>
      </c>
      <c r="AX75">
        <v>21</v>
      </c>
      <c r="AY75">
        <f t="shared" si="6"/>
        <v>0</v>
      </c>
      <c r="AZ75">
        <f t="shared" si="7"/>
        <v>0</v>
      </c>
      <c r="BA75">
        <v>121</v>
      </c>
      <c r="BB75" t="str">
        <f t="shared" si="8"/>
        <v/>
      </c>
      <c r="BC75" t="str">
        <f t="shared" si="9"/>
        <v/>
      </c>
      <c r="BD75">
        <f t="shared" si="10"/>
        <v>0</v>
      </c>
      <c r="BE75">
        <v>0</v>
      </c>
      <c r="BF75" t="str">
        <f t="shared" si="11"/>
        <v/>
      </c>
    </row>
    <row r="76" spans="1:58" x14ac:dyDescent="0.3">
      <c r="A76">
        <v>636</v>
      </c>
      <c r="B76" s="2">
        <v>45559.437685185178</v>
      </c>
      <c r="C76">
        <v>120000</v>
      </c>
      <c r="D76">
        <v>65000</v>
      </c>
      <c r="E76">
        <v>0</v>
      </c>
      <c r="F76">
        <v>8000</v>
      </c>
      <c r="G76">
        <v>0</v>
      </c>
      <c r="H76">
        <v>0</v>
      </c>
      <c r="I76">
        <v>15000</v>
      </c>
      <c r="J76">
        <v>20000</v>
      </c>
      <c r="K76">
        <v>0</v>
      </c>
      <c r="L76">
        <v>0</v>
      </c>
      <c r="M76">
        <v>0</v>
      </c>
      <c r="N76">
        <v>62000</v>
      </c>
      <c r="O76">
        <v>0</v>
      </c>
      <c r="P76">
        <v>-5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7</v>
      </c>
      <c r="X76">
        <v>200000</v>
      </c>
      <c r="Y76">
        <v>0</v>
      </c>
      <c r="Z76">
        <v>0</v>
      </c>
      <c r="AA76">
        <v>0</v>
      </c>
      <c r="AB76">
        <v>80000</v>
      </c>
      <c r="AC76">
        <v>80000</v>
      </c>
      <c r="AD76">
        <v>72000</v>
      </c>
      <c r="AG76">
        <v>6</v>
      </c>
      <c r="AH76">
        <v>10</v>
      </c>
      <c r="AI76">
        <v>0</v>
      </c>
      <c r="AJ76">
        <v>0</v>
      </c>
      <c r="AK76">
        <v>1</v>
      </c>
      <c r="AL76">
        <v>1</v>
      </c>
      <c r="AM76" t="s">
        <v>168</v>
      </c>
      <c r="AN76">
        <v>528</v>
      </c>
      <c r="AO76">
        <v>177</v>
      </c>
      <c r="AQ76">
        <v>785</v>
      </c>
      <c r="AS76">
        <v>1</v>
      </c>
      <c r="AT76">
        <v>73</v>
      </c>
      <c r="AU76" t="s">
        <v>118</v>
      </c>
      <c r="AV76">
        <v>16</v>
      </c>
      <c r="AW76" t="s">
        <v>108</v>
      </c>
      <c r="AX76">
        <v>21</v>
      </c>
      <c r="AY76">
        <f t="shared" si="6"/>
        <v>16</v>
      </c>
      <c r="AZ76">
        <f t="shared" si="7"/>
        <v>2</v>
      </c>
      <c r="BA76">
        <v>121</v>
      </c>
      <c r="BB76" t="str">
        <f t="shared" si="8"/>
        <v>(Dike-town)</v>
      </c>
      <c r="BC76">
        <f t="shared" si="9"/>
        <v>-4</v>
      </c>
      <c r="BD76">
        <f t="shared" si="10"/>
        <v>0</v>
      </c>
      <c r="BE76">
        <v>20000</v>
      </c>
      <c r="BF76" t="str">
        <f t="shared" si="11"/>
        <v>(Dike-town)</v>
      </c>
    </row>
    <row r="77" spans="1:58" x14ac:dyDescent="0.3">
      <c r="A77">
        <v>671</v>
      </c>
      <c r="B77" s="2">
        <v>45559.437685185178</v>
      </c>
      <c r="C77">
        <v>120000</v>
      </c>
      <c r="D77">
        <v>65000</v>
      </c>
      <c r="E77">
        <v>0</v>
      </c>
      <c r="F77">
        <v>8000</v>
      </c>
      <c r="G77">
        <v>0</v>
      </c>
      <c r="H77">
        <v>0</v>
      </c>
      <c r="I77">
        <v>15000</v>
      </c>
      <c r="J77">
        <v>28000</v>
      </c>
      <c r="K77">
        <v>0</v>
      </c>
      <c r="L77">
        <v>0</v>
      </c>
      <c r="M77">
        <v>0</v>
      </c>
      <c r="N77">
        <v>66000</v>
      </c>
      <c r="O77">
        <v>0</v>
      </c>
      <c r="P77">
        <v>0</v>
      </c>
      <c r="Q77">
        <v>1</v>
      </c>
      <c r="R77">
        <v>2</v>
      </c>
      <c r="S77">
        <v>0</v>
      </c>
      <c r="T77">
        <v>0</v>
      </c>
      <c r="U77">
        <v>0</v>
      </c>
      <c r="V77">
        <v>4</v>
      </c>
      <c r="W77">
        <v>7</v>
      </c>
      <c r="X77">
        <v>200000</v>
      </c>
      <c r="Y77">
        <v>80000</v>
      </c>
      <c r="Z77">
        <v>72000</v>
      </c>
      <c r="AA77">
        <v>0</v>
      </c>
      <c r="AB77">
        <v>0</v>
      </c>
      <c r="AC77">
        <v>80000</v>
      </c>
      <c r="AD77">
        <v>64000</v>
      </c>
      <c r="AG77">
        <v>6</v>
      </c>
      <c r="AH77">
        <v>10</v>
      </c>
      <c r="AI77">
        <v>-2</v>
      </c>
      <c r="AJ77">
        <v>-1</v>
      </c>
      <c r="AK77">
        <v>1</v>
      </c>
      <c r="AL77">
        <v>0</v>
      </c>
      <c r="AM77" t="s">
        <v>168</v>
      </c>
      <c r="AN77">
        <v>528</v>
      </c>
      <c r="AO77">
        <v>181</v>
      </c>
      <c r="AP77">
        <v>785</v>
      </c>
      <c r="AQ77">
        <v>785</v>
      </c>
      <c r="AS77">
        <v>2</v>
      </c>
      <c r="AT77">
        <v>73</v>
      </c>
      <c r="AU77" t="s">
        <v>118</v>
      </c>
      <c r="AV77">
        <v>16</v>
      </c>
      <c r="AW77" t="s">
        <v>108</v>
      </c>
      <c r="AX77">
        <v>21</v>
      </c>
      <c r="AY77">
        <f t="shared" si="6"/>
        <v>16</v>
      </c>
      <c r="AZ77">
        <f t="shared" si="7"/>
        <v>1</v>
      </c>
      <c r="BA77">
        <v>121</v>
      </c>
      <c r="BB77" t="str">
        <f t="shared" si="8"/>
        <v>(Dike-town)</v>
      </c>
      <c r="BC77">
        <f t="shared" si="9"/>
        <v>3</v>
      </c>
      <c r="BD77">
        <f t="shared" si="10"/>
        <v>0</v>
      </c>
      <c r="BE77">
        <v>28000</v>
      </c>
      <c r="BF77" t="str">
        <f t="shared" si="11"/>
        <v>(Dike-town)</v>
      </c>
    </row>
    <row r="78" spans="1:58" x14ac:dyDescent="0.3">
      <c r="A78">
        <v>709</v>
      </c>
      <c r="B78" s="2">
        <v>45559.437685185178</v>
      </c>
      <c r="C78">
        <v>120000</v>
      </c>
      <c r="D78">
        <v>65000</v>
      </c>
      <c r="E78">
        <v>0</v>
      </c>
      <c r="F78">
        <v>10000</v>
      </c>
      <c r="G78">
        <v>40000</v>
      </c>
      <c r="H78">
        <v>0</v>
      </c>
      <c r="I78">
        <v>20000</v>
      </c>
      <c r="J78">
        <v>0</v>
      </c>
      <c r="K78">
        <v>0</v>
      </c>
      <c r="L78">
        <v>0</v>
      </c>
      <c r="M78">
        <v>0</v>
      </c>
      <c r="N78">
        <v>131000</v>
      </c>
      <c r="O78">
        <v>1</v>
      </c>
      <c r="P78">
        <v>-4</v>
      </c>
      <c r="Q78">
        <v>0</v>
      </c>
      <c r="R78">
        <v>0</v>
      </c>
      <c r="S78">
        <v>0</v>
      </c>
      <c r="T78">
        <v>0</v>
      </c>
      <c r="U78">
        <v>0</v>
      </c>
      <c r="V78">
        <v>-1</v>
      </c>
      <c r="W78">
        <v>7</v>
      </c>
      <c r="X78">
        <v>200000</v>
      </c>
      <c r="Y78">
        <v>80000</v>
      </c>
      <c r="Z78">
        <v>64000</v>
      </c>
      <c r="AA78">
        <v>104000</v>
      </c>
      <c r="AB78">
        <v>100000</v>
      </c>
      <c r="AC78">
        <v>100000</v>
      </c>
      <c r="AD78">
        <v>90000</v>
      </c>
      <c r="AE78">
        <v>28</v>
      </c>
      <c r="AG78">
        <v>8</v>
      </c>
      <c r="AH78">
        <v>10</v>
      </c>
      <c r="AI78">
        <v>-2</v>
      </c>
      <c r="AJ78">
        <v>-1</v>
      </c>
      <c r="AK78">
        <v>0</v>
      </c>
      <c r="AL78">
        <v>1</v>
      </c>
      <c r="AM78" t="s">
        <v>168</v>
      </c>
      <c r="AN78">
        <v>528</v>
      </c>
      <c r="AO78">
        <v>186</v>
      </c>
      <c r="AP78">
        <v>785</v>
      </c>
      <c r="AQ78">
        <v>844</v>
      </c>
      <c r="AS78">
        <v>3</v>
      </c>
      <c r="AT78">
        <v>73</v>
      </c>
      <c r="AU78" t="s">
        <v>118</v>
      </c>
      <c r="AV78">
        <v>16</v>
      </c>
      <c r="AW78" t="s">
        <v>108</v>
      </c>
      <c r="AX78">
        <v>21</v>
      </c>
      <c r="AY78">
        <f t="shared" si="6"/>
        <v>18</v>
      </c>
      <c r="AZ78">
        <f t="shared" si="7"/>
        <v>1</v>
      </c>
      <c r="BA78">
        <v>121</v>
      </c>
      <c r="BB78" t="str">
        <f t="shared" si="8"/>
        <v>(Natu-city)</v>
      </c>
      <c r="BC78">
        <f t="shared" si="9"/>
        <v>-5</v>
      </c>
      <c r="BD78">
        <f t="shared" si="10"/>
        <v>0</v>
      </c>
      <c r="BE78">
        <v>0</v>
      </c>
      <c r="BF78" t="str">
        <f t="shared" si="11"/>
        <v>(Natu-city)</v>
      </c>
    </row>
    <row r="79" spans="1:58" x14ac:dyDescent="0.3">
      <c r="A79">
        <v>595</v>
      </c>
      <c r="B79" s="2">
        <v>45559.437523148154</v>
      </c>
      <c r="C79">
        <v>180000</v>
      </c>
      <c r="D79">
        <v>105000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80000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8</v>
      </c>
      <c r="X79">
        <v>300000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t="s">
        <v>134</v>
      </c>
      <c r="AN79">
        <v>529</v>
      </c>
      <c r="AO79">
        <v>174</v>
      </c>
      <c r="AS79">
        <v>0</v>
      </c>
      <c r="AT79">
        <v>73</v>
      </c>
      <c r="AU79" t="s">
        <v>118</v>
      </c>
      <c r="AV79">
        <v>16</v>
      </c>
      <c r="AW79" t="s">
        <v>108</v>
      </c>
      <c r="AX79">
        <v>21</v>
      </c>
      <c r="AY79">
        <f t="shared" si="6"/>
        <v>0</v>
      </c>
      <c r="AZ79">
        <f t="shared" si="7"/>
        <v>0</v>
      </c>
      <c r="BA79">
        <v>122</v>
      </c>
      <c r="BB79" t="str">
        <f t="shared" si="8"/>
        <v/>
      </c>
      <c r="BC79" t="str">
        <f t="shared" si="9"/>
        <v/>
      </c>
      <c r="BD79">
        <f t="shared" si="10"/>
        <v>0</v>
      </c>
      <c r="BE79">
        <v>0</v>
      </c>
      <c r="BF79" t="str">
        <f t="shared" si="11"/>
        <v/>
      </c>
    </row>
    <row r="80" spans="1:58" x14ac:dyDescent="0.3">
      <c r="A80">
        <v>638</v>
      </c>
      <c r="B80" s="2">
        <v>45559.437523148154</v>
      </c>
      <c r="C80">
        <v>180000</v>
      </c>
      <c r="D80">
        <v>105000</v>
      </c>
      <c r="E80">
        <v>0</v>
      </c>
      <c r="F80">
        <v>30000</v>
      </c>
      <c r="G80">
        <v>0</v>
      </c>
      <c r="H80">
        <v>0</v>
      </c>
      <c r="I80">
        <v>15000</v>
      </c>
      <c r="J80">
        <v>26000</v>
      </c>
      <c r="K80">
        <v>0</v>
      </c>
      <c r="L80">
        <v>0</v>
      </c>
      <c r="M80">
        <v>0</v>
      </c>
      <c r="N80">
        <v>84000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6</v>
      </c>
      <c r="W80">
        <v>8</v>
      </c>
      <c r="X80">
        <v>300000</v>
      </c>
      <c r="Y80">
        <v>0</v>
      </c>
      <c r="Z80">
        <v>0</v>
      </c>
      <c r="AA80">
        <v>0</v>
      </c>
      <c r="AB80">
        <v>300000</v>
      </c>
      <c r="AC80">
        <v>300000</v>
      </c>
      <c r="AD80">
        <v>270000</v>
      </c>
      <c r="AG80">
        <v>6</v>
      </c>
      <c r="AH80">
        <v>10</v>
      </c>
      <c r="AI80">
        <v>0</v>
      </c>
      <c r="AJ80">
        <v>0</v>
      </c>
      <c r="AK80">
        <v>2</v>
      </c>
      <c r="AL80">
        <v>1</v>
      </c>
      <c r="AM80" t="s">
        <v>168</v>
      </c>
      <c r="AN80">
        <v>529</v>
      </c>
      <c r="AO80">
        <v>177</v>
      </c>
      <c r="AQ80">
        <v>782</v>
      </c>
      <c r="AS80">
        <v>1</v>
      </c>
      <c r="AT80">
        <v>73</v>
      </c>
      <c r="AU80" t="s">
        <v>118</v>
      </c>
      <c r="AV80">
        <v>16</v>
      </c>
      <c r="AW80" t="s">
        <v>108</v>
      </c>
      <c r="AX80">
        <v>21</v>
      </c>
      <c r="AY80">
        <f t="shared" si="6"/>
        <v>16</v>
      </c>
      <c r="AZ80">
        <f t="shared" si="7"/>
        <v>3</v>
      </c>
      <c r="BA80">
        <v>122</v>
      </c>
      <c r="BB80" t="str">
        <f t="shared" si="8"/>
        <v>(Dike-town)</v>
      </c>
      <c r="BC80">
        <f t="shared" si="9"/>
        <v>1</v>
      </c>
      <c r="BD80">
        <f t="shared" si="10"/>
        <v>0</v>
      </c>
      <c r="BE80">
        <v>26000</v>
      </c>
      <c r="BF80" t="str">
        <f t="shared" si="11"/>
        <v>(Dike-town)</v>
      </c>
    </row>
    <row r="81" spans="1:58" x14ac:dyDescent="0.3">
      <c r="A81">
        <v>664</v>
      </c>
      <c r="B81" s="2">
        <v>45559.437523148154</v>
      </c>
      <c r="C81">
        <v>180000</v>
      </c>
      <c r="D81">
        <v>105000</v>
      </c>
      <c r="E81">
        <v>0</v>
      </c>
      <c r="F81">
        <v>30000</v>
      </c>
      <c r="G81">
        <v>0</v>
      </c>
      <c r="H81">
        <v>0</v>
      </c>
      <c r="I81">
        <v>15000</v>
      </c>
      <c r="J81">
        <v>74000</v>
      </c>
      <c r="K81">
        <v>0</v>
      </c>
      <c r="L81">
        <v>0</v>
      </c>
      <c r="M81">
        <v>0</v>
      </c>
      <c r="N81">
        <v>40000</v>
      </c>
      <c r="O81">
        <v>0</v>
      </c>
      <c r="P81">
        <v>0</v>
      </c>
      <c r="Q81">
        <v>2</v>
      </c>
      <c r="R81">
        <v>2</v>
      </c>
      <c r="S81">
        <v>0</v>
      </c>
      <c r="T81">
        <v>0</v>
      </c>
      <c r="U81">
        <v>0</v>
      </c>
      <c r="V81">
        <v>10</v>
      </c>
      <c r="W81">
        <v>8</v>
      </c>
      <c r="X81">
        <v>300000</v>
      </c>
      <c r="Y81">
        <v>300000</v>
      </c>
      <c r="Z81">
        <v>270000</v>
      </c>
      <c r="AA81">
        <v>0</v>
      </c>
      <c r="AB81">
        <v>0</v>
      </c>
      <c r="AC81">
        <v>300000</v>
      </c>
      <c r="AD81">
        <v>240000</v>
      </c>
      <c r="AG81">
        <v>6</v>
      </c>
      <c r="AH81">
        <v>10</v>
      </c>
      <c r="AI81">
        <v>-2</v>
      </c>
      <c r="AJ81">
        <v>-1</v>
      </c>
      <c r="AK81">
        <v>3</v>
      </c>
      <c r="AL81">
        <v>1</v>
      </c>
      <c r="AM81" t="s">
        <v>168</v>
      </c>
      <c r="AN81">
        <v>529</v>
      </c>
      <c r="AO81">
        <v>181</v>
      </c>
      <c r="AP81">
        <v>782</v>
      </c>
      <c r="AQ81">
        <v>782</v>
      </c>
      <c r="AS81">
        <v>2</v>
      </c>
      <c r="AT81">
        <v>73</v>
      </c>
      <c r="AU81" t="s">
        <v>118</v>
      </c>
      <c r="AV81">
        <v>16</v>
      </c>
      <c r="AW81" t="s">
        <v>108</v>
      </c>
      <c r="AX81">
        <v>21</v>
      </c>
      <c r="AY81">
        <f t="shared" si="6"/>
        <v>16</v>
      </c>
      <c r="AZ81">
        <f t="shared" si="7"/>
        <v>4</v>
      </c>
      <c r="BA81">
        <v>122</v>
      </c>
      <c r="BB81" t="str">
        <f t="shared" si="8"/>
        <v>(Dike-town)</v>
      </c>
      <c r="BC81">
        <f t="shared" si="9"/>
        <v>4</v>
      </c>
      <c r="BD81">
        <f t="shared" si="10"/>
        <v>0</v>
      </c>
      <c r="BE81">
        <v>74000</v>
      </c>
      <c r="BF81" t="str">
        <f t="shared" si="11"/>
        <v>(Dike-town)</v>
      </c>
    </row>
    <row r="82" spans="1:58" x14ac:dyDescent="0.3">
      <c r="A82">
        <v>708</v>
      </c>
      <c r="B82" s="2">
        <v>45559.437523148154</v>
      </c>
      <c r="C82">
        <v>180000</v>
      </c>
      <c r="D82">
        <v>105000</v>
      </c>
      <c r="E82">
        <v>0</v>
      </c>
      <c r="F82">
        <v>30000</v>
      </c>
      <c r="G82">
        <v>0</v>
      </c>
      <c r="H82">
        <v>0</v>
      </c>
      <c r="I82">
        <v>20000</v>
      </c>
      <c r="J82">
        <v>33000</v>
      </c>
      <c r="K82">
        <v>0</v>
      </c>
      <c r="L82">
        <v>0</v>
      </c>
      <c r="M82">
        <v>4000</v>
      </c>
      <c r="N82">
        <v>28000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9</v>
      </c>
      <c r="W82">
        <v>8</v>
      </c>
      <c r="X82">
        <v>300000</v>
      </c>
      <c r="Y82">
        <v>300000</v>
      </c>
      <c r="Z82">
        <v>240000</v>
      </c>
      <c r="AA82">
        <v>0</v>
      </c>
      <c r="AB82">
        <v>0</v>
      </c>
      <c r="AC82">
        <v>300000</v>
      </c>
      <c r="AD82">
        <v>210000</v>
      </c>
      <c r="AG82">
        <v>6</v>
      </c>
      <c r="AH82">
        <v>10</v>
      </c>
      <c r="AI82">
        <v>-2</v>
      </c>
      <c r="AJ82">
        <v>-1</v>
      </c>
      <c r="AK82">
        <v>0</v>
      </c>
      <c r="AL82">
        <v>1</v>
      </c>
      <c r="AM82" t="s">
        <v>168</v>
      </c>
      <c r="AN82">
        <v>529</v>
      </c>
      <c r="AO82">
        <v>186</v>
      </c>
      <c r="AP82">
        <v>782</v>
      </c>
      <c r="AQ82">
        <v>782</v>
      </c>
      <c r="AS82">
        <v>3</v>
      </c>
      <c r="AT82">
        <v>73</v>
      </c>
      <c r="AU82" t="s">
        <v>118</v>
      </c>
      <c r="AV82">
        <v>16</v>
      </c>
      <c r="AW82" t="s">
        <v>108</v>
      </c>
      <c r="AX82">
        <v>21</v>
      </c>
      <c r="AY82">
        <f t="shared" si="6"/>
        <v>16</v>
      </c>
      <c r="AZ82">
        <f t="shared" si="7"/>
        <v>1</v>
      </c>
      <c r="BA82">
        <v>122</v>
      </c>
      <c r="BB82" t="str">
        <f t="shared" si="8"/>
        <v>(Dike-town)</v>
      </c>
      <c r="BC82">
        <f t="shared" si="9"/>
        <v>-1</v>
      </c>
      <c r="BD82">
        <f t="shared" si="10"/>
        <v>4000</v>
      </c>
      <c r="BE82">
        <v>33000</v>
      </c>
      <c r="BF82" t="str">
        <f t="shared" si="11"/>
        <v>(Dike-town)</v>
      </c>
    </row>
    <row r="83" spans="1:58" x14ac:dyDescent="0.3">
      <c r="A83">
        <v>624</v>
      </c>
      <c r="B83" s="2">
        <v>45559.439884259264</v>
      </c>
      <c r="C83">
        <v>100000</v>
      </c>
      <c r="D83">
        <v>50000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30000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</v>
      </c>
      <c r="W83">
        <v>6</v>
      </c>
      <c r="X83">
        <v>170000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t="s">
        <v>134</v>
      </c>
      <c r="AN83">
        <v>530</v>
      </c>
      <c r="AO83">
        <v>174</v>
      </c>
      <c r="AS83">
        <v>0</v>
      </c>
      <c r="AT83">
        <v>73</v>
      </c>
      <c r="AU83" t="s">
        <v>118</v>
      </c>
      <c r="AV83">
        <v>16</v>
      </c>
      <c r="AW83" t="s">
        <v>108</v>
      </c>
      <c r="AX83">
        <v>21</v>
      </c>
      <c r="AY83">
        <f t="shared" si="6"/>
        <v>0</v>
      </c>
      <c r="AZ83">
        <f t="shared" si="7"/>
        <v>0</v>
      </c>
      <c r="BA83">
        <v>120</v>
      </c>
      <c r="BB83" t="str">
        <f t="shared" si="8"/>
        <v/>
      </c>
      <c r="BC83" t="str">
        <f t="shared" si="9"/>
        <v/>
      </c>
      <c r="BD83">
        <f t="shared" si="10"/>
        <v>0</v>
      </c>
      <c r="BE83">
        <v>0</v>
      </c>
      <c r="BF83" t="str">
        <f t="shared" si="11"/>
        <v/>
      </c>
    </row>
    <row r="84" spans="1:58" x14ac:dyDescent="0.3">
      <c r="A84">
        <v>639</v>
      </c>
      <c r="B84" s="2">
        <v>45559.439884259264</v>
      </c>
      <c r="C84">
        <v>100000</v>
      </c>
      <c r="D84">
        <v>50000</v>
      </c>
      <c r="E84">
        <v>0</v>
      </c>
      <c r="F84">
        <v>17000</v>
      </c>
      <c r="G84">
        <v>0</v>
      </c>
      <c r="H84">
        <v>30000</v>
      </c>
      <c r="I84">
        <v>15000</v>
      </c>
      <c r="J84">
        <v>15000</v>
      </c>
      <c r="K84">
        <v>0</v>
      </c>
      <c r="L84">
        <v>0</v>
      </c>
      <c r="M84">
        <v>0</v>
      </c>
      <c r="N84">
        <v>3000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</v>
      </c>
      <c r="W84">
        <v>6</v>
      </c>
      <c r="X84">
        <v>170000</v>
      </c>
      <c r="Y84">
        <v>0</v>
      </c>
      <c r="Z84">
        <v>0</v>
      </c>
      <c r="AA84">
        <v>0</v>
      </c>
      <c r="AB84">
        <v>200000</v>
      </c>
      <c r="AC84">
        <v>170000</v>
      </c>
      <c r="AD84">
        <v>153000</v>
      </c>
      <c r="AG84">
        <v>8</v>
      </c>
      <c r="AH84">
        <v>7</v>
      </c>
      <c r="AI84">
        <v>0</v>
      </c>
      <c r="AJ84">
        <v>0</v>
      </c>
      <c r="AK84">
        <v>1</v>
      </c>
      <c r="AL84">
        <v>2</v>
      </c>
      <c r="AM84" t="s">
        <v>168</v>
      </c>
      <c r="AN84">
        <v>530</v>
      </c>
      <c r="AO84">
        <v>177</v>
      </c>
      <c r="AQ84">
        <v>786</v>
      </c>
      <c r="AS84">
        <v>1</v>
      </c>
      <c r="AT84">
        <v>73</v>
      </c>
      <c r="AU84" t="s">
        <v>118</v>
      </c>
      <c r="AV84">
        <v>16</v>
      </c>
      <c r="AW84" t="s">
        <v>108</v>
      </c>
      <c r="AX84">
        <v>21</v>
      </c>
      <c r="AY84">
        <f t="shared" si="6"/>
        <v>15</v>
      </c>
      <c r="AZ84">
        <f t="shared" si="7"/>
        <v>3</v>
      </c>
      <c r="BA84">
        <v>120</v>
      </c>
      <c r="BB84" t="str">
        <f t="shared" si="8"/>
        <v>(U-village)</v>
      </c>
      <c r="BC84">
        <f t="shared" si="9"/>
        <v>0</v>
      </c>
      <c r="BD84">
        <f t="shared" si="10"/>
        <v>0</v>
      </c>
      <c r="BE84">
        <v>15000</v>
      </c>
      <c r="BF84" t="str">
        <f t="shared" si="11"/>
        <v>(U-village)</v>
      </c>
    </row>
    <row r="85" spans="1:58" x14ac:dyDescent="0.3">
      <c r="A85">
        <v>670</v>
      </c>
      <c r="B85" s="2">
        <v>45559.439884259264</v>
      </c>
      <c r="C85">
        <v>100000</v>
      </c>
      <c r="D85">
        <v>50000</v>
      </c>
      <c r="E85">
        <v>0</v>
      </c>
      <c r="F85">
        <v>17000</v>
      </c>
      <c r="G85">
        <v>0</v>
      </c>
      <c r="H85">
        <v>0</v>
      </c>
      <c r="I85">
        <v>15000</v>
      </c>
      <c r="J85">
        <v>20000</v>
      </c>
      <c r="K85">
        <v>0</v>
      </c>
      <c r="L85">
        <v>4000</v>
      </c>
      <c r="M85">
        <v>0</v>
      </c>
      <c r="N85">
        <v>-3000</v>
      </c>
      <c r="O85">
        <v>0</v>
      </c>
      <c r="P85">
        <v>0</v>
      </c>
      <c r="Q85">
        <v>1</v>
      </c>
      <c r="R85">
        <v>0</v>
      </c>
      <c r="S85">
        <v>2</v>
      </c>
      <c r="T85">
        <v>0</v>
      </c>
      <c r="U85">
        <v>0</v>
      </c>
      <c r="V85">
        <v>4</v>
      </c>
      <c r="W85">
        <v>6</v>
      </c>
      <c r="X85">
        <v>170000</v>
      </c>
      <c r="Y85">
        <v>170000</v>
      </c>
      <c r="Z85">
        <v>153000</v>
      </c>
      <c r="AA85">
        <v>0</v>
      </c>
      <c r="AB85">
        <v>0</v>
      </c>
      <c r="AC85">
        <v>170000</v>
      </c>
      <c r="AD85">
        <v>136000</v>
      </c>
      <c r="AG85">
        <v>8</v>
      </c>
      <c r="AH85">
        <v>7</v>
      </c>
      <c r="AI85">
        <v>-2</v>
      </c>
      <c r="AJ85">
        <v>-1</v>
      </c>
      <c r="AK85">
        <v>1</v>
      </c>
      <c r="AL85">
        <v>1</v>
      </c>
      <c r="AM85" t="s">
        <v>168</v>
      </c>
      <c r="AN85">
        <v>530</v>
      </c>
      <c r="AO85">
        <v>181</v>
      </c>
      <c r="AP85">
        <v>786</v>
      </c>
      <c r="AQ85">
        <v>786</v>
      </c>
      <c r="AS85">
        <v>2</v>
      </c>
      <c r="AT85">
        <v>73</v>
      </c>
      <c r="AU85" t="s">
        <v>118</v>
      </c>
      <c r="AV85">
        <v>16</v>
      </c>
      <c r="AW85" t="s">
        <v>108</v>
      </c>
      <c r="AX85">
        <v>21</v>
      </c>
      <c r="AY85">
        <f t="shared" si="6"/>
        <v>15</v>
      </c>
      <c r="AZ85">
        <f t="shared" si="7"/>
        <v>2</v>
      </c>
      <c r="BA85">
        <v>120</v>
      </c>
      <c r="BB85" t="str">
        <f t="shared" si="8"/>
        <v>(U-village)</v>
      </c>
      <c r="BC85">
        <f t="shared" si="9"/>
        <v>-1</v>
      </c>
      <c r="BD85">
        <f t="shared" si="10"/>
        <v>4000</v>
      </c>
      <c r="BE85">
        <v>20000</v>
      </c>
      <c r="BF85" t="str">
        <f t="shared" si="11"/>
        <v>(U-village)</v>
      </c>
    </row>
    <row r="86" spans="1:58" x14ac:dyDescent="0.3">
      <c r="A86">
        <v>710</v>
      </c>
      <c r="B86" s="2">
        <v>45559.439884259264</v>
      </c>
      <c r="C86">
        <v>100000</v>
      </c>
      <c r="D86">
        <v>50000</v>
      </c>
      <c r="E86">
        <v>3000</v>
      </c>
      <c r="F86">
        <v>17000</v>
      </c>
      <c r="G86">
        <v>0</v>
      </c>
      <c r="H86">
        <v>0</v>
      </c>
      <c r="I86">
        <v>15000</v>
      </c>
      <c r="J86">
        <v>12000</v>
      </c>
      <c r="K86">
        <v>0</v>
      </c>
      <c r="L86">
        <v>0</v>
      </c>
      <c r="M86">
        <v>0</v>
      </c>
      <c r="N86">
        <v>3000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4</v>
      </c>
      <c r="W86">
        <v>6</v>
      </c>
      <c r="X86">
        <v>170000</v>
      </c>
      <c r="Y86">
        <v>170000</v>
      </c>
      <c r="Z86">
        <v>136000</v>
      </c>
      <c r="AA86">
        <v>0</v>
      </c>
      <c r="AB86">
        <v>0</v>
      </c>
      <c r="AC86">
        <v>170000</v>
      </c>
      <c r="AD86">
        <v>119000</v>
      </c>
      <c r="AG86">
        <v>8</v>
      </c>
      <c r="AH86">
        <v>7</v>
      </c>
      <c r="AI86">
        <v>-2</v>
      </c>
      <c r="AJ86">
        <v>-1</v>
      </c>
      <c r="AK86">
        <v>1</v>
      </c>
      <c r="AL86">
        <v>0</v>
      </c>
      <c r="AM86" t="s">
        <v>168</v>
      </c>
      <c r="AN86">
        <v>530</v>
      </c>
      <c r="AO86">
        <v>186</v>
      </c>
      <c r="AP86">
        <v>786</v>
      </c>
      <c r="AQ86">
        <v>786</v>
      </c>
      <c r="AS86">
        <v>3</v>
      </c>
      <c r="AT86">
        <v>73</v>
      </c>
      <c r="AU86" t="s">
        <v>118</v>
      </c>
      <c r="AV86">
        <v>16</v>
      </c>
      <c r="AW86" t="s">
        <v>108</v>
      </c>
      <c r="AX86">
        <v>21</v>
      </c>
      <c r="AY86">
        <f t="shared" si="6"/>
        <v>15</v>
      </c>
      <c r="AZ86">
        <f t="shared" si="7"/>
        <v>1</v>
      </c>
      <c r="BA86">
        <v>120</v>
      </c>
      <c r="BB86" t="str">
        <f t="shared" si="8"/>
        <v>(U-village)</v>
      </c>
      <c r="BC86">
        <f t="shared" si="9"/>
        <v>0</v>
      </c>
      <c r="BD86">
        <f t="shared" si="10"/>
        <v>0</v>
      </c>
      <c r="BE86">
        <v>12000</v>
      </c>
      <c r="BF86" t="str">
        <f t="shared" si="11"/>
        <v>(U-village)</v>
      </c>
    </row>
    <row r="87" spans="1:58" x14ac:dyDescent="0.3">
      <c r="A87">
        <v>596</v>
      </c>
      <c r="B87" s="2">
        <v>45559.437534722223</v>
      </c>
      <c r="C87">
        <v>100000</v>
      </c>
      <c r="D87">
        <v>50000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6</v>
      </c>
      <c r="X87">
        <v>170000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134</v>
      </c>
      <c r="AN87">
        <v>531</v>
      </c>
      <c r="AO87">
        <v>174</v>
      </c>
      <c r="AS87">
        <v>0</v>
      </c>
      <c r="AT87">
        <v>73</v>
      </c>
      <c r="AU87" t="s">
        <v>118</v>
      </c>
      <c r="AV87">
        <v>16</v>
      </c>
      <c r="AW87" t="s">
        <v>108</v>
      </c>
      <c r="AX87">
        <v>21</v>
      </c>
      <c r="AY87">
        <f t="shared" si="6"/>
        <v>0</v>
      </c>
      <c r="AZ87">
        <f t="shared" si="7"/>
        <v>0</v>
      </c>
      <c r="BA87">
        <v>120</v>
      </c>
      <c r="BB87" t="str">
        <f t="shared" si="8"/>
        <v/>
      </c>
      <c r="BC87" t="str">
        <f t="shared" si="9"/>
        <v/>
      </c>
      <c r="BD87">
        <f t="shared" si="10"/>
        <v>0</v>
      </c>
      <c r="BE87">
        <v>0</v>
      </c>
      <c r="BF87" t="str">
        <f t="shared" si="11"/>
        <v/>
      </c>
    </row>
    <row r="88" spans="1:58" x14ac:dyDescent="0.3">
      <c r="A88">
        <v>634</v>
      </c>
      <c r="B88" s="2">
        <v>45559.437534722223</v>
      </c>
      <c r="C88">
        <v>100000</v>
      </c>
      <c r="D88">
        <v>50000</v>
      </c>
      <c r="E88">
        <v>0</v>
      </c>
      <c r="F88">
        <v>16000</v>
      </c>
      <c r="G88">
        <v>0</v>
      </c>
      <c r="H88">
        <v>0</v>
      </c>
      <c r="I88">
        <v>15000</v>
      </c>
      <c r="J88">
        <v>22000</v>
      </c>
      <c r="K88">
        <v>0</v>
      </c>
      <c r="L88">
        <v>0</v>
      </c>
      <c r="M88">
        <v>0</v>
      </c>
      <c r="N88">
        <v>27000</v>
      </c>
      <c r="O88">
        <v>0</v>
      </c>
      <c r="P88">
        <v>-1</v>
      </c>
      <c r="Q88">
        <v>0</v>
      </c>
      <c r="R88">
        <v>2</v>
      </c>
      <c r="S88">
        <v>0</v>
      </c>
      <c r="T88">
        <v>0</v>
      </c>
      <c r="U88">
        <v>0</v>
      </c>
      <c r="V88">
        <v>6</v>
      </c>
      <c r="W88">
        <v>6</v>
      </c>
      <c r="X88">
        <v>170000</v>
      </c>
      <c r="Y88">
        <v>0</v>
      </c>
      <c r="Z88">
        <v>0</v>
      </c>
      <c r="AA88">
        <v>0</v>
      </c>
      <c r="AB88">
        <v>160000</v>
      </c>
      <c r="AC88">
        <v>160000</v>
      </c>
      <c r="AD88">
        <v>144000</v>
      </c>
      <c r="AG88">
        <v>6</v>
      </c>
      <c r="AH88">
        <v>10</v>
      </c>
      <c r="AI88">
        <v>0</v>
      </c>
      <c r="AJ88">
        <v>0</v>
      </c>
      <c r="AK88">
        <v>1</v>
      </c>
      <c r="AL88">
        <v>0</v>
      </c>
      <c r="AM88" t="s">
        <v>168</v>
      </c>
      <c r="AN88">
        <v>531</v>
      </c>
      <c r="AO88">
        <v>177</v>
      </c>
      <c r="AQ88">
        <v>783</v>
      </c>
      <c r="AS88">
        <v>1</v>
      </c>
      <c r="AT88">
        <v>73</v>
      </c>
      <c r="AU88" t="s">
        <v>118</v>
      </c>
      <c r="AV88">
        <v>16</v>
      </c>
      <c r="AW88" t="s">
        <v>108</v>
      </c>
      <c r="AX88">
        <v>21</v>
      </c>
      <c r="AY88">
        <f t="shared" si="6"/>
        <v>16</v>
      </c>
      <c r="AZ88">
        <f t="shared" si="7"/>
        <v>1</v>
      </c>
      <c r="BA88">
        <v>120</v>
      </c>
      <c r="BB88" t="str">
        <f t="shared" si="8"/>
        <v>(Dike-town)</v>
      </c>
      <c r="BC88">
        <f t="shared" si="9"/>
        <v>1</v>
      </c>
      <c r="BD88">
        <f t="shared" si="10"/>
        <v>0</v>
      </c>
      <c r="BE88">
        <v>22000</v>
      </c>
      <c r="BF88" t="str">
        <f t="shared" si="11"/>
        <v>(Dike-town)</v>
      </c>
    </row>
    <row r="89" spans="1:58" x14ac:dyDescent="0.3">
      <c r="A89">
        <v>668</v>
      </c>
      <c r="B89" s="2">
        <v>45559.437534722223</v>
      </c>
      <c r="C89">
        <v>100000</v>
      </c>
      <c r="D89">
        <v>50000</v>
      </c>
      <c r="E89">
        <v>0</v>
      </c>
      <c r="F89">
        <v>16000</v>
      </c>
      <c r="G89">
        <v>0</v>
      </c>
      <c r="H89">
        <v>0</v>
      </c>
      <c r="I89">
        <v>15000</v>
      </c>
      <c r="J89">
        <v>12000</v>
      </c>
      <c r="K89">
        <v>0</v>
      </c>
      <c r="L89">
        <v>0</v>
      </c>
      <c r="M89">
        <v>0</v>
      </c>
      <c r="N89">
        <v>34000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6</v>
      </c>
      <c r="X89">
        <v>170000</v>
      </c>
      <c r="Y89">
        <v>160000</v>
      </c>
      <c r="Z89">
        <v>144000</v>
      </c>
      <c r="AA89">
        <v>0</v>
      </c>
      <c r="AB89">
        <v>0</v>
      </c>
      <c r="AC89">
        <v>160000</v>
      </c>
      <c r="AD89">
        <v>128000</v>
      </c>
      <c r="AG89">
        <v>6</v>
      </c>
      <c r="AH89">
        <v>10</v>
      </c>
      <c r="AI89">
        <v>-2</v>
      </c>
      <c r="AJ89">
        <v>-1</v>
      </c>
      <c r="AK89">
        <v>1</v>
      </c>
      <c r="AL89">
        <v>1</v>
      </c>
      <c r="AM89" t="s">
        <v>168</v>
      </c>
      <c r="AN89">
        <v>531</v>
      </c>
      <c r="AO89">
        <v>181</v>
      </c>
      <c r="AP89">
        <v>783</v>
      </c>
      <c r="AQ89">
        <v>783</v>
      </c>
      <c r="AS89">
        <v>2</v>
      </c>
      <c r="AT89">
        <v>73</v>
      </c>
      <c r="AU89" t="s">
        <v>118</v>
      </c>
      <c r="AV89">
        <v>16</v>
      </c>
      <c r="AW89" t="s">
        <v>108</v>
      </c>
      <c r="AX89">
        <v>21</v>
      </c>
      <c r="AY89">
        <f t="shared" si="6"/>
        <v>16</v>
      </c>
      <c r="AZ89">
        <f t="shared" si="7"/>
        <v>2</v>
      </c>
      <c r="BA89">
        <v>120</v>
      </c>
      <c r="BB89" t="str">
        <f t="shared" si="8"/>
        <v>(Dike-town)</v>
      </c>
      <c r="BC89">
        <f t="shared" si="9"/>
        <v>0</v>
      </c>
      <c r="BD89">
        <f t="shared" si="10"/>
        <v>0</v>
      </c>
      <c r="BE89">
        <v>12000</v>
      </c>
      <c r="BF89" t="str">
        <f t="shared" si="11"/>
        <v>(Dike-town)</v>
      </c>
    </row>
    <row r="90" spans="1:58" x14ac:dyDescent="0.3">
      <c r="A90">
        <v>706</v>
      </c>
      <c r="B90" s="2">
        <v>45559.437534722223</v>
      </c>
      <c r="C90">
        <v>100000</v>
      </c>
      <c r="D90">
        <v>50000</v>
      </c>
      <c r="E90">
        <v>0</v>
      </c>
      <c r="F90">
        <v>16000</v>
      </c>
      <c r="G90">
        <v>0</v>
      </c>
      <c r="H90">
        <v>0</v>
      </c>
      <c r="I90">
        <v>20000</v>
      </c>
      <c r="J90">
        <v>28000</v>
      </c>
      <c r="K90">
        <v>0</v>
      </c>
      <c r="L90">
        <v>0</v>
      </c>
      <c r="M90">
        <v>4000</v>
      </c>
      <c r="N90">
        <v>16000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6</v>
      </c>
      <c r="W90">
        <v>6</v>
      </c>
      <c r="X90">
        <v>170000</v>
      </c>
      <c r="Y90">
        <v>160000</v>
      </c>
      <c r="Z90">
        <v>128000</v>
      </c>
      <c r="AA90">
        <v>0</v>
      </c>
      <c r="AB90">
        <v>0</v>
      </c>
      <c r="AC90">
        <v>160000</v>
      </c>
      <c r="AD90">
        <v>112000</v>
      </c>
      <c r="AG90">
        <v>6</v>
      </c>
      <c r="AH90">
        <v>10</v>
      </c>
      <c r="AI90">
        <v>-2</v>
      </c>
      <c r="AJ90">
        <v>-1</v>
      </c>
      <c r="AK90">
        <v>1</v>
      </c>
      <c r="AL90">
        <v>0</v>
      </c>
      <c r="AM90" t="s">
        <v>168</v>
      </c>
      <c r="AN90">
        <v>531</v>
      </c>
      <c r="AO90">
        <v>186</v>
      </c>
      <c r="AP90">
        <v>783</v>
      </c>
      <c r="AQ90">
        <v>783</v>
      </c>
      <c r="AS90">
        <v>3</v>
      </c>
      <c r="AT90">
        <v>73</v>
      </c>
      <c r="AU90" t="s">
        <v>118</v>
      </c>
      <c r="AV90">
        <v>16</v>
      </c>
      <c r="AW90" t="s">
        <v>108</v>
      </c>
      <c r="AX90">
        <v>21</v>
      </c>
      <c r="AY90">
        <f t="shared" si="6"/>
        <v>16</v>
      </c>
      <c r="AZ90">
        <f t="shared" si="7"/>
        <v>1</v>
      </c>
      <c r="BA90">
        <v>120</v>
      </c>
      <c r="BB90" t="str">
        <f t="shared" si="8"/>
        <v>(Dike-town)</v>
      </c>
      <c r="BC90">
        <f t="shared" si="9"/>
        <v>0</v>
      </c>
      <c r="BD90">
        <f t="shared" si="10"/>
        <v>4000</v>
      </c>
      <c r="BE90">
        <v>28000</v>
      </c>
      <c r="BF90" t="str">
        <f t="shared" si="11"/>
        <v>(Dike-town)</v>
      </c>
    </row>
    <row r="91" spans="1:58" x14ac:dyDescent="0.3">
      <c r="A91">
        <v>608</v>
      </c>
      <c r="B91" s="2">
        <v>45559.438888888893</v>
      </c>
      <c r="C91">
        <v>65000</v>
      </c>
      <c r="D91">
        <v>30000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5000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</v>
      </c>
      <c r="W91">
        <v>4</v>
      </c>
      <c r="X91">
        <v>110000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t="s">
        <v>134</v>
      </c>
      <c r="AN91">
        <v>532</v>
      </c>
      <c r="AO91">
        <v>171</v>
      </c>
      <c r="AS91">
        <v>0</v>
      </c>
      <c r="AT91">
        <v>74</v>
      </c>
      <c r="AU91" t="s">
        <v>119</v>
      </c>
      <c r="AV91">
        <v>16</v>
      </c>
      <c r="AW91" t="s">
        <v>108</v>
      </c>
      <c r="AX91">
        <v>21</v>
      </c>
      <c r="AY91">
        <f t="shared" si="6"/>
        <v>0</v>
      </c>
      <c r="AZ91">
        <f t="shared" si="7"/>
        <v>0</v>
      </c>
      <c r="BA91">
        <v>118</v>
      </c>
      <c r="BB91" t="str">
        <f t="shared" si="8"/>
        <v/>
      </c>
      <c r="BC91" t="str">
        <f t="shared" si="9"/>
        <v/>
      </c>
      <c r="BD91">
        <f t="shared" si="10"/>
        <v>0</v>
      </c>
      <c r="BE91">
        <v>0</v>
      </c>
      <c r="BF91" t="str">
        <f t="shared" si="11"/>
        <v/>
      </c>
    </row>
    <row r="92" spans="1:58" x14ac:dyDescent="0.3">
      <c r="A92">
        <v>641</v>
      </c>
      <c r="B92" s="2">
        <v>45559.438888888893</v>
      </c>
      <c r="C92">
        <v>65000</v>
      </c>
      <c r="D92">
        <v>30000</v>
      </c>
      <c r="E92">
        <v>0</v>
      </c>
      <c r="F92">
        <v>11000</v>
      </c>
      <c r="G92">
        <v>0</v>
      </c>
      <c r="H92">
        <v>16000</v>
      </c>
      <c r="I92">
        <v>20000</v>
      </c>
      <c r="J92">
        <v>0</v>
      </c>
      <c r="K92">
        <v>0</v>
      </c>
      <c r="L92">
        <v>0</v>
      </c>
      <c r="M92">
        <v>0</v>
      </c>
      <c r="N92">
        <v>-7000</v>
      </c>
      <c r="O92">
        <v>0</v>
      </c>
      <c r="P92">
        <v>-1</v>
      </c>
      <c r="Q92">
        <v>0</v>
      </c>
      <c r="R92">
        <v>0</v>
      </c>
      <c r="S92">
        <v>0</v>
      </c>
      <c r="T92">
        <v>0</v>
      </c>
      <c r="U92">
        <v>0</v>
      </c>
      <c r="V92">
        <v>4</v>
      </c>
      <c r="W92">
        <v>4</v>
      </c>
      <c r="X92">
        <v>110000</v>
      </c>
      <c r="Y92">
        <v>0</v>
      </c>
      <c r="Z92">
        <v>0</v>
      </c>
      <c r="AA92">
        <v>0</v>
      </c>
      <c r="AB92">
        <v>126000</v>
      </c>
      <c r="AC92">
        <v>110000</v>
      </c>
      <c r="AD92">
        <v>99000</v>
      </c>
      <c r="AG92">
        <v>8</v>
      </c>
      <c r="AH92">
        <v>10</v>
      </c>
      <c r="AI92">
        <v>0</v>
      </c>
      <c r="AJ92">
        <v>0</v>
      </c>
      <c r="AK92">
        <v>0</v>
      </c>
      <c r="AL92">
        <v>0</v>
      </c>
      <c r="AM92" t="s">
        <v>168</v>
      </c>
      <c r="AN92">
        <v>532</v>
      </c>
      <c r="AO92">
        <v>178</v>
      </c>
      <c r="AQ92">
        <v>791</v>
      </c>
      <c r="AS92">
        <v>1</v>
      </c>
      <c r="AT92">
        <v>74</v>
      </c>
      <c r="AU92" t="s">
        <v>119</v>
      </c>
      <c r="AV92">
        <v>16</v>
      </c>
      <c r="AW92" t="s">
        <v>108</v>
      </c>
      <c r="AX92">
        <v>21</v>
      </c>
      <c r="AY92">
        <f t="shared" si="6"/>
        <v>18</v>
      </c>
      <c r="AZ92">
        <f t="shared" si="7"/>
        <v>0</v>
      </c>
      <c r="BA92">
        <v>118</v>
      </c>
      <c r="BB92" t="str">
        <f t="shared" si="8"/>
        <v>(Natu-city)</v>
      </c>
      <c r="BC92">
        <f t="shared" si="9"/>
        <v>-1</v>
      </c>
      <c r="BD92">
        <f t="shared" si="10"/>
        <v>0</v>
      </c>
      <c r="BE92">
        <v>0</v>
      </c>
      <c r="BF92" t="str">
        <f t="shared" si="11"/>
        <v>(Natu-city)</v>
      </c>
    </row>
    <row r="93" spans="1:58" x14ac:dyDescent="0.3">
      <c r="A93">
        <v>698</v>
      </c>
      <c r="B93" s="2">
        <v>45559.438888888893</v>
      </c>
      <c r="C93">
        <v>65000</v>
      </c>
      <c r="D93">
        <v>30000</v>
      </c>
      <c r="E93">
        <v>7000</v>
      </c>
      <c r="F93">
        <v>11000</v>
      </c>
      <c r="G93">
        <v>0</v>
      </c>
      <c r="H93">
        <v>0</v>
      </c>
      <c r="I93">
        <v>15000</v>
      </c>
      <c r="J93">
        <v>0</v>
      </c>
      <c r="K93">
        <v>0</v>
      </c>
      <c r="L93">
        <v>0</v>
      </c>
      <c r="M93">
        <v>0</v>
      </c>
      <c r="N93">
        <v>2000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3</v>
      </c>
      <c r="W93">
        <v>4</v>
      </c>
      <c r="X93">
        <v>110000</v>
      </c>
      <c r="Y93">
        <v>110000</v>
      </c>
      <c r="Z93">
        <v>99000</v>
      </c>
      <c r="AA93">
        <v>0</v>
      </c>
      <c r="AB93">
        <v>0</v>
      </c>
      <c r="AC93">
        <v>110000</v>
      </c>
      <c r="AD93">
        <v>88000</v>
      </c>
      <c r="AG93">
        <v>8</v>
      </c>
      <c r="AH93">
        <v>10</v>
      </c>
      <c r="AI93">
        <v>-2</v>
      </c>
      <c r="AJ93">
        <v>-1</v>
      </c>
      <c r="AK93">
        <v>0</v>
      </c>
      <c r="AL93">
        <v>0</v>
      </c>
      <c r="AM93" t="s">
        <v>168</v>
      </c>
      <c r="AN93">
        <v>532</v>
      </c>
      <c r="AO93">
        <v>185</v>
      </c>
      <c r="AP93">
        <v>791</v>
      </c>
      <c r="AQ93">
        <v>791</v>
      </c>
      <c r="AS93">
        <v>2</v>
      </c>
      <c r="AT93">
        <v>74</v>
      </c>
      <c r="AU93" t="s">
        <v>119</v>
      </c>
      <c r="AV93">
        <v>16</v>
      </c>
      <c r="AW93" t="s">
        <v>108</v>
      </c>
      <c r="AX93">
        <v>21</v>
      </c>
      <c r="AY93">
        <f t="shared" si="6"/>
        <v>18</v>
      </c>
      <c r="AZ93">
        <f t="shared" si="7"/>
        <v>0</v>
      </c>
      <c r="BA93">
        <v>118</v>
      </c>
      <c r="BB93" t="str">
        <f t="shared" si="8"/>
        <v>(Natu-city)</v>
      </c>
      <c r="BC93">
        <f t="shared" si="9"/>
        <v>-1</v>
      </c>
      <c r="BD93">
        <f t="shared" si="10"/>
        <v>0</v>
      </c>
      <c r="BE93">
        <v>0</v>
      </c>
      <c r="BF93" t="str">
        <f t="shared" si="11"/>
        <v>(Natu-city)</v>
      </c>
    </row>
    <row r="94" spans="1:58" x14ac:dyDescent="0.3">
      <c r="A94">
        <v>728</v>
      </c>
      <c r="B94" s="2">
        <v>45559.438888888893</v>
      </c>
      <c r="C94">
        <v>65000</v>
      </c>
      <c r="D94">
        <v>30000</v>
      </c>
      <c r="E94">
        <v>0</v>
      </c>
      <c r="F94">
        <v>11000</v>
      </c>
      <c r="G94">
        <v>0</v>
      </c>
      <c r="H94">
        <v>0</v>
      </c>
      <c r="I94">
        <v>30000</v>
      </c>
      <c r="J94">
        <v>0</v>
      </c>
      <c r="K94">
        <v>0</v>
      </c>
      <c r="L94">
        <v>0</v>
      </c>
      <c r="M94">
        <v>0</v>
      </c>
      <c r="N94">
        <v>-4000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3</v>
      </c>
      <c r="W94">
        <v>4</v>
      </c>
      <c r="X94">
        <v>110000</v>
      </c>
      <c r="Y94">
        <v>110000</v>
      </c>
      <c r="Z94">
        <v>88000</v>
      </c>
      <c r="AA94">
        <v>0</v>
      </c>
      <c r="AB94">
        <v>0</v>
      </c>
      <c r="AC94">
        <v>110000</v>
      </c>
      <c r="AD94">
        <v>77000</v>
      </c>
      <c r="AG94">
        <v>8</v>
      </c>
      <c r="AH94">
        <v>10</v>
      </c>
      <c r="AI94">
        <v>-2</v>
      </c>
      <c r="AJ94">
        <v>-1</v>
      </c>
      <c r="AK94">
        <v>0</v>
      </c>
      <c r="AL94">
        <v>0</v>
      </c>
      <c r="AM94" t="s">
        <v>168</v>
      </c>
      <c r="AN94">
        <v>532</v>
      </c>
      <c r="AO94">
        <v>189</v>
      </c>
      <c r="AP94">
        <v>791</v>
      </c>
      <c r="AQ94">
        <v>791</v>
      </c>
      <c r="AS94">
        <v>3</v>
      </c>
      <c r="AT94">
        <v>74</v>
      </c>
      <c r="AU94" t="s">
        <v>119</v>
      </c>
      <c r="AV94">
        <v>16</v>
      </c>
      <c r="AW94" t="s">
        <v>108</v>
      </c>
      <c r="AX94">
        <v>21</v>
      </c>
      <c r="AY94">
        <f t="shared" si="6"/>
        <v>18</v>
      </c>
      <c r="AZ94">
        <f t="shared" si="7"/>
        <v>0</v>
      </c>
      <c r="BA94">
        <v>118</v>
      </c>
      <c r="BB94" t="str">
        <f t="shared" si="8"/>
        <v>(Natu-city)</v>
      </c>
      <c r="BC94">
        <f t="shared" si="9"/>
        <v>0</v>
      </c>
      <c r="BD94">
        <f t="shared" si="10"/>
        <v>0</v>
      </c>
      <c r="BE94">
        <v>0</v>
      </c>
      <c r="BF94" t="str">
        <f t="shared" si="11"/>
        <v>(Natu-city)</v>
      </c>
    </row>
    <row r="95" spans="1:58" x14ac:dyDescent="0.3">
      <c r="A95">
        <v>614</v>
      </c>
      <c r="B95" s="2">
        <v>45559.439120370371</v>
      </c>
      <c r="C95">
        <v>100000</v>
      </c>
      <c r="D95">
        <v>50000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30000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</v>
      </c>
      <c r="W95">
        <v>6</v>
      </c>
      <c r="X95">
        <v>170000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t="s">
        <v>134</v>
      </c>
      <c r="AN95">
        <v>533</v>
      </c>
      <c r="AO95">
        <v>171</v>
      </c>
      <c r="AS95">
        <v>0</v>
      </c>
      <c r="AT95">
        <v>74</v>
      </c>
      <c r="AU95" t="s">
        <v>119</v>
      </c>
      <c r="AV95">
        <v>16</v>
      </c>
      <c r="AW95" t="s">
        <v>108</v>
      </c>
      <c r="AX95">
        <v>21</v>
      </c>
      <c r="AY95">
        <f t="shared" si="6"/>
        <v>0</v>
      </c>
      <c r="AZ95">
        <f t="shared" si="7"/>
        <v>0</v>
      </c>
      <c r="BA95">
        <v>120</v>
      </c>
      <c r="BB95" t="str">
        <f t="shared" si="8"/>
        <v/>
      </c>
      <c r="BC95" t="str">
        <f t="shared" si="9"/>
        <v/>
      </c>
      <c r="BD95">
        <f t="shared" si="10"/>
        <v>0</v>
      </c>
      <c r="BE95">
        <v>0</v>
      </c>
      <c r="BF95" t="str">
        <f t="shared" si="11"/>
        <v/>
      </c>
    </row>
    <row r="96" spans="1:58" x14ac:dyDescent="0.3">
      <c r="A96">
        <v>648</v>
      </c>
      <c r="B96" s="2">
        <v>45559.439120370371</v>
      </c>
      <c r="C96">
        <v>100000</v>
      </c>
      <c r="D96">
        <v>50000</v>
      </c>
      <c r="E96">
        <v>0</v>
      </c>
      <c r="F96">
        <v>17000</v>
      </c>
      <c r="G96">
        <v>0</v>
      </c>
      <c r="H96">
        <v>30000</v>
      </c>
      <c r="I96">
        <v>20000</v>
      </c>
      <c r="J96">
        <v>12000</v>
      </c>
      <c r="K96">
        <v>0</v>
      </c>
      <c r="L96">
        <v>0</v>
      </c>
      <c r="M96">
        <v>0</v>
      </c>
      <c r="N96">
        <v>1000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</v>
      </c>
      <c r="W96">
        <v>6</v>
      </c>
      <c r="X96">
        <v>170000</v>
      </c>
      <c r="Y96">
        <v>0</v>
      </c>
      <c r="Z96">
        <v>0</v>
      </c>
      <c r="AA96">
        <v>0</v>
      </c>
      <c r="AB96">
        <v>200000</v>
      </c>
      <c r="AC96">
        <v>170000</v>
      </c>
      <c r="AD96">
        <v>153000</v>
      </c>
      <c r="AG96">
        <v>8</v>
      </c>
      <c r="AH96">
        <v>7</v>
      </c>
      <c r="AI96">
        <v>0</v>
      </c>
      <c r="AJ96">
        <v>0</v>
      </c>
      <c r="AK96">
        <v>1</v>
      </c>
      <c r="AL96">
        <v>1</v>
      </c>
      <c r="AM96" t="s">
        <v>168</v>
      </c>
      <c r="AN96">
        <v>533</v>
      </c>
      <c r="AO96">
        <v>178</v>
      </c>
      <c r="AQ96">
        <v>796</v>
      </c>
      <c r="AS96">
        <v>1</v>
      </c>
      <c r="AT96">
        <v>74</v>
      </c>
      <c r="AU96" t="s">
        <v>119</v>
      </c>
      <c r="AV96">
        <v>16</v>
      </c>
      <c r="AW96" t="s">
        <v>108</v>
      </c>
      <c r="AX96">
        <v>21</v>
      </c>
      <c r="AY96">
        <f t="shared" si="6"/>
        <v>15</v>
      </c>
      <c r="AZ96">
        <f t="shared" si="7"/>
        <v>2</v>
      </c>
      <c r="BA96">
        <v>120</v>
      </c>
      <c r="BB96" t="str">
        <f t="shared" si="8"/>
        <v>(U-village)</v>
      </c>
      <c r="BC96">
        <f t="shared" si="9"/>
        <v>0</v>
      </c>
      <c r="BD96">
        <f t="shared" si="10"/>
        <v>0</v>
      </c>
      <c r="BE96">
        <v>12000</v>
      </c>
      <c r="BF96" t="str">
        <f t="shared" si="11"/>
        <v>(U-village)</v>
      </c>
    </row>
    <row r="97" spans="1:58" x14ac:dyDescent="0.3">
      <c r="A97">
        <v>696</v>
      </c>
      <c r="B97" s="2">
        <v>45559.439120370371</v>
      </c>
      <c r="C97">
        <v>100000</v>
      </c>
      <c r="D97">
        <v>50000</v>
      </c>
      <c r="E97">
        <v>0</v>
      </c>
      <c r="F97">
        <v>17000</v>
      </c>
      <c r="G97">
        <v>47000</v>
      </c>
      <c r="H97">
        <v>30000</v>
      </c>
      <c r="I97">
        <v>15000</v>
      </c>
      <c r="J97">
        <v>32000</v>
      </c>
      <c r="K97">
        <v>0</v>
      </c>
      <c r="L97">
        <v>0</v>
      </c>
      <c r="M97">
        <v>0</v>
      </c>
      <c r="N97">
        <v>4000</v>
      </c>
      <c r="O97">
        <v>1</v>
      </c>
      <c r="P97">
        <v>0</v>
      </c>
      <c r="Q97">
        <v>2</v>
      </c>
      <c r="R97">
        <v>0</v>
      </c>
      <c r="S97">
        <v>0</v>
      </c>
      <c r="T97">
        <v>0</v>
      </c>
      <c r="U97">
        <v>0</v>
      </c>
      <c r="V97">
        <v>6</v>
      </c>
      <c r="W97">
        <v>6</v>
      </c>
      <c r="X97">
        <v>170000</v>
      </c>
      <c r="Y97">
        <v>170000</v>
      </c>
      <c r="Z97">
        <v>153000</v>
      </c>
      <c r="AA97">
        <v>200000</v>
      </c>
      <c r="AB97">
        <v>200000</v>
      </c>
      <c r="AC97">
        <v>170000</v>
      </c>
      <c r="AD97">
        <v>153000</v>
      </c>
      <c r="AE97">
        <v>28</v>
      </c>
      <c r="AF97" t="s">
        <v>171</v>
      </c>
      <c r="AG97">
        <v>8</v>
      </c>
      <c r="AH97">
        <v>10</v>
      </c>
      <c r="AI97">
        <v>-2</v>
      </c>
      <c r="AJ97">
        <v>-1</v>
      </c>
      <c r="AK97">
        <v>2</v>
      </c>
      <c r="AL97">
        <v>1</v>
      </c>
      <c r="AM97" t="s">
        <v>168</v>
      </c>
      <c r="AN97">
        <v>533</v>
      </c>
      <c r="AO97">
        <v>185</v>
      </c>
      <c r="AP97">
        <v>796</v>
      </c>
      <c r="AQ97">
        <v>839</v>
      </c>
      <c r="AS97">
        <v>2</v>
      </c>
      <c r="AT97">
        <v>74</v>
      </c>
      <c r="AU97" t="s">
        <v>119</v>
      </c>
      <c r="AV97">
        <v>16</v>
      </c>
      <c r="AW97" t="s">
        <v>108</v>
      </c>
      <c r="AX97">
        <v>21</v>
      </c>
      <c r="AY97">
        <f t="shared" si="6"/>
        <v>18</v>
      </c>
      <c r="AZ97">
        <f t="shared" si="7"/>
        <v>3</v>
      </c>
      <c r="BA97">
        <v>120</v>
      </c>
      <c r="BB97" t="str">
        <f t="shared" si="8"/>
        <v>(Natu-city)</v>
      </c>
      <c r="BC97">
        <f t="shared" si="9"/>
        <v>1</v>
      </c>
      <c r="BD97">
        <f t="shared" si="10"/>
        <v>0</v>
      </c>
      <c r="BE97">
        <v>32000</v>
      </c>
      <c r="BF97" t="str">
        <f t="shared" si="11"/>
        <v>(Natu-city)</v>
      </c>
    </row>
    <row r="98" spans="1:58" x14ac:dyDescent="0.3">
      <c r="A98">
        <v>729</v>
      </c>
      <c r="B98" s="2">
        <v>45559.439120370371</v>
      </c>
      <c r="C98">
        <v>100000</v>
      </c>
      <c r="D98">
        <v>50000</v>
      </c>
      <c r="E98">
        <v>0</v>
      </c>
      <c r="F98">
        <v>17000</v>
      </c>
      <c r="G98">
        <v>0</v>
      </c>
      <c r="H98">
        <v>0</v>
      </c>
      <c r="I98">
        <v>30000</v>
      </c>
      <c r="J98">
        <v>0</v>
      </c>
      <c r="K98">
        <v>0</v>
      </c>
      <c r="L98">
        <v>0</v>
      </c>
      <c r="M98">
        <v>0</v>
      </c>
      <c r="N98">
        <v>7000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6</v>
      </c>
      <c r="W98">
        <v>6</v>
      </c>
      <c r="X98">
        <v>170000</v>
      </c>
      <c r="Y98">
        <v>170000</v>
      </c>
      <c r="Z98">
        <v>153000</v>
      </c>
      <c r="AA98">
        <v>0</v>
      </c>
      <c r="AB98">
        <v>0</v>
      </c>
      <c r="AC98">
        <v>170000</v>
      </c>
      <c r="AD98">
        <v>136000</v>
      </c>
      <c r="AG98">
        <v>8</v>
      </c>
      <c r="AH98">
        <v>10</v>
      </c>
      <c r="AI98">
        <v>-2</v>
      </c>
      <c r="AJ98">
        <v>-1</v>
      </c>
      <c r="AK98">
        <v>0</v>
      </c>
      <c r="AL98">
        <v>0</v>
      </c>
      <c r="AM98" t="s">
        <v>172</v>
      </c>
      <c r="AN98">
        <v>533</v>
      </c>
      <c r="AO98">
        <v>189</v>
      </c>
      <c r="AP98">
        <v>839</v>
      </c>
      <c r="AQ98">
        <v>839</v>
      </c>
      <c r="AS98">
        <v>3</v>
      </c>
      <c r="AT98">
        <v>74</v>
      </c>
      <c r="AU98" t="s">
        <v>119</v>
      </c>
      <c r="AV98">
        <v>16</v>
      </c>
      <c r="AW98" t="s">
        <v>108</v>
      </c>
      <c r="AX98">
        <v>21</v>
      </c>
      <c r="AY98">
        <f t="shared" si="6"/>
        <v>18</v>
      </c>
      <c r="AZ98">
        <f t="shared" si="7"/>
        <v>0</v>
      </c>
      <c r="BA98">
        <v>120</v>
      </c>
      <c r="BB98" t="str">
        <f t="shared" si="8"/>
        <v>(Natu-city)</v>
      </c>
      <c r="BC98">
        <f t="shared" si="9"/>
        <v>0</v>
      </c>
      <c r="BD98">
        <f t="shared" si="10"/>
        <v>0</v>
      </c>
      <c r="BE98">
        <v>0</v>
      </c>
      <c r="BF98" t="str">
        <f t="shared" si="11"/>
        <v>(Natu-city)</v>
      </c>
    </row>
    <row r="99" spans="1:58" x14ac:dyDescent="0.3">
      <c r="A99">
        <v>586</v>
      </c>
      <c r="B99" s="2">
        <v>45559.432372685187</v>
      </c>
      <c r="C99">
        <v>50000</v>
      </c>
      <c r="D99">
        <v>20000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</v>
      </c>
      <c r="W99">
        <v>3</v>
      </c>
      <c r="X99">
        <v>80000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t="s">
        <v>134</v>
      </c>
      <c r="AN99">
        <v>534</v>
      </c>
      <c r="AO99">
        <v>171</v>
      </c>
      <c r="AS99">
        <v>0</v>
      </c>
      <c r="AT99">
        <v>74</v>
      </c>
      <c r="AU99" t="s">
        <v>119</v>
      </c>
      <c r="AV99">
        <v>16</v>
      </c>
      <c r="AW99" t="s">
        <v>108</v>
      </c>
      <c r="AX99">
        <v>21</v>
      </c>
      <c r="AY99">
        <f t="shared" si="6"/>
        <v>0</v>
      </c>
      <c r="AZ99">
        <f t="shared" si="7"/>
        <v>0</v>
      </c>
      <c r="BA99">
        <v>117</v>
      </c>
      <c r="BB99" t="str">
        <f t="shared" si="8"/>
        <v/>
      </c>
      <c r="BC99" t="str">
        <f t="shared" si="9"/>
        <v/>
      </c>
      <c r="BD99">
        <f t="shared" si="10"/>
        <v>0</v>
      </c>
      <c r="BE99">
        <v>0</v>
      </c>
      <c r="BF99" t="str">
        <f t="shared" si="11"/>
        <v/>
      </c>
    </row>
    <row r="100" spans="1:58" x14ac:dyDescent="0.3">
      <c r="A100">
        <v>645</v>
      </c>
      <c r="B100" s="2">
        <v>45559.432372685187</v>
      </c>
      <c r="C100">
        <v>50000</v>
      </c>
      <c r="D100">
        <v>20000</v>
      </c>
      <c r="E100">
        <v>0</v>
      </c>
      <c r="F100">
        <v>7000</v>
      </c>
      <c r="G100">
        <v>0</v>
      </c>
      <c r="H100">
        <v>0</v>
      </c>
      <c r="I100">
        <v>20000</v>
      </c>
      <c r="J100">
        <v>3000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4</v>
      </c>
      <c r="W100">
        <v>3</v>
      </c>
      <c r="X100">
        <v>80000</v>
      </c>
      <c r="Y100">
        <v>0</v>
      </c>
      <c r="Z100">
        <v>0</v>
      </c>
      <c r="AA100">
        <v>0</v>
      </c>
      <c r="AB100">
        <v>70000</v>
      </c>
      <c r="AC100">
        <v>70000</v>
      </c>
      <c r="AD100">
        <v>63000</v>
      </c>
      <c r="AG100">
        <v>8</v>
      </c>
      <c r="AH100">
        <v>7</v>
      </c>
      <c r="AI100">
        <v>0</v>
      </c>
      <c r="AJ100">
        <v>0</v>
      </c>
      <c r="AK100">
        <v>0</v>
      </c>
      <c r="AL100">
        <v>1</v>
      </c>
      <c r="AM100" t="s">
        <v>168</v>
      </c>
      <c r="AN100">
        <v>534</v>
      </c>
      <c r="AO100">
        <v>178</v>
      </c>
      <c r="AQ100">
        <v>798</v>
      </c>
      <c r="AS100">
        <v>1</v>
      </c>
      <c r="AT100">
        <v>74</v>
      </c>
      <c r="AU100" t="s">
        <v>119</v>
      </c>
      <c r="AV100">
        <v>16</v>
      </c>
      <c r="AW100" t="s">
        <v>108</v>
      </c>
      <c r="AX100">
        <v>21</v>
      </c>
      <c r="AY100">
        <f t="shared" si="6"/>
        <v>15</v>
      </c>
      <c r="AZ100">
        <f t="shared" si="7"/>
        <v>1</v>
      </c>
      <c r="BA100">
        <v>117</v>
      </c>
      <c r="BB100" t="str">
        <f t="shared" si="8"/>
        <v>(U-village)</v>
      </c>
      <c r="BC100">
        <f t="shared" si="9"/>
        <v>-1</v>
      </c>
      <c r="BD100">
        <f t="shared" si="10"/>
        <v>0</v>
      </c>
      <c r="BE100">
        <v>3000</v>
      </c>
      <c r="BF100" t="str">
        <f t="shared" si="11"/>
        <v>(U-village)</v>
      </c>
    </row>
    <row r="101" spans="1:58" x14ac:dyDescent="0.3">
      <c r="A101">
        <v>693</v>
      </c>
      <c r="B101" s="2">
        <v>45559.432372685187</v>
      </c>
      <c r="C101">
        <v>50000</v>
      </c>
      <c r="D101">
        <v>20000</v>
      </c>
      <c r="E101">
        <v>0</v>
      </c>
      <c r="F101">
        <v>7000</v>
      </c>
      <c r="G101">
        <v>0</v>
      </c>
      <c r="H101">
        <v>0</v>
      </c>
      <c r="I101">
        <v>20000</v>
      </c>
      <c r="J101">
        <v>0</v>
      </c>
      <c r="K101">
        <v>0</v>
      </c>
      <c r="L101">
        <v>0</v>
      </c>
      <c r="M101">
        <v>0</v>
      </c>
      <c r="N101">
        <v>3000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</v>
      </c>
      <c r="W101">
        <v>3</v>
      </c>
      <c r="X101">
        <v>80000</v>
      </c>
      <c r="Y101">
        <v>70000</v>
      </c>
      <c r="Z101">
        <v>63000</v>
      </c>
      <c r="AA101">
        <v>0</v>
      </c>
      <c r="AB101">
        <v>0</v>
      </c>
      <c r="AC101">
        <v>70000</v>
      </c>
      <c r="AD101">
        <v>56000</v>
      </c>
      <c r="AG101">
        <v>8</v>
      </c>
      <c r="AH101">
        <v>7</v>
      </c>
      <c r="AI101">
        <v>-2</v>
      </c>
      <c r="AJ101">
        <v>-1</v>
      </c>
      <c r="AK101">
        <v>0</v>
      </c>
      <c r="AL101">
        <v>0</v>
      </c>
      <c r="AM101" t="s">
        <v>168</v>
      </c>
      <c r="AN101">
        <v>534</v>
      </c>
      <c r="AO101">
        <v>185</v>
      </c>
      <c r="AP101">
        <v>798</v>
      </c>
      <c r="AQ101">
        <v>798</v>
      </c>
      <c r="AS101">
        <v>2</v>
      </c>
      <c r="AT101">
        <v>74</v>
      </c>
      <c r="AU101" t="s">
        <v>119</v>
      </c>
      <c r="AV101">
        <v>16</v>
      </c>
      <c r="AW101" t="s">
        <v>108</v>
      </c>
      <c r="AX101">
        <v>21</v>
      </c>
      <c r="AY101">
        <f t="shared" si="6"/>
        <v>15</v>
      </c>
      <c r="AZ101">
        <f t="shared" si="7"/>
        <v>0</v>
      </c>
      <c r="BA101">
        <v>117</v>
      </c>
      <c r="BB101" t="str">
        <f t="shared" si="8"/>
        <v>(U-village)</v>
      </c>
      <c r="BC101">
        <f t="shared" si="9"/>
        <v>0</v>
      </c>
      <c r="BD101">
        <f t="shared" si="10"/>
        <v>0</v>
      </c>
      <c r="BE101">
        <v>0</v>
      </c>
      <c r="BF101" t="str">
        <f t="shared" si="11"/>
        <v>(U-village)</v>
      </c>
    </row>
    <row r="102" spans="1:58" x14ac:dyDescent="0.3">
      <c r="A102">
        <v>733</v>
      </c>
      <c r="B102" s="2">
        <v>45559.432372685187</v>
      </c>
      <c r="C102">
        <v>50000</v>
      </c>
      <c r="D102">
        <v>20000</v>
      </c>
      <c r="E102">
        <v>0</v>
      </c>
      <c r="F102">
        <v>7000</v>
      </c>
      <c r="G102">
        <v>0</v>
      </c>
      <c r="H102">
        <v>0</v>
      </c>
      <c r="I102">
        <v>20000</v>
      </c>
      <c r="J102">
        <v>5000</v>
      </c>
      <c r="K102">
        <v>0</v>
      </c>
      <c r="L102">
        <v>0</v>
      </c>
      <c r="M102">
        <v>0</v>
      </c>
      <c r="N102">
        <v>1000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80000</v>
      </c>
      <c r="Y102">
        <v>70000</v>
      </c>
      <c r="Z102">
        <v>56000</v>
      </c>
      <c r="AA102">
        <v>0</v>
      </c>
      <c r="AB102">
        <v>0</v>
      </c>
      <c r="AC102">
        <v>70000</v>
      </c>
      <c r="AD102">
        <v>49000</v>
      </c>
      <c r="AG102">
        <v>8</v>
      </c>
      <c r="AH102">
        <v>7</v>
      </c>
      <c r="AI102">
        <v>-2</v>
      </c>
      <c r="AJ102">
        <v>-1</v>
      </c>
      <c r="AK102">
        <v>0</v>
      </c>
      <c r="AL102">
        <v>0</v>
      </c>
      <c r="AM102" t="s">
        <v>168</v>
      </c>
      <c r="AN102">
        <v>534</v>
      </c>
      <c r="AO102">
        <v>189</v>
      </c>
      <c r="AP102">
        <v>798</v>
      </c>
      <c r="AQ102">
        <v>798</v>
      </c>
      <c r="AS102">
        <v>3</v>
      </c>
      <c r="AT102">
        <v>74</v>
      </c>
      <c r="AU102" t="s">
        <v>119</v>
      </c>
      <c r="AV102">
        <v>16</v>
      </c>
      <c r="AW102" t="s">
        <v>108</v>
      </c>
      <c r="AX102">
        <v>21</v>
      </c>
      <c r="AY102">
        <f t="shared" si="6"/>
        <v>15</v>
      </c>
      <c r="AZ102">
        <f t="shared" si="7"/>
        <v>0</v>
      </c>
      <c r="BA102">
        <v>117</v>
      </c>
      <c r="BB102" t="str">
        <f t="shared" si="8"/>
        <v>(U-village)</v>
      </c>
      <c r="BC102">
        <f t="shared" si="9"/>
        <v>1</v>
      </c>
      <c r="BD102">
        <f t="shared" si="10"/>
        <v>0</v>
      </c>
      <c r="BE102">
        <v>5000</v>
      </c>
      <c r="BF102" t="str">
        <f t="shared" si="11"/>
        <v>(U-village)</v>
      </c>
    </row>
    <row r="103" spans="1:58" x14ac:dyDescent="0.3">
      <c r="A103">
        <v>615</v>
      </c>
      <c r="B103" s="2">
        <v>45559.43913194444</v>
      </c>
      <c r="C103">
        <v>80000</v>
      </c>
      <c r="D103">
        <v>40000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15000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</v>
      </c>
      <c r="W103">
        <v>5</v>
      </c>
      <c r="X103">
        <v>130000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t="s">
        <v>134</v>
      </c>
      <c r="AN103">
        <v>535</v>
      </c>
      <c r="AO103">
        <v>171</v>
      </c>
      <c r="AS103">
        <v>0</v>
      </c>
      <c r="AT103">
        <v>74</v>
      </c>
      <c r="AU103" t="s">
        <v>119</v>
      </c>
      <c r="AV103">
        <v>16</v>
      </c>
      <c r="AW103" t="s">
        <v>108</v>
      </c>
      <c r="AX103">
        <v>21</v>
      </c>
      <c r="AY103">
        <f t="shared" si="6"/>
        <v>0</v>
      </c>
      <c r="AZ103">
        <f t="shared" si="7"/>
        <v>0</v>
      </c>
      <c r="BA103">
        <v>119</v>
      </c>
      <c r="BB103" t="str">
        <f t="shared" si="8"/>
        <v/>
      </c>
      <c r="BC103" t="str">
        <f t="shared" si="9"/>
        <v/>
      </c>
      <c r="BD103">
        <f t="shared" si="10"/>
        <v>0</v>
      </c>
      <c r="BE103">
        <v>0</v>
      </c>
      <c r="BF103" t="str">
        <f t="shared" si="11"/>
        <v/>
      </c>
    </row>
    <row r="104" spans="1:58" x14ac:dyDescent="0.3">
      <c r="A104">
        <v>644</v>
      </c>
      <c r="B104" s="2">
        <v>45559.43913194444</v>
      </c>
      <c r="C104">
        <v>80000</v>
      </c>
      <c r="D104">
        <v>40000</v>
      </c>
      <c r="E104">
        <v>0</v>
      </c>
      <c r="F104">
        <v>13000</v>
      </c>
      <c r="G104">
        <v>0</v>
      </c>
      <c r="H104">
        <v>30000</v>
      </c>
      <c r="I104">
        <v>15000</v>
      </c>
      <c r="J104">
        <v>0</v>
      </c>
      <c r="K104">
        <v>0</v>
      </c>
      <c r="L104">
        <v>0</v>
      </c>
      <c r="M104">
        <v>0</v>
      </c>
      <c r="N104">
        <v>-3000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</v>
      </c>
      <c r="W104">
        <v>5</v>
      </c>
      <c r="X104">
        <v>130000</v>
      </c>
      <c r="Y104">
        <v>0</v>
      </c>
      <c r="Z104">
        <v>0</v>
      </c>
      <c r="AA104">
        <v>0</v>
      </c>
      <c r="AB104">
        <v>160000</v>
      </c>
      <c r="AC104">
        <v>130000</v>
      </c>
      <c r="AD104">
        <v>117000</v>
      </c>
      <c r="AG104">
        <v>6</v>
      </c>
      <c r="AH104">
        <v>10</v>
      </c>
      <c r="AI104">
        <v>0</v>
      </c>
      <c r="AJ104">
        <v>0</v>
      </c>
      <c r="AK104">
        <v>0</v>
      </c>
      <c r="AL104">
        <v>0</v>
      </c>
      <c r="AM104" t="s">
        <v>168</v>
      </c>
      <c r="AN104">
        <v>535</v>
      </c>
      <c r="AO104">
        <v>178</v>
      </c>
      <c r="AQ104">
        <v>793</v>
      </c>
      <c r="AS104">
        <v>1</v>
      </c>
      <c r="AT104">
        <v>74</v>
      </c>
      <c r="AU104" t="s">
        <v>119</v>
      </c>
      <c r="AV104">
        <v>16</v>
      </c>
      <c r="AW104" t="s">
        <v>108</v>
      </c>
      <c r="AX104">
        <v>21</v>
      </c>
      <c r="AY104">
        <f t="shared" si="6"/>
        <v>16</v>
      </c>
      <c r="AZ104">
        <f t="shared" si="7"/>
        <v>0</v>
      </c>
      <c r="BA104">
        <v>119</v>
      </c>
      <c r="BB104" t="str">
        <f t="shared" si="8"/>
        <v>(Dike-town)</v>
      </c>
      <c r="BC104">
        <f t="shared" si="9"/>
        <v>0</v>
      </c>
      <c r="BD104">
        <f t="shared" si="10"/>
        <v>0</v>
      </c>
      <c r="BE104">
        <v>0</v>
      </c>
      <c r="BF104" t="str">
        <f t="shared" si="11"/>
        <v>(Dike-town)</v>
      </c>
    </row>
    <row r="105" spans="1:58" x14ac:dyDescent="0.3">
      <c r="A105">
        <v>700</v>
      </c>
      <c r="B105" s="2">
        <v>45559.43913194444</v>
      </c>
      <c r="C105">
        <v>80000</v>
      </c>
      <c r="D105">
        <v>40000</v>
      </c>
      <c r="E105">
        <v>3000</v>
      </c>
      <c r="F105">
        <v>13000</v>
      </c>
      <c r="G105">
        <v>0</v>
      </c>
      <c r="H105">
        <v>0</v>
      </c>
      <c r="I105">
        <v>15000</v>
      </c>
      <c r="J105">
        <v>6000</v>
      </c>
      <c r="K105">
        <v>0</v>
      </c>
      <c r="L105">
        <v>0</v>
      </c>
      <c r="M105">
        <v>0</v>
      </c>
      <c r="N105">
        <v>3000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4</v>
      </c>
      <c r="W105">
        <v>5</v>
      </c>
      <c r="X105">
        <v>130000</v>
      </c>
      <c r="Y105">
        <v>130000</v>
      </c>
      <c r="Z105">
        <v>117000</v>
      </c>
      <c r="AA105">
        <v>0</v>
      </c>
      <c r="AB105">
        <v>0</v>
      </c>
      <c r="AC105">
        <v>130000</v>
      </c>
      <c r="AD105">
        <v>104000</v>
      </c>
      <c r="AG105">
        <v>6</v>
      </c>
      <c r="AH105">
        <v>10</v>
      </c>
      <c r="AI105">
        <v>-2</v>
      </c>
      <c r="AJ105">
        <v>-1</v>
      </c>
      <c r="AK105">
        <v>1</v>
      </c>
      <c r="AL105">
        <v>0</v>
      </c>
      <c r="AM105" t="s">
        <v>168</v>
      </c>
      <c r="AN105">
        <v>535</v>
      </c>
      <c r="AO105">
        <v>185</v>
      </c>
      <c r="AP105">
        <v>793</v>
      </c>
      <c r="AQ105">
        <v>793</v>
      </c>
      <c r="AS105">
        <v>2</v>
      </c>
      <c r="AT105">
        <v>74</v>
      </c>
      <c r="AU105" t="s">
        <v>119</v>
      </c>
      <c r="AV105">
        <v>16</v>
      </c>
      <c r="AW105" t="s">
        <v>108</v>
      </c>
      <c r="AX105">
        <v>21</v>
      </c>
      <c r="AY105">
        <f t="shared" si="6"/>
        <v>16</v>
      </c>
      <c r="AZ105">
        <f t="shared" si="7"/>
        <v>1</v>
      </c>
      <c r="BA105">
        <v>119</v>
      </c>
      <c r="BB105" t="str">
        <f t="shared" si="8"/>
        <v>(Dike-town)</v>
      </c>
      <c r="BC105">
        <f t="shared" si="9"/>
        <v>-1</v>
      </c>
      <c r="BD105">
        <f t="shared" si="10"/>
        <v>0</v>
      </c>
      <c r="BE105">
        <v>6000</v>
      </c>
      <c r="BF105" t="str">
        <f t="shared" si="11"/>
        <v>(Dike-town)</v>
      </c>
    </row>
    <row r="106" spans="1:58" x14ac:dyDescent="0.3">
      <c r="A106">
        <v>727</v>
      </c>
      <c r="B106" s="2">
        <v>45559.43913194444</v>
      </c>
      <c r="C106">
        <v>80000</v>
      </c>
      <c r="D106">
        <v>40000</v>
      </c>
      <c r="E106">
        <v>0</v>
      </c>
      <c r="F106">
        <v>10000</v>
      </c>
      <c r="G106">
        <v>56000</v>
      </c>
      <c r="H106">
        <v>0</v>
      </c>
      <c r="I106">
        <v>30000</v>
      </c>
      <c r="J106">
        <v>0</v>
      </c>
      <c r="K106">
        <v>0</v>
      </c>
      <c r="L106">
        <v>0</v>
      </c>
      <c r="M106">
        <v>0</v>
      </c>
      <c r="N106">
        <v>323000</v>
      </c>
      <c r="O106">
        <v>1</v>
      </c>
      <c r="P106">
        <v>-2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5</v>
      </c>
      <c r="X106">
        <v>130000</v>
      </c>
      <c r="Y106">
        <v>130000</v>
      </c>
      <c r="Z106">
        <v>104000</v>
      </c>
      <c r="AA106">
        <v>160000</v>
      </c>
      <c r="AB106">
        <v>100000</v>
      </c>
      <c r="AC106">
        <v>100000</v>
      </c>
      <c r="AD106">
        <v>90000</v>
      </c>
      <c r="AE106">
        <v>27</v>
      </c>
      <c r="AG106">
        <v>8</v>
      </c>
      <c r="AH106">
        <v>10</v>
      </c>
      <c r="AI106">
        <v>-2</v>
      </c>
      <c r="AJ106">
        <v>-1</v>
      </c>
      <c r="AK106">
        <v>5</v>
      </c>
      <c r="AL106">
        <v>3</v>
      </c>
      <c r="AM106" t="s">
        <v>168</v>
      </c>
      <c r="AN106">
        <v>535</v>
      </c>
      <c r="AO106">
        <v>189</v>
      </c>
      <c r="AP106">
        <v>793</v>
      </c>
      <c r="AQ106">
        <v>862</v>
      </c>
      <c r="AS106">
        <v>3</v>
      </c>
      <c r="AT106">
        <v>74</v>
      </c>
      <c r="AU106" t="s">
        <v>119</v>
      </c>
      <c r="AV106">
        <v>16</v>
      </c>
      <c r="AW106" t="s">
        <v>108</v>
      </c>
      <c r="AX106">
        <v>21</v>
      </c>
      <c r="AY106">
        <f t="shared" si="6"/>
        <v>18</v>
      </c>
      <c r="AZ106">
        <f t="shared" si="7"/>
        <v>8</v>
      </c>
      <c r="BA106">
        <v>119</v>
      </c>
      <c r="BB106" t="str">
        <f t="shared" si="8"/>
        <v>(Natu-city)</v>
      </c>
      <c r="BC106">
        <f t="shared" si="9"/>
        <v>-3</v>
      </c>
      <c r="BD106">
        <f t="shared" si="10"/>
        <v>0</v>
      </c>
      <c r="BE106">
        <v>0</v>
      </c>
      <c r="BF106" t="str">
        <f t="shared" si="11"/>
        <v>(Natu-city)</v>
      </c>
    </row>
    <row r="107" spans="1:58" x14ac:dyDescent="0.3">
      <c r="A107">
        <v>607</v>
      </c>
      <c r="B107" s="2">
        <v>45559.438807870371</v>
      </c>
      <c r="C107">
        <v>120000</v>
      </c>
      <c r="D107">
        <v>65000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50000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7</v>
      </c>
      <c r="X107">
        <v>200000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134</v>
      </c>
      <c r="AN107">
        <v>536</v>
      </c>
      <c r="AO107">
        <v>171</v>
      </c>
      <c r="AS107">
        <v>0</v>
      </c>
      <c r="AT107">
        <v>74</v>
      </c>
      <c r="AU107" t="s">
        <v>119</v>
      </c>
      <c r="AV107">
        <v>16</v>
      </c>
      <c r="AW107" t="s">
        <v>108</v>
      </c>
      <c r="AX107">
        <v>21</v>
      </c>
      <c r="AY107">
        <f t="shared" si="6"/>
        <v>0</v>
      </c>
      <c r="AZ107">
        <f t="shared" si="7"/>
        <v>0</v>
      </c>
      <c r="BA107">
        <v>121</v>
      </c>
      <c r="BB107" t="str">
        <f t="shared" si="8"/>
        <v/>
      </c>
      <c r="BC107" t="str">
        <f t="shared" si="9"/>
        <v/>
      </c>
      <c r="BD107">
        <f t="shared" si="10"/>
        <v>0</v>
      </c>
      <c r="BE107">
        <v>0</v>
      </c>
      <c r="BF107" t="str">
        <f t="shared" si="11"/>
        <v/>
      </c>
    </row>
    <row r="108" spans="1:58" x14ac:dyDescent="0.3">
      <c r="A108">
        <v>642</v>
      </c>
      <c r="B108" s="2">
        <v>45559.438807870371</v>
      </c>
      <c r="C108">
        <v>120000</v>
      </c>
      <c r="D108">
        <v>65000</v>
      </c>
      <c r="E108">
        <v>0</v>
      </c>
      <c r="F108">
        <v>20000</v>
      </c>
      <c r="G108">
        <v>0</v>
      </c>
      <c r="H108">
        <v>35000</v>
      </c>
      <c r="I108">
        <v>20000</v>
      </c>
      <c r="J108">
        <v>20000</v>
      </c>
      <c r="K108">
        <v>0</v>
      </c>
      <c r="L108">
        <v>0</v>
      </c>
      <c r="M108">
        <v>0</v>
      </c>
      <c r="N108">
        <v>10000</v>
      </c>
      <c r="O108">
        <v>0</v>
      </c>
      <c r="P108">
        <v>-1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5</v>
      </c>
      <c r="W108">
        <v>7</v>
      </c>
      <c r="X108">
        <v>200000</v>
      </c>
      <c r="Y108">
        <v>0</v>
      </c>
      <c r="Z108">
        <v>0</v>
      </c>
      <c r="AA108">
        <v>0</v>
      </c>
      <c r="AB108">
        <v>235000</v>
      </c>
      <c r="AC108">
        <v>200000</v>
      </c>
      <c r="AD108">
        <v>180000</v>
      </c>
      <c r="AG108">
        <v>8</v>
      </c>
      <c r="AH108">
        <v>10</v>
      </c>
      <c r="AI108">
        <v>0</v>
      </c>
      <c r="AJ108">
        <v>0</v>
      </c>
      <c r="AK108">
        <v>1</v>
      </c>
      <c r="AL108">
        <v>1</v>
      </c>
      <c r="AM108" t="s">
        <v>168</v>
      </c>
      <c r="AN108">
        <v>536</v>
      </c>
      <c r="AO108">
        <v>178</v>
      </c>
      <c r="AQ108">
        <v>790</v>
      </c>
      <c r="AS108">
        <v>1</v>
      </c>
      <c r="AT108">
        <v>74</v>
      </c>
      <c r="AU108" t="s">
        <v>119</v>
      </c>
      <c r="AV108">
        <v>16</v>
      </c>
      <c r="AW108" t="s">
        <v>108</v>
      </c>
      <c r="AX108">
        <v>21</v>
      </c>
      <c r="AY108">
        <f t="shared" si="6"/>
        <v>18</v>
      </c>
      <c r="AZ108">
        <f t="shared" si="7"/>
        <v>2</v>
      </c>
      <c r="BA108">
        <v>121</v>
      </c>
      <c r="BB108" t="str">
        <f t="shared" si="8"/>
        <v>(Natu-city)</v>
      </c>
      <c r="BC108">
        <f t="shared" si="9"/>
        <v>0</v>
      </c>
      <c r="BD108">
        <f t="shared" si="10"/>
        <v>0</v>
      </c>
      <c r="BE108">
        <v>20000</v>
      </c>
      <c r="BF108" t="str">
        <f t="shared" si="11"/>
        <v>(Natu-city)</v>
      </c>
    </row>
    <row r="109" spans="1:58" x14ac:dyDescent="0.3">
      <c r="A109">
        <v>694</v>
      </c>
      <c r="B109" s="2">
        <v>45559.438807870371</v>
      </c>
      <c r="C109">
        <v>120000</v>
      </c>
      <c r="D109">
        <v>65000</v>
      </c>
      <c r="E109">
        <v>0</v>
      </c>
      <c r="F109">
        <v>20000</v>
      </c>
      <c r="G109">
        <v>0</v>
      </c>
      <c r="H109">
        <v>0</v>
      </c>
      <c r="I109">
        <v>15000</v>
      </c>
      <c r="J109">
        <v>22000</v>
      </c>
      <c r="K109">
        <v>0</v>
      </c>
      <c r="L109">
        <v>0</v>
      </c>
      <c r="M109">
        <v>0</v>
      </c>
      <c r="N109">
        <v>8000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7</v>
      </c>
      <c r="W109">
        <v>7</v>
      </c>
      <c r="X109">
        <v>200000</v>
      </c>
      <c r="Y109">
        <v>200000</v>
      </c>
      <c r="Z109">
        <v>180000</v>
      </c>
      <c r="AA109">
        <v>0</v>
      </c>
      <c r="AB109">
        <v>0</v>
      </c>
      <c r="AC109">
        <v>200000</v>
      </c>
      <c r="AD109">
        <v>160000</v>
      </c>
      <c r="AG109">
        <v>8</v>
      </c>
      <c r="AH109">
        <v>10</v>
      </c>
      <c r="AI109">
        <v>-2</v>
      </c>
      <c r="AJ109">
        <v>-1</v>
      </c>
      <c r="AK109">
        <v>1</v>
      </c>
      <c r="AL109">
        <v>0</v>
      </c>
      <c r="AM109" t="s">
        <v>168</v>
      </c>
      <c r="AN109">
        <v>536</v>
      </c>
      <c r="AO109">
        <v>185</v>
      </c>
      <c r="AP109">
        <v>790</v>
      </c>
      <c r="AQ109">
        <v>790</v>
      </c>
      <c r="AS109">
        <v>2</v>
      </c>
      <c r="AT109">
        <v>74</v>
      </c>
      <c r="AU109" t="s">
        <v>119</v>
      </c>
      <c r="AV109">
        <v>16</v>
      </c>
      <c r="AW109" t="s">
        <v>108</v>
      </c>
      <c r="AX109">
        <v>21</v>
      </c>
      <c r="AY109">
        <f t="shared" si="6"/>
        <v>18</v>
      </c>
      <c r="AZ109">
        <f t="shared" si="7"/>
        <v>1</v>
      </c>
      <c r="BA109">
        <v>121</v>
      </c>
      <c r="BB109" t="str">
        <f t="shared" si="8"/>
        <v>(Natu-city)</v>
      </c>
      <c r="BC109">
        <f t="shared" si="9"/>
        <v>2</v>
      </c>
      <c r="BD109">
        <f t="shared" si="10"/>
        <v>0</v>
      </c>
      <c r="BE109">
        <v>22000</v>
      </c>
      <c r="BF109" t="str">
        <f t="shared" si="11"/>
        <v>(Natu-city)</v>
      </c>
    </row>
    <row r="110" spans="1:58" x14ac:dyDescent="0.3">
      <c r="A110">
        <v>732</v>
      </c>
      <c r="B110" s="2">
        <v>45559.438807870371</v>
      </c>
      <c r="C110">
        <v>120000</v>
      </c>
      <c r="D110">
        <v>65000</v>
      </c>
      <c r="E110">
        <v>0</v>
      </c>
      <c r="F110">
        <v>20000</v>
      </c>
      <c r="G110">
        <v>0</v>
      </c>
      <c r="H110">
        <v>0</v>
      </c>
      <c r="I110">
        <v>30000</v>
      </c>
      <c r="J110">
        <v>0</v>
      </c>
      <c r="K110">
        <v>0</v>
      </c>
      <c r="L110">
        <v>0</v>
      </c>
      <c r="M110">
        <v>0</v>
      </c>
      <c r="N110">
        <v>13000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7</v>
      </c>
      <c r="X110">
        <v>200000</v>
      </c>
      <c r="Y110">
        <v>200000</v>
      </c>
      <c r="Z110">
        <v>160000</v>
      </c>
      <c r="AA110">
        <v>0</v>
      </c>
      <c r="AB110">
        <v>0</v>
      </c>
      <c r="AC110">
        <v>200000</v>
      </c>
      <c r="AD110">
        <v>140000</v>
      </c>
      <c r="AG110">
        <v>8</v>
      </c>
      <c r="AH110">
        <v>10</v>
      </c>
      <c r="AI110">
        <v>-2</v>
      </c>
      <c r="AJ110">
        <v>-1</v>
      </c>
      <c r="AK110">
        <v>0</v>
      </c>
      <c r="AL110">
        <v>0</v>
      </c>
      <c r="AM110" t="s">
        <v>172</v>
      </c>
      <c r="AN110">
        <v>536</v>
      </c>
      <c r="AO110">
        <v>189</v>
      </c>
      <c r="AP110">
        <v>790</v>
      </c>
      <c r="AQ110">
        <v>790</v>
      </c>
      <c r="AS110">
        <v>3</v>
      </c>
      <c r="AT110">
        <v>74</v>
      </c>
      <c r="AU110" t="s">
        <v>119</v>
      </c>
      <c r="AV110">
        <v>16</v>
      </c>
      <c r="AW110" t="s">
        <v>108</v>
      </c>
      <c r="AX110">
        <v>21</v>
      </c>
      <c r="AY110">
        <f t="shared" si="6"/>
        <v>18</v>
      </c>
      <c r="AZ110">
        <f t="shared" si="7"/>
        <v>0</v>
      </c>
      <c r="BA110">
        <v>121</v>
      </c>
      <c r="BB110" t="str">
        <f t="shared" si="8"/>
        <v>(Natu-city)</v>
      </c>
      <c r="BC110">
        <f t="shared" si="9"/>
        <v>0</v>
      </c>
      <c r="BD110">
        <f t="shared" si="10"/>
        <v>0</v>
      </c>
      <c r="BE110">
        <v>0</v>
      </c>
      <c r="BF110" t="str">
        <f t="shared" si="11"/>
        <v>(Natu-city)</v>
      </c>
    </row>
    <row r="111" spans="1:58" x14ac:dyDescent="0.3">
      <c r="A111">
        <v>609</v>
      </c>
      <c r="B111" s="2">
        <v>45559.438981481479</v>
      </c>
      <c r="C111">
        <v>180000</v>
      </c>
      <c r="D111">
        <v>105000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80000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</v>
      </c>
      <c r="W111">
        <v>8</v>
      </c>
      <c r="X111">
        <v>300000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t="s">
        <v>134</v>
      </c>
      <c r="AN111">
        <v>537</v>
      </c>
      <c r="AO111">
        <v>171</v>
      </c>
      <c r="AS111">
        <v>0</v>
      </c>
      <c r="AT111">
        <v>74</v>
      </c>
      <c r="AU111" t="s">
        <v>119</v>
      </c>
      <c r="AV111">
        <v>16</v>
      </c>
      <c r="AW111" t="s">
        <v>108</v>
      </c>
      <c r="AX111">
        <v>21</v>
      </c>
      <c r="AY111">
        <f t="shared" si="6"/>
        <v>0</v>
      </c>
      <c r="AZ111">
        <f t="shared" si="7"/>
        <v>0</v>
      </c>
      <c r="BA111">
        <v>122</v>
      </c>
      <c r="BB111" t="str">
        <f t="shared" si="8"/>
        <v/>
      </c>
      <c r="BC111" t="str">
        <f t="shared" si="9"/>
        <v/>
      </c>
      <c r="BD111">
        <f t="shared" si="10"/>
        <v>0</v>
      </c>
      <c r="BE111">
        <v>0</v>
      </c>
      <c r="BF111" t="str">
        <f t="shared" si="11"/>
        <v/>
      </c>
    </row>
    <row r="112" spans="1:58" x14ac:dyDescent="0.3">
      <c r="A112">
        <v>643</v>
      </c>
      <c r="B112" s="2">
        <v>45559.438981481479</v>
      </c>
      <c r="C112">
        <v>180000</v>
      </c>
      <c r="D112">
        <v>105000</v>
      </c>
      <c r="E112">
        <v>0</v>
      </c>
      <c r="F112">
        <v>30000</v>
      </c>
      <c r="G112">
        <v>0</v>
      </c>
      <c r="H112">
        <v>0</v>
      </c>
      <c r="I112">
        <v>15000</v>
      </c>
      <c r="J112">
        <v>70000</v>
      </c>
      <c r="K112">
        <v>0</v>
      </c>
      <c r="L112">
        <v>0</v>
      </c>
      <c r="M112">
        <v>0</v>
      </c>
      <c r="N112">
        <v>40000</v>
      </c>
      <c r="O112">
        <v>0</v>
      </c>
      <c r="P112">
        <v>0</v>
      </c>
      <c r="Q112">
        <v>2</v>
      </c>
      <c r="R112">
        <v>2</v>
      </c>
      <c r="S112">
        <v>0</v>
      </c>
      <c r="T112">
        <v>0</v>
      </c>
      <c r="U112">
        <v>0</v>
      </c>
      <c r="V112">
        <v>9</v>
      </c>
      <c r="W112">
        <v>8</v>
      </c>
      <c r="X112">
        <v>300000</v>
      </c>
      <c r="Y112">
        <v>0</v>
      </c>
      <c r="Z112">
        <v>0</v>
      </c>
      <c r="AA112">
        <v>0</v>
      </c>
      <c r="AB112">
        <v>300000</v>
      </c>
      <c r="AC112">
        <v>300000</v>
      </c>
      <c r="AD112">
        <v>270000</v>
      </c>
      <c r="AG112">
        <v>6</v>
      </c>
      <c r="AH112">
        <v>10</v>
      </c>
      <c r="AI112">
        <v>0</v>
      </c>
      <c r="AJ112">
        <v>0</v>
      </c>
      <c r="AK112">
        <v>2</v>
      </c>
      <c r="AL112">
        <v>1</v>
      </c>
      <c r="AM112" t="s">
        <v>168</v>
      </c>
      <c r="AN112">
        <v>537</v>
      </c>
      <c r="AO112">
        <v>178</v>
      </c>
      <c r="AQ112">
        <v>792</v>
      </c>
      <c r="AS112">
        <v>1</v>
      </c>
      <c r="AT112">
        <v>74</v>
      </c>
      <c r="AU112" t="s">
        <v>119</v>
      </c>
      <c r="AV112">
        <v>16</v>
      </c>
      <c r="AW112" t="s">
        <v>108</v>
      </c>
      <c r="AX112">
        <v>21</v>
      </c>
      <c r="AY112">
        <f t="shared" si="6"/>
        <v>16</v>
      </c>
      <c r="AZ112">
        <f t="shared" si="7"/>
        <v>3</v>
      </c>
      <c r="BA112">
        <v>122</v>
      </c>
      <c r="BB112" t="str">
        <f t="shared" si="8"/>
        <v>(Dike-town)</v>
      </c>
      <c r="BC112">
        <f t="shared" si="9"/>
        <v>4</v>
      </c>
      <c r="BD112">
        <f t="shared" si="10"/>
        <v>0</v>
      </c>
      <c r="BE112">
        <v>70000</v>
      </c>
      <c r="BF112" t="str">
        <f t="shared" si="11"/>
        <v>(Dike-town)</v>
      </c>
    </row>
    <row r="113" spans="1:58" x14ac:dyDescent="0.3">
      <c r="A113">
        <v>699</v>
      </c>
      <c r="B113" s="2">
        <v>45559.438981481479</v>
      </c>
      <c r="C113">
        <v>180000</v>
      </c>
      <c r="D113">
        <v>105000</v>
      </c>
      <c r="E113">
        <v>0</v>
      </c>
      <c r="F113">
        <v>30000</v>
      </c>
      <c r="G113">
        <v>0</v>
      </c>
      <c r="H113">
        <v>0</v>
      </c>
      <c r="I113">
        <v>15000</v>
      </c>
      <c r="J113">
        <v>33000</v>
      </c>
      <c r="K113">
        <v>0</v>
      </c>
      <c r="L113">
        <v>0</v>
      </c>
      <c r="M113">
        <v>0</v>
      </c>
      <c r="N113">
        <v>37000</v>
      </c>
      <c r="O113">
        <v>0</v>
      </c>
      <c r="P113">
        <v>0</v>
      </c>
      <c r="Q113">
        <v>0</v>
      </c>
      <c r="R113">
        <v>2</v>
      </c>
      <c r="S113">
        <v>0</v>
      </c>
      <c r="T113">
        <v>0</v>
      </c>
      <c r="U113">
        <v>0</v>
      </c>
      <c r="V113">
        <v>11</v>
      </c>
      <c r="W113">
        <v>8</v>
      </c>
      <c r="X113">
        <v>300000</v>
      </c>
      <c r="Y113">
        <v>300000</v>
      </c>
      <c r="Z113">
        <v>270000</v>
      </c>
      <c r="AA113">
        <v>0</v>
      </c>
      <c r="AB113">
        <v>0</v>
      </c>
      <c r="AC113">
        <v>300000</v>
      </c>
      <c r="AD113">
        <v>240000</v>
      </c>
      <c r="AG113">
        <v>6</v>
      </c>
      <c r="AH113">
        <v>10</v>
      </c>
      <c r="AI113">
        <v>-2</v>
      </c>
      <c r="AJ113">
        <v>-1</v>
      </c>
      <c r="AK113">
        <v>0</v>
      </c>
      <c r="AL113">
        <v>0</v>
      </c>
      <c r="AM113" t="s">
        <v>168</v>
      </c>
      <c r="AN113">
        <v>537</v>
      </c>
      <c r="AO113">
        <v>185</v>
      </c>
      <c r="AP113">
        <v>792</v>
      </c>
      <c r="AQ113">
        <v>792</v>
      </c>
      <c r="AS113">
        <v>2</v>
      </c>
      <c r="AT113">
        <v>74</v>
      </c>
      <c r="AU113" t="s">
        <v>119</v>
      </c>
      <c r="AV113">
        <v>16</v>
      </c>
      <c r="AW113" t="s">
        <v>108</v>
      </c>
      <c r="AX113">
        <v>21</v>
      </c>
      <c r="AY113">
        <f t="shared" si="6"/>
        <v>16</v>
      </c>
      <c r="AZ113">
        <f t="shared" si="7"/>
        <v>0</v>
      </c>
      <c r="BA113">
        <v>122</v>
      </c>
      <c r="BB113" t="str">
        <f t="shared" si="8"/>
        <v>(Dike-town)</v>
      </c>
      <c r="BC113">
        <f t="shared" si="9"/>
        <v>2</v>
      </c>
      <c r="BD113">
        <f t="shared" si="10"/>
        <v>0</v>
      </c>
      <c r="BE113">
        <v>33000</v>
      </c>
      <c r="BF113" t="str">
        <f t="shared" si="11"/>
        <v>(Dike-town)</v>
      </c>
    </row>
    <row r="114" spans="1:58" x14ac:dyDescent="0.3">
      <c r="A114">
        <v>726</v>
      </c>
      <c r="B114" s="2">
        <v>45559.438981481479</v>
      </c>
      <c r="C114">
        <v>180000</v>
      </c>
      <c r="D114">
        <v>105000</v>
      </c>
      <c r="E114">
        <v>0</v>
      </c>
      <c r="F114">
        <v>30000</v>
      </c>
      <c r="G114">
        <v>0</v>
      </c>
      <c r="H114">
        <v>0</v>
      </c>
      <c r="I114">
        <v>15000</v>
      </c>
      <c r="J114">
        <v>0</v>
      </c>
      <c r="K114">
        <v>0</v>
      </c>
      <c r="L114">
        <v>0</v>
      </c>
      <c r="M114">
        <v>0</v>
      </c>
      <c r="N114">
        <v>67000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11</v>
      </c>
      <c r="W114">
        <v>8</v>
      </c>
      <c r="X114">
        <v>300000</v>
      </c>
      <c r="Y114">
        <v>300000</v>
      </c>
      <c r="Z114">
        <v>240000</v>
      </c>
      <c r="AA114">
        <v>0</v>
      </c>
      <c r="AB114">
        <v>0</v>
      </c>
      <c r="AC114">
        <v>300000</v>
      </c>
      <c r="AD114">
        <v>210000</v>
      </c>
      <c r="AG114">
        <v>6</v>
      </c>
      <c r="AH114">
        <v>10</v>
      </c>
      <c r="AI114">
        <v>-2</v>
      </c>
      <c r="AJ114">
        <v>-1</v>
      </c>
      <c r="AK114">
        <v>0</v>
      </c>
      <c r="AL114">
        <v>0</v>
      </c>
      <c r="AM114" t="s">
        <v>168</v>
      </c>
      <c r="AN114">
        <v>537</v>
      </c>
      <c r="AO114">
        <v>189</v>
      </c>
      <c r="AP114">
        <v>792</v>
      </c>
      <c r="AQ114">
        <v>792</v>
      </c>
      <c r="AS114">
        <v>3</v>
      </c>
      <c r="AT114">
        <v>74</v>
      </c>
      <c r="AU114" t="s">
        <v>119</v>
      </c>
      <c r="AV114">
        <v>16</v>
      </c>
      <c r="AW114" t="s">
        <v>108</v>
      </c>
      <c r="AX114">
        <v>21</v>
      </c>
      <c r="AY114">
        <f t="shared" si="6"/>
        <v>16</v>
      </c>
      <c r="AZ114">
        <f t="shared" si="7"/>
        <v>0</v>
      </c>
      <c r="BA114">
        <v>122</v>
      </c>
      <c r="BB114" t="str">
        <f t="shared" si="8"/>
        <v>(Dike-town)</v>
      </c>
      <c r="BC114">
        <f t="shared" si="9"/>
        <v>0</v>
      </c>
      <c r="BD114">
        <f t="shared" si="10"/>
        <v>0</v>
      </c>
      <c r="BE114">
        <v>0</v>
      </c>
      <c r="BF114" t="str">
        <f t="shared" si="11"/>
        <v>(Dike-town)</v>
      </c>
    </row>
    <row r="115" spans="1:58" x14ac:dyDescent="0.3">
      <c r="A115">
        <v>619</v>
      </c>
      <c r="B115" s="2">
        <v>45559.439201388886</v>
      </c>
      <c r="C115">
        <v>100000</v>
      </c>
      <c r="D115">
        <v>50000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30000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>
        <v>6</v>
      </c>
      <c r="X115">
        <v>170000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t="s">
        <v>134</v>
      </c>
      <c r="AN115">
        <v>538</v>
      </c>
      <c r="AO115">
        <v>171</v>
      </c>
      <c r="AS115">
        <v>0</v>
      </c>
      <c r="AT115">
        <v>74</v>
      </c>
      <c r="AU115" t="s">
        <v>119</v>
      </c>
      <c r="AV115">
        <v>16</v>
      </c>
      <c r="AW115" t="s">
        <v>108</v>
      </c>
      <c r="AX115">
        <v>21</v>
      </c>
      <c r="AY115">
        <f t="shared" si="6"/>
        <v>0</v>
      </c>
      <c r="AZ115">
        <f t="shared" si="7"/>
        <v>0</v>
      </c>
      <c r="BA115">
        <v>120</v>
      </c>
      <c r="BB115" t="str">
        <f t="shared" si="8"/>
        <v/>
      </c>
      <c r="BC115" t="str">
        <f t="shared" si="9"/>
        <v/>
      </c>
      <c r="BD115">
        <f t="shared" si="10"/>
        <v>0</v>
      </c>
      <c r="BE115">
        <v>0</v>
      </c>
      <c r="BF115" t="str">
        <f t="shared" si="11"/>
        <v/>
      </c>
    </row>
    <row r="116" spans="1:58" x14ac:dyDescent="0.3">
      <c r="A116">
        <v>646</v>
      </c>
      <c r="B116" s="2">
        <v>45559.439201388886</v>
      </c>
      <c r="C116">
        <v>100000</v>
      </c>
      <c r="D116">
        <v>50000</v>
      </c>
      <c r="E116">
        <v>0</v>
      </c>
      <c r="F116">
        <v>16000</v>
      </c>
      <c r="G116">
        <v>0</v>
      </c>
      <c r="H116">
        <v>0</v>
      </c>
      <c r="I116">
        <v>15000</v>
      </c>
      <c r="J116">
        <v>32000</v>
      </c>
      <c r="K116">
        <v>0</v>
      </c>
      <c r="L116">
        <v>0</v>
      </c>
      <c r="M116">
        <v>0</v>
      </c>
      <c r="N116">
        <v>17000</v>
      </c>
      <c r="O116">
        <v>0</v>
      </c>
      <c r="P116">
        <v>-1</v>
      </c>
      <c r="Q116">
        <v>2</v>
      </c>
      <c r="R116">
        <v>0</v>
      </c>
      <c r="S116">
        <v>0</v>
      </c>
      <c r="T116">
        <v>0</v>
      </c>
      <c r="U116">
        <v>0</v>
      </c>
      <c r="V116">
        <v>6</v>
      </c>
      <c r="W116">
        <v>6</v>
      </c>
      <c r="X116">
        <v>170000</v>
      </c>
      <c r="Y116">
        <v>0</v>
      </c>
      <c r="Z116">
        <v>0</v>
      </c>
      <c r="AA116">
        <v>0</v>
      </c>
      <c r="AB116">
        <v>160000</v>
      </c>
      <c r="AC116">
        <v>160000</v>
      </c>
      <c r="AD116">
        <v>144000</v>
      </c>
      <c r="AG116">
        <v>6</v>
      </c>
      <c r="AH116">
        <v>10</v>
      </c>
      <c r="AI116">
        <v>0</v>
      </c>
      <c r="AJ116">
        <v>0</v>
      </c>
      <c r="AK116">
        <v>2</v>
      </c>
      <c r="AL116">
        <v>0</v>
      </c>
      <c r="AM116" t="s">
        <v>168</v>
      </c>
      <c r="AN116">
        <v>538</v>
      </c>
      <c r="AO116">
        <v>178</v>
      </c>
      <c r="AQ116">
        <v>794</v>
      </c>
      <c r="AS116">
        <v>1</v>
      </c>
      <c r="AT116">
        <v>74</v>
      </c>
      <c r="AU116" t="s">
        <v>119</v>
      </c>
      <c r="AV116">
        <v>16</v>
      </c>
      <c r="AW116" t="s">
        <v>108</v>
      </c>
      <c r="AX116">
        <v>21</v>
      </c>
      <c r="AY116">
        <f t="shared" si="6"/>
        <v>16</v>
      </c>
      <c r="AZ116">
        <f t="shared" si="7"/>
        <v>2</v>
      </c>
      <c r="BA116">
        <v>120</v>
      </c>
      <c r="BB116" t="str">
        <f t="shared" si="8"/>
        <v>(Dike-town)</v>
      </c>
      <c r="BC116">
        <f t="shared" si="9"/>
        <v>1</v>
      </c>
      <c r="BD116">
        <f t="shared" si="10"/>
        <v>0</v>
      </c>
      <c r="BE116">
        <v>32000</v>
      </c>
      <c r="BF116" t="str">
        <f t="shared" si="11"/>
        <v>(Dike-town)</v>
      </c>
    </row>
    <row r="117" spans="1:58" x14ac:dyDescent="0.3">
      <c r="A117">
        <v>695</v>
      </c>
      <c r="B117" s="2">
        <v>45559.439201388886</v>
      </c>
      <c r="C117">
        <v>100000</v>
      </c>
      <c r="D117">
        <v>50000</v>
      </c>
      <c r="E117">
        <v>0</v>
      </c>
      <c r="F117">
        <v>16000</v>
      </c>
      <c r="G117">
        <v>0</v>
      </c>
      <c r="H117">
        <v>0</v>
      </c>
      <c r="I117">
        <v>15000</v>
      </c>
      <c r="J117">
        <v>20000</v>
      </c>
      <c r="K117">
        <v>0</v>
      </c>
      <c r="L117">
        <v>0</v>
      </c>
      <c r="M117">
        <v>0</v>
      </c>
      <c r="N117">
        <v>16000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7</v>
      </c>
      <c r="W117">
        <v>6</v>
      </c>
      <c r="X117">
        <v>170000</v>
      </c>
      <c r="Y117">
        <v>160000</v>
      </c>
      <c r="Z117">
        <v>144000</v>
      </c>
      <c r="AA117">
        <v>0</v>
      </c>
      <c r="AB117">
        <v>0</v>
      </c>
      <c r="AC117">
        <v>160000</v>
      </c>
      <c r="AD117">
        <v>128000</v>
      </c>
      <c r="AG117">
        <v>6</v>
      </c>
      <c r="AH117">
        <v>10</v>
      </c>
      <c r="AI117">
        <v>-2</v>
      </c>
      <c r="AJ117">
        <v>-1</v>
      </c>
      <c r="AK117">
        <v>1</v>
      </c>
      <c r="AL117">
        <v>1</v>
      </c>
      <c r="AM117" t="s">
        <v>168</v>
      </c>
      <c r="AN117">
        <v>538</v>
      </c>
      <c r="AO117">
        <v>185</v>
      </c>
      <c r="AP117">
        <v>794</v>
      </c>
      <c r="AQ117">
        <v>794</v>
      </c>
      <c r="AS117">
        <v>2</v>
      </c>
      <c r="AT117">
        <v>74</v>
      </c>
      <c r="AU117" t="s">
        <v>119</v>
      </c>
      <c r="AV117">
        <v>16</v>
      </c>
      <c r="AW117" t="s">
        <v>108</v>
      </c>
      <c r="AX117">
        <v>21</v>
      </c>
      <c r="AY117">
        <f t="shared" si="6"/>
        <v>16</v>
      </c>
      <c r="AZ117">
        <f t="shared" si="7"/>
        <v>2</v>
      </c>
      <c r="BA117">
        <v>120</v>
      </c>
      <c r="BB117" t="str">
        <f t="shared" si="8"/>
        <v>(Dike-town)</v>
      </c>
      <c r="BC117">
        <f t="shared" si="9"/>
        <v>1</v>
      </c>
      <c r="BD117">
        <f t="shared" si="10"/>
        <v>0</v>
      </c>
      <c r="BE117">
        <v>20000</v>
      </c>
      <c r="BF117" t="str">
        <f t="shared" si="11"/>
        <v>(Dike-town)</v>
      </c>
    </row>
    <row r="118" spans="1:58" x14ac:dyDescent="0.3">
      <c r="A118">
        <v>731</v>
      </c>
      <c r="B118" s="2">
        <v>45559.439201388886</v>
      </c>
      <c r="C118">
        <v>100000</v>
      </c>
      <c r="D118">
        <v>50000</v>
      </c>
      <c r="E118">
        <v>0</v>
      </c>
      <c r="F118">
        <v>16000</v>
      </c>
      <c r="G118">
        <v>0</v>
      </c>
      <c r="H118">
        <v>0</v>
      </c>
      <c r="I118">
        <v>15000</v>
      </c>
      <c r="J118">
        <v>24000</v>
      </c>
      <c r="K118">
        <v>0</v>
      </c>
      <c r="L118">
        <v>0</v>
      </c>
      <c r="M118">
        <v>0</v>
      </c>
      <c r="N118">
        <v>11000</v>
      </c>
      <c r="O118">
        <v>0</v>
      </c>
      <c r="P118">
        <v>0</v>
      </c>
      <c r="Q118">
        <v>0</v>
      </c>
      <c r="R118">
        <v>3</v>
      </c>
      <c r="S118">
        <v>0</v>
      </c>
      <c r="T118">
        <v>0</v>
      </c>
      <c r="U118">
        <v>0</v>
      </c>
      <c r="V118">
        <v>10</v>
      </c>
      <c r="W118">
        <v>6</v>
      </c>
      <c r="X118">
        <v>170000</v>
      </c>
      <c r="Y118">
        <v>160000</v>
      </c>
      <c r="Z118">
        <v>128000</v>
      </c>
      <c r="AA118">
        <v>0</v>
      </c>
      <c r="AB118">
        <v>0</v>
      </c>
      <c r="AC118">
        <v>160000</v>
      </c>
      <c r="AD118">
        <v>112000</v>
      </c>
      <c r="AG118">
        <v>6</v>
      </c>
      <c r="AH118">
        <v>10</v>
      </c>
      <c r="AI118">
        <v>-2</v>
      </c>
      <c r="AJ118">
        <v>-1</v>
      </c>
      <c r="AK118">
        <v>0</v>
      </c>
      <c r="AL118">
        <v>0</v>
      </c>
      <c r="AM118" t="s">
        <v>168</v>
      </c>
      <c r="AN118">
        <v>538</v>
      </c>
      <c r="AO118">
        <v>189</v>
      </c>
      <c r="AP118">
        <v>794</v>
      </c>
      <c r="AQ118">
        <v>794</v>
      </c>
      <c r="AS118">
        <v>3</v>
      </c>
      <c r="AT118">
        <v>74</v>
      </c>
      <c r="AU118" t="s">
        <v>119</v>
      </c>
      <c r="AV118">
        <v>16</v>
      </c>
      <c r="AW118" t="s">
        <v>108</v>
      </c>
      <c r="AX118">
        <v>21</v>
      </c>
      <c r="AY118">
        <f t="shared" si="6"/>
        <v>16</v>
      </c>
      <c r="AZ118">
        <f t="shared" si="7"/>
        <v>0</v>
      </c>
      <c r="BA118">
        <v>120</v>
      </c>
      <c r="BB118" t="str">
        <f t="shared" si="8"/>
        <v>(Dike-town)</v>
      </c>
      <c r="BC118">
        <f t="shared" si="9"/>
        <v>3</v>
      </c>
      <c r="BD118">
        <f t="shared" si="10"/>
        <v>0</v>
      </c>
      <c r="BE118">
        <v>24000</v>
      </c>
      <c r="BF118" t="str">
        <f t="shared" si="11"/>
        <v>(Dike-town)</v>
      </c>
    </row>
    <row r="119" spans="1:58" x14ac:dyDescent="0.3">
      <c r="A119">
        <v>621</v>
      </c>
      <c r="B119" s="2">
        <v>45559.439398148148</v>
      </c>
      <c r="C119">
        <v>100000</v>
      </c>
      <c r="D119">
        <v>50000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30000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5</v>
      </c>
      <c r="W119">
        <v>6</v>
      </c>
      <c r="X119">
        <v>170000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t="s">
        <v>134</v>
      </c>
      <c r="AN119">
        <v>539</v>
      </c>
      <c r="AO119">
        <v>171</v>
      </c>
      <c r="AS119">
        <v>0</v>
      </c>
      <c r="AT119">
        <v>74</v>
      </c>
      <c r="AU119" t="s">
        <v>119</v>
      </c>
      <c r="AV119">
        <v>16</v>
      </c>
      <c r="AW119" t="s">
        <v>108</v>
      </c>
      <c r="AX119">
        <v>21</v>
      </c>
      <c r="AY119">
        <f t="shared" si="6"/>
        <v>0</v>
      </c>
      <c r="AZ119">
        <f t="shared" si="7"/>
        <v>0</v>
      </c>
      <c r="BA119">
        <v>120</v>
      </c>
      <c r="BB119" t="str">
        <f t="shared" si="8"/>
        <v/>
      </c>
      <c r="BC119" t="str">
        <f t="shared" si="9"/>
        <v/>
      </c>
      <c r="BD119">
        <f t="shared" si="10"/>
        <v>0</v>
      </c>
      <c r="BE119">
        <v>0</v>
      </c>
      <c r="BF119" t="str">
        <f t="shared" si="11"/>
        <v/>
      </c>
    </row>
    <row r="120" spans="1:58" x14ac:dyDescent="0.3">
      <c r="A120">
        <v>647</v>
      </c>
      <c r="B120" s="2">
        <v>45559.439398148148</v>
      </c>
      <c r="C120">
        <v>100000</v>
      </c>
      <c r="D120">
        <v>50000</v>
      </c>
      <c r="E120">
        <v>0</v>
      </c>
      <c r="F120">
        <v>8000</v>
      </c>
      <c r="G120">
        <v>0</v>
      </c>
      <c r="H120">
        <v>0</v>
      </c>
      <c r="I120">
        <v>15000</v>
      </c>
      <c r="J120">
        <v>48000</v>
      </c>
      <c r="K120">
        <v>0</v>
      </c>
      <c r="L120">
        <v>0</v>
      </c>
      <c r="M120">
        <v>0</v>
      </c>
      <c r="N120">
        <v>9000</v>
      </c>
      <c r="O120">
        <v>0</v>
      </c>
      <c r="P120">
        <v>-4</v>
      </c>
      <c r="Q120">
        <v>2</v>
      </c>
      <c r="R120">
        <v>2</v>
      </c>
      <c r="S120">
        <v>0</v>
      </c>
      <c r="T120">
        <v>0</v>
      </c>
      <c r="U120">
        <v>0</v>
      </c>
      <c r="V120">
        <v>5</v>
      </c>
      <c r="W120">
        <v>6</v>
      </c>
      <c r="X120">
        <v>170000</v>
      </c>
      <c r="Y120">
        <v>0</v>
      </c>
      <c r="Z120">
        <v>0</v>
      </c>
      <c r="AA120">
        <v>0</v>
      </c>
      <c r="AB120">
        <v>80000</v>
      </c>
      <c r="AC120">
        <v>80000</v>
      </c>
      <c r="AD120">
        <v>72000</v>
      </c>
      <c r="AG120">
        <v>6</v>
      </c>
      <c r="AH120">
        <v>10</v>
      </c>
      <c r="AI120">
        <v>0</v>
      </c>
      <c r="AJ120">
        <v>0</v>
      </c>
      <c r="AK120">
        <v>2</v>
      </c>
      <c r="AL120">
        <v>1</v>
      </c>
      <c r="AM120" t="s">
        <v>168</v>
      </c>
      <c r="AN120">
        <v>539</v>
      </c>
      <c r="AO120">
        <v>178</v>
      </c>
      <c r="AQ120">
        <v>795</v>
      </c>
      <c r="AS120">
        <v>1</v>
      </c>
      <c r="AT120">
        <v>74</v>
      </c>
      <c r="AU120" t="s">
        <v>119</v>
      </c>
      <c r="AV120">
        <v>16</v>
      </c>
      <c r="AW120" t="s">
        <v>108</v>
      </c>
      <c r="AX120">
        <v>21</v>
      </c>
      <c r="AY120">
        <f t="shared" si="6"/>
        <v>16</v>
      </c>
      <c r="AZ120">
        <f t="shared" si="7"/>
        <v>3</v>
      </c>
      <c r="BA120">
        <v>120</v>
      </c>
      <c r="BB120" t="str">
        <f t="shared" si="8"/>
        <v>(Dike-town)</v>
      </c>
      <c r="BC120">
        <f t="shared" si="9"/>
        <v>0</v>
      </c>
      <c r="BD120">
        <f t="shared" si="10"/>
        <v>0</v>
      </c>
      <c r="BE120">
        <v>48000</v>
      </c>
      <c r="BF120" t="str">
        <f t="shared" si="11"/>
        <v>(Dike-town)</v>
      </c>
    </row>
    <row r="121" spans="1:58" x14ac:dyDescent="0.3">
      <c r="A121">
        <v>697</v>
      </c>
      <c r="B121" s="2">
        <v>45559.439398148148</v>
      </c>
      <c r="C121">
        <v>100000</v>
      </c>
      <c r="D121">
        <v>50000</v>
      </c>
      <c r="E121">
        <v>0</v>
      </c>
      <c r="F121">
        <v>8000</v>
      </c>
      <c r="G121">
        <v>0</v>
      </c>
      <c r="H121">
        <v>0</v>
      </c>
      <c r="I121">
        <v>15000</v>
      </c>
      <c r="J121">
        <v>20000</v>
      </c>
      <c r="K121">
        <v>0</v>
      </c>
      <c r="L121">
        <v>0</v>
      </c>
      <c r="M121">
        <v>0</v>
      </c>
      <c r="N121">
        <v>16000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6</v>
      </c>
      <c r="W121">
        <v>6</v>
      </c>
      <c r="X121">
        <v>170000</v>
      </c>
      <c r="Y121">
        <v>80000</v>
      </c>
      <c r="Z121">
        <v>72000</v>
      </c>
      <c r="AA121">
        <v>0</v>
      </c>
      <c r="AB121">
        <v>0</v>
      </c>
      <c r="AC121">
        <v>80000</v>
      </c>
      <c r="AD121">
        <v>64000</v>
      </c>
      <c r="AG121">
        <v>6</v>
      </c>
      <c r="AH121">
        <v>10</v>
      </c>
      <c r="AI121">
        <v>-2</v>
      </c>
      <c r="AJ121">
        <v>-1</v>
      </c>
      <c r="AK121">
        <v>1</v>
      </c>
      <c r="AL121">
        <v>0</v>
      </c>
      <c r="AM121" t="s">
        <v>168</v>
      </c>
      <c r="AN121">
        <v>539</v>
      </c>
      <c r="AO121">
        <v>185</v>
      </c>
      <c r="AP121">
        <v>795</v>
      </c>
      <c r="AQ121">
        <v>795</v>
      </c>
      <c r="AS121">
        <v>2</v>
      </c>
      <c r="AT121">
        <v>74</v>
      </c>
      <c r="AU121" t="s">
        <v>119</v>
      </c>
      <c r="AV121">
        <v>16</v>
      </c>
      <c r="AW121" t="s">
        <v>108</v>
      </c>
      <c r="AX121">
        <v>21</v>
      </c>
      <c r="AY121">
        <f t="shared" si="6"/>
        <v>16</v>
      </c>
      <c r="AZ121">
        <f t="shared" si="7"/>
        <v>1</v>
      </c>
      <c r="BA121">
        <v>120</v>
      </c>
      <c r="BB121" t="str">
        <f t="shared" si="8"/>
        <v>(Dike-town)</v>
      </c>
      <c r="BC121">
        <f t="shared" si="9"/>
        <v>1</v>
      </c>
      <c r="BD121">
        <f t="shared" si="10"/>
        <v>0</v>
      </c>
      <c r="BE121">
        <v>20000</v>
      </c>
      <c r="BF121" t="str">
        <f t="shared" si="11"/>
        <v>(Dike-town)</v>
      </c>
    </row>
    <row r="122" spans="1:58" x14ac:dyDescent="0.3">
      <c r="A122">
        <v>730</v>
      </c>
      <c r="B122" s="2">
        <v>45559.439398148148</v>
      </c>
      <c r="C122">
        <v>100000</v>
      </c>
      <c r="D122">
        <v>50000</v>
      </c>
      <c r="E122">
        <v>0</v>
      </c>
      <c r="F122">
        <v>8000</v>
      </c>
      <c r="G122">
        <v>0</v>
      </c>
      <c r="H122">
        <v>0</v>
      </c>
      <c r="I122">
        <v>15000</v>
      </c>
      <c r="J122">
        <v>26000</v>
      </c>
      <c r="K122">
        <v>0</v>
      </c>
      <c r="L122">
        <v>0</v>
      </c>
      <c r="M122">
        <v>0</v>
      </c>
      <c r="N122">
        <v>17000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0</v>
      </c>
      <c r="V122">
        <v>8</v>
      </c>
      <c r="W122">
        <v>6</v>
      </c>
      <c r="X122">
        <v>170000</v>
      </c>
      <c r="Y122">
        <v>80000</v>
      </c>
      <c r="Z122">
        <v>64000</v>
      </c>
      <c r="AA122">
        <v>0</v>
      </c>
      <c r="AB122">
        <v>0</v>
      </c>
      <c r="AC122">
        <v>80000</v>
      </c>
      <c r="AD122">
        <v>56000</v>
      </c>
      <c r="AG122">
        <v>6</v>
      </c>
      <c r="AH122">
        <v>10</v>
      </c>
      <c r="AI122">
        <v>-2</v>
      </c>
      <c r="AJ122">
        <v>-1</v>
      </c>
      <c r="AK122">
        <v>1</v>
      </c>
      <c r="AL122">
        <v>1</v>
      </c>
      <c r="AM122" t="s">
        <v>168</v>
      </c>
      <c r="AN122">
        <v>539</v>
      </c>
      <c r="AO122">
        <v>189</v>
      </c>
      <c r="AP122">
        <v>795</v>
      </c>
      <c r="AQ122">
        <v>795</v>
      </c>
      <c r="AS122">
        <v>3</v>
      </c>
      <c r="AT122">
        <v>74</v>
      </c>
      <c r="AU122" t="s">
        <v>119</v>
      </c>
      <c r="AV122">
        <v>16</v>
      </c>
      <c r="AW122" t="s">
        <v>108</v>
      </c>
      <c r="AX122">
        <v>21</v>
      </c>
      <c r="AY122">
        <f t="shared" si="6"/>
        <v>16</v>
      </c>
      <c r="AZ122">
        <f t="shared" si="7"/>
        <v>2</v>
      </c>
      <c r="BA122">
        <v>120</v>
      </c>
      <c r="BB122" t="str">
        <f t="shared" si="8"/>
        <v>(Dike-town)</v>
      </c>
      <c r="BC122">
        <f t="shared" si="9"/>
        <v>2</v>
      </c>
      <c r="BD122">
        <f t="shared" si="10"/>
        <v>0</v>
      </c>
      <c r="BE122">
        <v>26000</v>
      </c>
      <c r="BF122" t="str">
        <f t="shared" si="11"/>
        <v>(Dike-town)</v>
      </c>
    </row>
    <row r="123" spans="1:58" x14ac:dyDescent="0.3">
      <c r="A123">
        <v>587</v>
      </c>
      <c r="B123" s="2">
        <v>45559.436284722222</v>
      </c>
      <c r="C123">
        <v>65000</v>
      </c>
      <c r="D123">
        <v>30000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5000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4</v>
      </c>
      <c r="X123">
        <v>110000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t="s">
        <v>134</v>
      </c>
      <c r="AN123">
        <v>540</v>
      </c>
      <c r="AO123">
        <v>172</v>
      </c>
      <c r="AS123">
        <v>0</v>
      </c>
      <c r="AT123">
        <v>75</v>
      </c>
      <c r="AU123" t="s">
        <v>120</v>
      </c>
      <c r="AV123">
        <v>16</v>
      </c>
      <c r="AW123" t="s">
        <v>108</v>
      </c>
      <c r="AX123">
        <v>21</v>
      </c>
      <c r="AY123">
        <f t="shared" si="6"/>
        <v>0</v>
      </c>
      <c r="AZ123">
        <f t="shared" si="7"/>
        <v>0</v>
      </c>
      <c r="BA123">
        <v>118</v>
      </c>
      <c r="BB123" t="str">
        <f t="shared" si="8"/>
        <v/>
      </c>
      <c r="BC123" t="str">
        <f t="shared" si="9"/>
        <v/>
      </c>
      <c r="BD123">
        <f t="shared" si="10"/>
        <v>0</v>
      </c>
      <c r="BE123">
        <v>0</v>
      </c>
      <c r="BF123" t="str">
        <f t="shared" si="11"/>
        <v/>
      </c>
    </row>
    <row r="124" spans="1:58" x14ac:dyDescent="0.3">
      <c r="A124">
        <v>659</v>
      </c>
      <c r="B124" s="2">
        <v>45559.436284722222</v>
      </c>
      <c r="C124">
        <v>65000</v>
      </c>
      <c r="D124">
        <v>30000</v>
      </c>
      <c r="E124">
        <v>0</v>
      </c>
      <c r="F124">
        <v>11000</v>
      </c>
      <c r="G124">
        <v>0</v>
      </c>
      <c r="H124">
        <v>0</v>
      </c>
      <c r="I124">
        <v>20000</v>
      </c>
      <c r="J124">
        <v>9000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-1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4</v>
      </c>
      <c r="X124">
        <v>110000</v>
      </c>
      <c r="Y124">
        <v>0</v>
      </c>
      <c r="Z124">
        <v>0</v>
      </c>
      <c r="AA124">
        <v>0</v>
      </c>
      <c r="AB124">
        <v>110000</v>
      </c>
      <c r="AC124">
        <v>110000</v>
      </c>
      <c r="AD124">
        <v>99000</v>
      </c>
      <c r="AG124">
        <v>8</v>
      </c>
      <c r="AH124">
        <v>10</v>
      </c>
      <c r="AI124">
        <v>0</v>
      </c>
      <c r="AJ124">
        <v>0</v>
      </c>
      <c r="AK124">
        <v>1</v>
      </c>
      <c r="AL124">
        <v>1</v>
      </c>
      <c r="AM124" t="s">
        <v>168</v>
      </c>
      <c r="AN124">
        <v>540</v>
      </c>
      <c r="AO124">
        <v>180</v>
      </c>
      <c r="AQ124">
        <v>811</v>
      </c>
      <c r="AS124">
        <v>1</v>
      </c>
      <c r="AT124">
        <v>75</v>
      </c>
      <c r="AU124" t="s">
        <v>120</v>
      </c>
      <c r="AV124">
        <v>16</v>
      </c>
      <c r="AW124" t="s">
        <v>108</v>
      </c>
      <c r="AX124">
        <v>21</v>
      </c>
      <c r="AY124">
        <f t="shared" si="6"/>
        <v>18</v>
      </c>
      <c r="AZ124">
        <f t="shared" si="7"/>
        <v>2</v>
      </c>
      <c r="BA124">
        <v>118</v>
      </c>
      <c r="BB124" t="str">
        <f t="shared" si="8"/>
        <v>(Natu-city)</v>
      </c>
      <c r="BC124">
        <f t="shared" si="9"/>
        <v>-1</v>
      </c>
      <c r="BD124">
        <f t="shared" si="10"/>
        <v>0</v>
      </c>
      <c r="BE124">
        <v>9000</v>
      </c>
      <c r="BF124" t="str">
        <f t="shared" si="11"/>
        <v>(Natu-city)</v>
      </c>
    </row>
    <row r="125" spans="1:58" x14ac:dyDescent="0.3">
      <c r="A125">
        <v>689</v>
      </c>
      <c r="B125" s="2">
        <v>45559.436284722222</v>
      </c>
      <c r="C125">
        <v>65000</v>
      </c>
      <c r="D125">
        <v>30000</v>
      </c>
      <c r="E125">
        <v>0</v>
      </c>
      <c r="F125">
        <v>11000</v>
      </c>
      <c r="G125">
        <v>0</v>
      </c>
      <c r="H125">
        <v>0</v>
      </c>
      <c r="I125">
        <v>20000</v>
      </c>
      <c r="J125">
        <v>0</v>
      </c>
      <c r="K125">
        <v>0</v>
      </c>
      <c r="L125">
        <v>4000</v>
      </c>
      <c r="M125">
        <v>4000</v>
      </c>
      <c r="N125">
        <v>-4000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0</v>
      </c>
      <c r="V125">
        <v>1</v>
      </c>
      <c r="W125">
        <v>4</v>
      </c>
      <c r="X125">
        <v>110000</v>
      </c>
      <c r="Y125">
        <v>110000</v>
      </c>
      <c r="Z125">
        <v>99000</v>
      </c>
      <c r="AA125">
        <v>0</v>
      </c>
      <c r="AB125">
        <v>0</v>
      </c>
      <c r="AC125">
        <v>110000</v>
      </c>
      <c r="AD125">
        <v>88000</v>
      </c>
      <c r="AG125">
        <v>8</v>
      </c>
      <c r="AH125">
        <v>10</v>
      </c>
      <c r="AI125">
        <v>-2</v>
      </c>
      <c r="AJ125">
        <v>-1</v>
      </c>
      <c r="AK125">
        <v>0</v>
      </c>
      <c r="AL125">
        <v>0</v>
      </c>
      <c r="AM125" t="s">
        <v>168</v>
      </c>
      <c r="AN125">
        <v>540</v>
      </c>
      <c r="AO125">
        <v>184</v>
      </c>
      <c r="AP125">
        <v>811</v>
      </c>
      <c r="AQ125">
        <v>811</v>
      </c>
      <c r="AS125">
        <v>2</v>
      </c>
      <c r="AT125">
        <v>75</v>
      </c>
      <c r="AU125" t="s">
        <v>120</v>
      </c>
      <c r="AV125">
        <v>16</v>
      </c>
      <c r="AW125" t="s">
        <v>108</v>
      </c>
      <c r="AX125">
        <v>21</v>
      </c>
      <c r="AY125">
        <f t="shared" si="6"/>
        <v>18</v>
      </c>
      <c r="AZ125">
        <f t="shared" si="7"/>
        <v>0</v>
      </c>
      <c r="BA125">
        <v>118</v>
      </c>
      <c r="BB125" t="str">
        <f t="shared" si="8"/>
        <v>(Natu-city)</v>
      </c>
      <c r="BC125">
        <f t="shared" si="9"/>
        <v>-3</v>
      </c>
      <c r="BD125">
        <f t="shared" si="10"/>
        <v>8000</v>
      </c>
      <c r="BE125">
        <v>0</v>
      </c>
      <c r="BF125" t="str">
        <f t="shared" si="11"/>
        <v>(Natu-city)</v>
      </c>
    </row>
    <row r="126" spans="1:58" x14ac:dyDescent="0.3">
      <c r="A126">
        <v>736</v>
      </c>
      <c r="B126" s="2">
        <v>45559.436284722222</v>
      </c>
      <c r="C126">
        <v>65000</v>
      </c>
      <c r="D126">
        <v>30000</v>
      </c>
      <c r="E126">
        <v>4000</v>
      </c>
      <c r="F126">
        <v>11000</v>
      </c>
      <c r="G126">
        <v>0</v>
      </c>
      <c r="H126">
        <v>0</v>
      </c>
      <c r="I126">
        <v>25000</v>
      </c>
      <c r="J126">
        <v>0</v>
      </c>
      <c r="K126">
        <v>0</v>
      </c>
      <c r="L126">
        <v>0</v>
      </c>
      <c r="M126">
        <v>0</v>
      </c>
      <c r="N126">
        <v>-5000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4</v>
      </c>
      <c r="X126">
        <v>110000</v>
      </c>
      <c r="Y126">
        <v>110000</v>
      </c>
      <c r="Z126">
        <v>88000</v>
      </c>
      <c r="AA126">
        <v>0</v>
      </c>
      <c r="AB126">
        <v>0</v>
      </c>
      <c r="AC126">
        <v>110000</v>
      </c>
      <c r="AD126">
        <v>77000</v>
      </c>
      <c r="AG126">
        <v>8</v>
      </c>
      <c r="AH126">
        <v>10</v>
      </c>
      <c r="AI126">
        <v>-2</v>
      </c>
      <c r="AJ126">
        <v>-1</v>
      </c>
      <c r="AK126">
        <v>0</v>
      </c>
      <c r="AL126">
        <v>0</v>
      </c>
      <c r="AM126" t="s">
        <v>168</v>
      </c>
      <c r="AN126">
        <v>540</v>
      </c>
      <c r="AO126">
        <v>190</v>
      </c>
      <c r="AP126">
        <v>811</v>
      </c>
      <c r="AQ126">
        <v>811</v>
      </c>
      <c r="AS126">
        <v>3</v>
      </c>
      <c r="AT126">
        <v>75</v>
      </c>
      <c r="AU126" t="s">
        <v>120</v>
      </c>
      <c r="AV126">
        <v>16</v>
      </c>
      <c r="AW126" t="s">
        <v>108</v>
      </c>
      <c r="AX126">
        <v>21</v>
      </c>
      <c r="AY126">
        <f t="shared" si="6"/>
        <v>18</v>
      </c>
      <c r="AZ126">
        <f t="shared" si="7"/>
        <v>0</v>
      </c>
      <c r="BA126">
        <v>118</v>
      </c>
      <c r="BB126" t="str">
        <f t="shared" si="8"/>
        <v>(Natu-city)</v>
      </c>
      <c r="BC126">
        <f t="shared" si="9"/>
        <v>-1</v>
      </c>
      <c r="BD126">
        <f t="shared" si="10"/>
        <v>0</v>
      </c>
      <c r="BE126">
        <v>0</v>
      </c>
      <c r="BF126" t="str">
        <f t="shared" si="11"/>
        <v>(Natu-city)</v>
      </c>
    </row>
    <row r="127" spans="1:58" x14ac:dyDescent="0.3">
      <c r="A127">
        <v>589</v>
      </c>
      <c r="B127" s="2">
        <v>45559.436736111107</v>
      </c>
      <c r="C127">
        <v>100000</v>
      </c>
      <c r="D127">
        <v>50000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30000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</v>
      </c>
      <c r="W127">
        <v>6</v>
      </c>
      <c r="X127">
        <v>170000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t="s">
        <v>134</v>
      </c>
      <c r="AN127">
        <v>541</v>
      </c>
      <c r="AO127">
        <v>172</v>
      </c>
      <c r="AS127">
        <v>0</v>
      </c>
      <c r="AT127">
        <v>75</v>
      </c>
      <c r="AU127" t="s">
        <v>120</v>
      </c>
      <c r="AV127">
        <v>16</v>
      </c>
      <c r="AW127" t="s">
        <v>108</v>
      </c>
      <c r="AX127">
        <v>21</v>
      </c>
      <c r="AY127">
        <f t="shared" si="6"/>
        <v>0</v>
      </c>
      <c r="AZ127">
        <f t="shared" si="7"/>
        <v>0</v>
      </c>
      <c r="BA127">
        <v>120</v>
      </c>
      <c r="BB127" t="str">
        <f t="shared" si="8"/>
        <v/>
      </c>
      <c r="BC127" t="str">
        <f t="shared" si="9"/>
        <v/>
      </c>
      <c r="BD127">
        <f t="shared" si="10"/>
        <v>0</v>
      </c>
      <c r="BE127">
        <v>0</v>
      </c>
      <c r="BF127" t="str">
        <f t="shared" si="11"/>
        <v/>
      </c>
    </row>
    <row r="128" spans="1:58" x14ac:dyDescent="0.3">
      <c r="A128">
        <v>657</v>
      </c>
      <c r="B128" s="2">
        <v>45559.436736111107</v>
      </c>
      <c r="C128">
        <v>100000</v>
      </c>
      <c r="D128">
        <v>50000</v>
      </c>
      <c r="E128">
        <v>0</v>
      </c>
      <c r="F128">
        <v>16000</v>
      </c>
      <c r="G128">
        <v>0</v>
      </c>
      <c r="H128">
        <v>0</v>
      </c>
      <c r="I128">
        <v>15000</v>
      </c>
      <c r="J128">
        <v>26000</v>
      </c>
      <c r="K128">
        <v>0</v>
      </c>
      <c r="L128">
        <v>0</v>
      </c>
      <c r="M128">
        <v>0</v>
      </c>
      <c r="N128">
        <v>23000</v>
      </c>
      <c r="O128">
        <v>0</v>
      </c>
      <c r="P128">
        <v>-1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5</v>
      </c>
      <c r="W128">
        <v>6</v>
      </c>
      <c r="X128">
        <v>170000</v>
      </c>
      <c r="Y128">
        <v>0</v>
      </c>
      <c r="Z128">
        <v>0</v>
      </c>
      <c r="AA128">
        <v>0</v>
      </c>
      <c r="AB128">
        <v>160000</v>
      </c>
      <c r="AC128">
        <v>160000</v>
      </c>
      <c r="AD128">
        <v>144000</v>
      </c>
      <c r="AG128">
        <v>6</v>
      </c>
      <c r="AH128">
        <v>10</v>
      </c>
      <c r="AI128">
        <v>0</v>
      </c>
      <c r="AJ128">
        <v>0</v>
      </c>
      <c r="AK128">
        <v>2</v>
      </c>
      <c r="AL128">
        <v>0</v>
      </c>
      <c r="AM128" t="s">
        <v>168</v>
      </c>
      <c r="AN128">
        <v>541</v>
      </c>
      <c r="AO128">
        <v>180</v>
      </c>
      <c r="AQ128">
        <v>814</v>
      </c>
      <c r="AS128">
        <v>1</v>
      </c>
      <c r="AT128">
        <v>75</v>
      </c>
      <c r="AU128" t="s">
        <v>120</v>
      </c>
      <c r="AV128">
        <v>16</v>
      </c>
      <c r="AW128" t="s">
        <v>108</v>
      </c>
      <c r="AX128">
        <v>21</v>
      </c>
      <c r="AY128">
        <f t="shared" si="6"/>
        <v>16</v>
      </c>
      <c r="AZ128">
        <f t="shared" si="7"/>
        <v>2</v>
      </c>
      <c r="BA128">
        <v>120</v>
      </c>
      <c r="BB128" t="str">
        <f t="shared" si="8"/>
        <v>(Dike-town)</v>
      </c>
      <c r="BC128">
        <f t="shared" si="9"/>
        <v>0</v>
      </c>
      <c r="BD128">
        <f t="shared" si="10"/>
        <v>0</v>
      </c>
      <c r="BE128">
        <v>26000</v>
      </c>
      <c r="BF128" t="str">
        <f t="shared" si="11"/>
        <v>(Dike-town)</v>
      </c>
    </row>
    <row r="129" spans="1:58" x14ac:dyDescent="0.3">
      <c r="A129">
        <v>691</v>
      </c>
      <c r="B129" s="2">
        <v>45559.436736111107</v>
      </c>
      <c r="C129">
        <v>100000</v>
      </c>
      <c r="D129">
        <v>50000</v>
      </c>
      <c r="E129">
        <v>0</v>
      </c>
      <c r="F129">
        <v>16000</v>
      </c>
      <c r="G129">
        <v>0</v>
      </c>
      <c r="H129">
        <v>0</v>
      </c>
      <c r="I129">
        <v>15000</v>
      </c>
      <c r="J129">
        <v>15000</v>
      </c>
      <c r="K129">
        <v>0</v>
      </c>
      <c r="L129">
        <v>0</v>
      </c>
      <c r="M129">
        <v>4000</v>
      </c>
      <c r="N129">
        <v>23000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3</v>
      </c>
      <c r="W129">
        <v>6</v>
      </c>
      <c r="X129">
        <v>170000</v>
      </c>
      <c r="Y129">
        <v>160000</v>
      </c>
      <c r="Z129">
        <v>144000</v>
      </c>
      <c r="AA129">
        <v>0</v>
      </c>
      <c r="AB129">
        <v>0</v>
      </c>
      <c r="AC129">
        <v>160000</v>
      </c>
      <c r="AD129">
        <v>128000</v>
      </c>
      <c r="AG129">
        <v>6</v>
      </c>
      <c r="AH129">
        <v>10</v>
      </c>
      <c r="AI129">
        <v>-2</v>
      </c>
      <c r="AJ129">
        <v>-1</v>
      </c>
      <c r="AK129">
        <v>1</v>
      </c>
      <c r="AL129">
        <v>2</v>
      </c>
      <c r="AM129" t="s">
        <v>168</v>
      </c>
      <c r="AN129">
        <v>541</v>
      </c>
      <c r="AO129">
        <v>184</v>
      </c>
      <c r="AP129">
        <v>814</v>
      </c>
      <c r="AQ129">
        <v>814</v>
      </c>
      <c r="AS129">
        <v>2</v>
      </c>
      <c r="AT129">
        <v>75</v>
      </c>
      <c r="AU129" t="s">
        <v>120</v>
      </c>
      <c r="AV129">
        <v>16</v>
      </c>
      <c r="AW129" t="s">
        <v>108</v>
      </c>
      <c r="AX129">
        <v>21</v>
      </c>
      <c r="AY129">
        <f t="shared" si="6"/>
        <v>16</v>
      </c>
      <c r="AZ129">
        <f t="shared" si="7"/>
        <v>3</v>
      </c>
      <c r="BA129">
        <v>120</v>
      </c>
      <c r="BB129" t="str">
        <f t="shared" si="8"/>
        <v>(Dike-town)</v>
      </c>
      <c r="BC129">
        <f t="shared" si="9"/>
        <v>-2</v>
      </c>
      <c r="BD129">
        <f t="shared" si="10"/>
        <v>4000</v>
      </c>
      <c r="BE129">
        <v>15000</v>
      </c>
      <c r="BF129" t="str">
        <f t="shared" si="11"/>
        <v>(Dike-town)</v>
      </c>
    </row>
    <row r="130" spans="1:58" x14ac:dyDescent="0.3">
      <c r="A130">
        <v>738</v>
      </c>
      <c r="B130" s="2">
        <v>45559.436736111107</v>
      </c>
      <c r="C130">
        <v>100000</v>
      </c>
      <c r="D130">
        <v>50000</v>
      </c>
      <c r="E130">
        <v>0</v>
      </c>
      <c r="F130">
        <v>16000</v>
      </c>
      <c r="G130">
        <v>0</v>
      </c>
      <c r="H130">
        <v>0</v>
      </c>
      <c r="I130">
        <v>15000</v>
      </c>
      <c r="J130">
        <v>20000</v>
      </c>
      <c r="K130">
        <v>0</v>
      </c>
      <c r="L130">
        <v>0</v>
      </c>
      <c r="M130">
        <v>0</v>
      </c>
      <c r="N130">
        <v>22000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4</v>
      </c>
      <c r="W130">
        <v>6</v>
      </c>
      <c r="X130">
        <v>170000</v>
      </c>
      <c r="Y130">
        <v>160000</v>
      </c>
      <c r="Z130">
        <v>128000</v>
      </c>
      <c r="AA130">
        <v>0</v>
      </c>
      <c r="AB130">
        <v>0</v>
      </c>
      <c r="AC130">
        <v>160000</v>
      </c>
      <c r="AD130">
        <v>112000</v>
      </c>
      <c r="AG130">
        <v>6</v>
      </c>
      <c r="AH130">
        <v>10</v>
      </c>
      <c r="AI130">
        <v>-2</v>
      </c>
      <c r="AJ130">
        <v>-1</v>
      </c>
      <c r="AK130">
        <v>1</v>
      </c>
      <c r="AL130">
        <v>1</v>
      </c>
      <c r="AM130" t="s">
        <v>168</v>
      </c>
      <c r="AN130">
        <v>541</v>
      </c>
      <c r="AO130">
        <v>190</v>
      </c>
      <c r="AP130">
        <v>814</v>
      </c>
      <c r="AQ130">
        <v>814</v>
      </c>
      <c r="AS130">
        <v>3</v>
      </c>
      <c r="AT130">
        <v>75</v>
      </c>
      <c r="AU130" t="s">
        <v>120</v>
      </c>
      <c r="AV130">
        <v>16</v>
      </c>
      <c r="AW130" t="s">
        <v>108</v>
      </c>
      <c r="AX130">
        <v>21</v>
      </c>
      <c r="AY130">
        <f t="shared" si="6"/>
        <v>16</v>
      </c>
      <c r="AZ130">
        <f t="shared" si="7"/>
        <v>2</v>
      </c>
      <c r="BA130">
        <v>120</v>
      </c>
      <c r="BB130" t="str">
        <f t="shared" si="8"/>
        <v>(Dike-town)</v>
      </c>
      <c r="BC130">
        <f t="shared" si="9"/>
        <v>1</v>
      </c>
      <c r="BD130">
        <f t="shared" si="10"/>
        <v>0</v>
      </c>
      <c r="BE130">
        <v>20000</v>
      </c>
      <c r="BF130" t="str">
        <f t="shared" si="11"/>
        <v>(Dike-town)</v>
      </c>
    </row>
    <row r="131" spans="1:58" x14ac:dyDescent="0.3">
      <c r="A131">
        <v>601</v>
      </c>
      <c r="B131" s="2">
        <v>45559.43813657407</v>
      </c>
      <c r="C131">
        <v>50000</v>
      </c>
      <c r="D131">
        <v>20000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</v>
      </c>
      <c r="W131">
        <v>3</v>
      </c>
      <c r="X131">
        <v>80000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t="s">
        <v>134</v>
      </c>
      <c r="AN131">
        <v>542</v>
      </c>
      <c r="AO131">
        <v>172</v>
      </c>
      <c r="AS131">
        <v>0</v>
      </c>
      <c r="AT131">
        <v>75</v>
      </c>
      <c r="AU131" t="s">
        <v>120</v>
      </c>
      <c r="AV131">
        <v>16</v>
      </c>
      <c r="AW131" t="s">
        <v>108</v>
      </c>
      <c r="AX131">
        <v>21</v>
      </c>
      <c r="AY131">
        <f t="shared" ref="AY131:AY194" si="12">AG131+AH131</f>
        <v>0</v>
      </c>
      <c r="AZ131">
        <f t="shared" ref="AZ131:AZ194" si="13">AK131+AL131</f>
        <v>0</v>
      </c>
      <c r="BA131">
        <v>117</v>
      </c>
      <c r="BB131" t="str">
        <f t="shared" ref="BB131:BB194" si="14">IF(AY131=15,"(U-village)",IF(AY131=16,"(Dike-town)",IF(AY131=18,"(Natu-city)","")))</f>
        <v/>
      </c>
      <c r="BC131" t="str">
        <f t="shared" ref="BC131:BC194" si="15">IF(AN131=AN130,V131-V130,"")</f>
        <v/>
      </c>
      <c r="BD131">
        <f t="shared" ref="BD131:BD194" si="16">L131+M131</f>
        <v>0</v>
      </c>
      <c r="BE131">
        <v>0</v>
      </c>
      <c r="BF131" t="str">
        <f t="shared" ref="BF131:BF194" si="17">IF(AY131=15,"(U-village)",IF(AY131=16,"(Dike-town)",IF(AY131=18,"(Natu-city)","")))</f>
        <v/>
      </c>
    </row>
    <row r="132" spans="1:58" x14ac:dyDescent="0.3">
      <c r="A132">
        <v>661</v>
      </c>
      <c r="B132" s="2">
        <v>45559.43813657407</v>
      </c>
      <c r="C132">
        <v>50000</v>
      </c>
      <c r="D132">
        <v>20000</v>
      </c>
      <c r="E132">
        <v>0</v>
      </c>
      <c r="F132">
        <v>7000</v>
      </c>
      <c r="G132">
        <v>0</v>
      </c>
      <c r="H132">
        <v>0</v>
      </c>
      <c r="I132">
        <v>15000</v>
      </c>
      <c r="J132">
        <v>6500</v>
      </c>
      <c r="K132">
        <v>0</v>
      </c>
      <c r="L132">
        <v>0</v>
      </c>
      <c r="M132">
        <v>0</v>
      </c>
      <c r="N132">
        <v>1500</v>
      </c>
      <c r="O132">
        <v>0</v>
      </c>
      <c r="P132">
        <v>-1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5</v>
      </c>
      <c r="W132">
        <v>3</v>
      </c>
      <c r="X132">
        <v>80000</v>
      </c>
      <c r="Y132">
        <v>0</v>
      </c>
      <c r="Z132">
        <v>0</v>
      </c>
      <c r="AA132">
        <v>0</v>
      </c>
      <c r="AB132">
        <v>70000</v>
      </c>
      <c r="AC132">
        <v>70000</v>
      </c>
      <c r="AD132">
        <v>63000</v>
      </c>
      <c r="AG132">
        <v>8</v>
      </c>
      <c r="AH132">
        <v>7</v>
      </c>
      <c r="AI132">
        <v>0</v>
      </c>
      <c r="AJ132">
        <v>0</v>
      </c>
      <c r="AK132">
        <v>0</v>
      </c>
      <c r="AL132">
        <v>1</v>
      </c>
      <c r="AM132" t="s">
        <v>168</v>
      </c>
      <c r="AN132">
        <v>542</v>
      </c>
      <c r="AO132">
        <v>180</v>
      </c>
      <c r="AQ132">
        <v>818</v>
      </c>
      <c r="AS132">
        <v>1</v>
      </c>
      <c r="AT132">
        <v>75</v>
      </c>
      <c r="AU132" t="s">
        <v>120</v>
      </c>
      <c r="AV132">
        <v>16</v>
      </c>
      <c r="AW132" t="s">
        <v>108</v>
      </c>
      <c r="AX132">
        <v>21</v>
      </c>
      <c r="AY132">
        <f t="shared" si="12"/>
        <v>15</v>
      </c>
      <c r="AZ132">
        <f t="shared" si="13"/>
        <v>1</v>
      </c>
      <c r="BA132">
        <v>117</v>
      </c>
      <c r="BB132" t="str">
        <f t="shared" si="14"/>
        <v>(U-village)</v>
      </c>
      <c r="BC132">
        <f t="shared" si="15"/>
        <v>0</v>
      </c>
      <c r="BD132">
        <f t="shared" si="16"/>
        <v>0</v>
      </c>
      <c r="BE132">
        <v>6500</v>
      </c>
      <c r="BF132" t="str">
        <f t="shared" si="17"/>
        <v>(U-village)</v>
      </c>
    </row>
    <row r="133" spans="1:58" x14ac:dyDescent="0.3">
      <c r="A133">
        <v>692</v>
      </c>
      <c r="B133" s="2">
        <v>45559.43813657407</v>
      </c>
      <c r="C133">
        <v>50000</v>
      </c>
      <c r="D133">
        <v>20000</v>
      </c>
      <c r="E133">
        <v>0</v>
      </c>
      <c r="F133">
        <v>0</v>
      </c>
      <c r="G133">
        <v>0</v>
      </c>
      <c r="H133">
        <v>0</v>
      </c>
      <c r="I133">
        <v>15000</v>
      </c>
      <c r="J133">
        <v>0</v>
      </c>
      <c r="K133">
        <v>0</v>
      </c>
      <c r="L133">
        <v>16000</v>
      </c>
      <c r="M133">
        <v>4000</v>
      </c>
      <c r="N133">
        <v>-3500</v>
      </c>
      <c r="O133">
        <v>0</v>
      </c>
      <c r="P133">
        <v>0</v>
      </c>
      <c r="Q133">
        <v>0</v>
      </c>
      <c r="R133">
        <v>0</v>
      </c>
      <c r="S133">
        <v>5</v>
      </c>
      <c r="T133">
        <v>1</v>
      </c>
      <c r="U133">
        <v>0</v>
      </c>
      <c r="V133">
        <v>-1</v>
      </c>
      <c r="W133">
        <v>3</v>
      </c>
      <c r="X133">
        <v>80000</v>
      </c>
      <c r="Y133">
        <v>70000</v>
      </c>
      <c r="Z133">
        <v>63000</v>
      </c>
      <c r="AA133">
        <v>0</v>
      </c>
      <c r="AB133">
        <v>0</v>
      </c>
      <c r="AC133">
        <v>70000</v>
      </c>
      <c r="AD133">
        <v>63000</v>
      </c>
      <c r="AG133">
        <v>8</v>
      </c>
      <c r="AH133">
        <v>7</v>
      </c>
      <c r="AI133">
        <v>-2</v>
      </c>
      <c r="AJ133">
        <v>-1</v>
      </c>
      <c r="AK133">
        <v>0</v>
      </c>
      <c r="AL133">
        <v>0</v>
      </c>
      <c r="AM133" t="s">
        <v>168</v>
      </c>
      <c r="AN133">
        <v>542</v>
      </c>
      <c r="AO133">
        <v>184</v>
      </c>
      <c r="AP133">
        <v>818</v>
      </c>
      <c r="AQ133">
        <v>818</v>
      </c>
      <c r="AS133">
        <v>2</v>
      </c>
      <c r="AT133">
        <v>75</v>
      </c>
      <c r="AU133" t="s">
        <v>120</v>
      </c>
      <c r="AV133">
        <v>16</v>
      </c>
      <c r="AW133" t="s">
        <v>108</v>
      </c>
      <c r="AX133">
        <v>21</v>
      </c>
      <c r="AY133">
        <f t="shared" si="12"/>
        <v>15</v>
      </c>
      <c r="AZ133">
        <f t="shared" si="13"/>
        <v>0</v>
      </c>
      <c r="BA133">
        <v>117</v>
      </c>
      <c r="BB133" t="str">
        <f t="shared" si="14"/>
        <v>(U-village)</v>
      </c>
      <c r="BC133">
        <f t="shared" si="15"/>
        <v>-6</v>
      </c>
      <c r="BD133">
        <f t="shared" si="16"/>
        <v>20000</v>
      </c>
      <c r="BE133">
        <v>0</v>
      </c>
      <c r="BF133" t="str">
        <f t="shared" si="17"/>
        <v>(U-village)</v>
      </c>
    </row>
    <row r="134" spans="1:58" x14ac:dyDescent="0.3">
      <c r="A134">
        <v>735</v>
      </c>
      <c r="B134" s="2">
        <v>45559.43813657407</v>
      </c>
      <c r="C134">
        <v>50000</v>
      </c>
      <c r="D134">
        <v>20000</v>
      </c>
      <c r="E134">
        <v>3500</v>
      </c>
      <c r="F134">
        <v>7000</v>
      </c>
      <c r="G134">
        <v>0</v>
      </c>
      <c r="H134">
        <v>0</v>
      </c>
      <c r="I134">
        <v>15000</v>
      </c>
      <c r="J134">
        <v>0</v>
      </c>
      <c r="K134">
        <v>0</v>
      </c>
      <c r="L134">
        <v>0</v>
      </c>
      <c r="M134">
        <v>0</v>
      </c>
      <c r="N134">
        <v>4500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-2</v>
      </c>
      <c r="W134">
        <v>3</v>
      </c>
      <c r="X134">
        <v>80000</v>
      </c>
      <c r="Y134">
        <v>70000</v>
      </c>
      <c r="Z134">
        <v>63000</v>
      </c>
      <c r="AA134">
        <v>0</v>
      </c>
      <c r="AB134">
        <v>0</v>
      </c>
      <c r="AC134">
        <v>70000</v>
      </c>
      <c r="AD134">
        <v>56000</v>
      </c>
      <c r="AG134">
        <v>8</v>
      </c>
      <c r="AH134">
        <v>7</v>
      </c>
      <c r="AI134">
        <v>-2</v>
      </c>
      <c r="AJ134">
        <v>-1</v>
      </c>
      <c r="AK134">
        <v>0</v>
      </c>
      <c r="AL134">
        <v>0</v>
      </c>
      <c r="AM134" t="s">
        <v>168</v>
      </c>
      <c r="AN134">
        <v>542</v>
      </c>
      <c r="AO134">
        <v>190</v>
      </c>
      <c r="AP134">
        <v>818</v>
      </c>
      <c r="AQ134">
        <v>818</v>
      </c>
      <c r="AS134">
        <v>3</v>
      </c>
      <c r="AT134">
        <v>75</v>
      </c>
      <c r="AU134" t="s">
        <v>120</v>
      </c>
      <c r="AV134">
        <v>16</v>
      </c>
      <c r="AW134" t="s">
        <v>108</v>
      </c>
      <c r="AX134">
        <v>21</v>
      </c>
      <c r="AY134">
        <f t="shared" si="12"/>
        <v>15</v>
      </c>
      <c r="AZ134">
        <f t="shared" si="13"/>
        <v>0</v>
      </c>
      <c r="BA134">
        <v>117</v>
      </c>
      <c r="BB134" t="str">
        <f t="shared" si="14"/>
        <v>(U-village)</v>
      </c>
      <c r="BC134">
        <f t="shared" si="15"/>
        <v>-1</v>
      </c>
      <c r="BD134">
        <f t="shared" si="16"/>
        <v>0</v>
      </c>
      <c r="BE134">
        <v>0</v>
      </c>
      <c r="BF134" t="str">
        <f t="shared" si="17"/>
        <v>(U-village)</v>
      </c>
    </row>
    <row r="135" spans="1:58" x14ac:dyDescent="0.3">
      <c r="A135">
        <v>592</v>
      </c>
      <c r="B135" s="2">
        <v>45559.437361111108</v>
      </c>
      <c r="C135">
        <v>80000</v>
      </c>
      <c r="D135">
        <v>40000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15000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</v>
      </c>
      <c r="W135">
        <v>5</v>
      </c>
      <c r="X135">
        <v>130000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t="s">
        <v>134</v>
      </c>
      <c r="AN135">
        <v>543</v>
      </c>
      <c r="AO135">
        <v>172</v>
      </c>
      <c r="AS135">
        <v>0</v>
      </c>
      <c r="AT135">
        <v>75</v>
      </c>
      <c r="AU135" t="s">
        <v>120</v>
      </c>
      <c r="AV135">
        <v>16</v>
      </c>
      <c r="AW135" t="s">
        <v>108</v>
      </c>
      <c r="AX135">
        <v>21</v>
      </c>
      <c r="AY135">
        <f t="shared" si="12"/>
        <v>0</v>
      </c>
      <c r="AZ135">
        <f t="shared" si="13"/>
        <v>0</v>
      </c>
      <c r="BA135">
        <v>119</v>
      </c>
      <c r="BB135" t="str">
        <f t="shared" si="14"/>
        <v/>
      </c>
      <c r="BC135" t="str">
        <f t="shared" si="15"/>
        <v/>
      </c>
      <c r="BD135">
        <f t="shared" si="16"/>
        <v>0</v>
      </c>
      <c r="BE135">
        <v>0</v>
      </c>
      <c r="BF135" t="str">
        <f t="shared" si="17"/>
        <v/>
      </c>
    </row>
    <row r="136" spans="1:58" x14ac:dyDescent="0.3">
      <c r="A136">
        <v>660</v>
      </c>
      <c r="B136" s="2">
        <v>45559.437361111108</v>
      </c>
      <c r="C136">
        <v>80000</v>
      </c>
      <c r="D136">
        <v>40000</v>
      </c>
      <c r="E136">
        <v>0</v>
      </c>
      <c r="F136">
        <v>13000</v>
      </c>
      <c r="G136">
        <v>0</v>
      </c>
      <c r="H136">
        <v>23000</v>
      </c>
      <c r="I136">
        <v>15000</v>
      </c>
      <c r="J136">
        <v>0</v>
      </c>
      <c r="K136">
        <v>0</v>
      </c>
      <c r="L136">
        <v>0</v>
      </c>
      <c r="M136">
        <v>0</v>
      </c>
      <c r="N136">
        <v>4000</v>
      </c>
      <c r="O136">
        <v>0</v>
      </c>
      <c r="P136">
        <v>-1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</v>
      </c>
      <c r="W136">
        <v>5</v>
      </c>
      <c r="X136">
        <v>130000</v>
      </c>
      <c r="Y136">
        <v>0</v>
      </c>
      <c r="Z136">
        <v>0</v>
      </c>
      <c r="AA136">
        <v>0</v>
      </c>
      <c r="AB136">
        <v>153000</v>
      </c>
      <c r="AC136">
        <v>130000</v>
      </c>
      <c r="AD136">
        <v>117000</v>
      </c>
      <c r="AG136">
        <v>8</v>
      </c>
      <c r="AH136">
        <v>7</v>
      </c>
      <c r="AI136">
        <v>0</v>
      </c>
      <c r="AJ136">
        <v>0</v>
      </c>
      <c r="AK136">
        <v>0</v>
      </c>
      <c r="AL136">
        <v>0</v>
      </c>
      <c r="AM136" t="s">
        <v>168</v>
      </c>
      <c r="AN136">
        <v>543</v>
      </c>
      <c r="AO136">
        <v>180</v>
      </c>
      <c r="AQ136">
        <v>817</v>
      </c>
      <c r="AS136">
        <v>1</v>
      </c>
      <c r="AT136">
        <v>75</v>
      </c>
      <c r="AU136" t="s">
        <v>120</v>
      </c>
      <c r="AV136">
        <v>16</v>
      </c>
      <c r="AW136" t="s">
        <v>108</v>
      </c>
      <c r="AX136">
        <v>21</v>
      </c>
      <c r="AY136">
        <f t="shared" si="12"/>
        <v>15</v>
      </c>
      <c r="AZ136">
        <f t="shared" si="13"/>
        <v>0</v>
      </c>
      <c r="BA136">
        <v>119</v>
      </c>
      <c r="BB136" t="str">
        <f t="shared" si="14"/>
        <v>(U-village)</v>
      </c>
      <c r="BC136">
        <f t="shared" si="15"/>
        <v>-1</v>
      </c>
      <c r="BD136">
        <f t="shared" si="16"/>
        <v>0</v>
      </c>
      <c r="BE136">
        <v>0</v>
      </c>
      <c r="BF136" t="str">
        <f t="shared" si="17"/>
        <v>(U-village)</v>
      </c>
    </row>
    <row r="137" spans="1:58" x14ac:dyDescent="0.3">
      <c r="A137">
        <v>690</v>
      </c>
      <c r="B137" s="2">
        <v>45559.437361111108</v>
      </c>
      <c r="C137">
        <v>80000</v>
      </c>
      <c r="D137">
        <v>40000</v>
      </c>
      <c r="E137">
        <v>0</v>
      </c>
      <c r="F137">
        <v>13000</v>
      </c>
      <c r="G137">
        <v>0</v>
      </c>
      <c r="H137">
        <v>0</v>
      </c>
      <c r="I137">
        <v>15000</v>
      </c>
      <c r="J137">
        <v>15000</v>
      </c>
      <c r="K137">
        <v>0</v>
      </c>
      <c r="L137">
        <v>8000</v>
      </c>
      <c r="M137">
        <v>0</v>
      </c>
      <c r="N137">
        <v>-7000</v>
      </c>
      <c r="O137">
        <v>0</v>
      </c>
      <c r="P137">
        <v>0</v>
      </c>
      <c r="Q137">
        <v>0</v>
      </c>
      <c r="R137">
        <v>0</v>
      </c>
      <c r="S137">
        <v>3</v>
      </c>
      <c r="T137">
        <v>0</v>
      </c>
      <c r="U137">
        <v>0</v>
      </c>
      <c r="V137">
        <v>1</v>
      </c>
      <c r="W137">
        <v>5</v>
      </c>
      <c r="X137">
        <v>130000</v>
      </c>
      <c r="Y137">
        <v>130000</v>
      </c>
      <c r="Z137">
        <v>117000</v>
      </c>
      <c r="AA137">
        <v>0</v>
      </c>
      <c r="AB137">
        <v>0</v>
      </c>
      <c r="AC137">
        <v>130000</v>
      </c>
      <c r="AD137">
        <v>104000</v>
      </c>
      <c r="AG137">
        <v>8</v>
      </c>
      <c r="AH137">
        <v>7</v>
      </c>
      <c r="AI137">
        <v>-2</v>
      </c>
      <c r="AJ137">
        <v>-1</v>
      </c>
      <c r="AK137">
        <v>1</v>
      </c>
      <c r="AL137">
        <v>2</v>
      </c>
      <c r="AM137" t="s">
        <v>168</v>
      </c>
      <c r="AN137">
        <v>543</v>
      </c>
      <c r="AO137">
        <v>184</v>
      </c>
      <c r="AP137">
        <v>817</v>
      </c>
      <c r="AQ137">
        <v>817</v>
      </c>
      <c r="AS137">
        <v>2</v>
      </c>
      <c r="AT137">
        <v>75</v>
      </c>
      <c r="AU137" t="s">
        <v>120</v>
      </c>
      <c r="AV137">
        <v>16</v>
      </c>
      <c r="AW137" t="s">
        <v>108</v>
      </c>
      <c r="AX137">
        <v>21</v>
      </c>
      <c r="AY137">
        <f t="shared" si="12"/>
        <v>15</v>
      </c>
      <c r="AZ137">
        <f t="shared" si="13"/>
        <v>3</v>
      </c>
      <c r="BA137">
        <v>119</v>
      </c>
      <c r="BB137" t="str">
        <f t="shared" si="14"/>
        <v>(U-village)</v>
      </c>
      <c r="BC137">
        <f t="shared" si="15"/>
        <v>-3</v>
      </c>
      <c r="BD137">
        <f t="shared" si="16"/>
        <v>8000</v>
      </c>
      <c r="BE137">
        <v>15000</v>
      </c>
      <c r="BF137" t="str">
        <f t="shared" si="17"/>
        <v>(U-village)</v>
      </c>
    </row>
    <row r="138" spans="1:58" x14ac:dyDescent="0.3">
      <c r="A138">
        <v>740</v>
      </c>
      <c r="B138" s="2">
        <v>45559.437361111108</v>
      </c>
      <c r="C138">
        <v>80000</v>
      </c>
      <c r="D138">
        <v>40000</v>
      </c>
      <c r="E138">
        <v>7000</v>
      </c>
      <c r="F138">
        <v>12500</v>
      </c>
      <c r="G138">
        <v>11000</v>
      </c>
      <c r="H138">
        <v>0</v>
      </c>
      <c r="I138">
        <v>15000</v>
      </c>
      <c r="J138">
        <v>12000</v>
      </c>
      <c r="K138">
        <v>0</v>
      </c>
      <c r="L138">
        <v>0</v>
      </c>
      <c r="M138">
        <v>0</v>
      </c>
      <c r="N138">
        <v>4500</v>
      </c>
      <c r="O138">
        <v>1</v>
      </c>
      <c r="P138">
        <v>-1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-2</v>
      </c>
      <c r="W138">
        <v>5</v>
      </c>
      <c r="X138">
        <v>130000</v>
      </c>
      <c r="Y138">
        <v>130000</v>
      </c>
      <c r="Z138">
        <v>104000</v>
      </c>
      <c r="AA138">
        <v>115000</v>
      </c>
      <c r="AB138">
        <v>125000</v>
      </c>
      <c r="AC138">
        <v>125000</v>
      </c>
      <c r="AD138">
        <v>112500</v>
      </c>
      <c r="AE138">
        <v>27</v>
      </c>
      <c r="AF138" t="s">
        <v>173</v>
      </c>
      <c r="AG138">
        <v>8</v>
      </c>
      <c r="AH138">
        <v>7</v>
      </c>
      <c r="AI138">
        <v>-2</v>
      </c>
      <c r="AJ138">
        <v>-1</v>
      </c>
      <c r="AK138">
        <v>3</v>
      </c>
      <c r="AL138">
        <v>2</v>
      </c>
      <c r="AM138" t="s">
        <v>168</v>
      </c>
      <c r="AN138">
        <v>543</v>
      </c>
      <c r="AO138">
        <v>190</v>
      </c>
      <c r="AP138">
        <v>817</v>
      </c>
      <c r="AQ138">
        <v>873</v>
      </c>
      <c r="AS138">
        <v>3</v>
      </c>
      <c r="AT138">
        <v>75</v>
      </c>
      <c r="AU138" t="s">
        <v>120</v>
      </c>
      <c r="AV138">
        <v>16</v>
      </c>
      <c r="AW138" t="s">
        <v>108</v>
      </c>
      <c r="AX138">
        <v>21</v>
      </c>
      <c r="AY138">
        <f t="shared" si="12"/>
        <v>15</v>
      </c>
      <c r="AZ138">
        <f t="shared" si="13"/>
        <v>5</v>
      </c>
      <c r="BA138">
        <v>119</v>
      </c>
      <c r="BB138" t="str">
        <f t="shared" si="14"/>
        <v>(U-village)</v>
      </c>
      <c r="BC138">
        <f t="shared" si="15"/>
        <v>-3</v>
      </c>
      <c r="BD138">
        <f t="shared" si="16"/>
        <v>0</v>
      </c>
      <c r="BE138">
        <v>12000</v>
      </c>
      <c r="BF138" t="str">
        <f t="shared" si="17"/>
        <v>(U-village)</v>
      </c>
    </row>
    <row r="139" spans="1:58" x14ac:dyDescent="0.3">
      <c r="A139">
        <v>588</v>
      </c>
      <c r="B139" s="2">
        <v>45559.436597222222</v>
      </c>
      <c r="C139">
        <v>120000</v>
      </c>
      <c r="D139">
        <v>65000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50000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5</v>
      </c>
      <c r="W139">
        <v>7</v>
      </c>
      <c r="X139">
        <v>200000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t="s">
        <v>134</v>
      </c>
      <c r="AN139">
        <v>544</v>
      </c>
      <c r="AO139">
        <v>172</v>
      </c>
      <c r="AS139">
        <v>0</v>
      </c>
      <c r="AT139">
        <v>75</v>
      </c>
      <c r="AU139" t="s">
        <v>120</v>
      </c>
      <c r="AV139">
        <v>16</v>
      </c>
      <c r="AW139" t="s">
        <v>108</v>
      </c>
      <c r="AX139">
        <v>21</v>
      </c>
      <c r="AY139">
        <f t="shared" si="12"/>
        <v>0</v>
      </c>
      <c r="AZ139">
        <f t="shared" si="13"/>
        <v>0</v>
      </c>
      <c r="BA139">
        <v>121</v>
      </c>
      <c r="BB139" t="str">
        <f t="shared" si="14"/>
        <v/>
      </c>
      <c r="BC139" t="str">
        <f t="shared" si="15"/>
        <v/>
      </c>
      <c r="BD139">
        <f t="shared" si="16"/>
        <v>0</v>
      </c>
      <c r="BE139">
        <v>0</v>
      </c>
      <c r="BF139" t="str">
        <f t="shared" si="17"/>
        <v/>
      </c>
    </row>
    <row r="140" spans="1:58" x14ac:dyDescent="0.3">
      <c r="A140">
        <v>662</v>
      </c>
      <c r="B140" s="2">
        <v>45559.436597222222</v>
      </c>
      <c r="C140">
        <v>120000</v>
      </c>
      <c r="D140">
        <v>65000</v>
      </c>
      <c r="E140">
        <v>0</v>
      </c>
      <c r="F140">
        <v>16000</v>
      </c>
      <c r="G140">
        <v>0</v>
      </c>
      <c r="H140">
        <v>0</v>
      </c>
      <c r="I140">
        <v>15000</v>
      </c>
      <c r="J140">
        <v>20000</v>
      </c>
      <c r="K140">
        <v>0</v>
      </c>
      <c r="L140">
        <v>0</v>
      </c>
      <c r="M140">
        <v>0</v>
      </c>
      <c r="N140">
        <v>54000</v>
      </c>
      <c r="O140">
        <v>0</v>
      </c>
      <c r="P140">
        <v>-2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5</v>
      </c>
      <c r="W140">
        <v>7</v>
      </c>
      <c r="X140">
        <v>200000</v>
      </c>
      <c r="Y140">
        <v>0</v>
      </c>
      <c r="Z140">
        <v>0</v>
      </c>
      <c r="AA140">
        <v>0</v>
      </c>
      <c r="AB140">
        <v>160000</v>
      </c>
      <c r="AC140">
        <v>160000</v>
      </c>
      <c r="AD140">
        <v>144000</v>
      </c>
      <c r="AG140">
        <v>6</v>
      </c>
      <c r="AH140">
        <v>10</v>
      </c>
      <c r="AI140">
        <v>0</v>
      </c>
      <c r="AJ140">
        <v>0</v>
      </c>
      <c r="AK140">
        <v>1</v>
      </c>
      <c r="AL140">
        <v>0</v>
      </c>
      <c r="AM140" t="s">
        <v>168</v>
      </c>
      <c r="AN140">
        <v>544</v>
      </c>
      <c r="AO140">
        <v>180</v>
      </c>
      <c r="AQ140">
        <v>813</v>
      </c>
      <c r="AS140">
        <v>1</v>
      </c>
      <c r="AT140">
        <v>75</v>
      </c>
      <c r="AU140" t="s">
        <v>120</v>
      </c>
      <c r="AV140">
        <v>16</v>
      </c>
      <c r="AW140" t="s">
        <v>108</v>
      </c>
      <c r="AX140">
        <v>21</v>
      </c>
      <c r="AY140">
        <f t="shared" si="12"/>
        <v>16</v>
      </c>
      <c r="AZ140">
        <f t="shared" si="13"/>
        <v>1</v>
      </c>
      <c r="BA140">
        <v>121</v>
      </c>
      <c r="BB140" t="str">
        <f t="shared" si="14"/>
        <v>(Dike-town)</v>
      </c>
      <c r="BC140">
        <f t="shared" si="15"/>
        <v>0</v>
      </c>
      <c r="BD140">
        <f t="shared" si="16"/>
        <v>0</v>
      </c>
      <c r="BE140">
        <v>20000</v>
      </c>
      <c r="BF140" t="str">
        <f t="shared" si="17"/>
        <v>(Dike-town)</v>
      </c>
    </row>
    <row r="141" spans="1:58" x14ac:dyDescent="0.3">
      <c r="A141">
        <v>687</v>
      </c>
      <c r="B141" s="2">
        <v>45559.436597222222</v>
      </c>
      <c r="C141">
        <v>120000</v>
      </c>
      <c r="D141">
        <v>65000</v>
      </c>
      <c r="E141">
        <v>0</v>
      </c>
      <c r="F141">
        <v>20000</v>
      </c>
      <c r="G141">
        <v>16000</v>
      </c>
      <c r="H141">
        <v>100000</v>
      </c>
      <c r="I141">
        <v>15000</v>
      </c>
      <c r="J141">
        <v>0</v>
      </c>
      <c r="K141">
        <v>0</v>
      </c>
      <c r="L141">
        <v>4000</v>
      </c>
      <c r="M141">
        <v>4000</v>
      </c>
      <c r="N141">
        <v>-18000</v>
      </c>
      <c r="O141">
        <v>1</v>
      </c>
      <c r="P141">
        <v>1</v>
      </c>
      <c r="Q141">
        <v>0</v>
      </c>
      <c r="R141">
        <v>0</v>
      </c>
      <c r="S141">
        <v>2</v>
      </c>
      <c r="T141">
        <v>1</v>
      </c>
      <c r="U141">
        <v>0</v>
      </c>
      <c r="V141">
        <v>2</v>
      </c>
      <c r="W141">
        <v>7</v>
      </c>
      <c r="X141">
        <v>200000</v>
      </c>
      <c r="Y141">
        <v>160000</v>
      </c>
      <c r="Z141">
        <v>144000</v>
      </c>
      <c r="AA141">
        <v>160000</v>
      </c>
      <c r="AB141">
        <v>300000</v>
      </c>
      <c r="AC141">
        <v>200000</v>
      </c>
      <c r="AD141">
        <v>180000</v>
      </c>
      <c r="AE141">
        <v>27</v>
      </c>
      <c r="AG141">
        <v>6</v>
      </c>
      <c r="AH141">
        <v>10</v>
      </c>
      <c r="AI141">
        <v>-2</v>
      </c>
      <c r="AJ141">
        <v>-1</v>
      </c>
      <c r="AK141">
        <v>0</v>
      </c>
      <c r="AL141">
        <v>0</v>
      </c>
      <c r="AM141" t="s">
        <v>168</v>
      </c>
      <c r="AN141">
        <v>544</v>
      </c>
      <c r="AO141">
        <v>184</v>
      </c>
      <c r="AP141">
        <v>813</v>
      </c>
      <c r="AQ141">
        <v>835</v>
      </c>
      <c r="AS141">
        <v>2</v>
      </c>
      <c r="AT141">
        <v>75</v>
      </c>
      <c r="AU141" t="s">
        <v>120</v>
      </c>
      <c r="AV141">
        <v>16</v>
      </c>
      <c r="AW141" t="s">
        <v>108</v>
      </c>
      <c r="AX141">
        <v>21</v>
      </c>
      <c r="AY141">
        <f t="shared" si="12"/>
        <v>16</v>
      </c>
      <c r="AZ141">
        <f t="shared" si="13"/>
        <v>0</v>
      </c>
      <c r="BA141">
        <v>121</v>
      </c>
      <c r="BB141" t="str">
        <f t="shared" si="14"/>
        <v>(Dike-town)</v>
      </c>
      <c r="BC141">
        <f t="shared" si="15"/>
        <v>-3</v>
      </c>
      <c r="BD141">
        <f t="shared" si="16"/>
        <v>8000</v>
      </c>
      <c r="BE141">
        <v>0</v>
      </c>
      <c r="BF141" t="str">
        <f t="shared" si="17"/>
        <v>(Dike-town)</v>
      </c>
    </row>
    <row r="142" spans="1:58" x14ac:dyDescent="0.3">
      <c r="A142">
        <v>739</v>
      </c>
      <c r="B142" s="2">
        <v>45559.436597222222</v>
      </c>
      <c r="C142">
        <v>120000</v>
      </c>
      <c r="D142">
        <v>65000</v>
      </c>
      <c r="E142">
        <v>18000</v>
      </c>
      <c r="F142">
        <v>20000</v>
      </c>
      <c r="G142">
        <v>0</v>
      </c>
      <c r="H142">
        <v>0</v>
      </c>
      <c r="I142">
        <v>15000</v>
      </c>
      <c r="J142">
        <v>0</v>
      </c>
      <c r="K142">
        <v>0</v>
      </c>
      <c r="L142">
        <v>0</v>
      </c>
      <c r="M142">
        <v>0</v>
      </c>
      <c r="N142">
        <v>2000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7</v>
      </c>
      <c r="X142">
        <v>200000</v>
      </c>
      <c r="Y142">
        <v>200000</v>
      </c>
      <c r="Z142">
        <v>180000</v>
      </c>
      <c r="AA142">
        <v>0</v>
      </c>
      <c r="AB142">
        <v>0</v>
      </c>
      <c r="AC142">
        <v>200000</v>
      </c>
      <c r="AD142">
        <v>160000</v>
      </c>
      <c r="AG142">
        <v>6</v>
      </c>
      <c r="AH142">
        <v>10</v>
      </c>
      <c r="AI142">
        <v>-2</v>
      </c>
      <c r="AJ142">
        <v>-1</v>
      </c>
      <c r="AK142">
        <v>0</v>
      </c>
      <c r="AL142">
        <v>0</v>
      </c>
      <c r="AM142" t="s">
        <v>168</v>
      </c>
      <c r="AN142">
        <v>544</v>
      </c>
      <c r="AO142">
        <v>190</v>
      </c>
      <c r="AP142">
        <v>835</v>
      </c>
      <c r="AQ142">
        <v>835</v>
      </c>
      <c r="AS142">
        <v>3</v>
      </c>
      <c r="AT142">
        <v>75</v>
      </c>
      <c r="AU142" t="s">
        <v>120</v>
      </c>
      <c r="AV142">
        <v>16</v>
      </c>
      <c r="AW142" t="s">
        <v>108</v>
      </c>
      <c r="AX142">
        <v>21</v>
      </c>
      <c r="AY142">
        <f t="shared" si="12"/>
        <v>16</v>
      </c>
      <c r="AZ142">
        <f t="shared" si="13"/>
        <v>0</v>
      </c>
      <c r="BA142">
        <v>121</v>
      </c>
      <c r="BB142" t="str">
        <f t="shared" si="14"/>
        <v>(Dike-town)</v>
      </c>
      <c r="BC142">
        <f t="shared" si="15"/>
        <v>-1</v>
      </c>
      <c r="BD142">
        <f t="shared" si="16"/>
        <v>0</v>
      </c>
      <c r="BE142">
        <v>0</v>
      </c>
      <c r="BF142" t="str">
        <f t="shared" si="17"/>
        <v>(Dike-town)</v>
      </c>
    </row>
    <row r="143" spans="1:58" x14ac:dyDescent="0.3">
      <c r="A143">
        <v>591</v>
      </c>
      <c r="B143" s="2">
        <v>45559.437361111108</v>
      </c>
      <c r="C143">
        <v>180000</v>
      </c>
      <c r="D143">
        <v>105000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80000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</v>
      </c>
      <c r="W143">
        <v>8</v>
      </c>
      <c r="X143">
        <v>300000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t="s">
        <v>134</v>
      </c>
      <c r="AN143">
        <v>545</v>
      </c>
      <c r="AO143">
        <v>172</v>
      </c>
      <c r="AS143">
        <v>0</v>
      </c>
      <c r="AT143">
        <v>75</v>
      </c>
      <c r="AU143" t="s">
        <v>120</v>
      </c>
      <c r="AV143">
        <v>16</v>
      </c>
      <c r="AW143" t="s">
        <v>108</v>
      </c>
      <c r="AX143">
        <v>21</v>
      </c>
      <c r="AY143">
        <f t="shared" si="12"/>
        <v>0</v>
      </c>
      <c r="AZ143">
        <f t="shared" si="13"/>
        <v>0</v>
      </c>
      <c r="BA143">
        <v>122</v>
      </c>
      <c r="BB143" t="str">
        <f t="shared" si="14"/>
        <v/>
      </c>
      <c r="BC143" t="str">
        <f t="shared" si="15"/>
        <v/>
      </c>
      <c r="BD143">
        <f t="shared" si="16"/>
        <v>0</v>
      </c>
      <c r="BE143">
        <v>0</v>
      </c>
      <c r="BF143" t="str">
        <f t="shared" si="17"/>
        <v/>
      </c>
    </row>
    <row r="144" spans="1:58" x14ac:dyDescent="0.3">
      <c r="A144">
        <v>656</v>
      </c>
      <c r="B144" s="2">
        <v>45559.437361111108</v>
      </c>
      <c r="C144">
        <v>180000</v>
      </c>
      <c r="D144">
        <v>105000</v>
      </c>
      <c r="E144">
        <v>0</v>
      </c>
      <c r="F144">
        <v>30000</v>
      </c>
      <c r="G144">
        <v>0</v>
      </c>
      <c r="H144">
        <v>50000</v>
      </c>
      <c r="I144">
        <v>15000</v>
      </c>
      <c r="J144">
        <v>32000</v>
      </c>
      <c r="K144">
        <v>0</v>
      </c>
      <c r="L144">
        <v>0</v>
      </c>
      <c r="M144">
        <v>0</v>
      </c>
      <c r="N144">
        <v>28000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7</v>
      </c>
      <c r="W144">
        <v>8</v>
      </c>
      <c r="X144">
        <v>300000</v>
      </c>
      <c r="Y144">
        <v>0</v>
      </c>
      <c r="Z144">
        <v>0</v>
      </c>
      <c r="AA144">
        <v>0</v>
      </c>
      <c r="AB144">
        <v>350000</v>
      </c>
      <c r="AC144">
        <v>300000</v>
      </c>
      <c r="AD144">
        <v>270000</v>
      </c>
      <c r="AG144">
        <v>6</v>
      </c>
      <c r="AH144">
        <v>10</v>
      </c>
      <c r="AI144">
        <v>0</v>
      </c>
      <c r="AJ144">
        <v>0</v>
      </c>
      <c r="AK144">
        <v>2</v>
      </c>
      <c r="AL144">
        <v>1</v>
      </c>
      <c r="AM144" t="s">
        <v>168</v>
      </c>
      <c r="AN144">
        <v>545</v>
      </c>
      <c r="AO144">
        <v>180</v>
      </c>
      <c r="AQ144">
        <v>812</v>
      </c>
      <c r="AS144">
        <v>1</v>
      </c>
      <c r="AT144">
        <v>75</v>
      </c>
      <c r="AU144" t="s">
        <v>120</v>
      </c>
      <c r="AV144">
        <v>16</v>
      </c>
      <c r="AW144" t="s">
        <v>108</v>
      </c>
      <c r="AX144">
        <v>21</v>
      </c>
      <c r="AY144">
        <f t="shared" si="12"/>
        <v>16</v>
      </c>
      <c r="AZ144">
        <f t="shared" si="13"/>
        <v>3</v>
      </c>
      <c r="BA144">
        <v>122</v>
      </c>
      <c r="BB144" t="str">
        <f t="shared" si="14"/>
        <v>(Dike-town)</v>
      </c>
      <c r="BC144">
        <f t="shared" si="15"/>
        <v>2</v>
      </c>
      <c r="BD144">
        <f t="shared" si="16"/>
        <v>0</v>
      </c>
      <c r="BE144">
        <v>32000</v>
      </c>
      <c r="BF144" t="str">
        <f t="shared" si="17"/>
        <v>(Dike-town)</v>
      </c>
    </row>
    <row r="145" spans="1:58" x14ac:dyDescent="0.3">
      <c r="A145">
        <v>701</v>
      </c>
      <c r="B145" s="2">
        <v>45559.437361111108</v>
      </c>
      <c r="C145">
        <v>180000</v>
      </c>
      <c r="D145">
        <v>105000</v>
      </c>
      <c r="E145">
        <v>0</v>
      </c>
      <c r="F145">
        <v>30000</v>
      </c>
      <c r="G145">
        <v>0</v>
      </c>
      <c r="H145">
        <v>0</v>
      </c>
      <c r="I145">
        <v>15000</v>
      </c>
      <c r="J145">
        <v>32000</v>
      </c>
      <c r="K145">
        <v>0</v>
      </c>
      <c r="L145">
        <v>0</v>
      </c>
      <c r="M145">
        <v>4000</v>
      </c>
      <c r="N145">
        <v>22000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6</v>
      </c>
      <c r="W145">
        <v>8</v>
      </c>
      <c r="X145">
        <v>300000</v>
      </c>
      <c r="Y145">
        <v>300000</v>
      </c>
      <c r="Z145">
        <v>270000</v>
      </c>
      <c r="AA145">
        <v>0</v>
      </c>
      <c r="AB145">
        <v>0</v>
      </c>
      <c r="AC145">
        <v>300000</v>
      </c>
      <c r="AD145">
        <v>240000</v>
      </c>
      <c r="AG145">
        <v>6</v>
      </c>
      <c r="AH145">
        <v>10</v>
      </c>
      <c r="AI145">
        <v>-2</v>
      </c>
      <c r="AJ145">
        <v>-1</v>
      </c>
      <c r="AK145">
        <v>2</v>
      </c>
      <c r="AL145">
        <v>1</v>
      </c>
      <c r="AM145" t="s">
        <v>168</v>
      </c>
      <c r="AN145">
        <v>545</v>
      </c>
      <c r="AO145">
        <v>184</v>
      </c>
      <c r="AP145">
        <v>812</v>
      </c>
      <c r="AQ145">
        <v>812</v>
      </c>
      <c r="AS145">
        <v>2</v>
      </c>
      <c r="AT145">
        <v>75</v>
      </c>
      <c r="AU145" t="s">
        <v>120</v>
      </c>
      <c r="AV145">
        <v>16</v>
      </c>
      <c r="AW145" t="s">
        <v>108</v>
      </c>
      <c r="AX145">
        <v>21</v>
      </c>
      <c r="AY145">
        <f t="shared" si="12"/>
        <v>16</v>
      </c>
      <c r="AZ145">
        <f t="shared" si="13"/>
        <v>3</v>
      </c>
      <c r="BA145">
        <v>122</v>
      </c>
      <c r="BB145" t="str">
        <f t="shared" si="14"/>
        <v>(Dike-town)</v>
      </c>
      <c r="BC145">
        <f t="shared" si="15"/>
        <v>-1</v>
      </c>
      <c r="BD145">
        <f t="shared" si="16"/>
        <v>4000</v>
      </c>
      <c r="BE145">
        <v>32000</v>
      </c>
      <c r="BF145" t="str">
        <f t="shared" si="17"/>
        <v>(Dike-town)</v>
      </c>
    </row>
    <row r="146" spans="1:58" x14ac:dyDescent="0.3">
      <c r="A146">
        <v>734</v>
      </c>
      <c r="B146" s="2">
        <v>45559.437361111108</v>
      </c>
      <c r="C146">
        <v>180000</v>
      </c>
      <c r="D146">
        <v>105000</v>
      </c>
      <c r="E146">
        <v>0</v>
      </c>
      <c r="F146">
        <v>30000</v>
      </c>
      <c r="G146">
        <v>0</v>
      </c>
      <c r="H146">
        <v>0</v>
      </c>
      <c r="I146">
        <v>15000</v>
      </c>
      <c r="J146">
        <v>39000</v>
      </c>
      <c r="K146">
        <v>0</v>
      </c>
      <c r="L146">
        <v>0</v>
      </c>
      <c r="M146">
        <v>0</v>
      </c>
      <c r="N146">
        <v>13000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8</v>
      </c>
      <c r="W146">
        <v>8</v>
      </c>
      <c r="X146">
        <v>300000</v>
      </c>
      <c r="Y146">
        <v>300000</v>
      </c>
      <c r="Z146">
        <v>240000</v>
      </c>
      <c r="AA146">
        <v>0</v>
      </c>
      <c r="AB146">
        <v>0</v>
      </c>
      <c r="AC146">
        <v>300000</v>
      </c>
      <c r="AD146">
        <v>210000</v>
      </c>
      <c r="AG146">
        <v>6</v>
      </c>
      <c r="AH146">
        <v>10</v>
      </c>
      <c r="AI146">
        <v>-2</v>
      </c>
      <c r="AJ146">
        <v>-1</v>
      </c>
      <c r="AK146">
        <v>1</v>
      </c>
      <c r="AL146">
        <v>1</v>
      </c>
      <c r="AM146" t="s">
        <v>168</v>
      </c>
      <c r="AN146">
        <v>545</v>
      </c>
      <c r="AO146">
        <v>190</v>
      </c>
      <c r="AP146">
        <v>812</v>
      </c>
      <c r="AQ146">
        <v>812</v>
      </c>
      <c r="AS146">
        <v>3</v>
      </c>
      <c r="AT146">
        <v>75</v>
      </c>
      <c r="AU146" t="s">
        <v>120</v>
      </c>
      <c r="AV146">
        <v>16</v>
      </c>
      <c r="AW146" t="s">
        <v>108</v>
      </c>
      <c r="AX146">
        <v>21</v>
      </c>
      <c r="AY146">
        <f t="shared" si="12"/>
        <v>16</v>
      </c>
      <c r="AZ146">
        <f t="shared" si="13"/>
        <v>2</v>
      </c>
      <c r="BA146">
        <v>122</v>
      </c>
      <c r="BB146" t="str">
        <f t="shared" si="14"/>
        <v>(Dike-town)</v>
      </c>
      <c r="BC146">
        <f t="shared" si="15"/>
        <v>2</v>
      </c>
      <c r="BD146">
        <f t="shared" si="16"/>
        <v>0</v>
      </c>
      <c r="BE146">
        <v>39000</v>
      </c>
      <c r="BF146" t="str">
        <f t="shared" si="17"/>
        <v>(Dike-town)</v>
      </c>
    </row>
    <row r="147" spans="1:58" x14ac:dyDescent="0.3">
      <c r="A147">
        <v>593</v>
      </c>
      <c r="B147" s="2">
        <v>45559.437395833331</v>
      </c>
      <c r="C147">
        <v>100000</v>
      </c>
      <c r="D147">
        <v>50000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30000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</v>
      </c>
      <c r="W147">
        <v>6</v>
      </c>
      <c r="X147">
        <v>170000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t="s">
        <v>134</v>
      </c>
      <c r="AN147">
        <v>546</v>
      </c>
      <c r="AO147">
        <v>172</v>
      </c>
      <c r="AS147">
        <v>0</v>
      </c>
      <c r="AT147">
        <v>75</v>
      </c>
      <c r="AU147" t="s">
        <v>120</v>
      </c>
      <c r="AV147">
        <v>16</v>
      </c>
      <c r="AW147" t="s">
        <v>108</v>
      </c>
      <c r="AX147">
        <v>21</v>
      </c>
      <c r="AY147">
        <f t="shared" si="12"/>
        <v>0</v>
      </c>
      <c r="AZ147">
        <f t="shared" si="13"/>
        <v>0</v>
      </c>
      <c r="BA147">
        <v>120</v>
      </c>
      <c r="BB147" t="str">
        <f t="shared" si="14"/>
        <v/>
      </c>
      <c r="BC147" t="str">
        <f t="shared" si="15"/>
        <v/>
      </c>
      <c r="BD147">
        <f t="shared" si="16"/>
        <v>0</v>
      </c>
      <c r="BE147">
        <v>0</v>
      </c>
      <c r="BF147" t="str">
        <f t="shared" si="17"/>
        <v/>
      </c>
    </row>
    <row r="148" spans="1:58" x14ac:dyDescent="0.3">
      <c r="A148">
        <v>663</v>
      </c>
      <c r="B148" s="2">
        <v>45559.437395833331</v>
      </c>
      <c r="C148">
        <v>100000</v>
      </c>
      <c r="D148">
        <v>50000</v>
      </c>
      <c r="E148">
        <v>0</v>
      </c>
      <c r="F148">
        <v>17000</v>
      </c>
      <c r="G148">
        <v>0</v>
      </c>
      <c r="H148">
        <v>62000</v>
      </c>
      <c r="I148">
        <v>20000</v>
      </c>
      <c r="J148">
        <v>0</v>
      </c>
      <c r="K148">
        <v>0</v>
      </c>
      <c r="L148">
        <v>0</v>
      </c>
      <c r="M148">
        <v>0</v>
      </c>
      <c r="N148">
        <v>-19000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5</v>
      </c>
      <c r="W148">
        <v>6</v>
      </c>
      <c r="X148">
        <v>170000</v>
      </c>
      <c r="Y148">
        <v>0</v>
      </c>
      <c r="Z148">
        <v>0</v>
      </c>
      <c r="AA148">
        <v>0</v>
      </c>
      <c r="AB148">
        <v>232000</v>
      </c>
      <c r="AC148">
        <v>170000</v>
      </c>
      <c r="AD148">
        <v>153000</v>
      </c>
      <c r="AG148">
        <v>8</v>
      </c>
      <c r="AH148">
        <v>10</v>
      </c>
      <c r="AI148">
        <v>0</v>
      </c>
      <c r="AJ148">
        <v>0</v>
      </c>
      <c r="AK148">
        <v>0</v>
      </c>
      <c r="AL148">
        <v>0</v>
      </c>
      <c r="AM148" t="s">
        <v>168</v>
      </c>
      <c r="AN148">
        <v>546</v>
      </c>
      <c r="AO148">
        <v>180</v>
      </c>
      <c r="AQ148">
        <v>810</v>
      </c>
      <c r="AS148">
        <v>1</v>
      </c>
      <c r="AT148">
        <v>75</v>
      </c>
      <c r="AU148" t="s">
        <v>120</v>
      </c>
      <c r="AV148">
        <v>16</v>
      </c>
      <c r="AW148" t="s">
        <v>108</v>
      </c>
      <c r="AX148">
        <v>21</v>
      </c>
      <c r="AY148">
        <f t="shared" si="12"/>
        <v>18</v>
      </c>
      <c r="AZ148">
        <f t="shared" si="13"/>
        <v>0</v>
      </c>
      <c r="BA148">
        <v>120</v>
      </c>
      <c r="BB148" t="str">
        <f t="shared" si="14"/>
        <v>(Natu-city)</v>
      </c>
      <c r="BC148">
        <f t="shared" si="15"/>
        <v>0</v>
      </c>
      <c r="BD148">
        <f t="shared" si="16"/>
        <v>0</v>
      </c>
      <c r="BE148">
        <v>0</v>
      </c>
      <c r="BF148" t="str">
        <f t="shared" si="17"/>
        <v>(Natu-city)</v>
      </c>
    </row>
    <row r="149" spans="1:58" x14ac:dyDescent="0.3">
      <c r="A149">
        <v>686</v>
      </c>
      <c r="B149" s="2">
        <v>45559.437395833331</v>
      </c>
      <c r="C149">
        <v>100000</v>
      </c>
      <c r="D149">
        <v>50000</v>
      </c>
      <c r="E149">
        <v>19000</v>
      </c>
      <c r="F149">
        <v>17000</v>
      </c>
      <c r="G149">
        <v>0</v>
      </c>
      <c r="H149">
        <v>0</v>
      </c>
      <c r="I149">
        <v>20000</v>
      </c>
      <c r="J149">
        <v>0</v>
      </c>
      <c r="K149">
        <v>0</v>
      </c>
      <c r="L149">
        <v>4000</v>
      </c>
      <c r="M149">
        <v>4000</v>
      </c>
      <c r="N149">
        <v>-14000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1</v>
      </c>
      <c r="U149">
        <v>1</v>
      </c>
      <c r="V149">
        <v>1</v>
      </c>
      <c r="W149">
        <v>6</v>
      </c>
      <c r="X149">
        <v>170000</v>
      </c>
      <c r="Y149">
        <v>170000</v>
      </c>
      <c r="Z149">
        <v>153000</v>
      </c>
      <c r="AA149">
        <v>0</v>
      </c>
      <c r="AB149">
        <v>0</v>
      </c>
      <c r="AC149">
        <v>170000</v>
      </c>
      <c r="AD149">
        <v>136000</v>
      </c>
      <c r="AG149">
        <v>8</v>
      </c>
      <c r="AH149">
        <v>10</v>
      </c>
      <c r="AI149">
        <v>-2</v>
      </c>
      <c r="AJ149">
        <v>-1</v>
      </c>
      <c r="AK149">
        <v>0</v>
      </c>
      <c r="AL149">
        <v>0</v>
      </c>
      <c r="AM149" t="s">
        <v>168</v>
      </c>
      <c r="AN149">
        <v>546</v>
      </c>
      <c r="AO149">
        <v>184</v>
      </c>
      <c r="AP149">
        <v>810</v>
      </c>
      <c r="AQ149">
        <v>810</v>
      </c>
      <c r="AS149">
        <v>2</v>
      </c>
      <c r="AT149">
        <v>75</v>
      </c>
      <c r="AU149" t="s">
        <v>120</v>
      </c>
      <c r="AV149">
        <v>16</v>
      </c>
      <c r="AW149" t="s">
        <v>108</v>
      </c>
      <c r="AX149">
        <v>21</v>
      </c>
      <c r="AY149">
        <f t="shared" si="12"/>
        <v>18</v>
      </c>
      <c r="AZ149">
        <f t="shared" si="13"/>
        <v>0</v>
      </c>
      <c r="BA149">
        <v>120</v>
      </c>
      <c r="BB149" t="str">
        <f t="shared" si="14"/>
        <v>(Natu-city)</v>
      </c>
      <c r="BC149">
        <f t="shared" si="15"/>
        <v>-4</v>
      </c>
      <c r="BD149">
        <f t="shared" si="16"/>
        <v>8000</v>
      </c>
      <c r="BE149">
        <v>0</v>
      </c>
      <c r="BF149" t="str">
        <f t="shared" si="17"/>
        <v>(Natu-city)</v>
      </c>
    </row>
    <row r="150" spans="1:58" x14ac:dyDescent="0.3">
      <c r="A150">
        <v>741</v>
      </c>
      <c r="B150" s="2">
        <v>45559.437395833331</v>
      </c>
      <c r="C150">
        <v>100000</v>
      </c>
      <c r="D150">
        <v>50000</v>
      </c>
      <c r="E150">
        <v>14000</v>
      </c>
      <c r="F150">
        <v>17000</v>
      </c>
      <c r="G150">
        <v>0</v>
      </c>
      <c r="H150">
        <v>0</v>
      </c>
      <c r="I150">
        <v>25000</v>
      </c>
      <c r="J150">
        <v>0</v>
      </c>
      <c r="K150">
        <v>0</v>
      </c>
      <c r="L150">
        <v>0</v>
      </c>
      <c r="M150">
        <v>0</v>
      </c>
      <c r="N150">
        <v>-6000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6</v>
      </c>
      <c r="X150">
        <v>170000</v>
      </c>
      <c r="Y150">
        <v>170000</v>
      </c>
      <c r="Z150">
        <v>136000</v>
      </c>
      <c r="AA150">
        <v>0</v>
      </c>
      <c r="AB150">
        <v>0</v>
      </c>
      <c r="AC150">
        <v>170000</v>
      </c>
      <c r="AD150">
        <v>119000</v>
      </c>
      <c r="AG150">
        <v>8</v>
      </c>
      <c r="AH150">
        <v>10</v>
      </c>
      <c r="AI150">
        <v>-2</v>
      </c>
      <c r="AJ150">
        <v>-1</v>
      </c>
      <c r="AK150">
        <v>0</v>
      </c>
      <c r="AL150">
        <v>0</v>
      </c>
      <c r="AM150" t="s">
        <v>168</v>
      </c>
      <c r="AN150">
        <v>546</v>
      </c>
      <c r="AO150">
        <v>190</v>
      </c>
      <c r="AP150">
        <v>810</v>
      </c>
      <c r="AQ150">
        <v>810</v>
      </c>
      <c r="AS150">
        <v>3</v>
      </c>
      <c r="AT150">
        <v>75</v>
      </c>
      <c r="AU150" t="s">
        <v>120</v>
      </c>
      <c r="AV150">
        <v>16</v>
      </c>
      <c r="AW150" t="s">
        <v>108</v>
      </c>
      <c r="AX150">
        <v>21</v>
      </c>
      <c r="AY150">
        <f t="shared" si="12"/>
        <v>18</v>
      </c>
      <c r="AZ150">
        <f t="shared" si="13"/>
        <v>0</v>
      </c>
      <c r="BA150">
        <v>120</v>
      </c>
      <c r="BB150" t="str">
        <f t="shared" si="14"/>
        <v>(Natu-city)</v>
      </c>
      <c r="BC150">
        <f t="shared" si="15"/>
        <v>-1</v>
      </c>
      <c r="BD150">
        <f t="shared" si="16"/>
        <v>0</v>
      </c>
      <c r="BE150">
        <v>0</v>
      </c>
      <c r="BF150" t="str">
        <f t="shared" si="17"/>
        <v>(Natu-city)</v>
      </c>
    </row>
    <row r="151" spans="1:58" x14ac:dyDescent="0.3">
      <c r="A151">
        <v>590</v>
      </c>
      <c r="B151" s="2">
        <v>45559.437268518523</v>
      </c>
      <c r="C151">
        <v>100000</v>
      </c>
      <c r="D151">
        <v>50000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30000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</v>
      </c>
      <c r="W151">
        <v>6</v>
      </c>
      <c r="X151">
        <v>170000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t="s">
        <v>134</v>
      </c>
      <c r="AN151">
        <v>547</v>
      </c>
      <c r="AO151">
        <v>172</v>
      </c>
      <c r="AS151">
        <v>0</v>
      </c>
      <c r="AT151">
        <v>75</v>
      </c>
      <c r="AU151" t="s">
        <v>120</v>
      </c>
      <c r="AV151">
        <v>16</v>
      </c>
      <c r="AW151" t="s">
        <v>108</v>
      </c>
      <c r="AX151">
        <v>21</v>
      </c>
      <c r="AY151">
        <f t="shared" si="12"/>
        <v>0</v>
      </c>
      <c r="AZ151">
        <f t="shared" si="13"/>
        <v>0</v>
      </c>
      <c r="BA151">
        <v>120</v>
      </c>
      <c r="BB151" t="str">
        <f t="shared" si="14"/>
        <v/>
      </c>
      <c r="BC151" t="str">
        <f t="shared" si="15"/>
        <v/>
      </c>
      <c r="BD151">
        <f t="shared" si="16"/>
        <v>0</v>
      </c>
      <c r="BE151">
        <v>0</v>
      </c>
      <c r="BF151" t="str">
        <f t="shared" si="17"/>
        <v/>
      </c>
    </row>
    <row r="152" spans="1:58" x14ac:dyDescent="0.3">
      <c r="A152">
        <v>658</v>
      </c>
      <c r="B152" s="2">
        <v>45559.437268518523</v>
      </c>
      <c r="C152">
        <v>100000</v>
      </c>
      <c r="D152">
        <v>50000</v>
      </c>
      <c r="E152">
        <v>0</v>
      </c>
      <c r="F152">
        <v>17000</v>
      </c>
      <c r="G152">
        <v>0</v>
      </c>
      <c r="H152">
        <v>51000</v>
      </c>
      <c r="I152">
        <v>15000</v>
      </c>
      <c r="J152">
        <v>0</v>
      </c>
      <c r="K152">
        <v>0</v>
      </c>
      <c r="L152">
        <v>0</v>
      </c>
      <c r="M152">
        <v>0</v>
      </c>
      <c r="N152">
        <v>-3000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6</v>
      </c>
      <c r="X152">
        <v>170000</v>
      </c>
      <c r="Y152">
        <v>0</v>
      </c>
      <c r="Z152">
        <v>0</v>
      </c>
      <c r="AA152">
        <v>0</v>
      </c>
      <c r="AB152">
        <v>221000</v>
      </c>
      <c r="AC152">
        <v>170000</v>
      </c>
      <c r="AD152">
        <v>153000</v>
      </c>
      <c r="AG152">
        <v>8</v>
      </c>
      <c r="AH152">
        <v>7</v>
      </c>
      <c r="AI152">
        <v>0</v>
      </c>
      <c r="AJ152">
        <v>0</v>
      </c>
      <c r="AK152">
        <v>0</v>
      </c>
      <c r="AL152">
        <v>0</v>
      </c>
      <c r="AM152" t="s">
        <v>168</v>
      </c>
      <c r="AN152">
        <v>547</v>
      </c>
      <c r="AO152">
        <v>180</v>
      </c>
      <c r="AQ152">
        <v>816</v>
      </c>
      <c r="AS152">
        <v>1</v>
      </c>
      <c r="AT152">
        <v>75</v>
      </c>
      <c r="AU152" t="s">
        <v>120</v>
      </c>
      <c r="AV152">
        <v>16</v>
      </c>
      <c r="AW152" t="s">
        <v>108</v>
      </c>
      <c r="AX152">
        <v>21</v>
      </c>
      <c r="AY152">
        <f t="shared" si="12"/>
        <v>15</v>
      </c>
      <c r="AZ152">
        <f t="shared" si="13"/>
        <v>0</v>
      </c>
      <c r="BA152">
        <v>120</v>
      </c>
      <c r="BB152" t="str">
        <f t="shared" si="14"/>
        <v>(U-village)</v>
      </c>
      <c r="BC152">
        <f t="shared" si="15"/>
        <v>0</v>
      </c>
      <c r="BD152">
        <f t="shared" si="16"/>
        <v>0</v>
      </c>
      <c r="BE152">
        <v>0</v>
      </c>
      <c r="BF152" t="str">
        <f t="shared" si="17"/>
        <v>(U-village)</v>
      </c>
    </row>
    <row r="153" spans="1:58" x14ac:dyDescent="0.3">
      <c r="A153">
        <v>688</v>
      </c>
      <c r="B153" s="2">
        <v>45559.437268518523</v>
      </c>
      <c r="C153">
        <v>100000</v>
      </c>
      <c r="D153">
        <v>50000</v>
      </c>
      <c r="E153">
        <v>3000</v>
      </c>
      <c r="F153">
        <v>17000</v>
      </c>
      <c r="G153">
        <v>0</v>
      </c>
      <c r="H153">
        <v>0</v>
      </c>
      <c r="I153">
        <v>15000</v>
      </c>
      <c r="J153">
        <v>15000</v>
      </c>
      <c r="K153">
        <v>0</v>
      </c>
      <c r="L153">
        <v>8000</v>
      </c>
      <c r="M153">
        <v>0</v>
      </c>
      <c r="N153">
        <v>-8000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>
        <v>1</v>
      </c>
      <c r="V153">
        <v>1</v>
      </c>
      <c r="W153">
        <v>6</v>
      </c>
      <c r="X153">
        <v>170000</v>
      </c>
      <c r="Y153">
        <v>170000</v>
      </c>
      <c r="Z153">
        <v>153000</v>
      </c>
      <c r="AA153">
        <v>0</v>
      </c>
      <c r="AB153">
        <v>0</v>
      </c>
      <c r="AC153">
        <v>170000</v>
      </c>
      <c r="AD153">
        <v>136000</v>
      </c>
      <c r="AG153">
        <v>8</v>
      </c>
      <c r="AH153">
        <v>7</v>
      </c>
      <c r="AI153">
        <v>-2</v>
      </c>
      <c r="AJ153">
        <v>-1</v>
      </c>
      <c r="AK153">
        <v>1</v>
      </c>
      <c r="AL153">
        <v>2</v>
      </c>
      <c r="AM153" t="s">
        <v>168</v>
      </c>
      <c r="AN153">
        <v>547</v>
      </c>
      <c r="AO153">
        <v>184</v>
      </c>
      <c r="AP153">
        <v>816</v>
      </c>
      <c r="AQ153">
        <v>816</v>
      </c>
      <c r="AS153">
        <v>2</v>
      </c>
      <c r="AT153">
        <v>75</v>
      </c>
      <c r="AU153" t="s">
        <v>120</v>
      </c>
      <c r="AV153">
        <v>16</v>
      </c>
      <c r="AW153" t="s">
        <v>108</v>
      </c>
      <c r="AX153">
        <v>21</v>
      </c>
      <c r="AY153">
        <f t="shared" si="12"/>
        <v>15</v>
      </c>
      <c r="AZ153">
        <f t="shared" si="13"/>
        <v>3</v>
      </c>
      <c r="BA153">
        <v>120</v>
      </c>
      <c r="BB153" t="str">
        <f t="shared" si="14"/>
        <v>(U-village)</v>
      </c>
      <c r="BC153">
        <f t="shared" si="15"/>
        <v>-4</v>
      </c>
      <c r="BD153">
        <f t="shared" si="16"/>
        <v>8000</v>
      </c>
      <c r="BE153">
        <v>15000</v>
      </c>
      <c r="BF153" t="str">
        <f t="shared" si="17"/>
        <v>(U-village)</v>
      </c>
    </row>
    <row r="154" spans="1:58" x14ac:dyDescent="0.3">
      <c r="A154">
        <v>737</v>
      </c>
      <c r="B154" s="2">
        <v>45559.437268518523</v>
      </c>
      <c r="C154">
        <v>100000</v>
      </c>
      <c r="D154">
        <v>50000</v>
      </c>
      <c r="E154">
        <v>8000</v>
      </c>
      <c r="F154">
        <v>17000</v>
      </c>
      <c r="G154">
        <v>0</v>
      </c>
      <c r="H154">
        <v>0</v>
      </c>
      <c r="I154">
        <v>15000</v>
      </c>
      <c r="J154">
        <v>6000</v>
      </c>
      <c r="K154">
        <v>0</v>
      </c>
      <c r="L154">
        <v>0</v>
      </c>
      <c r="M154">
        <v>0</v>
      </c>
      <c r="N154">
        <v>4000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6</v>
      </c>
      <c r="X154">
        <v>170000</v>
      </c>
      <c r="Y154">
        <v>170000</v>
      </c>
      <c r="Z154">
        <v>136000</v>
      </c>
      <c r="AA154">
        <v>0</v>
      </c>
      <c r="AB154">
        <v>0</v>
      </c>
      <c r="AC154">
        <v>170000</v>
      </c>
      <c r="AD154">
        <v>119000</v>
      </c>
      <c r="AG154">
        <v>8</v>
      </c>
      <c r="AH154">
        <v>7</v>
      </c>
      <c r="AI154">
        <v>-2</v>
      </c>
      <c r="AJ154">
        <v>-1</v>
      </c>
      <c r="AK154">
        <v>1</v>
      </c>
      <c r="AL154">
        <v>0</v>
      </c>
      <c r="AM154" t="s">
        <v>168</v>
      </c>
      <c r="AN154">
        <v>547</v>
      </c>
      <c r="AO154">
        <v>190</v>
      </c>
      <c r="AP154">
        <v>816</v>
      </c>
      <c r="AQ154">
        <v>816</v>
      </c>
      <c r="AS154">
        <v>3</v>
      </c>
      <c r="AT154">
        <v>75</v>
      </c>
      <c r="AU154" t="s">
        <v>120</v>
      </c>
      <c r="AV154">
        <v>16</v>
      </c>
      <c r="AW154" t="s">
        <v>108</v>
      </c>
      <c r="AX154">
        <v>21</v>
      </c>
      <c r="AY154">
        <f t="shared" si="12"/>
        <v>15</v>
      </c>
      <c r="AZ154">
        <f t="shared" si="13"/>
        <v>1</v>
      </c>
      <c r="BA154">
        <v>120</v>
      </c>
      <c r="BB154" t="str">
        <f t="shared" si="14"/>
        <v>(U-village)</v>
      </c>
      <c r="BC154">
        <f t="shared" si="15"/>
        <v>-1</v>
      </c>
      <c r="BD154">
        <f t="shared" si="16"/>
        <v>0</v>
      </c>
      <c r="BE154">
        <v>6000</v>
      </c>
      <c r="BF154" t="str">
        <f t="shared" si="17"/>
        <v>(U-village)</v>
      </c>
    </row>
    <row r="155" spans="1:58" x14ac:dyDescent="0.3">
      <c r="A155">
        <v>620</v>
      </c>
      <c r="B155" s="2">
        <v>45559.439398148148</v>
      </c>
      <c r="C155">
        <v>65000</v>
      </c>
      <c r="D155">
        <v>30000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5000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5</v>
      </c>
      <c r="W155">
        <v>4</v>
      </c>
      <c r="X155">
        <v>110000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t="s">
        <v>134</v>
      </c>
      <c r="AN155">
        <v>548</v>
      </c>
      <c r="AO155">
        <v>173</v>
      </c>
      <c r="AS155">
        <v>0</v>
      </c>
      <c r="AT155">
        <v>76</v>
      </c>
      <c r="AU155" t="s">
        <v>121</v>
      </c>
      <c r="AV155">
        <v>16</v>
      </c>
      <c r="AW155" t="s">
        <v>108</v>
      </c>
      <c r="AX155">
        <v>21</v>
      </c>
      <c r="AY155">
        <f t="shared" si="12"/>
        <v>0</v>
      </c>
      <c r="AZ155">
        <f t="shared" si="13"/>
        <v>0</v>
      </c>
      <c r="BA155">
        <v>118</v>
      </c>
      <c r="BB155" t="str">
        <f t="shared" si="14"/>
        <v/>
      </c>
      <c r="BC155" t="str">
        <f t="shared" si="15"/>
        <v/>
      </c>
      <c r="BD155">
        <f t="shared" si="16"/>
        <v>0</v>
      </c>
      <c r="BE155">
        <v>0</v>
      </c>
      <c r="BF155" t="str">
        <f t="shared" si="17"/>
        <v/>
      </c>
    </row>
    <row r="156" spans="1:58" x14ac:dyDescent="0.3">
      <c r="A156">
        <v>632</v>
      </c>
      <c r="B156" s="2">
        <v>45559.439398148148</v>
      </c>
      <c r="C156">
        <v>65000</v>
      </c>
      <c r="D156">
        <v>30000</v>
      </c>
      <c r="E156">
        <v>0</v>
      </c>
      <c r="F156">
        <v>7000</v>
      </c>
      <c r="G156">
        <v>0</v>
      </c>
      <c r="H156">
        <v>0</v>
      </c>
      <c r="I156">
        <v>20000</v>
      </c>
      <c r="J156">
        <v>12000</v>
      </c>
      <c r="K156">
        <v>0</v>
      </c>
      <c r="L156">
        <v>4000</v>
      </c>
      <c r="M156">
        <v>0</v>
      </c>
      <c r="N156">
        <v>-3000</v>
      </c>
      <c r="O156">
        <v>0</v>
      </c>
      <c r="P156">
        <v>-2</v>
      </c>
      <c r="Q156">
        <v>1</v>
      </c>
      <c r="R156">
        <v>0</v>
      </c>
      <c r="S156">
        <v>2</v>
      </c>
      <c r="T156">
        <v>0</v>
      </c>
      <c r="U156">
        <v>0</v>
      </c>
      <c r="V156">
        <v>2</v>
      </c>
      <c r="W156">
        <v>4</v>
      </c>
      <c r="X156">
        <v>110000</v>
      </c>
      <c r="Y156">
        <v>0</v>
      </c>
      <c r="Z156">
        <v>0</v>
      </c>
      <c r="AA156">
        <v>0</v>
      </c>
      <c r="AB156">
        <v>70000</v>
      </c>
      <c r="AC156">
        <v>70000</v>
      </c>
      <c r="AD156">
        <v>63000</v>
      </c>
      <c r="AG156">
        <v>8</v>
      </c>
      <c r="AH156">
        <v>7</v>
      </c>
      <c r="AI156">
        <v>0</v>
      </c>
      <c r="AJ156">
        <v>0</v>
      </c>
      <c r="AK156">
        <v>1</v>
      </c>
      <c r="AL156">
        <v>0</v>
      </c>
      <c r="AM156" t="s">
        <v>168</v>
      </c>
      <c r="AN156">
        <v>548</v>
      </c>
      <c r="AO156">
        <v>176</v>
      </c>
      <c r="AQ156">
        <v>778</v>
      </c>
      <c r="AS156">
        <v>1</v>
      </c>
      <c r="AT156">
        <v>76</v>
      </c>
      <c r="AU156" t="s">
        <v>121</v>
      </c>
      <c r="AV156">
        <v>16</v>
      </c>
      <c r="AW156" t="s">
        <v>108</v>
      </c>
      <c r="AX156">
        <v>21</v>
      </c>
      <c r="AY156">
        <f t="shared" si="12"/>
        <v>15</v>
      </c>
      <c r="AZ156">
        <f t="shared" si="13"/>
        <v>1</v>
      </c>
      <c r="BA156">
        <v>118</v>
      </c>
      <c r="BB156" t="str">
        <f t="shared" si="14"/>
        <v>(U-village)</v>
      </c>
      <c r="BC156">
        <f t="shared" si="15"/>
        <v>-3</v>
      </c>
      <c r="BD156">
        <f t="shared" si="16"/>
        <v>4000</v>
      </c>
      <c r="BE156">
        <v>12000</v>
      </c>
      <c r="BF156" t="str">
        <f t="shared" si="17"/>
        <v>(U-village)</v>
      </c>
    </row>
    <row r="157" spans="1:58" x14ac:dyDescent="0.3">
      <c r="A157">
        <v>679</v>
      </c>
      <c r="B157" s="2">
        <v>45559.439398148148</v>
      </c>
      <c r="C157">
        <v>65000</v>
      </c>
      <c r="D157">
        <v>30000</v>
      </c>
      <c r="E157">
        <v>3000</v>
      </c>
      <c r="F157">
        <v>8000</v>
      </c>
      <c r="G157">
        <v>7000</v>
      </c>
      <c r="H157">
        <v>0</v>
      </c>
      <c r="I157">
        <v>25000</v>
      </c>
      <c r="J157">
        <v>6000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-2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-2</v>
      </c>
      <c r="W157">
        <v>4</v>
      </c>
      <c r="X157">
        <v>110000</v>
      </c>
      <c r="Y157">
        <v>70000</v>
      </c>
      <c r="Z157">
        <v>63000</v>
      </c>
      <c r="AA157">
        <v>70000</v>
      </c>
      <c r="AB157">
        <v>80000</v>
      </c>
      <c r="AC157">
        <v>80000</v>
      </c>
      <c r="AD157">
        <v>72000</v>
      </c>
      <c r="AE157">
        <v>26</v>
      </c>
      <c r="AG157">
        <v>6</v>
      </c>
      <c r="AH157">
        <v>10</v>
      </c>
      <c r="AI157">
        <v>-2</v>
      </c>
      <c r="AJ157">
        <v>-1</v>
      </c>
      <c r="AK157">
        <v>1</v>
      </c>
      <c r="AL157">
        <v>0</v>
      </c>
      <c r="AM157" t="s">
        <v>168</v>
      </c>
      <c r="AN157">
        <v>548</v>
      </c>
      <c r="AO157">
        <v>182</v>
      </c>
      <c r="AP157">
        <v>778</v>
      </c>
      <c r="AQ157">
        <v>826</v>
      </c>
      <c r="AS157">
        <v>2</v>
      </c>
      <c r="AT157">
        <v>76</v>
      </c>
      <c r="AU157" t="s">
        <v>121</v>
      </c>
      <c r="AV157">
        <v>16</v>
      </c>
      <c r="AW157" t="s">
        <v>108</v>
      </c>
      <c r="AX157">
        <v>21</v>
      </c>
      <c r="AY157">
        <f t="shared" si="12"/>
        <v>16</v>
      </c>
      <c r="AZ157">
        <f t="shared" si="13"/>
        <v>1</v>
      </c>
      <c r="BA157">
        <v>118</v>
      </c>
      <c r="BB157" t="str">
        <f t="shared" si="14"/>
        <v>(Dike-town)</v>
      </c>
      <c r="BC157">
        <f t="shared" si="15"/>
        <v>-4</v>
      </c>
      <c r="BD157">
        <f t="shared" si="16"/>
        <v>0</v>
      </c>
      <c r="BE157">
        <v>6000</v>
      </c>
      <c r="BF157" t="str">
        <f t="shared" si="17"/>
        <v>(Dike-town)</v>
      </c>
    </row>
    <row r="158" spans="1:58" x14ac:dyDescent="0.3">
      <c r="A158">
        <v>718</v>
      </c>
      <c r="B158" s="2">
        <v>45559.439398148148</v>
      </c>
      <c r="C158">
        <v>65000</v>
      </c>
      <c r="D158">
        <v>30000</v>
      </c>
      <c r="E158">
        <v>0</v>
      </c>
      <c r="F158">
        <v>10000</v>
      </c>
      <c r="G158">
        <v>8000</v>
      </c>
      <c r="H158">
        <v>0</v>
      </c>
      <c r="I158">
        <v>20000</v>
      </c>
      <c r="J158">
        <v>12000</v>
      </c>
      <c r="K158">
        <v>0</v>
      </c>
      <c r="L158">
        <v>0</v>
      </c>
      <c r="M158">
        <v>4000</v>
      </c>
      <c r="N158">
        <v>-3000</v>
      </c>
      <c r="O158">
        <v>1</v>
      </c>
      <c r="P158">
        <v>-1</v>
      </c>
      <c r="Q158">
        <v>1</v>
      </c>
      <c r="R158">
        <v>0</v>
      </c>
      <c r="S158">
        <v>1</v>
      </c>
      <c r="T158">
        <v>1</v>
      </c>
      <c r="U158">
        <v>0</v>
      </c>
      <c r="V158">
        <v>-5</v>
      </c>
      <c r="W158">
        <v>4</v>
      </c>
      <c r="X158">
        <v>110000</v>
      </c>
      <c r="Y158">
        <v>80000</v>
      </c>
      <c r="Z158">
        <v>72000</v>
      </c>
      <c r="AA158">
        <v>80000</v>
      </c>
      <c r="AB158">
        <v>100000</v>
      </c>
      <c r="AC158">
        <v>100000</v>
      </c>
      <c r="AD158">
        <v>90000</v>
      </c>
      <c r="AE158">
        <v>28</v>
      </c>
      <c r="AG158">
        <v>8</v>
      </c>
      <c r="AH158">
        <v>10</v>
      </c>
      <c r="AI158">
        <v>-2</v>
      </c>
      <c r="AJ158">
        <v>-1</v>
      </c>
      <c r="AK158">
        <v>1</v>
      </c>
      <c r="AL158">
        <v>1</v>
      </c>
      <c r="AM158" t="s">
        <v>168</v>
      </c>
      <c r="AN158">
        <v>548</v>
      </c>
      <c r="AO158">
        <v>187</v>
      </c>
      <c r="AP158">
        <v>826</v>
      </c>
      <c r="AQ158">
        <v>850</v>
      </c>
      <c r="AS158">
        <v>3</v>
      </c>
      <c r="AT158">
        <v>76</v>
      </c>
      <c r="AU158" t="s">
        <v>121</v>
      </c>
      <c r="AV158">
        <v>16</v>
      </c>
      <c r="AW158" t="s">
        <v>108</v>
      </c>
      <c r="AX158">
        <v>21</v>
      </c>
      <c r="AY158">
        <f t="shared" si="12"/>
        <v>18</v>
      </c>
      <c r="AZ158">
        <f t="shared" si="13"/>
        <v>2</v>
      </c>
      <c r="BA158">
        <v>118</v>
      </c>
      <c r="BB158" t="str">
        <f t="shared" si="14"/>
        <v>(Natu-city)</v>
      </c>
      <c r="BC158">
        <f t="shared" si="15"/>
        <v>-3</v>
      </c>
      <c r="BD158">
        <f t="shared" si="16"/>
        <v>4000</v>
      </c>
      <c r="BE158">
        <v>12000</v>
      </c>
      <c r="BF158" t="str">
        <f t="shared" si="17"/>
        <v>(Natu-city)</v>
      </c>
    </row>
    <row r="159" spans="1:58" x14ac:dyDescent="0.3">
      <c r="A159">
        <v>602</v>
      </c>
      <c r="B159" s="2">
        <v>45559.438437500001</v>
      </c>
      <c r="C159">
        <v>100000</v>
      </c>
      <c r="D159">
        <v>50000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30000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6</v>
      </c>
      <c r="X159">
        <v>170000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t="s">
        <v>134</v>
      </c>
      <c r="AN159">
        <v>549</v>
      </c>
      <c r="AO159">
        <v>173</v>
      </c>
      <c r="AS159">
        <v>0</v>
      </c>
      <c r="AT159">
        <v>76</v>
      </c>
      <c r="AU159" t="s">
        <v>121</v>
      </c>
      <c r="AV159">
        <v>16</v>
      </c>
      <c r="AW159" t="s">
        <v>108</v>
      </c>
      <c r="AX159">
        <v>21</v>
      </c>
      <c r="AY159">
        <f t="shared" si="12"/>
        <v>0</v>
      </c>
      <c r="AZ159">
        <f t="shared" si="13"/>
        <v>0</v>
      </c>
      <c r="BA159">
        <v>120</v>
      </c>
      <c r="BB159" t="str">
        <f t="shared" si="14"/>
        <v/>
      </c>
      <c r="BC159" t="str">
        <f t="shared" si="15"/>
        <v/>
      </c>
      <c r="BD159">
        <f t="shared" si="16"/>
        <v>0</v>
      </c>
      <c r="BE159">
        <v>0</v>
      </c>
      <c r="BF159" t="str">
        <f t="shared" si="17"/>
        <v/>
      </c>
    </row>
    <row r="160" spans="1:58" x14ac:dyDescent="0.3">
      <c r="A160">
        <v>629</v>
      </c>
      <c r="B160" s="2">
        <v>45559.438437500001</v>
      </c>
      <c r="C160">
        <v>100000</v>
      </c>
      <c r="D160">
        <v>50000</v>
      </c>
      <c r="E160">
        <v>0</v>
      </c>
      <c r="F160">
        <v>12500</v>
      </c>
      <c r="G160">
        <v>0</v>
      </c>
      <c r="H160">
        <v>0</v>
      </c>
      <c r="I160">
        <v>20000</v>
      </c>
      <c r="J160">
        <v>46000</v>
      </c>
      <c r="K160">
        <v>0</v>
      </c>
      <c r="L160">
        <v>0</v>
      </c>
      <c r="M160">
        <v>0</v>
      </c>
      <c r="N160">
        <v>1500</v>
      </c>
      <c r="O160">
        <v>0</v>
      </c>
      <c r="P160">
        <v>-3</v>
      </c>
      <c r="Q160">
        <v>1</v>
      </c>
      <c r="R160">
        <v>4</v>
      </c>
      <c r="S160">
        <v>0</v>
      </c>
      <c r="T160">
        <v>0</v>
      </c>
      <c r="U160">
        <v>0</v>
      </c>
      <c r="V160">
        <v>7</v>
      </c>
      <c r="W160">
        <v>6</v>
      </c>
      <c r="X160">
        <v>170000</v>
      </c>
      <c r="Y160">
        <v>0</v>
      </c>
      <c r="Z160">
        <v>0</v>
      </c>
      <c r="AA160">
        <v>0</v>
      </c>
      <c r="AB160">
        <v>125000</v>
      </c>
      <c r="AC160">
        <v>125000</v>
      </c>
      <c r="AD160">
        <v>112500</v>
      </c>
      <c r="AG160">
        <v>8</v>
      </c>
      <c r="AH160">
        <v>10</v>
      </c>
      <c r="AI160">
        <v>0</v>
      </c>
      <c r="AJ160">
        <v>0</v>
      </c>
      <c r="AK160">
        <v>2</v>
      </c>
      <c r="AL160">
        <v>1</v>
      </c>
      <c r="AM160" t="s">
        <v>168</v>
      </c>
      <c r="AN160">
        <v>549</v>
      </c>
      <c r="AO160">
        <v>176</v>
      </c>
      <c r="AQ160">
        <v>771</v>
      </c>
      <c r="AS160">
        <v>1</v>
      </c>
      <c r="AT160">
        <v>76</v>
      </c>
      <c r="AU160" t="s">
        <v>121</v>
      </c>
      <c r="AV160">
        <v>16</v>
      </c>
      <c r="AW160" t="s">
        <v>108</v>
      </c>
      <c r="AX160">
        <v>21</v>
      </c>
      <c r="AY160">
        <f t="shared" si="12"/>
        <v>18</v>
      </c>
      <c r="AZ160">
        <f t="shared" si="13"/>
        <v>3</v>
      </c>
      <c r="BA160">
        <v>120</v>
      </c>
      <c r="BB160" t="str">
        <f t="shared" si="14"/>
        <v>(Natu-city)</v>
      </c>
      <c r="BC160">
        <f t="shared" si="15"/>
        <v>2</v>
      </c>
      <c r="BD160">
        <f t="shared" si="16"/>
        <v>0</v>
      </c>
      <c r="BE160">
        <v>46000</v>
      </c>
      <c r="BF160" t="str">
        <f t="shared" si="17"/>
        <v>(Natu-city)</v>
      </c>
    </row>
    <row r="161" spans="1:58" x14ac:dyDescent="0.3">
      <c r="A161">
        <v>677</v>
      </c>
      <c r="B161" s="2">
        <v>45559.438437500001</v>
      </c>
      <c r="C161">
        <v>100000</v>
      </c>
      <c r="D161">
        <v>50000</v>
      </c>
      <c r="E161">
        <v>0</v>
      </c>
      <c r="F161">
        <v>12500</v>
      </c>
      <c r="G161">
        <v>0</v>
      </c>
      <c r="H161">
        <v>0</v>
      </c>
      <c r="I161">
        <v>20000</v>
      </c>
      <c r="J161">
        <v>12000</v>
      </c>
      <c r="K161">
        <v>0</v>
      </c>
      <c r="L161">
        <v>0</v>
      </c>
      <c r="M161">
        <v>0</v>
      </c>
      <c r="N161">
        <v>7000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7</v>
      </c>
      <c r="W161">
        <v>6</v>
      </c>
      <c r="X161">
        <v>170000</v>
      </c>
      <c r="Y161">
        <v>125000</v>
      </c>
      <c r="Z161">
        <v>112500</v>
      </c>
      <c r="AA161">
        <v>0</v>
      </c>
      <c r="AB161">
        <v>0</v>
      </c>
      <c r="AC161">
        <v>125000</v>
      </c>
      <c r="AD161">
        <v>100000</v>
      </c>
      <c r="AG161">
        <v>8</v>
      </c>
      <c r="AH161">
        <v>10</v>
      </c>
      <c r="AI161">
        <v>-2</v>
      </c>
      <c r="AJ161">
        <v>-1</v>
      </c>
      <c r="AK161">
        <v>1</v>
      </c>
      <c r="AL161">
        <v>1</v>
      </c>
      <c r="AM161" t="s">
        <v>168</v>
      </c>
      <c r="AN161">
        <v>549</v>
      </c>
      <c r="AO161">
        <v>182</v>
      </c>
      <c r="AP161">
        <v>771</v>
      </c>
      <c r="AQ161">
        <v>771</v>
      </c>
      <c r="AS161">
        <v>2</v>
      </c>
      <c r="AT161">
        <v>76</v>
      </c>
      <c r="AU161" t="s">
        <v>121</v>
      </c>
      <c r="AV161">
        <v>16</v>
      </c>
      <c r="AW161" t="s">
        <v>108</v>
      </c>
      <c r="AX161">
        <v>21</v>
      </c>
      <c r="AY161">
        <f t="shared" si="12"/>
        <v>18</v>
      </c>
      <c r="AZ161">
        <f t="shared" si="13"/>
        <v>2</v>
      </c>
      <c r="BA161">
        <v>120</v>
      </c>
      <c r="BB161" t="str">
        <f t="shared" si="14"/>
        <v>(Natu-city)</v>
      </c>
      <c r="BC161">
        <f t="shared" si="15"/>
        <v>0</v>
      </c>
      <c r="BD161">
        <f t="shared" si="16"/>
        <v>0</v>
      </c>
      <c r="BE161">
        <v>12000</v>
      </c>
      <c r="BF161" t="str">
        <f t="shared" si="17"/>
        <v>(Natu-city)</v>
      </c>
    </row>
    <row r="162" spans="1:58" x14ac:dyDescent="0.3">
      <c r="A162">
        <v>714</v>
      </c>
      <c r="B162" s="2">
        <v>45559.438437500001</v>
      </c>
      <c r="C162">
        <v>100000</v>
      </c>
      <c r="D162">
        <v>50000</v>
      </c>
      <c r="E162">
        <v>0</v>
      </c>
      <c r="F162">
        <v>12500</v>
      </c>
      <c r="G162">
        <v>0</v>
      </c>
      <c r="H162">
        <v>0</v>
      </c>
      <c r="I162">
        <v>20000</v>
      </c>
      <c r="J162">
        <v>0</v>
      </c>
      <c r="K162">
        <v>0</v>
      </c>
      <c r="L162">
        <v>4000</v>
      </c>
      <c r="M162">
        <v>4000</v>
      </c>
      <c r="N162">
        <v>16500</v>
      </c>
      <c r="O162">
        <v>0</v>
      </c>
      <c r="P162">
        <v>0</v>
      </c>
      <c r="Q162">
        <v>0</v>
      </c>
      <c r="R162">
        <v>0</v>
      </c>
      <c r="S162">
        <v>2</v>
      </c>
      <c r="T162">
        <v>1</v>
      </c>
      <c r="U162">
        <v>0</v>
      </c>
      <c r="V162">
        <v>4</v>
      </c>
      <c r="W162">
        <v>6</v>
      </c>
      <c r="X162">
        <v>170000</v>
      </c>
      <c r="Y162">
        <v>125000</v>
      </c>
      <c r="Z162">
        <v>100000</v>
      </c>
      <c r="AA162">
        <v>0</v>
      </c>
      <c r="AB162">
        <v>0</v>
      </c>
      <c r="AC162">
        <v>125000</v>
      </c>
      <c r="AD162">
        <v>87500</v>
      </c>
      <c r="AG162">
        <v>8</v>
      </c>
      <c r="AH162">
        <v>10</v>
      </c>
      <c r="AI162">
        <v>-2</v>
      </c>
      <c r="AJ162">
        <v>-1</v>
      </c>
      <c r="AK162">
        <v>0</v>
      </c>
      <c r="AL162">
        <v>0</v>
      </c>
      <c r="AM162" t="s">
        <v>168</v>
      </c>
      <c r="AN162">
        <v>549</v>
      </c>
      <c r="AO162">
        <v>187</v>
      </c>
      <c r="AP162">
        <v>771</v>
      </c>
      <c r="AQ162">
        <v>771</v>
      </c>
      <c r="AS162">
        <v>3</v>
      </c>
      <c r="AT162">
        <v>76</v>
      </c>
      <c r="AU162" t="s">
        <v>121</v>
      </c>
      <c r="AV162">
        <v>16</v>
      </c>
      <c r="AW162" t="s">
        <v>108</v>
      </c>
      <c r="AX162">
        <v>21</v>
      </c>
      <c r="AY162">
        <f t="shared" si="12"/>
        <v>18</v>
      </c>
      <c r="AZ162">
        <f t="shared" si="13"/>
        <v>0</v>
      </c>
      <c r="BA162">
        <v>120</v>
      </c>
      <c r="BB162" t="str">
        <f t="shared" si="14"/>
        <v>(Natu-city)</v>
      </c>
      <c r="BC162">
        <f t="shared" si="15"/>
        <v>-3</v>
      </c>
      <c r="BD162">
        <f t="shared" si="16"/>
        <v>8000</v>
      </c>
      <c r="BE162">
        <v>0</v>
      </c>
      <c r="BF162" t="str">
        <f t="shared" si="17"/>
        <v>(Natu-city)</v>
      </c>
    </row>
    <row r="163" spans="1:58" x14ac:dyDescent="0.3">
      <c r="A163">
        <v>606</v>
      </c>
      <c r="B163" s="2">
        <v>45559.438761574071</v>
      </c>
      <c r="C163">
        <v>50000</v>
      </c>
      <c r="D163">
        <v>20000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</v>
      </c>
      <c r="W163">
        <v>3</v>
      </c>
      <c r="X163">
        <v>80000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t="s">
        <v>134</v>
      </c>
      <c r="AN163">
        <v>550</v>
      </c>
      <c r="AO163">
        <v>173</v>
      </c>
      <c r="AS163">
        <v>0</v>
      </c>
      <c r="AT163">
        <v>76</v>
      </c>
      <c r="AU163" t="s">
        <v>121</v>
      </c>
      <c r="AV163">
        <v>16</v>
      </c>
      <c r="AW163" t="s">
        <v>108</v>
      </c>
      <c r="AX163">
        <v>21</v>
      </c>
      <c r="AY163">
        <f t="shared" si="12"/>
        <v>0</v>
      </c>
      <c r="AZ163">
        <f t="shared" si="13"/>
        <v>0</v>
      </c>
      <c r="BA163">
        <v>117</v>
      </c>
      <c r="BB163" t="str">
        <f t="shared" si="14"/>
        <v/>
      </c>
      <c r="BC163" t="str">
        <f t="shared" si="15"/>
        <v/>
      </c>
      <c r="BD163">
        <f t="shared" si="16"/>
        <v>0</v>
      </c>
      <c r="BE163">
        <v>0</v>
      </c>
      <c r="BF163" t="str">
        <f t="shared" si="17"/>
        <v/>
      </c>
    </row>
    <row r="164" spans="1:58" x14ac:dyDescent="0.3">
      <c r="A164">
        <v>631</v>
      </c>
      <c r="B164" s="2">
        <v>45559.438761574071</v>
      </c>
      <c r="C164">
        <v>50000</v>
      </c>
      <c r="D164">
        <v>20000</v>
      </c>
      <c r="E164">
        <v>0</v>
      </c>
      <c r="F164">
        <v>8000</v>
      </c>
      <c r="G164">
        <v>0</v>
      </c>
      <c r="H164">
        <v>0</v>
      </c>
      <c r="I164">
        <v>15000</v>
      </c>
      <c r="J164">
        <v>6000</v>
      </c>
      <c r="K164">
        <v>0</v>
      </c>
      <c r="L164">
        <v>0</v>
      </c>
      <c r="M164">
        <v>4000</v>
      </c>
      <c r="N164">
        <v>-3000</v>
      </c>
      <c r="O164">
        <v>0</v>
      </c>
      <c r="P164">
        <v>-1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3</v>
      </c>
      <c r="W164">
        <v>3</v>
      </c>
      <c r="X164">
        <v>80000</v>
      </c>
      <c r="Y164">
        <v>0</v>
      </c>
      <c r="Z164">
        <v>0</v>
      </c>
      <c r="AA164">
        <v>0</v>
      </c>
      <c r="AB164">
        <v>80000</v>
      </c>
      <c r="AC164">
        <v>80000</v>
      </c>
      <c r="AD164">
        <v>72000</v>
      </c>
      <c r="AG164">
        <v>6</v>
      </c>
      <c r="AH164">
        <v>10</v>
      </c>
      <c r="AI164">
        <v>0</v>
      </c>
      <c r="AJ164">
        <v>0</v>
      </c>
      <c r="AK164">
        <v>1</v>
      </c>
      <c r="AL164">
        <v>0</v>
      </c>
      <c r="AM164" t="s">
        <v>168</v>
      </c>
      <c r="AN164">
        <v>550</v>
      </c>
      <c r="AO164">
        <v>176</v>
      </c>
      <c r="AQ164">
        <v>775</v>
      </c>
      <c r="AS164">
        <v>1</v>
      </c>
      <c r="AT164">
        <v>76</v>
      </c>
      <c r="AU164" t="s">
        <v>121</v>
      </c>
      <c r="AV164">
        <v>16</v>
      </c>
      <c r="AW164" t="s">
        <v>108</v>
      </c>
      <c r="AX164">
        <v>21</v>
      </c>
      <c r="AY164">
        <f t="shared" si="12"/>
        <v>16</v>
      </c>
      <c r="AZ164">
        <f t="shared" si="13"/>
        <v>1</v>
      </c>
      <c r="BA164">
        <v>117</v>
      </c>
      <c r="BB164" t="str">
        <f t="shared" si="14"/>
        <v>(Dike-town)</v>
      </c>
      <c r="BC164">
        <f t="shared" si="15"/>
        <v>-2</v>
      </c>
      <c r="BD164">
        <f t="shared" si="16"/>
        <v>4000</v>
      </c>
      <c r="BE164">
        <v>6000</v>
      </c>
      <c r="BF164" t="str">
        <f t="shared" si="17"/>
        <v>(Dike-town)</v>
      </c>
    </row>
    <row r="165" spans="1:58" x14ac:dyDescent="0.3">
      <c r="A165">
        <v>678</v>
      </c>
      <c r="B165" s="2">
        <v>45559.438761574071</v>
      </c>
      <c r="C165">
        <v>50000</v>
      </c>
      <c r="D165">
        <v>20000</v>
      </c>
      <c r="E165">
        <v>3000</v>
      </c>
      <c r="F165">
        <v>8000</v>
      </c>
      <c r="G165">
        <v>0</v>
      </c>
      <c r="H165">
        <v>0</v>
      </c>
      <c r="I165">
        <v>25000</v>
      </c>
      <c r="J165">
        <v>0</v>
      </c>
      <c r="K165">
        <v>0</v>
      </c>
      <c r="L165">
        <v>0</v>
      </c>
      <c r="M165">
        <v>0</v>
      </c>
      <c r="N165">
        <v>-6000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3</v>
      </c>
      <c r="X165">
        <v>80000</v>
      </c>
      <c r="Y165">
        <v>80000</v>
      </c>
      <c r="Z165">
        <v>72000</v>
      </c>
      <c r="AA165">
        <v>0</v>
      </c>
      <c r="AB165">
        <v>0</v>
      </c>
      <c r="AC165">
        <v>80000</v>
      </c>
      <c r="AD165">
        <v>64000</v>
      </c>
      <c r="AG165">
        <v>6</v>
      </c>
      <c r="AH165">
        <v>10</v>
      </c>
      <c r="AI165">
        <v>-2</v>
      </c>
      <c r="AJ165">
        <v>-1</v>
      </c>
      <c r="AK165">
        <v>0</v>
      </c>
      <c r="AL165">
        <v>0</v>
      </c>
      <c r="AM165" t="s">
        <v>168</v>
      </c>
      <c r="AN165">
        <v>550</v>
      </c>
      <c r="AO165">
        <v>182</v>
      </c>
      <c r="AP165">
        <v>775</v>
      </c>
      <c r="AQ165">
        <v>775</v>
      </c>
      <c r="AS165">
        <v>2</v>
      </c>
      <c r="AT165">
        <v>76</v>
      </c>
      <c r="AU165" t="s">
        <v>121</v>
      </c>
      <c r="AV165">
        <v>16</v>
      </c>
      <c r="AW165" t="s">
        <v>108</v>
      </c>
      <c r="AX165">
        <v>21</v>
      </c>
      <c r="AY165">
        <f t="shared" si="12"/>
        <v>16</v>
      </c>
      <c r="AZ165">
        <f t="shared" si="13"/>
        <v>0</v>
      </c>
      <c r="BA165">
        <v>117</v>
      </c>
      <c r="BB165" t="str">
        <f t="shared" si="14"/>
        <v>(Dike-town)</v>
      </c>
      <c r="BC165">
        <f t="shared" si="15"/>
        <v>-1</v>
      </c>
      <c r="BD165">
        <f t="shared" si="16"/>
        <v>0</v>
      </c>
      <c r="BE165">
        <v>0</v>
      </c>
      <c r="BF165" t="str">
        <f t="shared" si="17"/>
        <v>(Dike-town)</v>
      </c>
    </row>
    <row r="166" spans="1:58" x14ac:dyDescent="0.3">
      <c r="A166">
        <v>717</v>
      </c>
      <c r="B166" s="2">
        <v>45559.438761574071</v>
      </c>
      <c r="C166">
        <v>50000</v>
      </c>
      <c r="D166">
        <v>20000</v>
      </c>
      <c r="E166">
        <v>6000</v>
      </c>
      <c r="F166">
        <v>8000</v>
      </c>
      <c r="G166">
        <v>0</v>
      </c>
      <c r="H166">
        <v>0</v>
      </c>
      <c r="I166">
        <v>15000</v>
      </c>
      <c r="J166">
        <v>0</v>
      </c>
      <c r="K166">
        <v>0</v>
      </c>
      <c r="L166">
        <v>4000</v>
      </c>
      <c r="M166">
        <v>4000</v>
      </c>
      <c r="N166">
        <v>-7000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1</v>
      </c>
      <c r="U166">
        <v>1</v>
      </c>
      <c r="V166">
        <v>-2</v>
      </c>
      <c r="W166">
        <v>3</v>
      </c>
      <c r="X166">
        <v>80000</v>
      </c>
      <c r="Y166">
        <v>80000</v>
      </c>
      <c r="Z166">
        <v>64000</v>
      </c>
      <c r="AA166">
        <v>0</v>
      </c>
      <c r="AB166">
        <v>0</v>
      </c>
      <c r="AC166">
        <v>80000</v>
      </c>
      <c r="AD166">
        <v>56000</v>
      </c>
      <c r="AG166">
        <v>6</v>
      </c>
      <c r="AH166">
        <v>10</v>
      </c>
      <c r="AI166">
        <v>-2</v>
      </c>
      <c r="AJ166">
        <v>-1</v>
      </c>
      <c r="AK166">
        <v>0</v>
      </c>
      <c r="AL166">
        <v>0</v>
      </c>
      <c r="AM166" t="s">
        <v>168</v>
      </c>
      <c r="AN166">
        <v>550</v>
      </c>
      <c r="AO166">
        <v>187</v>
      </c>
      <c r="AP166">
        <v>775</v>
      </c>
      <c r="AQ166">
        <v>775</v>
      </c>
      <c r="AS166">
        <v>3</v>
      </c>
      <c r="AT166">
        <v>76</v>
      </c>
      <c r="AU166" t="s">
        <v>121</v>
      </c>
      <c r="AV166">
        <v>16</v>
      </c>
      <c r="AW166" t="s">
        <v>108</v>
      </c>
      <c r="AX166">
        <v>21</v>
      </c>
      <c r="AY166">
        <f t="shared" si="12"/>
        <v>16</v>
      </c>
      <c r="AZ166">
        <f t="shared" si="13"/>
        <v>0</v>
      </c>
      <c r="BA166">
        <v>117</v>
      </c>
      <c r="BB166" t="str">
        <f t="shared" si="14"/>
        <v>(Dike-town)</v>
      </c>
      <c r="BC166">
        <f t="shared" si="15"/>
        <v>-4</v>
      </c>
      <c r="BD166">
        <f t="shared" si="16"/>
        <v>8000</v>
      </c>
      <c r="BE166">
        <v>0</v>
      </c>
      <c r="BF166" t="str">
        <f t="shared" si="17"/>
        <v>(Dike-town)</v>
      </c>
    </row>
    <row r="167" spans="1:58" x14ac:dyDescent="0.3">
      <c r="A167">
        <v>604</v>
      </c>
      <c r="B167" s="2">
        <v>45559.438634259262</v>
      </c>
      <c r="C167">
        <v>80000</v>
      </c>
      <c r="D167">
        <v>40000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15000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</v>
      </c>
      <c r="W167">
        <v>5</v>
      </c>
      <c r="X167">
        <v>130000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t="s">
        <v>134</v>
      </c>
      <c r="AN167">
        <v>551</v>
      </c>
      <c r="AO167">
        <v>173</v>
      </c>
      <c r="AS167">
        <v>0</v>
      </c>
      <c r="AT167">
        <v>76</v>
      </c>
      <c r="AU167" t="s">
        <v>121</v>
      </c>
      <c r="AV167">
        <v>16</v>
      </c>
      <c r="AW167" t="s">
        <v>108</v>
      </c>
      <c r="AX167">
        <v>21</v>
      </c>
      <c r="AY167">
        <f t="shared" si="12"/>
        <v>0</v>
      </c>
      <c r="AZ167">
        <f t="shared" si="13"/>
        <v>0</v>
      </c>
      <c r="BA167">
        <v>119</v>
      </c>
      <c r="BB167" t="str">
        <f t="shared" si="14"/>
        <v/>
      </c>
      <c r="BC167" t="str">
        <f t="shared" si="15"/>
        <v/>
      </c>
      <c r="BD167">
        <f t="shared" si="16"/>
        <v>0</v>
      </c>
      <c r="BE167">
        <v>0</v>
      </c>
      <c r="BF167" t="str">
        <f t="shared" si="17"/>
        <v/>
      </c>
    </row>
    <row r="168" spans="1:58" x14ac:dyDescent="0.3">
      <c r="A168">
        <v>627</v>
      </c>
      <c r="B168" s="2">
        <v>45559.438634259262</v>
      </c>
      <c r="C168">
        <v>80000</v>
      </c>
      <c r="D168">
        <v>40000</v>
      </c>
      <c r="E168">
        <v>0</v>
      </c>
      <c r="F168">
        <v>13000</v>
      </c>
      <c r="G168">
        <v>0</v>
      </c>
      <c r="H168">
        <v>30000</v>
      </c>
      <c r="I168">
        <v>15000</v>
      </c>
      <c r="J168">
        <v>0</v>
      </c>
      <c r="K168">
        <v>0</v>
      </c>
      <c r="L168">
        <v>0</v>
      </c>
      <c r="M168">
        <v>4000</v>
      </c>
      <c r="N168">
        <v>-7000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4</v>
      </c>
      <c r="W168">
        <v>5</v>
      </c>
      <c r="X168">
        <v>130000</v>
      </c>
      <c r="Y168">
        <v>0</v>
      </c>
      <c r="Z168">
        <v>0</v>
      </c>
      <c r="AA168">
        <v>0</v>
      </c>
      <c r="AB168">
        <v>160000</v>
      </c>
      <c r="AC168">
        <v>130000</v>
      </c>
      <c r="AD168">
        <v>117000</v>
      </c>
      <c r="AG168">
        <v>6</v>
      </c>
      <c r="AH168">
        <v>10</v>
      </c>
      <c r="AI168">
        <v>0</v>
      </c>
      <c r="AJ168">
        <v>0</v>
      </c>
      <c r="AK168">
        <v>0</v>
      </c>
      <c r="AL168">
        <v>0</v>
      </c>
      <c r="AM168" t="s">
        <v>168</v>
      </c>
      <c r="AN168">
        <v>551</v>
      </c>
      <c r="AO168">
        <v>176</v>
      </c>
      <c r="AQ168">
        <v>774</v>
      </c>
      <c r="AS168">
        <v>1</v>
      </c>
      <c r="AT168">
        <v>76</v>
      </c>
      <c r="AU168" t="s">
        <v>121</v>
      </c>
      <c r="AV168">
        <v>16</v>
      </c>
      <c r="AW168" t="s">
        <v>108</v>
      </c>
      <c r="AX168">
        <v>21</v>
      </c>
      <c r="AY168">
        <f t="shared" si="12"/>
        <v>16</v>
      </c>
      <c r="AZ168">
        <f t="shared" si="13"/>
        <v>0</v>
      </c>
      <c r="BA168">
        <v>119</v>
      </c>
      <c r="BB168" t="str">
        <f t="shared" si="14"/>
        <v>(Dike-town)</v>
      </c>
      <c r="BC168">
        <f t="shared" si="15"/>
        <v>-1</v>
      </c>
      <c r="BD168">
        <f t="shared" si="16"/>
        <v>4000</v>
      </c>
      <c r="BE168">
        <v>0</v>
      </c>
      <c r="BF168" t="str">
        <f t="shared" si="17"/>
        <v>(Dike-town)</v>
      </c>
    </row>
    <row r="169" spans="1:58" x14ac:dyDescent="0.3">
      <c r="A169">
        <v>672</v>
      </c>
      <c r="B169" s="2">
        <v>45559.438634259262</v>
      </c>
      <c r="C169">
        <v>80000</v>
      </c>
      <c r="D169">
        <v>40000</v>
      </c>
      <c r="E169">
        <v>7000</v>
      </c>
      <c r="F169">
        <v>13000</v>
      </c>
      <c r="G169">
        <v>0</v>
      </c>
      <c r="H169">
        <v>0</v>
      </c>
      <c r="I169">
        <v>25000</v>
      </c>
      <c r="J169">
        <v>0</v>
      </c>
      <c r="K169">
        <v>0</v>
      </c>
      <c r="L169">
        <v>0</v>
      </c>
      <c r="M169">
        <v>0</v>
      </c>
      <c r="N169">
        <v>-5000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3</v>
      </c>
      <c r="W169">
        <v>5</v>
      </c>
      <c r="X169">
        <v>130000</v>
      </c>
      <c r="Y169">
        <v>130000</v>
      </c>
      <c r="Z169">
        <v>117000</v>
      </c>
      <c r="AA169">
        <v>0</v>
      </c>
      <c r="AB169">
        <v>0</v>
      </c>
      <c r="AC169">
        <v>130000</v>
      </c>
      <c r="AD169">
        <v>104000</v>
      </c>
      <c r="AG169">
        <v>6</v>
      </c>
      <c r="AH169">
        <v>10</v>
      </c>
      <c r="AI169">
        <v>-2</v>
      </c>
      <c r="AJ169">
        <v>-1</v>
      </c>
      <c r="AK169">
        <v>0</v>
      </c>
      <c r="AL169">
        <v>0</v>
      </c>
      <c r="AM169" t="s">
        <v>168</v>
      </c>
      <c r="AN169">
        <v>551</v>
      </c>
      <c r="AO169">
        <v>182</v>
      </c>
      <c r="AP169">
        <v>774</v>
      </c>
      <c r="AQ169">
        <v>774</v>
      </c>
      <c r="AS169">
        <v>2</v>
      </c>
      <c r="AT169">
        <v>76</v>
      </c>
      <c r="AU169" t="s">
        <v>121</v>
      </c>
      <c r="AV169">
        <v>16</v>
      </c>
      <c r="AW169" t="s">
        <v>108</v>
      </c>
      <c r="AX169">
        <v>21</v>
      </c>
      <c r="AY169">
        <f t="shared" si="12"/>
        <v>16</v>
      </c>
      <c r="AZ169">
        <f t="shared" si="13"/>
        <v>0</v>
      </c>
      <c r="BA169">
        <v>119</v>
      </c>
      <c r="BB169" t="str">
        <f t="shared" si="14"/>
        <v>(Dike-town)</v>
      </c>
      <c r="BC169">
        <f t="shared" si="15"/>
        <v>-1</v>
      </c>
      <c r="BD169">
        <f t="shared" si="16"/>
        <v>0</v>
      </c>
      <c r="BE169">
        <v>0</v>
      </c>
      <c r="BF169" t="str">
        <f t="shared" si="17"/>
        <v>(Dike-town)</v>
      </c>
    </row>
    <row r="170" spans="1:58" x14ac:dyDescent="0.3">
      <c r="A170">
        <v>715</v>
      </c>
      <c r="B170" s="2">
        <v>45559.438634259262</v>
      </c>
      <c r="C170">
        <v>80000</v>
      </c>
      <c r="D170">
        <v>40000</v>
      </c>
      <c r="E170">
        <v>5000</v>
      </c>
      <c r="F170">
        <v>13000</v>
      </c>
      <c r="G170">
        <v>0</v>
      </c>
      <c r="H170">
        <v>0</v>
      </c>
      <c r="I170">
        <v>15000</v>
      </c>
      <c r="J170">
        <v>0</v>
      </c>
      <c r="K170">
        <v>0</v>
      </c>
      <c r="L170">
        <v>4000</v>
      </c>
      <c r="M170">
        <v>4000</v>
      </c>
      <c r="N170">
        <v>-1000</v>
      </c>
      <c r="O170">
        <v>0</v>
      </c>
      <c r="P170">
        <v>0</v>
      </c>
      <c r="Q170">
        <v>0</v>
      </c>
      <c r="R170">
        <v>0</v>
      </c>
      <c r="S170">
        <v>2</v>
      </c>
      <c r="T170">
        <v>1</v>
      </c>
      <c r="U170">
        <v>1</v>
      </c>
      <c r="V170">
        <v>-1</v>
      </c>
      <c r="W170">
        <v>5</v>
      </c>
      <c r="X170">
        <v>130000</v>
      </c>
      <c r="Y170">
        <v>130000</v>
      </c>
      <c r="Z170">
        <v>104000</v>
      </c>
      <c r="AA170">
        <v>0</v>
      </c>
      <c r="AB170">
        <v>0</v>
      </c>
      <c r="AC170">
        <v>130000</v>
      </c>
      <c r="AD170">
        <v>91000</v>
      </c>
      <c r="AG170">
        <v>6</v>
      </c>
      <c r="AH170">
        <v>10</v>
      </c>
      <c r="AI170">
        <v>-2</v>
      </c>
      <c r="AJ170">
        <v>-1</v>
      </c>
      <c r="AK170">
        <v>0</v>
      </c>
      <c r="AL170">
        <v>0</v>
      </c>
      <c r="AM170" t="s">
        <v>168</v>
      </c>
      <c r="AN170">
        <v>551</v>
      </c>
      <c r="AO170">
        <v>187</v>
      </c>
      <c r="AP170">
        <v>774</v>
      </c>
      <c r="AQ170">
        <v>774</v>
      </c>
      <c r="AS170">
        <v>3</v>
      </c>
      <c r="AT170">
        <v>76</v>
      </c>
      <c r="AU170" t="s">
        <v>121</v>
      </c>
      <c r="AV170">
        <v>16</v>
      </c>
      <c r="AW170" t="s">
        <v>108</v>
      </c>
      <c r="AX170">
        <v>21</v>
      </c>
      <c r="AY170">
        <f t="shared" si="12"/>
        <v>16</v>
      </c>
      <c r="AZ170">
        <f t="shared" si="13"/>
        <v>0</v>
      </c>
      <c r="BA170">
        <v>119</v>
      </c>
      <c r="BB170" t="str">
        <f t="shared" si="14"/>
        <v>(Dike-town)</v>
      </c>
      <c r="BC170">
        <f t="shared" si="15"/>
        <v>-4</v>
      </c>
      <c r="BD170">
        <f t="shared" si="16"/>
        <v>8000</v>
      </c>
      <c r="BE170">
        <v>0</v>
      </c>
      <c r="BF170" t="str">
        <f t="shared" si="17"/>
        <v>(Dike-town)</v>
      </c>
    </row>
    <row r="171" spans="1:58" x14ac:dyDescent="0.3">
      <c r="A171">
        <v>623</v>
      </c>
      <c r="B171" s="2">
        <v>45559.439583333333</v>
      </c>
      <c r="C171">
        <v>120000</v>
      </c>
      <c r="D171">
        <v>65000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50000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5</v>
      </c>
      <c r="W171">
        <v>7</v>
      </c>
      <c r="X171">
        <v>200000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t="s">
        <v>134</v>
      </c>
      <c r="AN171">
        <v>552</v>
      </c>
      <c r="AO171">
        <v>173</v>
      </c>
      <c r="AS171">
        <v>0</v>
      </c>
      <c r="AT171">
        <v>76</v>
      </c>
      <c r="AU171" t="s">
        <v>121</v>
      </c>
      <c r="AV171">
        <v>16</v>
      </c>
      <c r="AW171" t="s">
        <v>108</v>
      </c>
      <c r="AX171">
        <v>21</v>
      </c>
      <c r="AY171">
        <f t="shared" si="12"/>
        <v>0</v>
      </c>
      <c r="AZ171">
        <f t="shared" si="13"/>
        <v>0</v>
      </c>
      <c r="BA171">
        <v>121</v>
      </c>
      <c r="BB171" t="str">
        <f t="shared" si="14"/>
        <v/>
      </c>
      <c r="BC171" t="str">
        <f t="shared" si="15"/>
        <v/>
      </c>
      <c r="BD171">
        <f t="shared" si="16"/>
        <v>0</v>
      </c>
      <c r="BE171">
        <v>0</v>
      </c>
      <c r="BF171" t="str">
        <f t="shared" si="17"/>
        <v/>
      </c>
    </row>
    <row r="172" spans="1:58" x14ac:dyDescent="0.3">
      <c r="A172">
        <v>628</v>
      </c>
      <c r="B172" s="2">
        <v>45559.439583333333</v>
      </c>
      <c r="C172">
        <v>120000</v>
      </c>
      <c r="D172">
        <v>65000</v>
      </c>
      <c r="E172">
        <v>0</v>
      </c>
      <c r="F172">
        <v>16000</v>
      </c>
      <c r="G172">
        <v>0</v>
      </c>
      <c r="H172">
        <v>0</v>
      </c>
      <c r="I172">
        <v>15000</v>
      </c>
      <c r="J172">
        <v>40000</v>
      </c>
      <c r="K172">
        <v>0</v>
      </c>
      <c r="L172">
        <v>0</v>
      </c>
      <c r="M172">
        <v>4000</v>
      </c>
      <c r="N172">
        <v>30000</v>
      </c>
      <c r="O172">
        <v>0</v>
      </c>
      <c r="P172">
        <v>-2</v>
      </c>
      <c r="Q172">
        <v>2</v>
      </c>
      <c r="R172">
        <v>0</v>
      </c>
      <c r="S172">
        <v>0</v>
      </c>
      <c r="T172">
        <v>1</v>
      </c>
      <c r="U172">
        <v>0</v>
      </c>
      <c r="V172">
        <v>4</v>
      </c>
      <c r="W172">
        <v>7</v>
      </c>
      <c r="X172">
        <v>200000</v>
      </c>
      <c r="Y172">
        <v>0</v>
      </c>
      <c r="Z172">
        <v>0</v>
      </c>
      <c r="AA172">
        <v>0</v>
      </c>
      <c r="AB172">
        <v>160000</v>
      </c>
      <c r="AC172">
        <v>160000</v>
      </c>
      <c r="AD172">
        <v>144000</v>
      </c>
      <c r="AG172">
        <v>6</v>
      </c>
      <c r="AH172">
        <v>10</v>
      </c>
      <c r="AI172">
        <v>0</v>
      </c>
      <c r="AJ172">
        <v>0</v>
      </c>
      <c r="AK172">
        <v>2</v>
      </c>
      <c r="AL172">
        <v>1</v>
      </c>
      <c r="AM172" t="s">
        <v>168</v>
      </c>
      <c r="AN172">
        <v>552</v>
      </c>
      <c r="AO172">
        <v>176</v>
      </c>
      <c r="AQ172">
        <v>773</v>
      </c>
      <c r="AS172">
        <v>1</v>
      </c>
      <c r="AT172">
        <v>76</v>
      </c>
      <c r="AU172" t="s">
        <v>121</v>
      </c>
      <c r="AV172">
        <v>16</v>
      </c>
      <c r="AW172" t="s">
        <v>108</v>
      </c>
      <c r="AX172">
        <v>21</v>
      </c>
      <c r="AY172">
        <f t="shared" si="12"/>
        <v>16</v>
      </c>
      <c r="AZ172">
        <f t="shared" si="13"/>
        <v>3</v>
      </c>
      <c r="BA172">
        <v>121</v>
      </c>
      <c r="BB172" t="str">
        <f t="shared" si="14"/>
        <v>(Dike-town)</v>
      </c>
      <c r="BC172">
        <f t="shared" si="15"/>
        <v>-1</v>
      </c>
      <c r="BD172">
        <f t="shared" si="16"/>
        <v>4000</v>
      </c>
      <c r="BE172">
        <v>40000</v>
      </c>
      <c r="BF172" t="str">
        <f t="shared" si="17"/>
        <v>(Dike-town)</v>
      </c>
    </row>
    <row r="173" spans="1:58" x14ac:dyDescent="0.3">
      <c r="A173">
        <v>676</v>
      </c>
      <c r="B173" s="2">
        <v>45559.439583333333</v>
      </c>
      <c r="C173">
        <v>120000</v>
      </c>
      <c r="D173">
        <v>65000</v>
      </c>
      <c r="E173">
        <v>0</v>
      </c>
      <c r="F173">
        <v>16000</v>
      </c>
      <c r="G173">
        <v>0</v>
      </c>
      <c r="H173">
        <v>0</v>
      </c>
      <c r="I173">
        <v>25000</v>
      </c>
      <c r="J173">
        <v>30000</v>
      </c>
      <c r="K173">
        <v>0</v>
      </c>
      <c r="L173">
        <v>0</v>
      </c>
      <c r="M173">
        <v>0</v>
      </c>
      <c r="N173">
        <v>14000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5</v>
      </c>
      <c r="W173">
        <v>7</v>
      </c>
      <c r="X173">
        <v>200000</v>
      </c>
      <c r="Y173">
        <v>160000</v>
      </c>
      <c r="Z173">
        <v>144000</v>
      </c>
      <c r="AA173">
        <v>0</v>
      </c>
      <c r="AB173">
        <v>0</v>
      </c>
      <c r="AC173">
        <v>160000</v>
      </c>
      <c r="AD173">
        <v>128000</v>
      </c>
      <c r="AG173">
        <v>6</v>
      </c>
      <c r="AH173">
        <v>10</v>
      </c>
      <c r="AI173">
        <v>-2</v>
      </c>
      <c r="AJ173">
        <v>-1</v>
      </c>
      <c r="AK173">
        <v>3</v>
      </c>
      <c r="AL173">
        <v>1</v>
      </c>
      <c r="AM173" t="s">
        <v>168</v>
      </c>
      <c r="AN173">
        <v>552</v>
      </c>
      <c r="AO173">
        <v>182</v>
      </c>
      <c r="AP173">
        <v>773</v>
      </c>
      <c r="AQ173">
        <v>773</v>
      </c>
      <c r="AS173">
        <v>2</v>
      </c>
      <c r="AT173">
        <v>76</v>
      </c>
      <c r="AU173" t="s">
        <v>121</v>
      </c>
      <c r="AV173">
        <v>16</v>
      </c>
      <c r="AW173" t="s">
        <v>108</v>
      </c>
      <c r="AX173">
        <v>21</v>
      </c>
      <c r="AY173">
        <f t="shared" si="12"/>
        <v>16</v>
      </c>
      <c r="AZ173">
        <f t="shared" si="13"/>
        <v>4</v>
      </c>
      <c r="BA173">
        <v>121</v>
      </c>
      <c r="BB173" t="str">
        <f t="shared" si="14"/>
        <v>(Dike-town)</v>
      </c>
      <c r="BC173">
        <f t="shared" si="15"/>
        <v>1</v>
      </c>
      <c r="BD173">
        <f t="shared" si="16"/>
        <v>0</v>
      </c>
      <c r="BE173">
        <v>30000</v>
      </c>
      <c r="BF173" t="str">
        <f t="shared" si="17"/>
        <v>(Dike-town)</v>
      </c>
    </row>
    <row r="174" spans="1:58" x14ac:dyDescent="0.3">
      <c r="A174">
        <v>713</v>
      </c>
      <c r="B174" s="2">
        <v>45559.439583333333</v>
      </c>
      <c r="C174">
        <v>120000</v>
      </c>
      <c r="D174">
        <v>65000</v>
      </c>
      <c r="E174">
        <v>0</v>
      </c>
      <c r="F174">
        <v>16000</v>
      </c>
      <c r="G174">
        <v>0</v>
      </c>
      <c r="H174">
        <v>0</v>
      </c>
      <c r="I174">
        <v>15000</v>
      </c>
      <c r="J174">
        <v>27000</v>
      </c>
      <c r="K174">
        <v>0</v>
      </c>
      <c r="L174">
        <v>0</v>
      </c>
      <c r="M174">
        <v>4000</v>
      </c>
      <c r="N174">
        <v>7000</v>
      </c>
      <c r="O174">
        <v>0</v>
      </c>
      <c r="P174">
        <v>0</v>
      </c>
      <c r="Q174">
        <v>0</v>
      </c>
      <c r="R174">
        <v>3</v>
      </c>
      <c r="S174">
        <v>1</v>
      </c>
      <c r="T174">
        <v>1</v>
      </c>
      <c r="U174">
        <v>0</v>
      </c>
      <c r="V174">
        <v>6</v>
      </c>
      <c r="W174">
        <v>7</v>
      </c>
      <c r="X174">
        <v>200000</v>
      </c>
      <c r="Y174">
        <v>160000</v>
      </c>
      <c r="Z174">
        <v>128000</v>
      </c>
      <c r="AA174">
        <v>0</v>
      </c>
      <c r="AB174">
        <v>0</v>
      </c>
      <c r="AC174">
        <v>160000</v>
      </c>
      <c r="AD174">
        <v>112000</v>
      </c>
      <c r="AG174">
        <v>6</v>
      </c>
      <c r="AH174">
        <v>10</v>
      </c>
      <c r="AI174">
        <v>-2</v>
      </c>
      <c r="AJ174">
        <v>-1</v>
      </c>
      <c r="AK174">
        <v>0</v>
      </c>
      <c r="AL174">
        <v>1</v>
      </c>
      <c r="AM174" t="s">
        <v>170</v>
      </c>
      <c r="AN174">
        <v>552</v>
      </c>
      <c r="AO174">
        <v>187</v>
      </c>
      <c r="AP174">
        <v>773</v>
      </c>
      <c r="AQ174">
        <v>773</v>
      </c>
      <c r="AS174">
        <v>3</v>
      </c>
      <c r="AT174">
        <v>76</v>
      </c>
      <c r="AU174" t="s">
        <v>121</v>
      </c>
      <c r="AV174">
        <v>16</v>
      </c>
      <c r="AW174" t="s">
        <v>108</v>
      </c>
      <c r="AX174">
        <v>21</v>
      </c>
      <c r="AY174">
        <f t="shared" si="12"/>
        <v>16</v>
      </c>
      <c r="AZ174">
        <f t="shared" si="13"/>
        <v>1</v>
      </c>
      <c r="BA174">
        <v>121</v>
      </c>
      <c r="BB174" t="str">
        <f t="shared" si="14"/>
        <v>(Dike-town)</v>
      </c>
      <c r="BC174">
        <f t="shared" si="15"/>
        <v>1</v>
      </c>
      <c r="BD174">
        <f t="shared" si="16"/>
        <v>4000</v>
      </c>
      <c r="BE174">
        <v>27000</v>
      </c>
      <c r="BF174" t="str">
        <f t="shared" si="17"/>
        <v>(Dike-town)</v>
      </c>
    </row>
    <row r="175" spans="1:58" x14ac:dyDescent="0.3">
      <c r="A175">
        <v>605</v>
      </c>
      <c r="B175" s="2">
        <v>45559.438645833332</v>
      </c>
      <c r="C175">
        <v>180000</v>
      </c>
      <c r="D175">
        <v>105000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80000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</v>
      </c>
      <c r="W175">
        <v>8</v>
      </c>
      <c r="X175">
        <v>300000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t="s">
        <v>134</v>
      </c>
      <c r="AN175">
        <v>553</v>
      </c>
      <c r="AO175">
        <v>173</v>
      </c>
      <c r="AS175">
        <v>0</v>
      </c>
      <c r="AT175">
        <v>76</v>
      </c>
      <c r="AU175" t="s">
        <v>121</v>
      </c>
      <c r="AV175">
        <v>16</v>
      </c>
      <c r="AW175" t="s">
        <v>108</v>
      </c>
      <c r="AX175">
        <v>21</v>
      </c>
      <c r="AY175">
        <f t="shared" si="12"/>
        <v>0</v>
      </c>
      <c r="AZ175">
        <f t="shared" si="13"/>
        <v>0</v>
      </c>
      <c r="BA175">
        <v>122</v>
      </c>
      <c r="BB175" t="str">
        <f t="shared" si="14"/>
        <v/>
      </c>
      <c r="BC175" t="str">
        <f t="shared" si="15"/>
        <v/>
      </c>
      <c r="BD175">
        <f t="shared" si="16"/>
        <v>0</v>
      </c>
      <c r="BE175">
        <v>0</v>
      </c>
      <c r="BF175" t="str">
        <f t="shared" si="17"/>
        <v/>
      </c>
    </row>
    <row r="176" spans="1:58" x14ac:dyDescent="0.3">
      <c r="A176">
        <v>626</v>
      </c>
      <c r="B176" s="2">
        <v>45559.438645833332</v>
      </c>
      <c r="C176">
        <v>180000</v>
      </c>
      <c r="D176">
        <v>105000</v>
      </c>
      <c r="E176">
        <v>0</v>
      </c>
      <c r="F176">
        <v>30000</v>
      </c>
      <c r="G176">
        <v>0</v>
      </c>
      <c r="H176">
        <v>0</v>
      </c>
      <c r="I176">
        <v>15000</v>
      </c>
      <c r="J176">
        <v>64000</v>
      </c>
      <c r="K176">
        <v>0</v>
      </c>
      <c r="L176">
        <v>0</v>
      </c>
      <c r="M176">
        <v>0</v>
      </c>
      <c r="N176">
        <v>46000</v>
      </c>
      <c r="O176">
        <v>0</v>
      </c>
      <c r="P176">
        <v>0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8</v>
      </c>
      <c r="X176">
        <v>300000</v>
      </c>
      <c r="Y176">
        <v>0</v>
      </c>
      <c r="Z176">
        <v>0</v>
      </c>
      <c r="AA176">
        <v>0</v>
      </c>
      <c r="AB176">
        <v>300000</v>
      </c>
      <c r="AC176">
        <v>300000</v>
      </c>
      <c r="AD176">
        <v>270000</v>
      </c>
      <c r="AG176">
        <v>6</v>
      </c>
      <c r="AH176">
        <v>10</v>
      </c>
      <c r="AI176">
        <v>0</v>
      </c>
      <c r="AJ176">
        <v>0</v>
      </c>
      <c r="AK176">
        <v>4</v>
      </c>
      <c r="AL176">
        <v>2</v>
      </c>
      <c r="AM176" t="s">
        <v>168</v>
      </c>
      <c r="AN176">
        <v>553</v>
      </c>
      <c r="AO176">
        <v>176</v>
      </c>
      <c r="AQ176">
        <v>772</v>
      </c>
      <c r="AS176">
        <v>1</v>
      </c>
      <c r="AT176">
        <v>76</v>
      </c>
      <c r="AU176" t="s">
        <v>121</v>
      </c>
      <c r="AV176">
        <v>16</v>
      </c>
      <c r="AW176" t="s">
        <v>108</v>
      </c>
      <c r="AX176">
        <v>21</v>
      </c>
      <c r="AY176">
        <f t="shared" si="12"/>
        <v>16</v>
      </c>
      <c r="AZ176">
        <f t="shared" si="13"/>
        <v>6</v>
      </c>
      <c r="BA176">
        <v>122</v>
      </c>
      <c r="BB176" t="str">
        <f t="shared" si="14"/>
        <v>(Dike-town)</v>
      </c>
      <c r="BC176">
        <f t="shared" si="15"/>
        <v>3</v>
      </c>
      <c r="BD176">
        <f t="shared" si="16"/>
        <v>0</v>
      </c>
      <c r="BE176">
        <v>64000</v>
      </c>
      <c r="BF176" t="str">
        <f t="shared" si="17"/>
        <v>(Dike-town)</v>
      </c>
    </row>
    <row r="177" spans="1:58" x14ac:dyDescent="0.3">
      <c r="A177">
        <v>674</v>
      </c>
      <c r="B177" s="2">
        <v>45559.438645833332</v>
      </c>
      <c r="C177">
        <v>180000</v>
      </c>
      <c r="D177">
        <v>105000</v>
      </c>
      <c r="E177">
        <v>0</v>
      </c>
      <c r="F177">
        <v>30000</v>
      </c>
      <c r="G177">
        <v>0</v>
      </c>
      <c r="H177">
        <v>0</v>
      </c>
      <c r="I177">
        <v>25000</v>
      </c>
      <c r="J177">
        <v>39000</v>
      </c>
      <c r="K177">
        <v>0</v>
      </c>
      <c r="L177">
        <v>0</v>
      </c>
      <c r="M177">
        <v>0</v>
      </c>
      <c r="N177">
        <v>27000</v>
      </c>
      <c r="O177">
        <v>0</v>
      </c>
      <c r="P177">
        <v>0</v>
      </c>
      <c r="Q177">
        <v>0</v>
      </c>
      <c r="R177">
        <v>2</v>
      </c>
      <c r="S177">
        <v>0</v>
      </c>
      <c r="T177">
        <v>0</v>
      </c>
      <c r="U177">
        <v>0</v>
      </c>
      <c r="V177">
        <v>10</v>
      </c>
      <c r="W177">
        <v>8</v>
      </c>
      <c r="X177">
        <v>300000</v>
      </c>
      <c r="Y177">
        <v>300000</v>
      </c>
      <c r="Z177">
        <v>270000</v>
      </c>
      <c r="AA177">
        <v>0</v>
      </c>
      <c r="AB177">
        <v>0</v>
      </c>
      <c r="AC177">
        <v>300000</v>
      </c>
      <c r="AD177">
        <v>240000</v>
      </c>
      <c r="AG177">
        <v>6</v>
      </c>
      <c r="AH177">
        <v>10</v>
      </c>
      <c r="AI177">
        <v>-2</v>
      </c>
      <c r="AJ177">
        <v>-1</v>
      </c>
      <c r="AK177">
        <v>1</v>
      </c>
      <c r="AL177">
        <v>1</v>
      </c>
      <c r="AM177" t="s">
        <v>168</v>
      </c>
      <c r="AN177">
        <v>553</v>
      </c>
      <c r="AO177">
        <v>182</v>
      </c>
      <c r="AP177">
        <v>772</v>
      </c>
      <c r="AQ177">
        <v>772</v>
      </c>
      <c r="AS177">
        <v>2</v>
      </c>
      <c r="AT177">
        <v>76</v>
      </c>
      <c r="AU177" t="s">
        <v>121</v>
      </c>
      <c r="AV177">
        <v>16</v>
      </c>
      <c r="AW177" t="s">
        <v>108</v>
      </c>
      <c r="AX177">
        <v>21</v>
      </c>
      <c r="AY177">
        <f t="shared" si="12"/>
        <v>16</v>
      </c>
      <c r="AZ177">
        <f t="shared" si="13"/>
        <v>2</v>
      </c>
      <c r="BA177">
        <v>122</v>
      </c>
      <c r="BB177" t="str">
        <f t="shared" si="14"/>
        <v>(Dike-town)</v>
      </c>
      <c r="BC177">
        <f t="shared" si="15"/>
        <v>2</v>
      </c>
      <c r="BD177">
        <f t="shared" si="16"/>
        <v>0</v>
      </c>
      <c r="BE177">
        <v>39000</v>
      </c>
      <c r="BF177" t="str">
        <f t="shared" si="17"/>
        <v>(Dike-town)</v>
      </c>
    </row>
    <row r="178" spans="1:58" x14ac:dyDescent="0.3">
      <c r="A178">
        <v>716</v>
      </c>
      <c r="B178" s="2">
        <v>45559.438645833332</v>
      </c>
      <c r="C178">
        <v>180000</v>
      </c>
      <c r="D178">
        <v>105000</v>
      </c>
      <c r="E178">
        <v>0</v>
      </c>
      <c r="F178">
        <v>30000</v>
      </c>
      <c r="G178">
        <v>0</v>
      </c>
      <c r="H178">
        <v>0</v>
      </c>
      <c r="I178">
        <v>15000</v>
      </c>
      <c r="J178">
        <v>15000</v>
      </c>
      <c r="K178">
        <v>0</v>
      </c>
      <c r="L178">
        <v>4000</v>
      </c>
      <c r="M178">
        <v>4000</v>
      </c>
      <c r="N178">
        <v>34000</v>
      </c>
      <c r="O178">
        <v>0</v>
      </c>
      <c r="P178">
        <v>0</v>
      </c>
      <c r="Q178">
        <v>0</v>
      </c>
      <c r="R178">
        <v>1</v>
      </c>
      <c r="S178">
        <v>2</v>
      </c>
      <c r="T178">
        <v>1</v>
      </c>
      <c r="U178">
        <v>0</v>
      </c>
      <c r="V178">
        <v>8</v>
      </c>
      <c r="W178">
        <v>8</v>
      </c>
      <c r="X178">
        <v>300000</v>
      </c>
      <c r="Y178">
        <v>300000</v>
      </c>
      <c r="Z178">
        <v>240000</v>
      </c>
      <c r="AA178">
        <v>0</v>
      </c>
      <c r="AB178">
        <v>0</v>
      </c>
      <c r="AC178">
        <v>300000</v>
      </c>
      <c r="AD178">
        <v>210000</v>
      </c>
      <c r="AG178">
        <v>6</v>
      </c>
      <c r="AH178">
        <v>10</v>
      </c>
      <c r="AI178">
        <v>-2</v>
      </c>
      <c r="AJ178">
        <v>-1</v>
      </c>
      <c r="AK178">
        <v>0</v>
      </c>
      <c r="AL178">
        <v>0</v>
      </c>
      <c r="AM178" t="s">
        <v>168</v>
      </c>
      <c r="AN178">
        <v>553</v>
      </c>
      <c r="AO178">
        <v>187</v>
      </c>
      <c r="AP178">
        <v>772</v>
      </c>
      <c r="AQ178">
        <v>772</v>
      </c>
      <c r="AS178">
        <v>3</v>
      </c>
      <c r="AT178">
        <v>76</v>
      </c>
      <c r="AU178" t="s">
        <v>121</v>
      </c>
      <c r="AV178">
        <v>16</v>
      </c>
      <c r="AW178" t="s">
        <v>108</v>
      </c>
      <c r="AX178">
        <v>21</v>
      </c>
      <c r="AY178">
        <f t="shared" si="12"/>
        <v>16</v>
      </c>
      <c r="AZ178">
        <f t="shared" si="13"/>
        <v>0</v>
      </c>
      <c r="BA178">
        <v>122</v>
      </c>
      <c r="BB178" t="str">
        <f t="shared" si="14"/>
        <v>(Dike-town)</v>
      </c>
      <c r="BC178">
        <f t="shared" si="15"/>
        <v>-2</v>
      </c>
      <c r="BD178">
        <f t="shared" si="16"/>
        <v>8000</v>
      </c>
      <c r="BE178">
        <v>15000</v>
      </c>
      <c r="BF178" t="str">
        <f t="shared" si="17"/>
        <v>(Dike-town)</v>
      </c>
    </row>
    <row r="179" spans="1:58" x14ac:dyDescent="0.3">
      <c r="A179">
        <v>603</v>
      </c>
      <c r="B179" s="2">
        <v>45559.438576388893</v>
      </c>
      <c r="C179">
        <v>100000</v>
      </c>
      <c r="D179">
        <v>50000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30000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5</v>
      </c>
      <c r="W179">
        <v>6</v>
      </c>
      <c r="X179">
        <v>170000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t="s">
        <v>134</v>
      </c>
      <c r="AN179">
        <v>554</v>
      </c>
      <c r="AO179">
        <v>173</v>
      </c>
      <c r="AS179">
        <v>0</v>
      </c>
      <c r="AT179">
        <v>76</v>
      </c>
      <c r="AU179" t="s">
        <v>121</v>
      </c>
      <c r="AV179">
        <v>16</v>
      </c>
      <c r="AW179" t="s">
        <v>108</v>
      </c>
      <c r="AX179">
        <v>21</v>
      </c>
      <c r="AY179">
        <f t="shared" si="12"/>
        <v>0</v>
      </c>
      <c r="AZ179">
        <f t="shared" si="13"/>
        <v>0</v>
      </c>
      <c r="BA179">
        <v>120</v>
      </c>
      <c r="BB179" t="str">
        <f t="shared" si="14"/>
        <v/>
      </c>
      <c r="BC179" t="str">
        <f t="shared" si="15"/>
        <v/>
      </c>
      <c r="BD179">
        <f t="shared" si="16"/>
        <v>0</v>
      </c>
      <c r="BE179">
        <v>0</v>
      </c>
      <c r="BF179" t="str">
        <f t="shared" si="17"/>
        <v/>
      </c>
    </row>
    <row r="180" spans="1:58" x14ac:dyDescent="0.3">
      <c r="A180">
        <v>625</v>
      </c>
      <c r="B180" s="2">
        <v>45559.438576388893</v>
      </c>
      <c r="C180">
        <v>100000</v>
      </c>
      <c r="D180">
        <v>50000</v>
      </c>
      <c r="E180">
        <v>0</v>
      </c>
      <c r="F180">
        <v>17000</v>
      </c>
      <c r="G180">
        <v>0</v>
      </c>
      <c r="H180">
        <v>90000</v>
      </c>
      <c r="I180">
        <v>20000</v>
      </c>
      <c r="J180">
        <v>0</v>
      </c>
      <c r="K180">
        <v>0</v>
      </c>
      <c r="L180">
        <v>0</v>
      </c>
      <c r="M180">
        <v>4000</v>
      </c>
      <c r="N180">
        <v>-51000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4</v>
      </c>
      <c r="W180">
        <v>6</v>
      </c>
      <c r="X180">
        <v>170000</v>
      </c>
      <c r="Y180">
        <v>0</v>
      </c>
      <c r="Z180">
        <v>0</v>
      </c>
      <c r="AA180">
        <v>0</v>
      </c>
      <c r="AB180">
        <v>260000</v>
      </c>
      <c r="AC180">
        <v>170000</v>
      </c>
      <c r="AD180">
        <v>153000</v>
      </c>
      <c r="AG180">
        <v>8</v>
      </c>
      <c r="AH180">
        <v>10</v>
      </c>
      <c r="AI180">
        <v>0</v>
      </c>
      <c r="AJ180">
        <v>0</v>
      </c>
      <c r="AK180">
        <v>0</v>
      </c>
      <c r="AL180">
        <v>0</v>
      </c>
      <c r="AM180" t="s">
        <v>168</v>
      </c>
      <c r="AN180">
        <v>554</v>
      </c>
      <c r="AO180">
        <v>176</v>
      </c>
      <c r="AQ180">
        <v>770</v>
      </c>
      <c r="AS180">
        <v>1</v>
      </c>
      <c r="AT180">
        <v>76</v>
      </c>
      <c r="AU180" t="s">
        <v>121</v>
      </c>
      <c r="AV180">
        <v>16</v>
      </c>
      <c r="AW180" t="s">
        <v>108</v>
      </c>
      <c r="AX180">
        <v>21</v>
      </c>
      <c r="AY180">
        <f t="shared" si="12"/>
        <v>18</v>
      </c>
      <c r="AZ180">
        <f t="shared" si="13"/>
        <v>0</v>
      </c>
      <c r="BA180">
        <v>120</v>
      </c>
      <c r="BB180" t="str">
        <f t="shared" si="14"/>
        <v>(Natu-city)</v>
      </c>
      <c r="BC180">
        <f t="shared" si="15"/>
        <v>-1</v>
      </c>
      <c r="BD180">
        <f t="shared" si="16"/>
        <v>4000</v>
      </c>
      <c r="BE180">
        <v>0</v>
      </c>
      <c r="BF180" t="str">
        <f t="shared" si="17"/>
        <v>(Natu-city)</v>
      </c>
    </row>
    <row r="181" spans="1:58" x14ac:dyDescent="0.3">
      <c r="A181">
        <v>673</v>
      </c>
      <c r="B181" s="2">
        <v>45559.438576388893</v>
      </c>
      <c r="C181">
        <v>100000</v>
      </c>
      <c r="D181">
        <v>50000</v>
      </c>
      <c r="E181">
        <v>50000</v>
      </c>
      <c r="F181">
        <v>17000</v>
      </c>
      <c r="G181">
        <v>0</v>
      </c>
      <c r="H181">
        <v>0</v>
      </c>
      <c r="I181">
        <v>20000</v>
      </c>
      <c r="J181">
        <v>0</v>
      </c>
      <c r="K181">
        <v>0</v>
      </c>
      <c r="L181">
        <v>0</v>
      </c>
      <c r="M181">
        <v>0</v>
      </c>
      <c r="N181">
        <v>-38000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3</v>
      </c>
      <c r="W181">
        <v>6</v>
      </c>
      <c r="X181">
        <v>170000</v>
      </c>
      <c r="Y181">
        <v>170000</v>
      </c>
      <c r="Z181">
        <v>153000</v>
      </c>
      <c r="AA181">
        <v>0</v>
      </c>
      <c r="AB181">
        <v>0</v>
      </c>
      <c r="AC181">
        <v>170000</v>
      </c>
      <c r="AD181">
        <v>136000</v>
      </c>
      <c r="AG181">
        <v>8</v>
      </c>
      <c r="AH181">
        <v>10</v>
      </c>
      <c r="AI181">
        <v>-2</v>
      </c>
      <c r="AJ181">
        <v>-1</v>
      </c>
      <c r="AK181">
        <v>0</v>
      </c>
      <c r="AL181">
        <v>0</v>
      </c>
      <c r="AM181" t="s">
        <v>168</v>
      </c>
      <c r="AN181">
        <v>554</v>
      </c>
      <c r="AO181">
        <v>182</v>
      </c>
      <c r="AP181">
        <v>770</v>
      </c>
      <c r="AQ181">
        <v>770</v>
      </c>
      <c r="AS181">
        <v>2</v>
      </c>
      <c r="AT181">
        <v>76</v>
      </c>
      <c r="AU181" t="s">
        <v>121</v>
      </c>
      <c r="AV181">
        <v>16</v>
      </c>
      <c r="AW181" t="s">
        <v>108</v>
      </c>
      <c r="AX181">
        <v>21</v>
      </c>
      <c r="AY181">
        <f t="shared" si="12"/>
        <v>18</v>
      </c>
      <c r="AZ181">
        <f t="shared" si="13"/>
        <v>0</v>
      </c>
      <c r="BA181">
        <v>120</v>
      </c>
      <c r="BB181" t="str">
        <f t="shared" si="14"/>
        <v>(Natu-city)</v>
      </c>
      <c r="BC181">
        <f t="shared" si="15"/>
        <v>-1</v>
      </c>
      <c r="BD181">
        <f t="shared" si="16"/>
        <v>0</v>
      </c>
      <c r="BE181">
        <v>0</v>
      </c>
      <c r="BF181" t="str">
        <f t="shared" si="17"/>
        <v>(Natu-city)</v>
      </c>
    </row>
    <row r="182" spans="1:58" x14ac:dyDescent="0.3">
      <c r="A182">
        <v>712</v>
      </c>
      <c r="B182" s="2">
        <v>45559.438576388893</v>
      </c>
      <c r="C182">
        <v>100000</v>
      </c>
      <c r="D182">
        <v>50000</v>
      </c>
      <c r="E182">
        <v>38000</v>
      </c>
      <c r="F182">
        <v>17000</v>
      </c>
      <c r="G182">
        <v>0</v>
      </c>
      <c r="H182">
        <v>0</v>
      </c>
      <c r="I182">
        <v>20000</v>
      </c>
      <c r="J182">
        <v>0</v>
      </c>
      <c r="K182">
        <v>0</v>
      </c>
      <c r="L182">
        <v>4000</v>
      </c>
      <c r="M182">
        <v>4000</v>
      </c>
      <c r="N182">
        <v>-33000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1</v>
      </c>
      <c r="U182">
        <v>1</v>
      </c>
      <c r="V182">
        <v>-1</v>
      </c>
      <c r="W182">
        <v>6</v>
      </c>
      <c r="X182">
        <v>170000</v>
      </c>
      <c r="Y182">
        <v>170000</v>
      </c>
      <c r="Z182">
        <v>136000</v>
      </c>
      <c r="AA182">
        <v>0</v>
      </c>
      <c r="AB182">
        <v>0</v>
      </c>
      <c r="AC182">
        <v>170000</v>
      </c>
      <c r="AD182">
        <v>119000</v>
      </c>
      <c r="AG182">
        <v>8</v>
      </c>
      <c r="AH182">
        <v>10</v>
      </c>
      <c r="AI182">
        <v>-2</v>
      </c>
      <c r="AJ182">
        <v>-1</v>
      </c>
      <c r="AK182">
        <v>0</v>
      </c>
      <c r="AL182">
        <v>0</v>
      </c>
      <c r="AM182" t="s">
        <v>168</v>
      </c>
      <c r="AN182">
        <v>554</v>
      </c>
      <c r="AO182">
        <v>187</v>
      </c>
      <c r="AP182">
        <v>770</v>
      </c>
      <c r="AQ182">
        <v>770</v>
      </c>
      <c r="AS182">
        <v>3</v>
      </c>
      <c r="AT182">
        <v>76</v>
      </c>
      <c r="AU182" t="s">
        <v>121</v>
      </c>
      <c r="AV182">
        <v>16</v>
      </c>
      <c r="AW182" t="s">
        <v>108</v>
      </c>
      <c r="AX182">
        <v>21</v>
      </c>
      <c r="AY182">
        <f t="shared" si="12"/>
        <v>18</v>
      </c>
      <c r="AZ182">
        <f t="shared" si="13"/>
        <v>0</v>
      </c>
      <c r="BA182">
        <v>120</v>
      </c>
      <c r="BB182" t="str">
        <f t="shared" si="14"/>
        <v>(Natu-city)</v>
      </c>
      <c r="BC182">
        <f t="shared" si="15"/>
        <v>-4</v>
      </c>
      <c r="BD182">
        <f t="shared" si="16"/>
        <v>8000</v>
      </c>
      <c r="BE182">
        <v>0</v>
      </c>
      <c r="BF182" t="str">
        <f t="shared" si="17"/>
        <v>(Natu-city)</v>
      </c>
    </row>
    <row r="183" spans="1:58" x14ac:dyDescent="0.3">
      <c r="A183">
        <v>613</v>
      </c>
      <c r="B183" s="2">
        <v>45559.439085648148</v>
      </c>
      <c r="C183">
        <v>100000</v>
      </c>
      <c r="D183">
        <v>50000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30000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</v>
      </c>
      <c r="W183">
        <v>6</v>
      </c>
      <c r="X183">
        <v>170000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t="s">
        <v>134</v>
      </c>
      <c r="AN183">
        <v>555</v>
      </c>
      <c r="AO183">
        <v>173</v>
      </c>
      <c r="AS183">
        <v>0</v>
      </c>
      <c r="AT183">
        <v>76</v>
      </c>
      <c r="AU183" t="s">
        <v>121</v>
      </c>
      <c r="AV183">
        <v>16</v>
      </c>
      <c r="AW183" t="s">
        <v>108</v>
      </c>
      <c r="AX183">
        <v>21</v>
      </c>
      <c r="AY183">
        <f t="shared" si="12"/>
        <v>0</v>
      </c>
      <c r="AZ183">
        <f t="shared" si="13"/>
        <v>0</v>
      </c>
      <c r="BA183">
        <v>120</v>
      </c>
      <c r="BB183" t="str">
        <f t="shared" si="14"/>
        <v/>
      </c>
      <c r="BC183" t="str">
        <f t="shared" si="15"/>
        <v/>
      </c>
      <c r="BD183">
        <f t="shared" si="16"/>
        <v>0</v>
      </c>
      <c r="BE183">
        <v>0</v>
      </c>
      <c r="BF183" t="str">
        <f t="shared" si="17"/>
        <v/>
      </c>
    </row>
    <row r="184" spans="1:58" x14ac:dyDescent="0.3">
      <c r="A184">
        <v>630</v>
      </c>
      <c r="B184" s="2">
        <v>45559.439085648148</v>
      </c>
      <c r="C184">
        <v>100000</v>
      </c>
      <c r="D184">
        <v>50000</v>
      </c>
      <c r="E184">
        <v>0</v>
      </c>
      <c r="F184">
        <v>17000</v>
      </c>
      <c r="G184">
        <v>0</v>
      </c>
      <c r="H184">
        <v>30000</v>
      </c>
      <c r="I184">
        <v>20000</v>
      </c>
      <c r="J184">
        <v>13000</v>
      </c>
      <c r="K184">
        <v>0</v>
      </c>
      <c r="L184">
        <v>0</v>
      </c>
      <c r="M184">
        <v>4000</v>
      </c>
      <c r="N184">
        <v>-4000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4</v>
      </c>
      <c r="W184">
        <v>6</v>
      </c>
      <c r="X184">
        <v>170000</v>
      </c>
      <c r="Y184">
        <v>0</v>
      </c>
      <c r="Z184">
        <v>0</v>
      </c>
      <c r="AA184">
        <v>0</v>
      </c>
      <c r="AB184">
        <v>200000</v>
      </c>
      <c r="AC184">
        <v>170000</v>
      </c>
      <c r="AD184">
        <v>153000</v>
      </c>
      <c r="AG184">
        <v>8</v>
      </c>
      <c r="AH184">
        <v>7</v>
      </c>
      <c r="AI184">
        <v>0</v>
      </c>
      <c r="AJ184">
        <v>0</v>
      </c>
      <c r="AK184">
        <v>0</v>
      </c>
      <c r="AL184">
        <v>1</v>
      </c>
      <c r="AM184" t="s">
        <v>168</v>
      </c>
      <c r="AN184">
        <v>555</v>
      </c>
      <c r="AO184">
        <v>176</v>
      </c>
      <c r="AQ184">
        <v>776</v>
      </c>
      <c r="AS184">
        <v>1</v>
      </c>
      <c r="AT184">
        <v>76</v>
      </c>
      <c r="AU184" t="s">
        <v>121</v>
      </c>
      <c r="AV184">
        <v>16</v>
      </c>
      <c r="AW184" t="s">
        <v>108</v>
      </c>
      <c r="AX184">
        <v>21</v>
      </c>
      <c r="AY184">
        <f t="shared" si="12"/>
        <v>15</v>
      </c>
      <c r="AZ184">
        <f t="shared" si="13"/>
        <v>1</v>
      </c>
      <c r="BA184">
        <v>120</v>
      </c>
      <c r="BB184" t="str">
        <f t="shared" si="14"/>
        <v>(U-village)</v>
      </c>
      <c r="BC184">
        <f t="shared" si="15"/>
        <v>-1</v>
      </c>
      <c r="BD184">
        <f t="shared" si="16"/>
        <v>4000</v>
      </c>
      <c r="BE184">
        <v>13000</v>
      </c>
      <c r="BF184" t="str">
        <f t="shared" si="17"/>
        <v>(U-village)</v>
      </c>
    </row>
    <row r="185" spans="1:58" x14ac:dyDescent="0.3">
      <c r="A185">
        <v>675</v>
      </c>
      <c r="B185" s="2">
        <v>45559.439085648148</v>
      </c>
      <c r="C185">
        <v>100000</v>
      </c>
      <c r="D185">
        <v>50000</v>
      </c>
      <c r="E185">
        <v>4000</v>
      </c>
      <c r="F185">
        <v>12500</v>
      </c>
      <c r="G185">
        <v>47000</v>
      </c>
      <c r="H185">
        <v>0</v>
      </c>
      <c r="I185">
        <v>20000</v>
      </c>
      <c r="J185">
        <v>51250</v>
      </c>
      <c r="K185">
        <v>0</v>
      </c>
      <c r="L185">
        <v>4000</v>
      </c>
      <c r="M185">
        <v>0</v>
      </c>
      <c r="N185">
        <v>5250</v>
      </c>
      <c r="O185">
        <v>1</v>
      </c>
      <c r="P185">
        <v>-2</v>
      </c>
      <c r="Q185">
        <v>1</v>
      </c>
      <c r="R185">
        <v>3</v>
      </c>
      <c r="S185">
        <v>2</v>
      </c>
      <c r="T185">
        <v>0</v>
      </c>
      <c r="U185">
        <v>1</v>
      </c>
      <c r="V185">
        <v>2</v>
      </c>
      <c r="W185">
        <v>6</v>
      </c>
      <c r="X185">
        <v>170000</v>
      </c>
      <c r="Y185">
        <v>170000</v>
      </c>
      <c r="Z185">
        <v>153000</v>
      </c>
      <c r="AA185">
        <v>200000</v>
      </c>
      <c r="AB185">
        <v>125000</v>
      </c>
      <c r="AC185">
        <v>125000</v>
      </c>
      <c r="AD185">
        <v>112500</v>
      </c>
      <c r="AE185">
        <v>30</v>
      </c>
      <c r="AG185">
        <v>8</v>
      </c>
      <c r="AH185">
        <v>7</v>
      </c>
      <c r="AI185">
        <v>-2</v>
      </c>
      <c r="AJ185">
        <v>-1</v>
      </c>
      <c r="AK185">
        <v>1</v>
      </c>
      <c r="AL185">
        <v>1</v>
      </c>
      <c r="AM185" t="s">
        <v>168</v>
      </c>
      <c r="AN185">
        <v>555</v>
      </c>
      <c r="AO185">
        <v>182</v>
      </c>
      <c r="AP185">
        <v>776</v>
      </c>
      <c r="AQ185">
        <v>827</v>
      </c>
      <c r="AS185">
        <v>2</v>
      </c>
      <c r="AT185">
        <v>76</v>
      </c>
      <c r="AU185" t="s">
        <v>121</v>
      </c>
      <c r="AV185">
        <v>16</v>
      </c>
      <c r="AW185" t="s">
        <v>108</v>
      </c>
      <c r="AX185">
        <v>21</v>
      </c>
      <c r="AY185">
        <f t="shared" si="12"/>
        <v>15</v>
      </c>
      <c r="AZ185">
        <f t="shared" si="13"/>
        <v>2</v>
      </c>
      <c r="BA185">
        <v>120</v>
      </c>
      <c r="BB185" t="str">
        <f t="shared" si="14"/>
        <v>(U-village)</v>
      </c>
      <c r="BC185">
        <f t="shared" si="15"/>
        <v>-2</v>
      </c>
      <c r="BD185">
        <f t="shared" si="16"/>
        <v>4000</v>
      </c>
      <c r="BE185">
        <v>51250</v>
      </c>
      <c r="BF185" t="str">
        <f t="shared" si="17"/>
        <v>(U-village)</v>
      </c>
    </row>
    <row r="186" spans="1:58" x14ac:dyDescent="0.3">
      <c r="A186">
        <v>711</v>
      </c>
      <c r="B186" s="2">
        <v>45559.439085648148</v>
      </c>
      <c r="C186">
        <v>100000</v>
      </c>
      <c r="D186">
        <v>50000</v>
      </c>
      <c r="E186">
        <v>0</v>
      </c>
      <c r="F186">
        <v>12500</v>
      </c>
      <c r="G186">
        <v>0</v>
      </c>
      <c r="H186">
        <v>0</v>
      </c>
      <c r="I186">
        <v>20000</v>
      </c>
      <c r="J186">
        <v>9000</v>
      </c>
      <c r="K186">
        <v>0</v>
      </c>
      <c r="L186">
        <v>12000</v>
      </c>
      <c r="M186">
        <v>4000</v>
      </c>
      <c r="N186">
        <v>-2250</v>
      </c>
      <c r="O186">
        <v>0</v>
      </c>
      <c r="P186">
        <v>0</v>
      </c>
      <c r="Q186">
        <v>0</v>
      </c>
      <c r="R186">
        <v>0</v>
      </c>
      <c r="S186">
        <v>4</v>
      </c>
      <c r="T186">
        <v>1</v>
      </c>
      <c r="U186">
        <v>0</v>
      </c>
      <c r="V186">
        <v>-3</v>
      </c>
      <c r="W186">
        <v>6</v>
      </c>
      <c r="X186">
        <v>170000</v>
      </c>
      <c r="Y186">
        <v>125000</v>
      </c>
      <c r="Z186">
        <v>112500</v>
      </c>
      <c r="AA186">
        <v>0</v>
      </c>
      <c r="AB186">
        <v>0</v>
      </c>
      <c r="AC186">
        <v>125000</v>
      </c>
      <c r="AD186">
        <v>100000</v>
      </c>
      <c r="AG186">
        <v>8</v>
      </c>
      <c r="AH186">
        <v>7</v>
      </c>
      <c r="AI186">
        <v>-2</v>
      </c>
      <c r="AJ186">
        <v>-1</v>
      </c>
      <c r="AK186">
        <v>1</v>
      </c>
      <c r="AL186">
        <v>1</v>
      </c>
      <c r="AM186" t="s">
        <v>168</v>
      </c>
      <c r="AN186">
        <v>555</v>
      </c>
      <c r="AO186">
        <v>187</v>
      </c>
      <c r="AP186">
        <v>827</v>
      </c>
      <c r="AQ186">
        <v>827</v>
      </c>
      <c r="AS186">
        <v>3</v>
      </c>
      <c r="AT186">
        <v>76</v>
      </c>
      <c r="AU186" t="s">
        <v>121</v>
      </c>
      <c r="AV186">
        <v>16</v>
      </c>
      <c r="AW186" t="s">
        <v>108</v>
      </c>
      <c r="AX186">
        <v>21</v>
      </c>
      <c r="AY186">
        <f t="shared" si="12"/>
        <v>15</v>
      </c>
      <c r="AZ186">
        <f t="shared" si="13"/>
        <v>2</v>
      </c>
      <c r="BA186">
        <v>120</v>
      </c>
      <c r="BB186" t="str">
        <f t="shared" si="14"/>
        <v>(U-village)</v>
      </c>
      <c r="BC186">
        <f t="shared" si="15"/>
        <v>-5</v>
      </c>
      <c r="BD186">
        <f t="shared" si="16"/>
        <v>16000</v>
      </c>
      <c r="BE186">
        <v>9000</v>
      </c>
      <c r="BF186" t="str">
        <f t="shared" si="17"/>
        <v>(U-village)</v>
      </c>
    </row>
    <row r="187" spans="1:58" x14ac:dyDescent="0.3">
      <c r="A187">
        <v>764</v>
      </c>
      <c r="B187" s="2">
        <v>45559.598854166667</v>
      </c>
      <c r="C187">
        <v>65000</v>
      </c>
      <c r="D187">
        <v>30000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5000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</v>
      </c>
      <c r="W187">
        <v>4</v>
      </c>
      <c r="X187">
        <v>110000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t="s">
        <v>134</v>
      </c>
      <c r="AN187">
        <v>556</v>
      </c>
      <c r="AO187">
        <v>175</v>
      </c>
      <c r="AS187">
        <v>0</v>
      </c>
      <c r="AT187">
        <v>77</v>
      </c>
      <c r="AU187" t="s">
        <v>122</v>
      </c>
      <c r="AV187">
        <v>16</v>
      </c>
      <c r="AW187" t="s">
        <v>108</v>
      </c>
      <c r="AX187">
        <v>21</v>
      </c>
      <c r="AY187">
        <f t="shared" si="12"/>
        <v>0</v>
      </c>
      <c r="AZ187">
        <f t="shared" si="13"/>
        <v>0</v>
      </c>
      <c r="BA187">
        <v>118</v>
      </c>
      <c r="BB187" t="str">
        <f t="shared" si="14"/>
        <v/>
      </c>
      <c r="BC187" t="str">
        <f t="shared" si="15"/>
        <v/>
      </c>
      <c r="BD187">
        <f t="shared" si="16"/>
        <v>0</v>
      </c>
      <c r="BE187">
        <v>0</v>
      </c>
      <c r="BF187" t="str">
        <f t="shared" si="17"/>
        <v/>
      </c>
    </row>
    <row r="188" spans="1:58" x14ac:dyDescent="0.3">
      <c r="A188">
        <v>789</v>
      </c>
      <c r="B188" s="2">
        <v>45559.598854166667</v>
      </c>
      <c r="C188">
        <v>65000</v>
      </c>
      <c r="D188">
        <v>30000</v>
      </c>
      <c r="E188">
        <v>0</v>
      </c>
      <c r="F188">
        <v>11000</v>
      </c>
      <c r="G188">
        <v>0</v>
      </c>
      <c r="H188">
        <v>22000</v>
      </c>
      <c r="I188">
        <v>20000</v>
      </c>
      <c r="J188">
        <v>0</v>
      </c>
      <c r="K188">
        <v>0</v>
      </c>
      <c r="L188">
        <v>0</v>
      </c>
      <c r="M188">
        <v>4000</v>
      </c>
      <c r="N188">
        <v>-17000</v>
      </c>
      <c r="O188">
        <v>0</v>
      </c>
      <c r="P188">
        <v>-1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3</v>
      </c>
      <c r="W188">
        <v>4</v>
      </c>
      <c r="X188">
        <v>110000</v>
      </c>
      <c r="Y188">
        <v>0</v>
      </c>
      <c r="Z188">
        <v>0</v>
      </c>
      <c r="AA188">
        <v>0</v>
      </c>
      <c r="AB188">
        <v>132000</v>
      </c>
      <c r="AC188">
        <v>110000</v>
      </c>
      <c r="AD188">
        <v>99000</v>
      </c>
      <c r="AG188">
        <v>8</v>
      </c>
      <c r="AH188">
        <v>10</v>
      </c>
      <c r="AI188">
        <v>0</v>
      </c>
      <c r="AJ188">
        <v>0</v>
      </c>
      <c r="AK188">
        <v>0</v>
      </c>
      <c r="AL188">
        <v>0</v>
      </c>
      <c r="AM188" t="s">
        <v>168</v>
      </c>
      <c r="AN188">
        <v>556</v>
      </c>
      <c r="AO188">
        <v>197</v>
      </c>
      <c r="AQ188">
        <v>896</v>
      </c>
      <c r="AS188">
        <v>1</v>
      </c>
      <c r="AT188">
        <v>77</v>
      </c>
      <c r="AU188" t="s">
        <v>122</v>
      </c>
      <c r="AV188">
        <v>16</v>
      </c>
      <c r="AW188" t="s">
        <v>108</v>
      </c>
      <c r="AX188">
        <v>21</v>
      </c>
      <c r="AY188">
        <f t="shared" si="12"/>
        <v>18</v>
      </c>
      <c r="AZ188">
        <f t="shared" si="13"/>
        <v>0</v>
      </c>
      <c r="BA188">
        <v>118</v>
      </c>
      <c r="BB188" t="str">
        <f t="shared" si="14"/>
        <v>(Natu-city)</v>
      </c>
      <c r="BC188">
        <f t="shared" si="15"/>
        <v>-2</v>
      </c>
      <c r="BD188">
        <f t="shared" si="16"/>
        <v>4000</v>
      </c>
      <c r="BE188">
        <v>0</v>
      </c>
      <c r="BF188" t="str">
        <f t="shared" si="17"/>
        <v>(Natu-city)</v>
      </c>
    </row>
    <row r="189" spans="1:58" x14ac:dyDescent="0.3">
      <c r="A189">
        <v>837</v>
      </c>
      <c r="B189" s="2">
        <v>45559.598854166667</v>
      </c>
      <c r="C189">
        <v>65000</v>
      </c>
      <c r="D189">
        <v>30000</v>
      </c>
      <c r="E189">
        <v>17000</v>
      </c>
      <c r="F189">
        <v>11000</v>
      </c>
      <c r="G189">
        <v>0</v>
      </c>
      <c r="H189">
        <v>0</v>
      </c>
      <c r="I189">
        <v>20000</v>
      </c>
      <c r="J189">
        <v>0</v>
      </c>
      <c r="K189">
        <v>0</v>
      </c>
      <c r="L189">
        <v>0</v>
      </c>
      <c r="M189">
        <v>4000</v>
      </c>
      <c r="N189">
        <v>-50000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4</v>
      </c>
      <c r="X189">
        <v>110000</v>
      </c>
      <c r="Y189">
        <v>110000</v>
      </c>
      <c r="Z189">
        <v>99000</v>
      </c>
      <c r="AA189">
        <v>0</v>
      </c>
      <c r="AB189">
        <v>0</v>
      </c>
      <c r="AC189">
        <v>110000</v>
      </c>
      <c r="AD189">
        <v>55000</v>
      </c>
      <c r="AG189">
        <v>8</v>
      </c>
      <c r="AH189">
        <v>10</v>
      </c>
      <c r="AI189">
        <v>-2</v>
      </c>
      <c r="AJ189">
        <v>-1</v>
      </c>
      <c r="AK189">
        <v>0</v>
      </c>
      <c r="AL189">
        <v>0</v>
      </c>
      <c r="AM189" t="s">
        <v>168</v>
      </c>
      <c r="AN189">
        <v>556</v>
      </c>
      <c r="AO189">
        <v>202</v>
      </c>
      <c r="AP189">
        <v>896</v>
      </c>
      <c r="AQ189">
        <v>896</v>
      </c>
      <c r="AS189">
        <v>2</v>
      </c>
      <c r="AT189">
        <v>77</v>
      </c>
      <c r="AU189" t="s">
        <v>122</v>
      </c>
      <c r="AV189">
        <v>16</v>
      </c>
      <c r="AW189" t="s">
        <v>108</v>
      </c>
      <c r="AX189">
        <v>21</v>
      </c>
      <c r="AY189">
        <f t="shared" si="12"/>
        <v>18</v>
      </c>
      <c r="AZ189">
        <f t="shared" si="13"/>
        <v>0</v>
      </c>
      <c r="BA189">
        <v>118</v>
      </c>
      <c r="BB189" t="str">
        <f t="shared" si="14"/>
        <v>(Natu-city)</v>
      </c>
      <c r="BC189">
        <f t="shared" si="15"/>
        <v>-2</v>
      </c>
      <c r="BD189">
        <f t="shared" si="16"/>
        <v>4000</v>
      </c>
      <c r="BE189">
        <v>0</v>
      </c>
      <c r="BF189" t="str">
        <f t="shared" si="17"/>
        <v>(Natu-city)</v>
      </c>
    </row>
    <row r="190" spans="1:58" x14ac:dyDescent="0.3">
      <c r="A190">
        <v>879</v>
      </c>
      <c r="B190" s="2">
        <v>45559.598854166667</v>
      </c>
      <c r="C190">
        <v>65000</v>
      </c>
      <c r="D190">
        <v>30000</v>
      </c>
      <c r="E190">
        <v>35000</v>
      </c>
      <c r="F190">
        <v>11000</v>
      </c>
      <c r="G190">
        <v>0</v>
      </c>
      <c r="H190">
        <v>0</v>
      </c>
      <c r="I190">
        <v>25000</v>
      </c>
      <c r="J190">
        <v>0</v>
      </c>
      <c r="K190">
        <v>0</v>
      </c>
      <c r="L190">
        <v>0</v>
      </c>
      <c r="M190">
        <v>0</v>
      </c>
      <c r="N190">
        <v>-51000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4</v>
      </c>
      <c r="X190">
        <v>110000</v>
      </c>
      <c r="Y190">
        <v>110000</v>
      </c>
      <c r="Z190">
        <v>55000</v>
      </c>
      <c r="AA190">
        <v>0</v>
      </c>
      <c r="AB190">
        <v>0</v>
      </c>
      <c r="AC190">
        <v>110000</v>
      </c>
      <c r="AD190">
        <v>44000</v>
      </c>
      <c r="AG190">
        <v>8</v>
      </c>
      <c r="AH190">
        <v>10</v>
      </c>
      <c r="AI190">
        <v>-2</v>
      </c>
      <c r="AJ190">
        <v>-1</v>
      </c>
      <c r="AK190">
        <v>0</v>
      </c>
      <c r="AL190">
        <v>0</v>
      </c>
      <c r="AM190" t="s">
        <v>168</v>
      </c>
      <c r="AN190">
        <v>556</v>
      </c>
      <c r="AO190">
        <v>207</v>
      </c>
      <c r="AP190">
        <v>896</v>
      </c>
      <c r="AQ190">
        <v>896</v>
      </c>
      <c r="AS190">
        <v>3</v>
      </c>
      <c r="AT190">
        <v>77</v>
      </c>
      <c r="AU190" t="s">
        <v>122</v>
      </c>
      <c r="AV190">
        <v>16</v>
      </c>
      <c r="AW190" t="s">
        <v>108</v>
      </c>
      <c r="AX190">
        <v>21</v>
      </c>
      <c r="AY190">
        <f t="shared" si="12"/>
        <v>18</v>
      </c>
      <c r="AZ190">
        <f t="shared" si="13"/>
        <v>0</v>
      </c>
      <c r="BA190">
        <v>118</v>
      </c>
      <c r="BB190" t="str">
        <f t="shared" si="14"/>
        <v>(Natu-city)</v>
      </c>
      <c r="BC190">
        <f t="shared" si="15"/>
        <v>-1</v>
      </c>
      <c r="BD190">
        <f t="shared" si="16"/>
        <v>0</v>
      </c>
      <c r="BE190">
        <v>0</v>
      </c>
      <c r="BF190" t="str">
        <f t="shared" si="17"/>
        <v>(Natu-city)</v>
      </c>
    </row>
    <row r="191" spans="1:58" x14ac:dyDescent="0.3">
      <c r="A191">
        <v>769</v>
      </c>
      <c r="B191" s="2">
        <v>45559.59956018519</v>
      </c>
      <c r="C191">
        <v>100000</v>
      </c>
      <c r="D191">
        <v>50000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30000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5</v>
      </c>
      <c r="W191">
        <v>6</v>
      </c>
      <c r="X191">
        <v>170000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t="s">
        <v>134</v>
      </c>
      <c r="AN191">
        <v>557</v>
      </c>
      <c r="AO191">
        <v>175</v>
      </c>
      <c r="AS191">
        <v>0</v>
      </c>
      <c r="AT191">
        <v>77</v>
      </c>
      <c r="AU191" t="s">
        <v>122</v>
      </c>
      <c r="AV191">
        <v>16</v>
      </c>
      <c r="AW191" t="s">
        <v>108</v>
      </c>
      <c r="AX191">
        <v>21</v>
      </c>
      <c r="AY191">
        <f t="shared" si="12"/>
        <v>0</v>
      </c>
      <c r="AZ191">
        <f t="shared" si="13"/>
        <v>0</v>
      </c>
      <c r="BA191">
        <v>120</v>
      </c>
      <c r="BB191" t="str">
        <f t="shared" si="14"/>
        <v/>
      </c>
      <c r="BC191" t="str">
        <f t="shared" si="15"/>
        <v/>
      </c>
      <c r="BD191">
        <f t="shared" si="16"/>
        <v>0</v>
      </c>
      <c r="BE191">
        <v>0</v>
      </c>
      <c r="BF191" t="str">
        <f t="shared" si="17"/>
        <v/>
      </c>
    </row>
    <row r="192" spans="1:58" x14ac:dyDescent="0.3">
      <c r="A192">
        <v>802</v>
      </c>
      <c r="B192" s="2">
        <v>45559.59956018519</v>
      </c>
      <c r="C192">
        <v>100000</v>
      </c>
      <c r="D192">
        <v>50000</v>
      </c>
      <c r="E192">
        <v>0</v>
      </c>
      <c r="F192">
        <v>17000</v>
      </c>
      <c r="G192">
        <v>0</v>
      </c>
      <c r="H192">
        <v>25000</v>
      </c>
      <c r="I192">
        <v>15000</v>
      </c>
      <c r="J192">
        <v>16000</v>
      </c>
      <c r="K192">
        <v>0</v>
      </c>
      <c r="L192">
        <v>0</v>
      </c>
      <c r="M192">
        <v>4000</v>
      </c>
      <c r="N192">
        <v>3000</v>
      </c>
      <c r="O192">
        <v>0</v>
      </c>
      <c r="P192">
        <v>-1</v>
      </c>
      <c r="Q192">
        <v>0</v>
      </c>
      <c r="R192">
        <v>2</v>
      </c>
      <c r="S192">
        <v>0</v>
      </c>
      <c r="T192">
        <v>1</v>
      </c>
      <c r="U192">
        <v>0</v>
      </c>
      <c r="V192">
        <v>5</v>
      </c>
      <c r="W192">
        <v>6</v>
      </c>
      <c r="X192">
        <v>170000</v>
      </c>
      <c r="Y192">
        <v>0</v>
      </c>
      <c r="Z192">
        <v>0</v>
      </c>
      <c r="AA192">
        <v>0</v>
      </c>
      <c r="AB192">
        <v>195000</v>
      </c>
      <c r="AC192">
        <v>170000</v>
      </c>
      <c r="AD192">
        <v>153000</v>
      </c>
      <c r="AG192">
        <v>6</v>
      </c>
      <c r="AH192">
        <v>10</v>
      </c>
      <c r="AI192">
        <v>0</v>
      </c>
      <c r="AJ192">
        <v>0</v>
      </c>
      <c r="AK192">
        <v>0</v>
      </c>
      <c r="AL192">
        <v>0</v>
      </c>
      <c r="AM192" t="s">
        <v>168</v>
      </c>
      <c r="AN192">
        <v>557</v>
      </c>
      <c r="AO192">
        <v>197</v>
      </c>
      <c r="AQ192">
        <v>899</v>
      </c>
      <c r="AS192">
        <v>1</v>
      </c>
      <c r="AT192">
        <v>77</v>
      </c>
      <c r="AU192" t="s">
        <v>122</v>
      </c>
      <c r="AV192">
        <v>16</v>
      </c>
      <c r="AW192" t="s">
        <v>108</v>
      </c>
      <c r="AX192">
        <v>21</v>
      </c>
      <c r="AY192">
        <f t="shared" si="12"/>
        <v>16</v>
      </c>
      <c r="AZ192">
        <f t="shared" si="13"/>
        <v>0</v>
      </c>
      <c r="BA192">
        <v>120</v>
      </c>
      <c r="BB192" t="str">
        <f t="shared" si="14"/>
        <v>(Dike-town)</v>
      </c>
      <c r="BC192">
        <f t="shared" si="15"/>
        <v>0</v>
      </c>
      <c r="BD192">
        <f t="shared" si="16"/>
        <v>4000</v>
      </c>
      <c r="BE192">
        <v>16000</v>
      </c>
      <c r="BF192" t="str">
        <f t="shared" si="17"/>
        <v>(Dike-town)</v>
      </c>
    </row>
    <row r="193" spans="1:58" x14ac:dyDescent="0.3">
      <c r="A193">
        <v>850</v>
      </c>
      <c r="B193" s="2">
        <v>45559.59956018519</v>
      </c>
      <c r="C193">
        <v>100000</v>
      </c>
      <c r="D193">
        <v>50000</v>
      </c>
      <c r="E193">
        <v>0</v>
      </c>
      <c r="F193">
        <v>17000</v>
      </c>
      <c r="G193">
        <v>0</v>
      </c>
      <c r="H193">
        <v>0</v>
      </c>
      <c r="I193">
        <v>15000</v>
      </c>
      <c r="J193">
        <v>12000</v>
      </c>
      <c r="K193">
        <v>0</v>
      </c>
      <c r="L193">
        <v>0</v>
      </c>
      <c r="M193">
        <v>4000</v>
      </c>
      <c r="N193">
        <v>5000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5</v>
      </c>
      <c r="W193">
        <v>6</v>
      </c>
      <c r="X193">
        <v>170000</v>
      </c>
      <c r="Y193">
        <v>170000</v>
      </c>
      <c r="Z193">
        <v>153000</v>
      </c>
      <c r="AA193">
        <v>0</v>
      </c>
      <c r="AB193">
        <v>0</v>
      </c>
      <c r="AC193">
        <v>170000</v>
      </c>
      <c r="AD193">
        <v>136000</v>
      </c>
      <c r="AG193">
        <v>6</v>
      </c>
      <c r="AH193">
        <v>10</v>
      </c>
      <c r="AI193">
        <v>-2</v>
      </c>
      <c r="AJ193">
        <v>-1</v>
      </c>
      <c r="AK193">
        <v>1</v>
      </c>
      <c r="AL193">
        <v>0</v>
      </c>
      <c r="AM193" t="s">
        <v>168</v>
      </c>
      <c r="AN193">
        <v>557</v>
      </c>
      <c r="AO193">
        <v>202</v>
      </c>
      <c r="AP193">
        <v>899</v>
      </c>
      <c r="AQ193">
        <v>899</v>
      </c>
      <c r="AS193">
        <v>2</v>
      </c>
      <c r="AT193">
        <v>77</v>
      </c>
      <c r="AU193" t="s">
        <v>122</v>
      </c>
      <c r="AV193">
        <v>16</v>
      </c>
      <c r="AW193" t="s">
        <v>108</v>
      </c>
      <c r="AX193">
        <v>21</v>
      </c>
      <c r="AY193">
        <f t="shared" si="12"/>
        <v>16</v>
      </c>
      <c r="AZ193">
        <f t="shared" si="13"/>
        <v>1</v>
      </c>
      <c r="BA193">
        <v>120</v>
      </c>
      <c r="BB193" t="str">
        <f t="shared" si="14"/>
        <v>(Dike-town)</v>
      </c>
      <c r="BC193">
        <f t="shared" si="15"/>
        <v>0</v>
      </c>
      <c r="BD193">
        <f t="shared" si="16"/>
        <v>4000</v>
      </c>
      <c r="BE193">
        <v>12000</v>
      </c>
      <c r="BF193" t="str">
        <f t="shared" si="17"/>
        <v>(Dike-town)</v>
      </c>
    </row>
    <row r="194" spans="1:58" x14ac:dyDescent="0.3">
      <c r="A194">
        <v>882</v>
      </c>
      <c r="B194" s="2">
        <v>45559.59956018519</v>
      </c>
      <c r="C194">
        <v>100000</v>
      </c>
      <c r="D194">
        <v>50000</v>
      </c>
      <c r="E194">
        <v>0</v>
      </c>
      <c r="F194">
        <v>17000</v>
      </c>
      <c r="G194">
        <v>0</v>
      </c>
      <c r="H194">
        <v>0</v>
      </c>
      <c r="I194">
        <v>15000</v>
      </c>
      <c r="J194">
        <v>20000</v>
      </c>
      <c r="K194">
        <v>0</v>
      </c>
      <c r="L194">
        <v>0</v>
      </c>
      <c r="M194">
        <v>4000</v>
      </c>
      <c r="N194">
        <v>-1000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5</v>
      </c>
      <c r="W194">
        <v>6</v>
      </c>
      <c r="X194">
        <v>170000</v>
      </c>
      <c r="Y194">
        <v>170000</v>
      </c>
      <c r="Z194">
        <v>136000</v>
      </c>
      <c r="AA194">
        <v>0</v>
      </c>
      <c r="AB194">
        <v>0</v>
      </c>
      <c r="AC194">
        <v>170000</v>
      </c>
      <c r="AD194">
        <v>119000</v>
      </c>
      <c r="AG194">
        <v>6</v>
      </c>
      <c r="AH194">
        <v>10</v>
      </c>
      <c r="AI194">
        <v>-2</v>
      </c>
      <c r="AJ194">
        <v>-1</v>
      </c>
      <c r="AK194">
        <v>1</v>
      </c>
      <c r="AL194">
        <v>0</v>
      </c>
      <c r="AM194" t="s">
        <v>168</v>
      </c>
      <c r="AN194">
        <v>557</v>
      </c>
      <c r="AO194">
        <v>207</v>
      </c>
      <c r="AP194">
        <v>899</v>
      </c>
      <c r="AQ194">
        <v>899</v>
      </c>
      <c r="AS194">
        <v>3</v>
      </c>
      <c r="AT194">
        <v>77</v>
      </c>
      <c r="AU194" t="s">
        <v>122</v>
      </c>
      <c r="AV194">
        <v>16</v>
      </c>
      <c r="AW194" t="s">
        <v>108</v>
      </c>
      <c r="AX194">
        <v>21</v>
      </c>
      <c r="AY194">
        <f t="shared" si="12"/>
        <v>16</v>
      </c>
      <c r="AZ194">
        <f t="shared" si="13"/>
        <v>1</v>
      </c>
      <c r="BA194">
        <v>120</v>
      </c>
      <c r="BB194" t="str">
        <f t="shared" si="14"/>
        <v>(Dike-town)</v>
      </c>
      <c r="BC194">
        <f t="shared" si="15"/>
        <v>0</v>
      </c>
      <c r="BD194">
        <f t="shared" si="16"/>
        <v>4000</v>
      </c>
      <c r="BE194">
        <v>20000</v>
      </c>
      <c r="BF194" t="str">
        <f t="shared" si="17"/>
        <v>(Dike-town)</v>
      </c>
    </row>
    <row r="195" spans="1:58" x14ac:dyDescent="0.3">
      <c r="A195">
        <v>759</v>
      </c>
      <c r="B195" s="2">
        <v>45559.598310185189</v>
      </c>
      <c r="C195">
        <v>50000</v>
      </c>
      <c r="D195">
        <v>20000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5</v>
      </c>
      <c r="W195">
        <v>3</v>
      </c>
      <c r="X195">
        <v>80000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t="s">
        <v>134</v>
      </c>
      <c r="AN195">
        <v>558</v>
      </c>
      <c r="AO195">
        <v>175</v>
      </c>
      <c r="AS195">
        <v>0</v>
      </c>
      <c r="AT195">
        <v>77</v>
      </c>
      <c r="AU195" t="s">
        <v>122</v>
      </c>
      <c r="AV195">
        <v>16</v>
      </c>
      <c r="AW195" t="s">
        <v>108</v>
      </c>
      <c r="AX195">
        <v>21</v>
      </c>
      <c r="AY195">
        <f t="shared" ref="AY195:AY258" si="18">AG195+AH195</f>
        <v>0</v>
      </c>
      <c r="AZ195">
        <f t="shared" ref="AZ195:AZ258" si="19">AK195+AL195</f>
        <v>0</v>
      </c>
      <c r="BA195">
        <v>117</v>
      </c>
      <c r="BB195" t="str">
        <f t="shared" ref="BB195:BB258" si="20">IF(AY195=15,"(U-village)",IF(AY195=16,"(Dike-town)",IF(AY195=18,"(Natu-city)","")))</f>
        <v/>
      </c>
      <c r="BC195" t="str">
        <f t="shared" ref="BC195:BC258" si="21">IF(AN195=AN194,V195-V194,"")</f>
        <v/>
      </c>
      <c r="BD195">
        <f t="shared" ref="BD195:BD258" si="22">L195+M195</f>
        <v>0</v>
      </c>
      <c r="BE195">
        <v>0</v>
      </c>
      <c r="BF195" t="str">
        <f t="shared" ref="BF195:BF258" si="23">IF(AY195=15,"(U-village)",IF(AY195=16,"(Dike-town)",IF(AY195=18,"(Natu-city)","")))</f>
        <v/>
      </c>
    </row>
    <row r="196" spans="1:58" x14ac:dyDescent="0.3">
      <c r="A196">
        <v>799</v>
      </c>
      <c r="B196" s="2">
        <v>45559.598310185189</v>
      </c>
      <c r="C196">
        <v>50000</v>
      </c>
      <c r="D196">
        <v>20000</v>
      </c>
      <c r="E196">
        <v>0</v>
      </c>
      <c r="F196">
        <v>8000</v>
      </c>
      <c r="G196">
        <v>0</v>
      </c>
      <c r="H196">
        <v>0</v>
      </c>
      <c r="I196">
        <v>15000</v>
      </c>
      <c r="J196">
        <v>7000</v>
      </c>
      <c r="K196">
        <v>0</v>
      </c>
      <c r="L196">
        <v>0</v>
      </c>
      <c r="M196">
        <v>4000</v>
      </c>
      <c r="N196">
        <v>-4000</v>
      </c>
      <c r="O196">
        <v>0</v>
      </c>
      <c r="P196">
        <v>-1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4</v>
      </c>
      <c r="W196">
        <v>3</v>
      </c>
      <c r="X196">
        <v>80000</v>
      </c>
      <c r="Y196">
        <v>0</v>
      </c>
      <c r="Z196">
        <v>0</v>
      </c>
      <c r="AA196">
        <v>0</v>
      </c>
      <c r="AB196">
        <v>80000</v>
      </c>
      <c r="AC196">
        <v>80000</v>
      </c>
      <c r="AD196">
        <v>72000</v>
      </c>
      <c r="AG196">
        <v>6</v>
      </c>
      <c r="AH196">
        <v>10</v>
      </c>
      <c r="AI196">
        <v>0</v>
      </c>
      <c r="AJ196">
        <v>0</v>
      </c>
      <c r="AK196">
        <v>0</v>
      </c>
      <c r="AL196">
        <v>1</v>
      </c>
      <c r="AM196" t="s">
        <v>168</v>
      </c>
      <c r="AN196">
        <v>558</v>
      </c>
      <c r="AO196">
        <v>197</v>
      </c>
      <c r="AQ196">
        <v>900</v>
      </c>
      <c r="AS196">
        <v>1</v>
      </c>
      <c r="AT196">
        <v>77</v>
      </c>
      <c r="AU196" t="s">
        <v>122</v>
      </c>
      <c r="AV196">
        <v>16</v>
      </c>
      <c r="AW196" t="s">
        <v>108</v>
      </c>
      <c r="AX196">
        <v>21</v>
      </c>
      <c r="AY196">
        <f t="shared" si="18"/>
        <v>16</v>
      </c>
      <c r="AZ196">
        <f t="shared" si="19"/>
        <v>1</v>
      </c>
      <c r="BA196">
        <v>117</v>
      </c>
      <c r="BB196" t="str">
        <f t="shared" si="20"/>
        <v>(Dike-town)</v>
      </c>
      <c r="BC196">
        <f t="shared" si="21"/>
        <v>-1</v>
      </c>
      <c r="BD196">
        <f t="shared" si="22"/>
        <v>4000</v>
      </c>
      <c r="BE196">
        <v>7000</v>
      </c>
      <c r="BF196" t="str">
        <f t="shared" si="23"/>
        <v>(Dike-town)</v>
      </c>
    </row>
    <row r="197" spans="1:58" x14ac:dyDescent="0.3">
      <c r="A197">
        <v>839</v>
      </c>
      <c r="B197" s="2">
        <v>45559.598310185189</v>
      </c>
      <c r="C197">
        <v>50000</v>
      </c>
      <c r="D197">
        <v>20000</v>
      </c>
      <c r="E197">
        <v>4000</v>
      </c>
      <c r="F197">
        <v>7000</v>
      </c>
      <c r="G197">
        <v>8000</v>
      </c>
      <c r="H197">
        <v>0</v>
      </c>
      <c r="I197">
        <v>15000</v>
      </c>
      <c r="J197">
        <v>12000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-1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3</v>
      </c>
      <c r="X197">
        <v>80000</v>
      </c>
      <c r="Y197">
        <v>80000</v>
      </c>
      <c r="Z197">
        <v>72000</v>
      </c>
      <c r="AA197">
        <v>80000</v>
      </c>
      <c r="AB197">
        <v>70000</v>
      </c>
      <c r="AC197">
        <v>70000</v>
      </c>
      <c r="AD197">
        <v>63000</v>
      </c>
      <c r="AE197">
        <v>30</v>
      </c>
      <c r="AG197">
        <v>8</v>
      </c>
      <c r="AH197">
        <v>7</v>
      </c>
      <c r="AI197">
        <v>-2</v>
      </c>
      <c r="AJ197">
        <v>-1</v>
      </c>
      <c r="AK197">
        <v>1</v>
      </c>
      <c r="AL197">
        <v>1</v>
      </c>
      <c r="AM197" t="s">
        <v>168</v>
      </c>
      <c r="AN197">
        <v>558</v>
      </c>
      <c r="AO197">
        <v>202</v>
      </c>
      <c r="AP197">
        <v>900</v>
      </c>
      <c r="AQ197">
        <v>938</v>
      </c>
      <c r="AS197">
        <v>2</v>
      </c>
      <c r="AT197">
        <v>77</v>
      </c>
      <c r="AU197" t="s">
        <v>122</v>
      </c>
      <c r="AV197">
        <v>16</v>
      </c>
      <c r="AW197" t="s">
        <v>108</v>
      </c>
      <c r="AX197">
        <v>21</v>
      </c>
      <c r="AY197">
        <f t="shared" si="18"/>
        <v>15</v>
      </c>
      <c r="AZ197">
        <f t="shared" si="19"/>
        <v>2</v>
      </c>
      <c r="BA197">
        <v>117</v>
      </c>
      <c r="BB197" t="str">
        <f t="shared" si="20"/>
        <v>(U-village)</v>
      </c>
      <c r="BC197">
        <f t="shared" si="21"/>
        <v>-3</v>
      </c>
      <c r="BD197">
        <f t="shared" si="22"/>
        <v>0</v>
      </c>
      <c r="BE197">
        <v>12000</v>
      </c>
      <c r="BF197" t="str">
        <f t="shared" si="23"/>
        <v>(U-village)</v>
      </c>
    </row>
    <row r="198" spans="1:58" x14ac:dyDescent="0.3">
      <c r="A198">
        <v>878</v>
      </c>
      <c r="B198" s="2">
        <v>45559.598310185189</v>
      </c>
      <c r="C198">
        <v>50000</v>
      </c>
      <c r="D198">
        <v>20000</v>
      </c>
      <c r="E198">
        <v>0</v>
      </c>
      <c r="F198">
        <v>7000</v>
      </c>
      <c r="G198">
        <v>0</v>
      </c>
      <c r="H198">
        <v>0</v>
      </c>
      <c r="I198">
        <v>20000</v>
      </c>
      <c r="J198">
        <v>0</v>
      </c>
      <c r="K198">
        <v>0</v>
      </c>
      <c r="L198">
        <v>0</v>
      </c>
      <c r="M198">
        <v>0</v>
      </c>
      <c r="N198">
        <v>3000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3</v>
      </c>
      <c r="X198">
        <v>80000</v>
      </c>
      <c r="Y198">
        <v>70000</v>
      </c>
      <c r="Z198">
        <v>63000</v>
      </c>
      <c r="AA198">
        <v>0</v>
      </c>
      <c r="AB198">
        <v>0</v>
      </c>
      <c r="AC198">
        <v>70000</v>
      </c>
      <c r="AD198">
        <v>56000</v>
      </c>
      <c r="AG198">
        <v>8</v>
      </c>
      <c r="AH198">
        <v>7</v>
      </c>
      <c r="AI198">
        <v>-2</v>
      </c>
      <c r="AJ198">
        <v>-1</v>
      </c>
      <c r="AK198">
        <v>0</v>
      </c>
      <c r="AL198">
        <v>0</v>
      </c>
      <c r="AM198" t="s">
        <v>168</v>
      </c>
      <c r="AN198">
        <v>558</v>
      </c>
      <c r="AO198">
        <v>207</v>
      </c>
      <c r="AP198">
        <v>938</v>
      </c>
      <c r="AQ198">
        <v>938</v>
      </c>
      <c r="AS198">
        <v>3</v>
      </c>
      <c r="AT198">
        <v>77</v>
      </c>
      <c r="AU198" t="s">
        <v>122</v>
      </c>
      <c r="AV198">
        <v>16</v>
      </c>
      <c r="AW198" t="s">
        <v>108</v>
      </c>
      <c r="AX198">
        <v>21</v>
      </c>
      <c r="AY198">
        <f t="shared" si="18"/>
        <v>15</v>
      </c>
      <c r="AZ198">
        <f t="shared" si="19"/>
        <v>0</v>
      </c>
      <c r="BA198">
        <v>117</v>
      </c>
      <c r="BB198" t="str">
        <f t="shared" si="20"/>
        <v>(U-village)</v>
      </c>
      <c r="BC198">
        <f t="shared" si="21"/>
        <v>0</v>
      </c>
      <c r="BD198">
        <f t="shared" si="22"/>
        <v>0</v>
      </c>
      <c r="BE198">
        <v>0</v>
      </c>
      <c r="BF198" t="str">
        <f t="shared" si="23"/>
        <v>(U-village)</v>
      </c>
    </row>
    <row r="199" spans="1:58" x14ac:dyDescent="0.3">
      <c r="A199">
        <v>772</v>
      </c>
      <c r="B199" s="2">
        <v>45559.599965277783</v>
      </c>
      <c r="C199">
        <v>80000</v>
      </c>
      <c r="D199">
        <v>40000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15000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5</v>
      </c>
      <c r="X199">
        <v>130000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t="s">
        <v>134</v>
      </c>
      <c r="AN199">
        <v>559</v>
      </c>
      <c r="AO199">
        <v>175</v>
      </c>
      <c r="AS199">
        <v>0</v>
      </c>
      <c r="AT199">
        <v>77</v>
      </c>
      <c r="AU199" t="s">
        <v>122</v>
      </c>
      <c r="AV199">
        <v>16</v>
      </c>
      <c r="AW199" t="s">
        <v>108</v>
      </c>
      <c r="AX199">
        <v>21</v>
      </c>
      <c r="AY199">
        <f t="shared" si="18"/>
        <v>0</v>
      </c>
      <c r="AZ199">
        <f t="shared" si="19"/>
        <v>0</v>
      </c>
      <c r="BA199">
        <v>119</v>
      </c>
      <c r="BB199" t="str">
        <f t="shared" si="20"/>
        <v/>
      </c>
      <c r="BC199" t="str">
        <f t="shared" si="21"/>
        <v/>
      </c>
      <c r="BD199">
        <f t="shared" si="22"/>
        <v>0</v>
      </c>
      <c r="BE199">
        <v>0</v>
      </c>
      <c r="BF199" t="str">
        <f t="shared" si="23"/>
        <v/>
      </c>
    </row>
    <row r="200" spans="1:58" x14ac:dyDescent="0.3">
      <c r="A200">
        <v>800</v>
      </c>
      <c r="B200" s="2">
        <v>45559.599965277783</v>
      </c>
      <c r="C200">
        <v>80000</v>
      </c>
      <c r="D200">
        <v>40000</v>
      </c>
      <c r="E200">
        <v>0</v>
      </c>
      <c r="F200">
        <v>12500</v>
      </c>
      <c r="G200">
        <v>0</v>
      </c>
      <c r="H200">
        <v>0</v>
      </c>
      <c r="I200">
        <v>20000</v>
      </c>
      <c r="J200">
        <v>21250</v>
      </c>
      <c r="K200">
        <v>0</v>
      </c>
      <c r="L200">
        <v>0</v>
      </c>
      <c r="M200">
        <v>4000</v>
      </c>
      <c r="N200">
        <v>-2750</v>
      </c>
      <c r="O200">
        <v>0</v>
      </c>
      <c r="P200">
        <v>-1</v>
      </c>
      <c r="Q200">
        <v>1</v>
      </c>
      <c r="R200">
        <v>1</v>
      </c>
      <c r="S200">
        <v>0</v>
      </c>
      <c r="T200">
        <v>1</v>
      </c>
      <c r="U200">
        <v>0</v>
      </c>
      <c r="V200">
        <v>5</v>
      </c>
      <c r="W200">
        <v>5</v>
      </c>
      <c r="X200">
        <v>130000</v>
      </c>
      <c r="Y200">
        <v>0</v>
      </c>
      <c r="Z200">
        <v>0</v>
      </c>
      <c r="AA200">
        <v>0</v>
      </c>
      <c r="AB200">
        <v>125000</v>
      </c>
      <c r="AC200">
        <v>125000</v>
      </c>
      <c r="AD200">
        <v>112500</v>
      </c>
      <c r="AG200">
        <v>8</v>
      </c>
      <c r="AH200">
        <v>7</v>
      </c>
      <c r="AI200">
        <v>0</v>
      </c>
      <c r="AJ200">
        <v>0</v>
      </c>
      <c r="AK200">
        <v>1</v>
      </c>
      <c r="AL200">
        <v>1</v>
      </c>
      <c r="AM200" t="s">
        <v>168</v>
      </c>
      <c r="AN200">
        <v>559</v>
      </c>
      <c r="AO200">
        <v>197</v>
      </c>
      <c r="AQ200">
        <v>902</v>
      </c>
      <c r="AS200">
        <v>1</v>
      </c>
      <c r="AT200">
        <v>77</v>
      </c>
      <c r="AU200" t="s">
        <v>122</v>
      </c>
      <c r="AV200">
        <v>16</v>
      </c>
      <c r="AW200" t="s">
        <v>108</v>
      </c>
      <c r="AX200">
        <v>21</v>
      </c>
      <c r="AY200">
        <f t="shared" si="18"/>
        <v>15</v>
      </c>
      <c r="AZ200">
        <f t="shared" si="19"/>
        <v>2</v>
      </c>
      <c r="BA200">
        <v>119</v>
      </c>
      <c r="BB200" t="str">
        <f t="shared" si="20"/>
        <v>(U-village)</v>
      </c>
      <c r="BC200">
        <f t="shared" si="21"/>
        <v>0</v>
      </c>
      <c r="BD200">
        <f t="shared" si="22"/>
        <v>4000</v>
      </c>
      <c r="BE200">
        <v>21250</v>
      </c>
      <c r="BF200" t="str">
        <f t="shared" si="23"/>
        <v>(U-village)</v>
      </c>
    </row>
    <row r="201" spans="1:58" x14ac:dyDescent="0.3">
      <c r="A201">
        <v>840</v>
      </c>
      <c r="B201" s="2">
        <v>45559.599965277783</v>
      </c>
      <c r="C201">
        <v>80000</v>
      </c>
      <c r="D201">
        <v>40000</v>
      </c>
      <c r="E201">
        <v>2750</v>
      </c>
      <c r="F201">
        <v>12500</v>
      </c>
      <c r="G201">
        <v>0</v>
      </c>
      <c r="H201">
        <v>0</v>
      </c>
      <c r="I201">
        <v>15000</v>
      </c>
      <c r="J201">
        <v>6000</v>
      </c>
      <c r="K201">
        <v>0</v>
      </c>
      <c r="L201">
        <v>0</v>
      </c>
      <c r="M201">
        <v>0</v>
      </c>
      <c r="N201">
        <v>3750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4</v>
      </c>
      <c r="W201">
        <v>5</v>
      </c>
      <c r="X201">
        <v>130000</v>
      </c>
      <c r="Y201">
        <v>125000</v>
      </c>
      <c r="Z201">
        <v>112500</v>
      </c>
      <c r="AA201">
        <v>0</v>
      </c>
      <c r="AB201">
        <v>0</v>
      </c>
      <c r="AC201">
        <v>125000</v>
      </c>
      <c r="AD201">
        <v>100000</v>
      </c>
      <c r="AG201">
        <v>8</v>
      </c>
      <c r="AH201">
        <v>7</v>
      </c>
      <c r="AI201">
        <v>-2</v>
      </c>
      <c r="AJ201">
        <v>-1</v>
      </c>
      <c r="AK201">
        <v>1</v>
      </c>
      <c r="AL201">
        <v>0</v>
      </c>
      <c r="AM201" t="s">
        <v>168</v>
      </c>
      <c r="AN201">
        <v>559</v>
      </c>
      <c r="AO201">
        <v>202</v>
      </c>
      <c r="AP201">
        <v>902</v>
      </c>
      <c r="AQ201">
        <v>902</v>
      </c>
      <c r="AS201">
        <v>2</v>
      </c>
      <c r="AT201">
        <v>77</v>
      </c>
      <c r="AU201" t="s">
        <v>122</v>
      </c>
      <c r="AV201">
        <v>16</v>
      </c>
      <c r="AW201" t="s">
        <v>108</v>
      </c>
      <c r="AX201">
        <v>21</v>
      </c>
      <c r="AY201">
        <f t="shared" si="18"/>
        <v>15</v>
      </c>
      <c r="AZ201">
        <f t="shared" si="19"/>
        <v>1</v>
      </c>
      <c r="BA201">
        <v>119</v>
      </c>
      <c r="BB201" t="str">
        <f t="shared" si="20"/>
        <v>(U-village)</v>
      </c>
      <c r="BC201">
        <f t="shared" si="21"/>
        <v>-1</v>
      </c>
      <c r="BD201">
        <f t="shared" si="22"/>
        <v>0</v>
      </c>
      <c r="BE201">
        <v>6000</v>
      </c>
      <c r="BF201" t="str">
        <f t="shared" si="23"/>
        <v>(U-village)</v>
      </c>
    </row>
    <row r="202" spans="1:58" x14ac:dyDescent="0.3">
      <c r="A202">
        <v>876</v>
      </c>
      <c r="B202" s="2">
        <v>45559.599965277783</v>
      </c>
      <c r="C202">
        <v>80000</v>
      </c>
      <c r="D202">
        <v>40000</v>
      </c>
      <c r="E202">
        <v>0</v>
      </c>
      <c r="F202">
        <v>13000</v>
      </c>
      <c r="G202">
        <v>15000</v>
      </c>
      <c r="H202">
        <v>30000</v>
      </c>
      <c r="I202">
        <v>15000</v>
      </c>
      <c r="J202">
        <v>0</v>
      </c>
      <c r="K202">
        <v>0</v>
      </c>
      <c r="L202">
        <v>0</v>
      </c>
      <c r="M202">
        <v>4000</v>
      </c>
      <c r="N202">
        <v>-3250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2</v>
      </c>
      <c r="W202">
        <v>5</v>
      </c>
      <c r="X202">
        <v>130000</v>
      </c>
      <c r="Y202">
        <v>125000</v>
      </c>
      <c r="Z202">
        <v>100000</v>
      </c>
      <c r="AA202">
        <v>115000</v>
      </c>
      <c r="AB202">
        <v>160000</v>
      </c>
      <c r="AC202">
        <v>130000</v>
      </c>
      <c r="AD202">
        <v>117000</v>
      </c>
      <c r="AE202">
        <v>30</v>
      </c>
      <c r="AG202">
        <v>6</v>
      </c>
      <c r="AH202">
        <v>10</v>
      </c>
      <c r="AI202">
        <v>-2</v>
      </c>
      <c r="AJ202">
        <v>-1</v>
      </c>
      <c r="AK202">
        <v>1</v>
      </c>
      <c r="AL202">
        <v>0</v>
      </c>
      <c r="AM202" t="s">
        <v>168</v>
      </c>
      <c r="AN202">
        <v>559</v>
      </c>
      <c r="AO202">
        <v>207</v>
      </c>
      <c r="AP202">
        <v>902</v>
      </c>
      <c r="AQ202">
        <v>963</v>
      </c>
      <c r="AS202">
        <v>3</v>
      </c>
      <c r="AT202">
        <v>77</v>
      </c>
      <c r="AU202" t="s">
        <v>122</v>
      </c>
      <c r="AV202">
        <v>16</v>
      </c>
      <c r="AW202" t="s">
        <v>108</v>
      </c>
      <c r="AX202">
        <v>21</v>
      </c>
      <c r="AY202">
        <f t="shared" si="18"/>
        <v>16</v>
      </c>
      <c r="AZ202">
        <f t="shared" si="19"/>
        <v>1</v>
      </c>
      <c r="BA202">
        <v>119</v>
      </c>
      <c r="BB202" t="str">
        <f t="shared" si="20"/>
        <v>(Dike-town)</v>
      </c>
      <c r="BC202">
        <f t="shared" si="21"/>
        <v>-2</v>
      </c>
      <c r="BD202">
        <f t="shared" si="22"/>
        <v>4000</v>
      </c>
      <c r="BE202">
        <v>0</v>
      </c>
      <c r="BF202" t="str">
        <f t="shared" si="23"/>
        <v>(Dike-town)</v>
      </c>
    </row>
    <row r="203" spans="1:58" x14ac:dyDescent="0.3">
      <c r="A203">
        <v>766</v>
      </c>
      <c r="B203" s="2">
        <v>45559.599282407413</v>
      </c>
      <c r="C203">
        <v>120000</v>
      </c>
      <c r="D203">
        <v>65000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50000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</v>
      </c>
      <c r="W203">
        <v>7</v>
      </c>
      <c r="X203">
        <v>200000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t="s">
        <v>134</v>
      </c>
      <c r="AN203">
        <v>560</v>
      </c>
      <c r="AO203">
        <v>175</v>
      </c>
      <c r="AS203">
        <v>0</v>
      </c>
      <c r="AT203">
        <v>77</v>
      </c>
      <c r="AU203" t="s">
        <v>122</v>
      </c>
      <c r="AV203">
        <v>16</v>
      </c>
      <c r="AW203" t="s">
        <v>108</v>
      </c>
      <c r="AX203">
        <v>21</v>
      </c>
      <c r="AY203">
        <f t="shared" si="18"/>
        <v>0</v>
      </c>
      <c r="AZ203">
        <f t="shared" si="19"/>
        <v>0</v>
      </c>
      <c r="BA203">
        <v>121</v>
      </c>
      <c r="BB203" t="str">
        <f t="shared" si="20"/>
        <v/>
      </c>
      <c r="BC203" t="str">
        <f t="shared" si="21"/>
        <v/>
      </c>
      <c r="BD203">
        <f t="shared" si="22"/>
        <v>0</v>
      </c>
      <c r="BE203">
        <v>0</v>
      </c>
      <c r="BF203" t="str">
        <f t="shared" si="23"/>
        <v/>
      </c>
    </row>
    <row r="204" spans="1:58" x14ac:dyDescent="0.3">
      <c r="A204">
        <v>801</v>
      </c>
      <c r="B204" s="2">
        <v>45559.599282407413</v>
      </c>
      <c r="C204">
        <v>120000</v>
      </c>
      <c r="D204">
        <v>65000</v>
      </c>
      <c r="E204">
        <v>0</v>
      </c>
      <c r="F204">
        <v>20000</v>
      </c>
      <c r="G204">
        <v>0</v>
      </c>
      <c r="H204">
        <v>60000</v>
      </c>
      <c r="I204">
        <v>20000</v>
      </c>
      <c r="J204">
        <v>3000</v>
      </c>
      <c r="K204">
        <v>0</v>
      </c>
      <c r="L204">
        <v>0</v>
      </c>
      <c r="M204">
        <v>4000</v>
      </c>
      <c r="N204">
        <v>-2000</v>
      </c>
      <c r="O204">
        <v>0</v>
      </c>
      <c r="P204">
        <v>-1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3</v>
      </c>
      <c r="W204">
        <v>7</v>
      </c>
      <c r="X204">
        <v>200000</v>
      </c>
      <c r="Y204">
        <v>0</v>
      </c>
      <c r="Z204">
        <v>0</v>
      </c>
      <c r="AA204">
        <v>0</v>
      </c>
      <c r="AB204">
        <v>260000</v>
      </c>
      <c r="AC204">
        <v>200000</v>
      </c>
      <c r="AD204">
        <v>180000</v>
      </c>
      <c r="AG204">
        <v>8</v>
      </c>
      <c r="AH204">
        <v>10</v>
      </c>
      <c r="AI204">
        <v>0</v>
      </c>
      <c r="AJ204">
        <v>0</v>
      </c>
      <c r="AK204">
        <v>0</v>
      </c>
      <c r="AL204">
        <v>1</v>
      </c>
      <c r="AM204" t="s">
        <v>168</v>
      </c>
      <c r="AN204">
        <v>560</v>
      </c>
      <c r="AO204">
        <v>197</v>
      </c>
      <c r="AQ204">
        <v>895</v>
      </c>
      <c r="AS204">
        <v>1</v>
      </c>
      <c r="AT204">
        <v>77</v>
      </c>
      <c r="AU204" t="s">
        <v>122</v>
      </c>
      <c r="AV204">
        <v>16</v>
      </c>
      <c r="AW204" t="s">
        <v>108</v>
      </c>
      <c r="AX204">
        <v>21</v>
      </c>
      <c r="AY204">
        <f t="shared" si="18"/>
        <v>18</v>
      </c>
      <c r="AZ204">
        <f t="shared" si="19"/>
        <v>1</v>
      </c>
      <c r="BA204">
        <v>121</v>
      </c>
      <c r="BB204" t="str">
        <f t="shared" si="20"/>
        <v>(Natu-city)</v>
      </c>
      <c r="BC204">
        <f t="shared" si="21"/>
        <v>-2</v>
      </c>
      <c r="BD204">
        <f t="shared" si="22"/>
        <v>4000</v>
      </c>
      <c r="BE204">
        <v>3000</v>
      </c>
      <c r="BF204" t="str">
        <f t="shared" si="23"/>
        <v>(Natu-city)</v>
      </c>
    </row>
    <row r="205" spans="1:58" x14ac:dyDescent="0.3">
      <c r="A205">
        <v>838</v>
      </c>
      <c r="B205" s="2">
        <v>45559.599282407413</v>
      </c>
      <c r="C205">
        <v>120000</v>
      </c>
      <c r="D205">
        <v>65000</v>
      </c>
      <c r="E205">
        <v>2000</v>
      </c>
      <c r="F205">
        <v>20000</v>
      </c>
      <c r="G205">
        <v>0</v>
      </c>
      <c r="H205">
        <v>0</v>
      </c>
      <c r="I205">
        <v>20000</v>
      </c>
      <c r="J205">
        <v>6000</v>
      </c>
      <c r="K205">
        <v>0</v>
      </c>
      <c r="L205">
        <v>0</v>
      </c>
      <c r="M205">
        <v>0</v>
      </c>
      <c r="N205">
        <v>7000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2</v>
      </c>
      <c r="W205">
        <v>7</v>
      </c>
      <c r="X205">
        <v>200000</v>
      </c>
      <c r="Y205">
        <v>200000</v>
      </c>
      <c r="Z205">
        <v>180000</v>
      </c>
      <c r="AA205">
        <v>0</v>
      </c>
      <c r="AB205">
        <v>0</v>
      </c>
      <c r="AC205">
        <v>200000</v>
      </c>
      <c r="AD205">
        <v>160000</v>
      </c>
      <c r="AG205">
        <v>8</v>
      </c>
      <c r="AH205">
        <v>10</v>
      </c>
      <c r="AI205">
        <v>-2</v>
      </c>
      <c r="AJ205">
        <v>-1</v>
      </c>
      <c r="AK205">
        <v>1</v>
      </c>
      <c r="AL205">
        <v>0</v>
      </c>
      <c r="AM205" t="s">
        <v>168</v>
      </c>
      <c r="AN205">
        <v>560</v>
      </c>
      <c r="AO205">
        <v>202</v>
      </c>
      <c r="AP205">
        <v>895</v>
      </c>
      <c r="AQ205">
        <v>895</v>
      </c>
      <c r="AS205">
        <v>2</v>
      </c>
      <c r="AT205">
        <v>77</v>
      </c>
      <c r="AU205" t="s">
        <v>122</v>
      </c>
      <c r="AV205">
        <v>16</v>
      </c>
      <c r="AW205" t="s">
        <v>108</v>
      </c>
      <c r="AX205">
        <v>21</v>
      </c>
      <c r="AY205">
        <f t="shared" si="18"/>
        <v>18</v>
      </c>
      <c r="AZ205">
        <f t="shared" si="19"/>
        <v>1</v>
      </c>
      <c r="BA205">
        <v>121</v>
      </c>
      <c r="BB205" t="str">
        <f t="shared" si="20"/>
        <v>(Natu-city)</v>
      </c>
      <c r="BC205">
        <f t="shared" si="21"/>
        <v>-1</v>
      </c>
      <c r="BD205">
        <f t="shared" si="22"/>
        <v>0</v>
      </c>
      <c r="BE205">
        <v>6000</v>
      </c>
      <c r="BF205" t="str">
        <f t="shared" si="23"/>
        <v>(Natu-city)</v>
      </c>
    </row>
    <row r="206" spans="1:58" x14ac:dyDescent="0.3">
      <c r="A206">
        <v>880</v>
      </c>
      <c r="B206" s="2">
        <v>45559.599282407413</v>
      </c>
      <c r="C206">
        <v>120000</v>
      </c>
      <c r="D206">
        <v>65000</v>
      </c>
      <c r="E206">
        <v>0</v>
      </c>
      <c r="F206">
        <v>20000</v>
      </c>
      <c r="G206">
        <v>0</v>
      </c>
      <c r="H206">
        <v>0</v>
      </c>
      <c r="I206">
        <v>25000</v>
      </c>
      <c r="J206">
        <v>10000</v>
      </c>
      <c r="K206">
        <v>0</v>
      </c>
      <c r="L206">
        <v>0</v>
      </c>
      <c r="M206">
        <v>0</v>
      </c>
      <c r="N206">
        <v>7000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3</v>
      </c>
      <c r="W206">
        <v>7</v>
      </c>
      <c r="X206">
        <v>200000</v>
      </c>
      <c r="Y206">
        <v>200000</v>
      </c>
      <c r="Z206">
        <v>160000</v>
      </c>
      <c r="AA206">
        <v>0</v>
      </c>
      <c r="AB206">
        <v>0</v>
      </c>
      <c r="AC206">
        <v>200000</v>
      </c>
      <c r="AD206">
        <v>140000</v>
      </c>
      <c r="AG206">
        <v>8</v>
      </c>
      <c r="AH206">
        <v>10</v>
      </c>
      <c r="AI206">
        <v>-2</v>
      </c>
      <c r="AJ206">
        <v>-1</v>
      </c>
      <c r="AK206">
        <v>0</v>
      </c>
      <c r="AL206">
        <v>0</v>
      </c>
      <c r="AM206" t="s">
        <v>168</v>
      </c>
      <c r="AN206">
        <v>560</v>
      </c>
      <c r="AO206">
        <v>207</v>
      </c>
      <c r="AP206">
        <v>895</v>
      </c>
      <c r="AQ206">
        <v>895</v>
      </c>
      <c r="AS206">
        <v>3</v>
      </c>
      <c r="AT206">
        <v>77</v>
      </c>
      <c r="AU206" t="s">
        <v>122</v>
      </c>
      <c r="AV206">
        <v>16</v>
      </c>
      <c r="AW206" t="s">
        <v>108</v>
      </c>
      <c r="AX206">
        <v>21</v>
      </c>
      <c r="AY206">
        <f t="shared" si="18"/>
        <v>18</v>
      </c>
      <c r="AZ206">
        <f t="shared" si="19"/>
        <v>0</v>
      </c>
      <c r="BA206">
        <v>121</v>
      </c>
      <c r="BB206" t="str">
        <f t="shared" si="20"/>
        <v>(Natu-city)</v>
      </c>
      <c r="BC206">
        <f t="shared" si="21"/>
        <v>1</v>
      </c>
      <c r="BD206">
        <f t="shared" si="22"/>
        <v>0</v>
      </c>
      <c r="BE206">
        <v>10000</v>
      </c>
      <c r="BF206" t="str">
        <f t="shared" si="23"/>
        <v>(Natu-city)</v>
      </c>
    </row>
    <row r="207" spans="1:58" x14ac:dyDescent="0.3">
      <c r="A207">
        <v>761</v>
      </c>
      <c r="B207" s="2">
        <v>45559.598425925928</v>
      </c>
      <c r="C207">
        <v>180000</v>
      </c>
      <c r="D207">
        <v>105000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80000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</v>
      </c>
      <c r="W207">
        <v>8</v>
      </c>
      <c r="X207">
        <v>300000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t="s">
        <v>134</v>
      </c>
      <c r="AN207">
        <v>561</v>
      </c>
      <c r="AO207">
        <v>175</v>
      </c>
      <c r="AS207">
        <v>0</v>
      </c>
      <c r="AT207">
        <v>77</v>
      </c>
      <c r="AU207" t="s">
        <v>122</v>
      </c>
      <c r="AV207">
        <v>16</v>
      </c>
      <c r="AW207" t="s">
        <v>108</v>
      </c>
      <c r="AX207">
        <v>21</v>
      </c>
      <c r="AY207">
        <f t="shared" si="18"/>
        <v>0</v>
      </c>
      <c r="AZ207">
        <f t="shared" si="19"/>
        <v>0</v>
      </c>
      <c r="BA207">
        <v>122</v>
      </c>
      <c r="BB207" t="str">
        <f t="shared" si="20"/>
        <v/>
      </c>
      <c r="BC207" t="str">
        <f t="shared" si="21"/>
        <v/>
      </c>
      <c r="BD207">
        <f t="shared" si="22"/>
        <v>0</v>
      </c>
      <c r="BE207">
        <v>0</v>
      </c>
      <c r="BF207" t="str">
        <f t="shared" si="23"/>
        <v/>
      </c>
    </row>
    <row r="208" spans="1:58" x14ac:dyDescent="0.3">
      <c r="A208">
        <v>792</v>
      </c>
      <c r="B208" s="2">
        <v>45559.598425925928</v>
      </c>
      <c r="C208">
        <v>180000</v>
      </c>
      <c r="D208">
        <v>105000</v>
      </c>
      <c r="E208">
        <v>0</v>
      </c>
      <c r="F208">
        <v>30000</v>
      </c>
      <c r="G208">
        <v>0</v>
      </c>
      <c r="H208">
        <v>61000</v>
      </c>
      <c r="I208">
        <v>15000</v>
      </c>
      <c r="J208">
        <v>47000</v>
      </c>
      <c r="K208">
        <v>0</v>
      </c>
      <c r="L208">
        <v>0</v>
      </c>
      <c r="M208">
        <v>4000</v>
      </c>
      <c r="N208">
        <v>-2000</v>
      </c>
      <c r="O208">
        <v>0</v>
      </c>
      <c r="P208">
        <v>0</v>
      </c>
      <c r="Q208">
        <v>2</v>
      </c>
      <c r="R208">
        <v>1</v>
      </c>
      <c r="S208">
        <v>0</v>
      </c>
      <c r="T208">
        <v>1</v>
      </c>
      <c r="U208">
        <v>0</v>
      </c>
      <c r="V208">
        <v>7</v>
      </c>
      <c r="W208">
        <v>8</v>
      </c>
      <c r="X208">
        <v>300000</v>
      </c>
      <c r="Y208">
        <v>0</v>
      </c>
      <c r="Z208">
        <v>0</v>
      </c>
      <c r="AA208">
        <v>0</v>
      </c>
      <c r="AB208">
        <v>361000</v>
      </c>
      <c r="AC208">
        <v>300000</v>
      </c>
      <c r="AD208">
        <v>270000</v>
      </c>
      <c r="AG208">
        <v>6</v>
      </c>
      <c r="AH208">
        <v>10</v>
      </c>
      <c r="AI208">
        <v>0</v>
      </c>
      <c r="AJ208">
        <v>0</v>
      </c>
      <c r="AK208">
        <v>2</v>
      </c>
      <c r="AL208">
        <v>1</v>
      </c>
      <c r="AM208" t="s">
        <v>168</v>
      </c>
      <c r="AN208">
        <v>561</v>
      </c>
      <c r="AO208">
        <v>197</v>
      </c>
      <c r="AQ208">
        <v>897</v>
      </c>
      <c r="AS208">
        <v>1</v>
      </c>
      <c r="AT208">
        <v>77</v>
      </c>
      <c r="AU208" t="s">
        <v>122</v>
      </c>
      <c r="AV208">
        <v>16</v>
      </c>
      <c r="AW208" t="s">
        <v>108</v>
      </c>
      <c r="AX208">
        <v>21</v>
      </c>
      <c r="AY208">
        <f t="shared" si="18"/>
        <v>16</v>
      </c>
      <c r="AZ208">
        <f t="shared" si="19"/>
        <v>3</v>
      </c>
      <c r="BA208">
        <v>122</v>
      </c>
      <c r="BB208" t="str">
        <f t="shared" si="20"/>
        <v>(Dike-town)</v>
      </c>
      <c r="BC208">
        <f t="shared" si="21"/>
        <v>2</v>
      </c>
      <c r="BD208">
        <f t="shared" si="22"/>
        <v>4000</v>
      </c>
      <c r="BE208">
        <v>47000</v>
      </c>
      <c r="BF208" t="str">
        <f t="shared" si="23"/>
        <v>(Dike-town)</v>
      </c>
    </row>
    <row r="209" spans="1:58" x14ac:dyDescent="0.3">
      <c r="A209">
        <v>849</v>
      </c>
      <c r="B209" s="2">
        <v>45559.598425925928</v>
      </c>
      <c r="C209">
        <v>180000</v>
      </c>
      <c r="D209">
        <v>105000</v>
      </c>
      <c r="E209">
        <v>2000</v>
      </c>
      <c r="F209">
        <v>30000</v>
      </c>
      <c r="G209">
        <v>0</v>
      </c>
      <c r="H209">
        <v>0</v>
      </c>
      <c r="I209">
        <v>15000</v>
      </c>
      <c r="J209">
        <v>21000</v>
      </c>
      <c r="K209">
        <v>0</v>
      </c>
      <c r="L209">
        <v>0</v>
      </c>
      <c r="M209">
        <v>4000</v>
      </c>
      <c r="N209">
        <v>3000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5</v>
      </c>
      <c r="W209">
        <v>8</v>
      </c>
      <c r="X209">
        <v>300000</v>
      </c>
      <c r="Y209">
        <v>300000</v>
      </c>
      <c r="Z209">
        <v>270000</v>
      </c>
      <c r="AA209">
        <v>0</v>
      </c>
      <c r="AB209">
        <v>0</v>
      </c>
      <c r="AC209">
        <v>300000</v>
      </c>
      <c r="AD209">
        <v>240000</v>
      </c>
      <c r="AG209">
        <v>6</v>
      </c>
      <c r="AH209">
        <v>10</v>
      </c>
      <c r="AI209">
        <v>-2</v>
      </c>
      <c r="AJ209">
        <v>-1</v>
      </c>
      <c r="AK209">
        <v>2</v>
      </c>
      <c r="AL209">
        <v>2</v>
      </c>
      <c r="AM209" t="s">
        <v>168</v>
      </c>
      <c r="AN209">
        <v>561</v>
      </c>
      <c r="AO209">
        <v>202</v>
      </c>
      <c r="AP209">
        <v>897</v>
      </c>
      <c r="AQ209">
        <v>897</v>
      </c>
      <c r="AS209">
        <v>2</v>
      </c>
      <c r="AT209">
        <v>77</v>
      </c>
      <c r="AU209" t="s">
        <v>122</v>
      </c>
      <c r="AV209">
        <v>16</v>
      </c>
      <c r="AW209" t="s">
        <v>108</v>
      </c>
      <c r="AX209">
        <v>21</v>
      </c>
      <c r="AY209">
        <f t="shared" si="18"/>
        <v>16</v>
      </c>
      <c r="AZ209">
        <f t="shared" si="19"/>
        <v>4</v>
      </c>
      <c r="BA209">
        <v>122</v>
      </c>
      <c r="BB209" t="str">
        <f t="shared" si="20"/>
        <v>(Dike-town)</v>
      </c>
      <c r="BC209">
        <f t="shared" si="21"/>
        <v>-2</v>
      </c>
      <c r="BD209">
        <f t="shared" si="22"/>
        <v>4000</v>
      </c>
      <c r="BE209">
        <v>21000</v>
      </c>
      <c r="BF209" t="str">
        <f t="shared" si="23"/>
        <v>(Dike-town)</v>
      </c>
    </row>
    <row r="210" spans="1:58" x14ac:dyDescent="0.3">
      <c r="A210">
        <v>881</v>
      </c>
      <c r="B210" s="2">
        <v>45559.598425925928</v>
      </c>
      <c r="C210">
        <v>180000</v>
      </c>
      <c r="D210">
        <v>105000</v>
      </c>
      <c r="E210">
        <v>0</v>
      </c>
      <c r="F210">
        <v>30000</v>
      </c>
      <c r="G210">
        <v>0</v>
      </c>
      <c r="H210">
        <v>0</v>
      </c>
      <c r="I210">
        <v>15000</v>
      </c>
      <c r="J210">
        <v>30000</v>
      </c>
      <c r="K210">
        <v>0</v>
      </c>
      <c r="L210">
        <v>0</v>
      </c>
      <c r="M210">
        <v>4000</v>
      </c>
      <c r="N210">
        <v>-1000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1</v>
      </c>
      <c r="U210">
        <v>0</v>
      </c>
      <c r="V210">
        <v>6</v>
      </c>
      <c r="W210">
        <v>8</v>
      </c>
      <c r="X210">
        <v>300000</v>
      </c>
      <c r="Y210">
        <v>300000</v>
      </c>
      <c r="Z210">
        <v>240000</v>
      </c>
      <c r="AA210">
        <v>0</v>
      </c>
      <c r="AB210">
        <v>0</v>
      </c>
      <c r="AC210">
        <v>300000</v>
      </c>
      <c r="AD210">
        <v>210000</v>
      </c>
      <c r="AG210">
        <v>6</v>
      </c>
      <c r="AH210">
        <v>10</v>
      </c>
      <c r="AI210">
        <v>-2</v>
      </c>
      <c r="AJ210">
        <v>-1</v>
      </c>
      <c r="AK210">
        <v>0</v>
      </c>
      <c r="AL210">
        <v>0</v>
      </c>
      <c r="AM210" t="s">
        <v>168</v>
      </c>
      <c r="AN210">
        <v>561</v>
      </c>
      <c r="AO210">
        <v>207</v>
      </c>
      <c r="AP210">
        <v>897</v>
      </c>
      <c r="AQ210">
        <v>897</v>
      </c>
      <c r="AS210">
        <v>3</v>
      </c>
      <c r="AT210">
        <v>77</v>
      </c>
      <c r="AU210" t="s">
        <v>122</v>
      </c>
      <c r="AV210">
        <v>16</v>
      </c>
      <c r="AW210" t="s">
        <v>108</v>
      </c>
      <c r="AX210">
        <v>21</v>
      </c>
      <c r="AY210">
        <f t="shared" si="18"/>
        <v>16</v>
      </c>
      <c r="AZ210">
        <f t="shared" si="19"/>
        <v>0</v>
      </c>
      <c r="BA210">
        <v>122</v>
      </c>
      <c r="BB210" t="str">
        <f t="shared" si="20"/>
        <v>(Dike-town)</v>
      </c>
      <c r="BC210">
        <f t="shared" si="21"/>
        <v>1</v>
      </c>
      <c r="BD210">
        <f t="shared" si="22"/>
        <v>4000</v>
      </c>
      <c r="BE210">
        <v>30000</v>
      </c>
      <c r="BF210" t="str">
        <f t="shared" si="23"/>
        <v>(Dike-town)</v>
      </c>
    </row>
    <row r="211" spans="1:58" x14ac:dyDescent="0.3">
      <c r="A211">
        <v>762</v>
      </c>
      <c r="B211" s="2">
        <v>45559.598495370366</v>
      </c>
      <c r="C211">
        <v>100000</v>
      </c>
      <c r="D211">
        <v>50000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30000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5</v>
      </c>
      <c r="W211">
        <v>6</v>
      </c>
      <c r="X211">
        <v>170000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t="s">
        <v>134</v>
      </c>
      <c r="AN211">
        <v>562</v>
      </c>
      <c r="AO211">
        <v>175</v>
      </c>
      <c r="AS211">
        <v>0</v>
      </c>
      <c r="AT211">
        <v>77</v>
      </c>
      <c r="AU211" t="s">
        <v>122</v>
      </c>
      <c r="AV211">
        <v>16</v>
      </c>
      <c r="AW211" t="s">
        <v>108</v>
      </c>
      <c r="AX211">
        <v>21</v>
      </c>
      <c r="AY211">
        <f t="shared" si="18"/>
        <v>0</v>
      </c>
      <c r="AZ211">
        <f t="shared" si="19"/>
        <v>0</v>
      </c>
      <c r="BA211">
        <v>120</v>
      </c>
      <c r="BB211" t="str">
        <f t="shared" si="20"/>
        <v/>
      </c>
      <c r="BC211" t="str">
        <f t="shared" si="21"/>
        <v/>
      </c>
      <c r="BD211">
        <f t="shared" si="22"/>
        <v>0</v>
      </c>
      <c r="BE211">
        <v>0</v>
      </c>
      <c r="BF211" t="str">
        <f t="shared" si="23"/>
        <v/>
      </c>
    </row>
    <row r="212" spans="1:58" x14ac:dyDescent="0.3">
      <c r="A212">
        <v>791</v>
      </c>
      <c r="B212" s="2">
        <v>45559.598495370366</v>
      </c>
      <c r="C212">
        <v>100000</v>
      </c>
      <c r="D212">
        <v>50000</v>
      </c>
      <c r="E212">
        <v>0</v>
      </c>
      <c r="F212">
        <v>17000</v>
      </c>
      <c r="G212">
        <v>0</v>
      </c>
      <c r="H212">
        <v>30000</v>
      </c>
      <c r="I212">
        <v>20000</v>
      </c>
      <c r="J212">
        <v>12000</v>
      </c>
      <c r="K212">
        <v>0</v>
      </c>
      <c r="L212">
        <v>0</v>
      </c>
      <c r="M212">
        <v>4000</v>
      </c>
      <c r="N212">
        <v>-3000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4</v>
      </c>
      <c r="W212">
        <v>6</v>
      </c>
      <c r="X212">
        <v>170000</v>
      </c>
      <c r="Y212">
        <v>0</v>
      </c>
      <c r="Z212">
        <v>0</v>
      </c>
      <c r="AA212">
        <v>0</v>
      </c>
      <c r="AB212">
        <v>200000</v>
      </c>
      <c r="AC212">
        <v>170000</v>
      </c>
      <c r="AD212">
        <v>153000</v>
      </c>
      <c r="AG212">
        <v>8</v>
      </c>
      <c r="AH212">
        <v>7</v>
      </c>
      <c r="AI212">
        <v>0</v>
      </c>
      <c r="AJ212">
        <v>0</v>
      </c>
      <c r="AK212">
        <v>1</v>
      </c>
      <c r="AL212">
        <v>1</v>
      </c>
      <c r="AM212" t="s">
        <v>168</v>
      </c>
      <c r="AN212">
        <v>562</v>
      </c>
      <c r="AO212">
        <v>197</v>
      </c>
      <c r="AQ212">
        <v>901</v>
      </c>
      <c r="AS212">
        <v>1</v>
      </c>
      <c r="AT212">
        <v>77</v>
      </c>
      <c r="AU212" t="s">
        <v>122</v>
      </c>
      <c r="AV212">
        <v>16</v>
      </c>
      <c r="AW212" t="s">
        <v>108</v>
      </c>
      <c r="AX212">
        <v>21</v>
      </c>
      <c r="AY212">
        <f t="shared" si="18"/>
        <v>15</v>
      </c>
      <c r="AZ212">
        <f t="shared" si="19"/>
        <v>2</v>
      </c>
      <c r="BA212">
        <v>120</v>
      </c>
      <c r="BB212" t="str">
        <f t="shared" si="20"/>
        <v>(U-village)</v>
      </c>
      <c r="BC212">
        <f t="shared" si="21"/>
        <v>-1</v>
      </c>
      <c r="BD212">
        <f t="shared" si="22"/>
        <v>4000</v>
      </c>
      <c r="BE212">
        <v>12000</v>
      </c>
      <c r="BF212" t="str">
        <f t="shared" si="23"/>
        <v>(U-village)</v>
      </c>
    </row>
    <row r="213" spans="1:58" x14ac:dyDescent="0.3">
      <c r="A213">
        <v>836</v>
      </c>
      <c r="B213" s="2">
        <v>45559.598495370366</v>
      </c>
      <c r="C213">
        <v>100000</v>
      </c>
      <c r="D213">
        <v>50000</v>
      </c>
      <c r="E213">
        <v>3000</v>
      </c>
      <c r="F213">
        <v>17000</v>
      </c>
      <c r="G213">
        <v>0</v>
      </c>
      <c r="H213">
        <v>0</v>
      </c>
      <c r="I213">
        <v>15000</v>
      </c>
      <c r="J213">
        <v>13000</v>
      </c>
      <c r="K213">
        <v>0</v>
      </c>
      <c r="L213">
        <v>0</v>
      </c>
      <c r="M213">
        <v>4000</v>
      </c>
      <c r="N213">
        <v>-2000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3</v>
      </c>
      <c r="W213">
        <v>6</v>
      </c>
      <c r="X213">
        <v>170000</v>
      </c>
      <c r="Y213">
        <v>170000</v>
      </c>
      <c r="Z213">
        <v>153000</v>
      </c>
      <c r="AA213">
        <v>0</v>
      </c>
      <c r="AB213">
        <v>0</v>
      </c>
      <c r="AC213">
        <v>170000</v>
      </c>
      <c r="AD213">
        <v>136000</v>
      </c>
      <c r="AG213">
        <v>8</v>
      </c>
      <c r="AH213">
        <v>7</v>
      </c>
      <c r="AI213">
        <v>-2</v>
      </c>
      <c r="AJ213">
        <v>-1</v>
      </c>
      <c r="AK213">
        <v>0</v>
      </c>
      <c r="AL213">
        <v>1</v>
      </c>
      <c r="AM213" t="s">
        <v>168</v>
      </c>
      <c r="AN213">
        <v>562</v>
      </c>
      <c r="AO213">
        <v>202</v>
      </c>
      <c r="AP213">
        <v>901</v>
      </c>
      <c r="AQ213">
        <v>901</v>
      </c>
      <c r="AS213">
        <v>2</v>
      </c>
      <c r="AT213">
        <v>77</v>
      </c>
      <c r="AU213" t="s">
        <v>122</v>
      </c>
      <c r="AV213">
        <v>16</v>
      </c>
      <c r="AW213" t="s">
        <v>108</v>
      </c>
      <c r="AX213">
        <v>21</v>
      </c>
      <c r="AY213">
        <f t="shared" si="18"/>
        <v>15</v>
      </c>
      <c r="AZ213">
        <f t="shared" si="19"/>
        <v>1</v>
      </c>
      <c r="BA213">
        <v>120</v>
      </c>
      <c r="BB213" t="str">
        <f t="shared" si="20"/>
        <v>(U-village)</v>
      </c>
      <c r="BC213">
        <f t="shared" si="21"/>
        <v>-1</v>
      </c>
      <c r="BD213">
        <f t="shared" si="22"/>
        <v>4000</v>
      </c>
      <c r="BE213">
        <v>13000</v>
      </c>
      <c r="BF213" t="str">
        <f t="shared" si="23"/>
        <v>(U-village)</v>
      </c>
    </row>
    <row r="214" spans="1:58" x14ac:dyDescent="0.3">
      <c r="A214">
        <v>877</v>
      </c>
      <c r="B214" s="2">
        <v>45559.598495370366</v>
      </c>
      <c r="C214">
        <v>100000</v>
      </c>
      <c r="D214">
        <v>50000</v>
      </c>
      <c r="E214">
        <v>2000</v>
      </c>
      <c r="F214">
        <v>17000</v>
      </c>
      <c r="G214">
        <v>0</v>
      </c>
      <c r="H214">
        <v>0</v>
      </c>
      <c r="I214">
        <v>20000</v>
      </c>
      <c r="J214">
        <v>0</v>
      </c>
      <c r="K214">
        <v>0</v>
      </c>
      <c r="L214">
        <v>0</v>
      </c>
      <c r="M214">
        <v>0</v>
      </c>
      <c r="N214">
        <v>11000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2</v>
      </c>
      <c r="W214">
        <v>6</v>
      </c>
      <c r="X214">
        <v>170000</v>
      </c>
      <c r="Y214">
        <v>170000</v>
      </c>
      <c r="Z214">
        <v>136000</v>
      </c>
      <c r="AA214">
        <v>0</v>
      </c>
      <c r="AB214">
        <v>0</v>
      </c>
      <c r="AC214">
        <v>170000</v>
      </c>
      <c r="AD214">
        <v>119000</v>
      </c>
      <c r="AG214">
        <v>8</v>
      </c>
      <c r="AH214">
        <v>7</v>
      </c>
      <c r="AI214">
        <v>-2</v>
      </c>
      <c r="AJ214">
        <v>-1</v>
      </c>
      <c r="AK214">
        <v>0</v>
      </c>
      <c r="AL214">
        <v>0</v>
      </c>
      <c r="AM214" t="s">
        <v>168</v>
      </c>
      <c r="AN214">
        <v>562</v>
      </c>
      <c r="AO214">
        <v>207</v>
      </c>
      <c r="AP214">
        <v>901</v>
      </c>
      <c r="AQ214">
        <v>901</v>
      </c>
      <c r="AS214">
        <v>3</v>
      </c>
      <c r="AT214">
        <v>77</v>
      </c>
      <c r="AU214" t="s">
        <v>122</v>
      </c>
      <c r="AV214">
        <v>16</v>
      </c>
      <c r="AW214" t="s">
        <v>108</v>
      </c>
      <c r="AX214">
        <v>21</v>
      </c>
      <c r="AY214">
        <f t="shared" si="18"/>
        <v>15</v>
      </c>
      <c r="AZ214">
        <f t="shared" si="19"/>
        <v>0</v>
      </c>
      <c r="BA214">
        <v>120</v>
      </c>
      <c r="BB214" t="str">
        <f t="shared" si="20"/>
        <v>(U-village)</v>
      </c>
      <c r="BC214">
        <f t="shared" si="21"/>
        <v>-1</v>
      </c>
      <c r="BD214">
        <f t="shared" si="22"/>
        <v>0</v>
      </c>
      <c r="BE214">
        <v>0</v>
      </c>
      <c r="BF214" t="str">
        <f t="shared" si="23"/>
        <v>(U-village)</v>
      </c>
    </row>
    <row r="215" spans="1:58" x14ac:dyDescent="0.3">
      <c r="A215">
        <v>768</v>
      </c>
      <c r="B215" s="2">
        <v>45559.599398148137</v>
      </c>
      <c r="C215">
        <v>100000</v>
      </c>
      <c r="D215">
        <v>50000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30000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5</v>
      </c>
      <c r="W215">
        <v>6</v>
      </c>
      <c r="X215">
        <v>170000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134</v>
      </c>
      <c r="AN215">
        <v>563</v>
      </c>
      <c r="AO215">
        <v>175</v>
      </c>
      <c r="AS215">
        <v>0</v>
      </c>
      <c r="AT215">
        <v>77</v>
      </c>
      <c r="AU215" t="s">
        <v>122</v>
      </c>
      <c r="AV215">
        <v>16</v>
      </c>
      <c r="AW215" t="s">
        <v>108</v>
      </c>
      <c r="AX215">
        <v>21</v>
      </c>
      <c r="AY215">
        <f t="shared" si="18"/>
        <v>0</v>
      </c>
      <c r="AZ215">
        <f t="shared" si="19"/>
        <v>0</v>
      </c>
      <c r="BA215">
        <v>120</v>
      </c>
      <c r="BB215" t="str">
        <f t="shared" si="20"/>
        <v/>
      </c>
      <c r="BC215" t="str">
        <f t="shared" si="21"/>
        <v/>
      </c>
      <c r="BD215">
        <f t="shared" si="22"/>
        <v>0</v>
      </c>
      <c r="BE215">
        <v>0</v>
      </c>
      <c r="BF215" t="str">
        <f t="shared" si="23"/>
        <v/>
      </c>
    </row>
    <row r="216" spans="1:58" x14ac:dyDescent="0.3">
      <c r="A216">
        <v>790</v>
      </c>
      <c r="B216" s="2">
        <v>45559.599398148137</v>
      </c>
      <c r="C216">
        <v>100000</v>
      </c>
      <c r="D216">
        <v>50000</v>
      </c>
      <c r="E216">
        <v>0</v>
      </c>
      <c r="F216">
        <v>17000</v>
      </c>
      <c r="G216">
        <v>0</v>
      </c>
      <c r="H216">
        <v>20000</v>
      </c>
      <c r="I216">
        <v>15000</v>
      </c>
      <c r="J216">
        <v>28000</v>
      </c>
      <c r="K216">
        <v>0</v>
      </c>
      <c r="L216">
        <v>0</v>
      </c>
      <c r="M216">
        <v>4000</v>
      </c>
      <c r="N216">
        <v>-4000</v>
      </c>
      <c r="O216">
        <v>0</v>
      </c>
      <c r="P216">
        <v>-1</v>
      </c>
      <c r="Q216">
        <v>1</v>
      </c>
      <c r="R216">
        <v>2</v>
      </c>
      <c r="S216">
        <v>0</v>
      </c>
      <c r="T216">
        <v>1</v>
      </c>
      <c r="U216">
        <v>0</v>
      </c>
      <c r="V216">
        <v>6</v>
      </c>
      <c r="W216">
        <v>6</v>
      </c>
      <c r="X216">
        <v>170000</v>
      </c>
      <c r="Y216">
        <v>0</v>
      </c>
      <c r="Z216">
        <v>0</v>
      </c>
      <c r="AA216">
        <v>0</v>
      </c>
      <c r="AB216">
        <v>190000</v>
      </c>
      <c r="AC216">
        <v>170000</v>
      </c>
      <c r="AD216">
        <v>153000</v>
      </c>
      <c r="AG216">
        <v>6</v>
      </c>
      <c r="AH216">
        <v>10</v>
      </c>
      <c r="AI216">
        <v>0</v>
      </c>
      <c r="AJ216">
        <v>0</v>
      </c>
      <c r="AK216">
        <v>1</v>
      </c>
      <c r="AL216">
        <v>0</v>
      </c>
      <c r="AM216" t="s">
        <v>168</v>
      </c>
      <c r="AN216">
        <v>563</v>
      </c>
      <c r="AO216">
        <v>197</v>
      </c>
      <c r="AQ216">
        <v>898</v>
      </c>
      <c r="AS216">
        <v>1</v>
      </c>
      <c r="AT216">
        <v>77</v>
      </c>
      <c r="AU216" t="s">
        <v>122</v>
      </c>
      <c r="AV216">
        <v>16</v>
      </c>
      <c r="AW216" t="s">
        <v>108</v>
      </c>
      <c r="AX216">
        <v>21</v>
      </c>
      <c r="AY216">
        <f t="shared" si="18"/>
        <v>16</v>
      </c>
      <c r="AZ216">
        <f t="shared" si="19"/>
        <v>1</v>
      </c>
      <c r="BA216">
        <v>120</v>
      </c>
      <c r="BB216" t="str">
        <f t="shared" si="20"/>
        <v>(Dike-town)</v>
      </c>
      <c r="BC216">
        <f t="shared" si="21"/>
        <v>1</v>
      </c>
      <c r="BD216">
        <f t="shared" si="22"/>
        <v>4000</v>
      </c>
      <c r="BE216">
        <v>28000</v>
      </c>
      <c r="BF216" t="str">
        <f t="shared" si="23"/>
        <v>(Dike-town)</v>
      </c>
    </row>
    <row r="217" spans="1:58" x14ac:dyDescent="0.3">
      <c r="A217">
        <v>841</v>
      </c>
      <c r="B217" s="2">
        <v>45559.599398148137</v>
      </c>
      <c r="C217">
        <v>100000</v>
      </c>
      <c r="D217">
        <v>50000</v>
      </c>
      <c r="E217">
        <v>4000</v>
      </c>
      <c r="F217">
        <v>17000</v>
      </c>
      <c r="G217">
        <v>0</v>
      </c>
      <c r="H217">
        <v>0</v>
      </c>
      <c r="I217">
        <v>15000</v>
      </c>
      <c r="J217">
        <v>9000</v>
      </c>
      <c r="K217">
        <v>0</v>
      </c>
      <c r="L217">
        <v>0</v>
      </c>
      <c r="M217">
        <v>4000</v>
      </c>
      <c r="N217">
        <v>1000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4</v>
      </c>
      <c r="W217">
        <v>6</v>
      </c>
      <c r="X217">
        <v>170000</v>
      </c>
      <c r="Y217">
        <v>170000</v>
      </c>
      <c r="Z217">
        <v>153000</v>
      </c>
      <c r="AA217">
        <v>0</v>
      </c>
      <c r="AB217">
        <v>0</v>
      </c>
      <c r="AC217">
        <v>170000</v>
      </c>
      <c r="AD217">
        <v>136000</v>
      </c>
      <c r="AG217">
        <v>6</v>
      </c>
      <c r="AH217">
        <v>10</v>
      </c>
      <c r="AI217">
        <v>-2</v>
      </c>
      <c r="AJ217">
        <v>-1</v>
      </c>
      <c r="AK217">
        <v>1</v>
      </c>
      <c r="AL217">
        <v>1</v>
      </c>
      <c r="AM217" t="s">
        <v>168</v>
      </c>
      <c r="AN217">
        <v>563</v>
      </c>
      <c r="AO217">
        <v>202</v>
      </c>
      <c r="AP217">
        <v>898</v>
      </c>
      <c r="AQ217">
        <v>898</v>
      </c>
      <c r="AS217">
        <v>2</v>
      </c>
      <c r="AT217">
        <v>77</v>
      </c>
      <c r="AU217" t="s">
        <v>122</v>
      </c>
      <c r="AV217">
        <v>16</v>
      </c>
      <c r="AW217" t="s">
        <v>108</v>
      </c>
      <c r="AX217">
        <v>21</v>
      </c>
      <c r="AY217">
        <f t="shared" si="18"/>
        <v>16</v>
      </c>
      <c r="AZ217">
        <f t="shared" si="19"/>
        <v>2</v>
      </c>
      <c r="BA217">
        <v>120</v>
      </c>
      <c r="BB217" t="str">
        <f t="shared" si="20"/>
        <v>(Dike-town)</v>
      </c>
      <c r="BC217">
        <f t="shared" si="21"/>
        <v>-2</v>
      </c>
      <c r="BD217">
        <f t="shared" si="22"/>
        <v>4000</v>
      </c>
      <c r="BE217">
        <v>9000</v>
      </c>
      <c r="BF217" t="str">
        <f t="shared" si="23"/>
        <v>(Dike-town)</v>
      </c>
    </row>
    <row r="218" spans="1:58" x14ac:dyDescent="0.3">
      <c r="A218">
        <v>875</v>
      </c>
      <c r="B218" s="2">
        <v>45559.599398148137</v>
      </c>
      <c r="C218">
        <v>100000</v>
      </c>
      <c r="D218">
        <v>50000</v>
      </c>
      <c r="E218">
        <v>0</v>
      </c>
      <c r="F218">
        <v>17000</v>
      </c>
      <c r="G218">
        <v>0</v>
      </c>
      <c r="H218">
        <v>0</v>
      </c>
      <c r="I218">
        <v>15000</v>
      </c>
      <c r="J218">
        <v>0</v>
      </c>
      <c r="K218">
        <v>0</v>
      </c>
      <c r="L218">
        <v>0</v>
      </c>
      <c r="M218">
        <v>4000</v>
      </c>
      <c r="N218">
        <v>15000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3</v>
      </c>
      <c r="W218">
        <v>6</v>
      </c>
      <c r="X218">
        <v>170000</v>
      </c>
      <c r="Y218">
        <v>170000</v>
      </c>
      <c r="Z218">
        <v>136000</v>
      </c>
      <c r="AA218">
        <v>0</v>
      </c>
      <c r="AB218">
        <v>0</v>
      </c>
      <c r="AC218">
        <v>170000</v>
      </c>
      <c r="AD218">
        <v>119000</v>
      </c>
      <c r="AG218">
        <v>6</v>
      </c>
      <c r="AH218">
        <v>10</v>
      </c>
      <c r="AI218">
        <v>-2</v>
      </c>
      <c r="AJ218">
        <v>-1</v>
      </c>
      <c r="AK218">
        <v>0</v>
      </c>
      <c r="AL218">
        <v>0</v>
      </c>
      <c r="AM218" t="s">
        <v>168</v>
      </c>
      <c r="AN218">
        <v>563</v>
      </c>
      <c r="AO218">
        <v>207</v>
      </c>
      <c r="AP218">
        <v>898</v>
      </c>
      <c r="AQ218">
        <v>898</v>
      </c>
      <c r="AS218">
        <v>3</v>
      </c>
      <c r="AT218">
        <v>77</v>
      </c>
      <c r="AU218" t="s">
        <v>122</v>
      </c>
      <c r="AV218">
        <v>16</v>
      </c>
      <c r="AW218" t="s">
        <v>108</v>
      </c>
      <c r="AX218">
        <v>21</v>
      </c>
      <c r="AY218">
        <f t="shared" si="18"/>
        <v>16</v>
      </c>
      <c r="AZ218">
        <f t="shared" si="19"/>
        <v>0</v>
      </c>
      <c r="BA218">
        <v>120</v>
      </c>
      <c r="BB218" t="str">
        <f t="shared" si="20"/>
        <v>(Dike-town)</v>
      </c>
      <c r="BC218">
        <f t="shared" si="21"/>
        <v>-1</v>
      </c>
      <c r="BD218">
        <f t="shared" si="22"/>
        <v>4000</v>
      </c>
      <c r="BE218">
        <v>0</v>
      </c>
      <c r="BF218" t="str">
        <f t="shared" si="23"/>
        <v>(Dike-town)</v>
      </c>
    </row>
    <row r="219" spans="1:58" x14ac:dyDescent="0.3">
      <c r="A219">
        <v>748</v>
      </c>
      <c r="B219" s="2">
        <v>45559.597916666673</v>
      </c>
      <c r="C219">
        <v>65000</v>
      </c>
      <c r="D219">
        <v>30000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5000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</v>
      </c>
      <c r="W219">
        <v>4</v>
      </c>
      <c r="X219">
        <v>110000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t="s">
        <v>134</v>
      </c>
      <c r="AN219">
        <v>564</v>
      </c>
      <c r="AO219">
        <v>194</v>
      </c>
      <c r="AS219">
        <v>0</v>
      </c>
      <c r="AT219">
        <v>78</v>
      </c>
      <c r="AU219" t="s">
        <v>123</v>
      </c>
      <c r="AV219">
        <v>16</v>
      </c>
      <c r="AW219" t="s">
        <v>108</v>
      </c>
      <c r="AX219">
        <v>21</v>
      </c>
      <c r="AY219">
        <f t="shared" si="18"/>
        <v>0</v>
      </c>
      <c r="AZ219">
        <f t="shared" si="19"/>
        <v>0</v>
      </c>
      <c r="BA219">
        <v>118</v>
      </c>
      <c r="BB219" t="str">
        <f t="shared" si="20"/>
        <v/>
      </c>
      <c r="BC219" t="str">
        <f t="shared" si="21"/>
        <v/>
      </c>
      <c r="BD219">
        <f t="shared" si="22"/>
        <v>0</v>
      </c>
      <c r="BE219">
        <v>0</v>
      </c>
      <c r="BF219" t="str">
        <f t="shared" si="23"/>
        <v/>
      </c>
    </row>
    <row r="220" spans="1:58" x14ac:dyDescent="0.3">
      <c r="A220">
        <v>781</v>
      </c>
      <c r="B220" s="2">
        <v>45559.597916666673</v>
      </c>
      <c r="C220">
        <v>65000</v>
      </c>
      <c r="D220">
        <v>30000</v>
      </c>
      <c r="E220">
        <v>0</v>
      </c>
      <c r="F220">
        <v>7000</v>
      </c>
      <c r="G220">
        <v>0</v>
      </c>
      <c r="H220">
        <v>0</v>
      </c>
      <c r="I220">
        <v>15000</v>
      </c>
      <c r="J220">
        <v>3500</v>
      </c>
      <c r="K220">
        <v>0</v>
      </c>
      <c r="L220">
        <v>0</v>
      </c>
      <c r="M220">
        <v>0</v>
      </c>
      <c r="N220">
        <v>14500</v>
      </c>
      <c r="O220">
        <v>0</v>
      </c>
      <c r="P220">
        <v>-2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4</v>
      </c>
      <c r="W220">
        <v>4</v>
      </c>
      <c r="X220">
        <v>110000</v>
      </c>
      <c r="Y220">
        <v>0</v>
      </c>
      <c r="Z220">
        <v>0</v>
      </c>
      <c r="AA220">
        <v>0</v>
      </c>
      <c r="AB220">
        <v>70000</v>
      </c>
      <c r="AC220">
        <v>70000</v>
      </c>
      <c r="AD220">
        <v>63000</v>
      </c>
      <c r="AG220">
        <v>8</v>
      </c>
      <c r="AH220">
        <v>7</v>
      </c>
      <c r="AI220">
        <v>0</v>
      </c>
      <c r="AJ220">
        <v>0</v>
      </c>
      <c r="AK220">
        <v>0</v>
      </c>
      <c r="AL220">
        <v>0</v>
      </c>
      <c r="AM220" t="s">
        <v>168</v>
      </c>
      <c r="AN220">
        <v>564</v>
      </c>
      <c r="AO220">
        <v>196</v>
      </c>
      <c r="AQ220">
        <v>893</v>
      </c>
      <c r="AS220">
        <v>1</v>
      </c>
      <c r="AT220">
        <v>78</v>
      </c>
      <c r="AU220" t="s">
        <v>123</v>
      </c>
      <c r="AV220">
        <v>16</v>
      </c>
      <c r="AW220" t="s">
        <v>108</v>
      </c>
      <c r="AX220">
        <v>21</v>
      </c>
      <c r="AY220">
        <f t="shared" si="18"/>
        <v>15</v>
      </c>
      <c r="AZ220">
        <f t="shared" si="19"/>
        <v>0</v>
      </c>
      <c r="BA220">
        <v>118</v>
      </c>
      <c r="BB220" t="str">
        <f t="shared" si="20"/>
        <v>(U-village)</v>
      </c>
      <c r="BC220">
        <f t="shared" si="21"/>
        <v>-1</v>
      </c>
      <c r="BD220">
        <f t="shared" si="22"/>
        <v>0</v>
      </c>
      <c r="BE220">
        <v>3500</v>
      </c>
      <c r="BF220" t="str">
        <f t="shared" si="23"/>
        <v>(U-village)</v>
      </c>
    </row>
    <row r="221" spans="1:58" x14ac:dyDescent="0.3">
      <c r="A221">
        <v>829</v>
      </c>
      <c r="B221" s="2">
        <v>45559.597916666673</v>
      </c>
      <c r="C221">
        <v>65000</v>
      </c>
      <c r="D221">
        <v>30000</v>
      </c>
      <c r="E221">
        <v>0</v>
      </c>
      <c r="F221">
        <v>7000</v>
      </c>
      <c r="G221">
        <v>0</v>
      </c>
      <c r="H221">
        <v>0</v>
      </c>
      <c r="I221">
        <v>15000</v>
      </c>
      <c r="J221">
        <v>12000</v>
      </c>
      <c r="K221">
        <v>0</v>
      </c>
      <c r="L221">
        <v>0</v>
      </c>
      <c r="M221">
        <v>4000</v>
      </c>
      <c r="N221">
        <v>11500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2</v>
      </c>
      <c r="W221">
        <v>4</v>
      </c>
      <c r="X221">
        <v>110000</v>
      </c>
      <c r="Y221">
        <v>70000</v>
      </c>
      <c r="Z221">
        <v>63000</v>
      </c>
      <c r="AA221">
        <v>0</v>
      </c>
      <c r="AB221">
        <v>0</v>
      </c>
      <c r="AC221">
        <v>70000</v>
      </c>
      <c r="AD221">
        <v>56000</v>
      </c>
      <c r="AG221">
        <v>8</v>
      </c>
      <c r="AH221">
        <v>7</v>
      </c>
      <c r="AI221">
        <v>-2</v>
      </c>
      <c r="AJ221">
        <v>-1</v>
      </c>
      <c r="AK221">
        <v>1</v>
      </c>
      <c r="AL221">
        <v>1</v>
      </c>
      <c r="AM221" t="s">
        <v>168</v>
      </c>
      <c r="AN221">
        <v>564</v>
      </c>
      <c r="AO221">
        <v>201</v>
      </c>
      <c r="AP221">
        <v>893</v>
      </c>
      <c r="AQ221">
        <v>893</v>
      </c>
      <c r="AS221">
        <v>2</v>
      </c>
      <c r="AT221">
        <v>78</v>
      </c>
      <c r="AU221" t="s">
        <v>123</v>
      </c>
      <c r="AV221">
        <v>16</v>
      </c>
      <c r="AW221" t="s">
        <v>108</v>
      </c>
      <c r="AX221">
        <v>21</v>
      </c>
      <c r="AY221">
        <f t="shared" si="18"/>
        <v>15</v>
      </c>
      <c r="AZ221">
        <f t="shared" si="19"/>
        <v>2</v>
      </c>
      <c r="BA221">
        <v>118</v>
      </c>
      <c r="BB221" t="str">
        <f t="shared" si="20"/>
        <v>(U-village)</v>
      </c>
      <c r="BC221">
        <f t="shared" si="21"/>
        <v>-2</v>
      </c>
      <c r="BD221">
        <f t="shared" si="22"/>
        <v>4000</v>
      </c>
      <c r="BE221">
        <v>12000</v>
      </c>
      <c r="BF221" t="str">
        <f t="shared" si="23"/>
        <v>(U-village)</v>
      </c>
    </row>
    <row r="222" spans="1:58" x14ac:dyDescent="0.3">
      <c r="A222">
        <v>854</v>
      </c>
      <c r="B222" s="2">
        <v>45559.597916666673</v>
      </c>
      <c r="C222">
        <v>65000</v>
      </c>
      <c r="D222">
        <v>30000</v>
      </c>
      <c r="E222">
        <v>0</v>
      </c>
      <c r="F222">
        <v>7000</v>
      </c>
      <c r="G222">
        <v>0</v>
      </c>
      <c r="H222">
        <v>0</v>
      </c>
      <c r="I222">
        <v>15000</v>
      </c>
      <c r="J222">
        <v>14000</v>
      </c>
      <c r="K222">
        <v>0</v>
      </c>
      <c r="L222">
        <v>12000</v>
      </c>
      <c r="M222">
        <v>4000</v>
      </c>
      <c r="N222">
        <v>-5500</v>
      </c>
      <c r="O222">
        <v>0</v>
      </c>
      <c r="P222">
        <v>0</v>
      </c>
      <c r="Q222">
        <v>0</v>
      </c>
      <c r="R222">
        <v>2</v>
      </c>
      <c r="S222">
        <v>4</v>
      </c>
      <c r="T222">
        <v>1</v>
      </c>
      <c r="U222">
        <v>0</v>
      </c>
      <c r="V222">
        <v>-1</v>
      </c>
      <c r="W222">
        <v>4</v>
      </c>
      <c r="X222">
        <v>110000</v>
      </c>
      <c r="Y222">
        <v>70000</v>
      </c>
      <c r="Z222">
        <v>56000</v>
      </c>
      <c r="AA222">
        <v>0</v>
      </c>
      <c r="AB222">
        <v>0</v>
      </c>
      <c r="AC222">
        <v>70000</v>
      </c>
      <c r="AD222">
        <v>49000</v>
      </c>
      <c r="AG222">
        <v>8</v>
      </c>
      <c r="AH222">
        <v>7</v>
      </c>
      <c r="AI222">
        <v>-2</v>
      </c>
      <c r="AJ222">
        <v>-1</v>
      </c>
      <c r="AK222">
        <v>0</v>
      </c>
      <c r="AL222">
        <v>0</v>
      </c>
      <c r="AM222" t="s">
        <v>168</v>
      </c>
      <c r="AN222">
        <v>564</v>
      </c>
      <c r="AO222">
        <v>204</v>
      </c>
      <c r="AP222">
        <v>893</v>
      </c>
      <c r="AQ222">
        <v>893</v>
      </c>
      <c r="AS222">
        <v>3</v>
      </c>
      <c r="AT222">
        <v>78</v>
      </c>
      <c r="AU222" t="s">
        <v>123</v>
      </c>
      <c r="AV222">
        <v>16</v>
      </c>
      <c r="AW222" t="s">
        <v>108</v>
      </c>
      <c r="AX222">
        <v>21</v>
      </c>
      <c r="AY222">
        <f t="shared" si="18"/>
        <v>15</v>
      </c>
      <c r="AZ222">
        <f t="shared" si="19"/>
        <v>0</v>
      </c>
      <c r="BA222">
        <v>118</v>
      </c>
      <c r="BB222" t="str">
        <f t="shared" si="20"/>
        <v>(U-village)</v>
      </c>
      <c r="BC222">
        <f t="shared" si="21"/>
        <v>-3</v>
      </c>
      <c r="BD222">
        <f t="shared" si="22"/>
        <v>16000</v>
      </c>
      <c r="BE222">
        <v>14000</v>
      </c>
      <c r="BF222" t="str">
        <f t="shared" si="23"/>
        <v>(U-village)</v>
      </c>
    </row>
    <row r="223" spans="1:58" x14ac:dyDescent="0.3">
      <c r="A223">
        <v>755</v>
      </c>
      <c r="B223" s="2">
        <v>45559.598136574074</v>
      </c>
      <c r="C223">
        <v>100000</v>
      </c>
      <c r="D223">
        <v>50000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30000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5</v>
      </c>
      <c r="W223">
        <v>6</v>
      </c>
      <c r="X223">
        <v>170000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t="s">
        <v>134</v>
      </c>
      <c r="AN223">
        <v>565</v>
      </c>
      <c r="AO223">
        <v>194</v>
      </c>
      <c r="AS223">
        <v>0</v>
      </c>
      <c r="AT223">
        <v>78</v>
      </c>
      <c r="AU223" t="s">
        <v>123</v>
      </c>
      <c r="AV223">
        <v>16</v>
      </c>
      <c r="AW223" t="s">
        <v>108</v>
      </c>
      <c r="AX223">
        <v>21</v>
      </c>
      <c r="AY223">
        <f t="shared" si="18"/>
        <v>0</v>
      </c>
      <c r="AZ223">
        <f t="shared" si="19"/>
        <v>0</v>
      </c>
      <c r="BA223">
        <v>120</v>
      </c>
      <c r="BB223" t="str">
        <f t="shared" si="20"/>
        <v/>
      </c>
      <c r="BC223" t="str">
        <f t="shared" si="21"/>
        <v/>
      </c>
      <c r="BD223">
        <f t="shared" si="22"/>
        <v>0</v>
      </c>
      <c r="BE223">
        <v>0</v>
      </c>
      <c r="BF223" t="str">
        <f t="shared" si="23"/>
        <v/>
      </c>
    </row>
    <row r="224" spans="1:58" x14ac:dyDescent="0.3">
      <c r="A224">
        <v>785</v>
      </c>
      <c r="B224" s="2">
        <v>45559.598136574074</v>
      </c>
      <c r="C224">
        <v>100000</v>
      </c>
      <c r="D224">
        <v>50000</v>
      </c>
      <c r="E224">
        <v>0</v>
      </c>
      <c r="F224">
        <v>17000</v>
      </c>
      <c r="G224">
        <v>0</v>
      </c>
      <c r="H224">
        <v>55000</v>
      </c>
      <c r="I224">
        <v>20000</v>
      </c>
      <c r="J224">
        <v>0</v>
      </c>
      <c r="K224">
        <v>0</v>
      </c>
      <c r="L224">
        <v>0</v>
      </c>
      <c r="M224">
        <v>0</v>
      </c>
      <c r="N224">
        <v>-12000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</v>
      </c>
      <c r="W224">
        <v>6</v>
      </c>
      <c r="X224">
        <v>170000</v>
      </c>
      <c r="Y224">
        <v>0</v>
      </c>
      <c r="Z224">
        <v>0</v>
      </c>
      <c r="AA224">
        <v>0</v>
      </c>
      <c r="AB224">
        <v>225000</v>
      </c>
      <c r="AC224">
        <v>170000</v>
      </c>
      <c r="AD224">
        <v>153000</v>
      </c>
      <c r="AG224">
        <v>8</v>
      </c>
      <c r="AH224">
        <v>10</v>
      </c>
      <c r="AI224">
        <v>0</v>
      </c>
      <c r="AJ224">
        <v>0</v>
      </c>
      <c r="AK224">
        <v>0</v>
      </c>
      <c r="AL224">
        <v>0</v>
      </c>
      <c r="AM224" t="s">
        <v>168</v>
      </c>
      <c r="AN224">
        <v>565</v>
      </c>
      <c r="AO224">
        <v>196</v>
      </c>
      <c r="AQ224">
        <v>885</v>
      </c>
      <c r="AS224">
        <v>1</v>
      </c>
      <c r="AT224">
        <v>78</v>
      </c>
      <c r="AU224" t="s">
        <v>123</v>
      </c>
      <c r="AV224">
        <v>16</v>
      </c>
      <c r="AW224" t="s">
        <v>108</v>
      </c>
      <c r="AX224">
        <v>21</v>
      </c>
      <c r="AY224">
        <f t="shared" si="18"/>
        <v>18</v>
      </c>
      <c r="AZ224">
        <f t="shared" si="19"/>
        <v>0</v>
      </c>
      <c r="BA224">
        <v>120</v>
      </c>
      <c r="BB224" t="str">
        <f t="shared" si="20"/>
        <v>(Natu-city)</v>
      </c>
      <c r="BC224">
        <f t="shared" si="21"/>
        <v>0</v>
      </c>
      <c r="BD224">
        <f t="shared" si="22"/>
        <v>0</v>
      </c>
      <c r="BE224">
        <v>0</v>
      </c>
      <c r="BF224" t="str">
        <f t="shared" si="23"/>
        <v>(Natu-city)</v>
      </c>
    </row>
    <row r="225" spans="1:58" x14ac:dyDescent="0.3">
      <c r="A225">
        <v>833</v>
      </c>
      <c r="B225" s="2">
        <v>45559.598136574074</v>
      </c>
      <c r="C225">
        <v>100000</v>
      </c>
      <c r="D225">
        <v>50000</v>
      </c>
      <c r="E225">
        <v>12000</v>
      </c>
      <c r="F225">
        <v>17000</v>
      </c>
      <c r="G225">
        <v>0</v>
      </c>
      <c r="H225">
        <v>0</v>
      </c>
      <c r="I225">
        <v>20000</v>
      </c>
      <c r="J225">
        <v>0</v>
      </c>
      <c r="K225">
        <v>0</v>
      </c>
      <c r="L225">
        <v>0</v>
      </c>
      <c r="M225">
        <v>4000</v>
      </c>
      <c r="N225">
        <v>-3000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3</v>
      </c>
      <c r="W225">
        <v>6</v>
      </c>
      <c r="X225">
        <v>170000</v>
      </c>
      <c r="Y225">
        <v>170000</v>
      </c>
      <c r="Z225">
        <v>153000</v>
      </c>
      <c r="AA225">
        <v>0</v>
      </c>
      <c r="AB225">
        <v>0</v>
      </c>
      <c r="AC225">
        <v>170000</v>
      </c>
      <c r="AD225">
        <v>136000</v>
      </c>
      <c r="AG225">
        <v>8</v>
      </c>
      <c r="AH225">
        <v>10</v>
      </c>
      <c r="AI225">
        <v>-2</v>
      </c>
      <c r="AJ225">
        <v>-1</v>
      </c>
      <c r="AK225">
        <v>0</v>
      </c>
      <c r="AL225">
        <v>0</v>
      </c>
      <c r="AM225" t="s">
        <v>168</v>
      </c>
      <c r="AN225">
        <v>565</v>
      </c>
      <c r="AO225">
        <v>201</v>
      </c>
      <c r="AP225">
        <v>885</v>
      </c>
      <c r="AQ225">
        <v>885</v>
      </c>
      <c r="AS225">
        <v>2</v>
      </c>
      <c r="AT225">
        <v>78</v>
      </c>
      <c r="AU225" t="s">
        <v>123</v>
      </c>
      <c r="AV225">
        <v>16</v>
      </c>
      <c r="AW225" t="s">
        <v>108</v>
      </c>
      <c r="AX225">
        <v>21</v>
      </c>
      <c r="AY225">
        <f t="shared" si="18"/>
        <v>18</v>
      </c>
      <c r="AZ225">
        <f t="shared" si="19"/>
        <v>0</v>
      </c>
      <c r="BA225">
        <v>120</v>
      </c>
      <c r="BB225" t="str">
        <f t="shared" si="20"/>
        <v>(Natu-city)</v>
      </c>
      <c r="BC225">
        <f t="shared" si="21"/>
        <v>-2</v>
      </c>
      <c r="BD225">
        <f t="shared" si="22"/>
        <v>4000</v>
      </c>
      <c r="BE225">
        <v>0</v>
      </c>
      <c r="BF225" t="str">
        <f t="shared" si="23"/>
        <v>(Natu-city)</v>
      </c>
    </row>
    <row r="226" spans="1:58" x14ac:dyDescent="0.3">
      <c r="A226">
        <v>859</v>
      </c>
      <c r="B226" s="2">
        <v>45559.598136574074</v>
      </c>
      <c r="C226">
        <v>100000</v>
      </c>
      <c r="D226">
        <v>50000</v>
      </c>
      <c r="E226">
        <v>3000</v>
      </c>
      <c r="F226">
        <v>17000</v>
      </c>
      <c r="G226">
        <v>0</v>
      </c>
      <c r="H226">
        <v>0</v>
      </c>
      <c r="I226">
        <v>25000</v>
      </c>
      <c r="J226">
        <v>0</v>
      </c>
      <c r="K226">
        <v>0</v>
      </c>
      <c r="L226">
        <v>0</v>
      </c>
      <c r="M226">
        <v>4000</v>
      </c>
      <c r="N226">
        <v>1000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6</v>
      </c>
      <c r="X226">
        <v>170000</v>
      </c>
      <c r="Y226">
        <v>170000</v>
      </c>
      <c r="Z226">
        <v>136000</v>
      </c>
      <c r="AA226">
        <v>0</v>
      </c>
      <c r="AB226">
        <v>0</v>
      </c>
      <c r="AC226">
        <v>170000</v>
      </c>
      <c r="AD226">
        <v>119000</v>
      </c>
      <c r="AG226">
        <v>8</v>
      </c>
      <c r="AH226">
        <v>10</v>
      </c>
      <c r="AI226">
        <v>-2</v>
      </c>
      <c r="AJ226">
        <v>-1</v>
      </c>
      <c r="AK226">
        <v>0</v>
      </c>
      <c r="AL226">
        <v>0</v>
      </c>
      <c r="AM226" t="s">
        <v>168</v>
      </c>
      <c r="AN226">
        <v>565</v>
      </c>
      <c r="AO226">
        <v>204</v>
      </c>
      <c r="AP226">
        <v>885</v>
      </c>
      <c r="AQ226">
        <v>885</v>
      </c>
      <c r="AS226">
        <v>3</v>
      </c>
      <c r="AT226">
        <v>78</v>
      </c>
      <c r="AU226" t="s">
        <v>123</v>
      </c>
      <c r="AV226">
        <v>16</v>
      </c>
      <c r="AW226" t="s">
        <v>108</v>
      </c>
      <c r="AX226">
        <v>21</v>
      </c>
      <c r="AY226">
        <f t="shared" si="18"/>
        <v>18</v>
      </c>
      <c r="AZ226">
        <f t="shared" si="19"/>
        <v>0</v>
      </c>
      <c r="BA226">
        <v>120</v>
      </c>
      <c r="BB226" t="str">
        <f t="shared" si="20"/>
        <v>(Natu-city)</v>
      </c>
      <c r="BC226">
        <f t="shared" si="21"/>
        <v>-2</v>
      </c>
      <c r="BD226">
        <f t="shared" si="22"/>
        <v>4000</v>
      </c>
      <c r="BE226">
        <v>0</v>
      </c>
      <c r="BF226" t="str">
        <f t="shared" si="23"/>
        <v>(Natu-city)</v>
      </c>
    </row>
    <row r="227" spans="1:58" x14ac:dyDescent="0.3">
      <c r="A227">
        <v>754</v>
      </c>
      <c r="B227" s="2">
        <v>45559.598090277781</v>
      </c>
      <c r="C227">
        <v>50000</v>
      </c>
      <c r="D227">
        <v>20000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</v>
      </c>
      <c r="W227">
        <v>3</v>
      </c>
      <c r="X227">
        <v>80000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t="s">
        <v>134</v>
      </c>
      <c r="AN227">
        <v>566</v>
      </c>
      <c r="AO227">
        <v>194</v>
      </c>
      <c r="AS227">
        <v>0</v>
      </c>
      <c r="AT227">
        <v>78</v>
      </c>
      <c r="AU227" t="s">
        <v>123</v>
      </c>
      <c r="AV227">
        <v>16</v>
      </c>
      <c r="AW227" t="s">
        <v>108</v>
      </c>
      <c r="AX227">
        <v>21</v>
      </c>
      <c r="AY227">
        <f t="shared" si="18"/>
        <v>0</v>
      </c>
      <c r="AZ227">
        <f t="shared" si="19"/>
        <v>0</v>
      </c>
      <c r="BA227">
        <v>117</v>
      </c>
      <c r="BB227" t="str">
        <f t="shared" si="20"/>
        <v/>
      </c>
      <c r="BC227" t="str">
        <f t="shared" si="21"/>
        <v/>
      </c>
      <c r="BD227">
        <f t="shared" si="22"/>
        <v>0</v>
      </c>
      <c r="BE227">
        <v>0</v>
      </c>
      <c r="BF227" t="str">
        <f t="shared" si="23"/>
        <v/>
      </c>
    </row>
    <row r="228" spans="1:58" x14ac:dyDescent="0.3">
      <c r="A228">
        <v>783</v>
      </c>
      <c r="B228" s="2">
        <v>45559.598090277781</v>
      </c>
      <c r="C228">
        <v>50000</v>
      </c>
      <c r="D228">
        <v>20000</v>
      </c>
      <c r="E228">
        <v>0</v>
      </c>
      <c r="F228">
        <v>8000</v>
      </c>
      <c r="G228">
        <v>0</v>
      </c>
      <c r="H228">
        <v>20000</v>
      </c>
      <c r="I228">
        <v>20000</v>
      </c>
      <c r="J228">
        <v>0</v>
      </c>
      <c r="K228">
        <v>0</v>
      </c>
      <c r="L228">
        <v>0</v>
      </c>
      <c r="M228">
        <v>0</v>
      </c>
      <c r="N228">
        <v>-18000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5</v>
      </c>
      <c r="W228">
        <v>3</v>
      </c>
      <c r="X228">
        <v>80000</v>
      </c>
      <c r="Y228">
        <v>0</v>
      </c>
      <c r="Z228">
        <v>0</v>
      </c>
      <c r="AA228">
        <v>0</v>
      </c>
      <c r="AB228">
        <v>100000</v>
      </c>
      <c r="AC228">
        <v>80000</v>
      </c>
      <c r="AD228">
        <v>72000</v>
      </c>
      <c r="AG228">
        <v>8</v>
      </c>
      <c r="AH228">
        <v>10</v>
      </c>
      <c r="AI228">
        <v>0</v>
      </c>
      <c r="AJ228">
        <v>0</v>
      </c>
      <c r="AK228">
        <v>0</v>
      </c>
      <c r="AL228">
        <v>0</v>
      </c>
      <c r="AM228" t="s">
        <v>168</v>
      </c>
      <c r="AN228">
        <v>566</v>
      </c>
      <c r="AO228">
        <v>196</v>
      </c>
      <c r="AQ228">
        <v>886</v>
      </c>
      <c r="AS228">
        <v>1</v>
      </c>
      <c r="AT228">
        <v>78</v>
      </c>
      <c r="AU228" t="s">
        <v>123</v>
      </c>
      <c r="AV228">
        <v>16</v>
      </c>
      <c r="AW228" t="s">
        <v>108</v>
      </c>
      <c r="AX228">
        <v>21</v>
      </c>
      <c r="AY228">
        <f t="shared" si="18"/>
        <v>18</v>
      </c>
      <c r="AZ228">
        <f t="shared" si="19"/>
        <v>0</v>
      </c>
      <c r="BA228">
        <v>117</v>
      </c>
      <c r="BB228" t="str">
        <f t="shared" si="20"/>
        <v>(Natu-city)</v>
      </c>
      <c r="BC228">
        <f t="shared" si="21"/>
        <v>0</v>
      </c>
      <c r="BD228">
        <f t="shared" si="22"/>
        <v>0</v>
      </c>
      <c r="BE228">
        <v>0</v>
      </c>
      <c r="BF228" t="str">
        <f t="shared" si="23"/>
        <v>(Natu-city)</v>
      </c>
    </row>
    <row r="229" spans="1:58" x14ac:dyDescent="0.3">
      <c r="A229">
        <v>827</v>
      </c>
      <c r="B229" s="2">
        <v>45559.598090277781</v>
      </c>
      <c r="C229">
        <v>50000</v>
      </c>
      <c r="D229">
        <v>20000</v>
      </c>
      <c r="E229">
        <v>18000</v>
      </c>
      <c r="F229">
        <v>8000</v>
      </c>
      <c r="G229">
        <v>0</v>
      </c>
      <c r="H229">
        <v>0</v>
      </c>
      <c r="I229">
        <v>20000</v>
      </c>
      <c r="J229">
        <v>0</v>
      </c>
      <c r="K229">
        <v>0</v>
      </c>
      <c r="L229">
        <v>0</v>
      </c>
      <c r="M229">
        <v>4000</v>
      </c>
      <c r="N229">
        <v>-20000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3</v>
      </c>
      <c r="W229">
        <v>3</v>
      </c>
      <c r="X229">
        <v>80000</v>
      </c>
      <c r="Y229">
        <v>80000</v>
      </c>
      <c r="Z229">
        <v>72000</v>
      </c>
      <c r="AA229">
        <v>0</v>
      </c>
      <c r="AB229">
        <v>0</v>
      </c>
      <c r="AC229">
        <v>80000</v>
      </c>
      <c r="AD229">
        <v>64000</v>
      </c>
      <c r="AG229">
        <v>8</v>
      </c>
      <c r="AH229">
        <v>10</v>
      </c>
      <c r="AI229">
        <v>-2</v>
      </c>
      <c r="AJ229">
        <v>-1</v>
      </c>
      <c r="AK229">
        <v>0</v>
      </c>
      <c r="AL229">
        <v>0</v>
      </c>
      <c r="AM229" t="s">
        <v>168</v>
      </c>
      <c r="AN229">
        <v>566</v>
      </c>
      <c r="AO229">
        <v>201</v>
      </c>
      <c r="AP229">
        <v>886</v>
      </c>
      <c r="AQ229">
        <v>886</v>
      </c>
      <c r="AS229">
        <v>2</v>
      </c>
      <c r="AT229">
        <v>78</v>
      </c>
      <c r="AU229" t="s">
        <v>123</v>
      </c>
      <c r="AV229">
        <v>16</v>
      </c>
      <c r="AW229" t="s">
        <v>108</v>
      </c>
      <c r="AX229">
        <v>21</v>
      </c>
      <c r="AY229">
        <f t="shared" si="18"/>
        <v>18</v>
      </c>
      <c r="AZ229">
        <f t="shared" si="19"/>
        <v>0</v>
      </c>
      <c r="BA229">
        <v>117</v>
      </c>
      <c r="BB229" t="str">
        <f t="shared" si="20"/>
        <v>(Natu-city)</v>
      </c>
      <c r="BC229">
        <f t="shared" si="21"/>
        <v>-2</v>
      </c>
      <c r="BD229">
        <f t="shared" si="22"/>
        <v>4000</v>
      </c>
      <c r="BE229">
        <v>0</v>
      </c>
      <c r="BF229" t="str">
        <f t="shared" si="23"/>
        <v>(Natu-city)</v>
      </c>
    </row>
    <row r="230" spans="1:58" x14ac:dyDescent="0.3">
      <c r="A230">
        <v>858</v>
      </c>
      <c r="B230" s="2">
        <v>45559.598090277781</v>
      </c>
      <c r="C230">
        <v>50000</v>
      </c>
      <c r="D230">
        <v>20000</v>
      </c>
      <c r="E230">
        <v>20000</v>
      </c>
      <c r="F230">
        <v>8000</v>
      </c>
      <c r="G230">
        <v>0</v>
      </c>
      <c r="H230">
        <v>0</v>
      </c>
      <c r="I230">
        <v>25000</v>
      </c>
      <c r="J230">
        <v>0</v>
      </c>
      <c r="K230">
        <v>0</v>
      </c>
      <c r="L230">
        <v>0</v>
      </c>
      <c r="M230">
        <v>4000</v>
      </c>
      <c r="N230">
        <v>-27000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1</v>
      </c>
      <c r="W230">
        <v>3</v>
      </c>
      <c r="X230">
        <v>80000</v>
      </c>
      <c r="Y230">
        <v>80000</v>
      </c>
      <c r="Z230">
        <v>64000</v>
      </c>
      <c r="AA230">
        <v>0</v>
      </c>
      <c r="AB230">
        <v>0</v>
      </c>
      <c r="AC230">
        <v>80000</v>
      </c>
      <c r="AD230">
        <v>56000</v>
      </c>
      <c r="AG230">
        <v>8</v>
      </c>
      <c r="AH230">
        <v>10</v>
      </c>
      <c r="AI230">
        <v>-2</v>
      </c>
      <c r="AJ230">
        <v>-1</v>
      </c>
      <c r="AK230">
        <v>0</v>
      </c>
      <c r="AL230">
        <v>0</v>
      </c>
      <c r="AM230" t="s">
        <v>168</v>
      </c>
      <c r="AN230">
        <v>566</v>
      </c>
      <c r="AO230">
        <v>204</v>
      </c>
      <c r="AP230">
        <v>886</v>
      </c>
      <c r="AQ230">
        <v>886</v>
      </c>
      <c r="AS230">
        <v>3</v>
      </c>
      <c r="AT230">
        <v>78</v>
      </c>
      <c r="AU230" t="s">
        <v>123</v>
      </c>
      <c r="AV230">
        <v>16</v>
      </c>
      <c r="AW230" t="s">
        <v>108</v>
      </c>
      <c r="AX230">
        <v>21</v>
      </c>
      <c r="AY230">
        <f t="shared" si="18"/>
        <v>18</v>
      </c>
      <c r="AZ230">
        <f t="shared" si="19"/>
        <v>0</v>
      </c>
      <c r="BA230">
        <v>117</v>
      </c>
      <c r="BB230" t="str">
        <f t="shared" si="20"/>
        <v>(Natu-city)</v>
      </c>
      <c r="BC230">
        <f t="shared" si="21"/>
        <v>-2</v>
      </c>
      <c r="BD230">
        <f t="shared" si="22"/>
        <v>4000</v>
      </c>
      <c r="BE230">
        <v>0</v>
      </c>
      <c r="BF230" t="str">
        <f t="shared" si="23"/>
        <v>(Natu-city)</v>
      </c>
    </row>
    <row r="231" spans="1:58" x14ac:dyDescent="0.3">
      <c r="A231">
        <v>767</v>
      </c>
      <c r="B231" s="2">
        <v>45559.599293981482</v>
      </c>
      <c r="C231">
        <v>80000</v>
      </c>
      <c r="D231">
        <v>40000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15000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5</v>
      </c>
      <c r="W231">
        <v>5</v>
      </c>
      <c r="X231">
        <v>130000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t="s">
        <v>134</v>
      </c>
      <c r="AN231">
        <v>567</v>
      </c>
      <c r="AO231">
        <v>194</v>
      </c>
      <c r="AS231">
        <v>0</v>
      </c>
      <c r="AT231">
        <v>78</v>
      </c>
      <c r="AU231" t="s">
        <v>123</v>
      </c>
      <c r="AV231">
        <v>16</v>
      </c>
      <c r="AW231" t="s">
        <v>108</v>
      </c>
      <c r="AX231">
        <v>21</v>
      </c>
      <c r="AY231">
        <f t="shared" si="18"/>
        <v>0</v>
      </c>
      <c r="AZ231">
        <f t="shared" si="19"/>
        <v>0</v>
      </c>
      <c r="BA231">
        <v>119</v>
      </c>
      <c r="BB231" t="str">
        <f t="shared" si="20"/>
        <v/>
      </c>
      <c r="BC231" t="str">
        <f t="shared" si="21"/>
        <v/>
      </c>
      <c r="BD231">
        <f t="shared" si="22"/>
        <v>0</v>
      </c>
      <c r="BE231">
        <v>0</v>
      </c>
      <c r="BF231" t="str">
        <f t="shared" si="23"/>
        <v/>
      </c>
    </row>
    <row r="232" spans="1:58" x14ac:dyDescent="0.3">
      <c r="A232">
        <v>784</v>
      </c>
      <c r="B232" s="2">
        <v>45559.599293981482</v>
      </c>
      <c r="C232">
        <v>80000</v>
      </c>
      <c r="D232">
        <v>40000</v>
      </c>
      <c r="E232">
        <v>0</v>
      </c>
      <c r="F232">
        <v>13000</v>
      </c>
      <c r="G232">
        <v>0</v>
      </c>
      <c r="H232">
        <v>30000</v>
      </c>
      <c r="I232">
        <v>15000</v>
      </c>
      <c r="J232">
        <v>0</v>
      </c>
      <c r="K232">
        <v>0</v>
      </c>
      <c r="L232">
        <v>0</v>
      </c>
      <c r="M232">
        <v>0</v>
      </c>
      <c r="N232">
        <v>-3000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5</v>
      </c>
      <c r="W232">
        <v>5</v>
      </c>
      <c r="X232">
        <v>130000</v>
      </c>
      <c r="Y232">
        <v>0</v>
      </c>
      <c r="Z232">
        <v>0</v>
      </c>
      <c r="AA232">
        <v>0</v>
      </c>
      <c r="AB232">
        <v>160000</v>
      </c>
      <c r="AC232">
        <v>130000</v>
      </c>
      <c r="AD232">
        <v>117000</v>
      </c>
      <c r="AG232">
        <v>6</v>
      </c>
      <c r="AH232">
        <v>10</v>
      </c>
      <c r="AI232">
        <v>0</v>
      </c>
      <c r="AJ232">
        <v>0</v>
      </c>
      <c r="AK232">
        <v>0</v>
      </c>
      <c r="AL232">
        <v>0</v>
      </c>
      <c r="AM232" t="s">
        <v>168</v>
      </c>
      <c r="AN232">
        <v>567</v>
      </c>
      <c r="AO232">
        <v>196</v>
      </c>
      <c r="AQ232">
        <v>888</v>
      </c>
      <c r="AS232">
        <v>1</v>
      </c>
      <c r="AT232">
        <v>78</v>
      </c>
      <c r="AU232" t="s">
        <v>123</v>
      </c>
      <c r="AV232">
        <v>16</v>
      </c>
      <c r="AW232" t="s">
        <v>108</v>
      </c>
      <c r="AX232">
        <v>21</v>
      </c>
      <c r="AY232">
        <f t="shared" si="18"/>
        <v>16</v>
      </c>
      <c r="AZ232">
        <f t="shared" si="19"/>
        <v>0</v>
      </c>
      <c r="BA232">
        <v>119</v>
      </c>
      <c r="BB232" t="str">
        <f t="shared" si="20"/>
        <v>(Dike-town)</v>
      </c>
      <c r="BC232">
        <f t="shared" si="21"/>
        <v>0</v>
      </c>
      <c r="BD232">
        <f t="shared" si="22"/>
        <v>0</v>
      </c>
      <c r="BE232">
        <v>0</v>
      </c>
      <c r="BF232" t="str">
        <f t="shared" si="23"/>
        <v>(Dike-town)</v>
      </c>
    </row>
    <row r="233" spans="1:58" x14ac:dyDescent="0.3">
      <c r="A233">
        <v>831</v>
      </c>
      <c r="B233" s="2">
        <v>45559.599293981482</v>
      </c>
      <c r="C233">
        <v>80000</v>
      </c>
      <c r="D233">
        <v>40000</v>
      </c>
      <c r="E233">
        <v>3000</v>
      </c>
      <c r="F233">
        <v>13000</v>
      </c>
      <c r="G233">
        <v>0</v>
      </c>
      <c r="H233">
        <v>0</v>
      </c>
      <c r="I233">
        <v>15000</v>
      </c>
      <c r="J233">
        <v>6000</v>
      </c>
      <c r="K233">
        <v>0</v>
      </c>
      <c r="L233">
        <v>0</v>
      </c>
      <c r="M233">
        <v>4000</v>
      </c>
      <c r="N233">
        <v>-1000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3</v>
      </c>
      <c r="W233">
        <v>5</v>
      </c>
      <c r="X233">
        <v>130000</v>
      </c>
      <c r="Y233">
        <v>130000</v>
      </c>
      <c r="Z233">
        <v>117000</v>
      </c>
      <c r="AA233">
        <v>0</v>
      </c>
      <c r="AB233">
        <v>0</v>
      </c>
      <c r="AC233">
        <v>130000</v>
      </c>
      <c r="AD233">
        <v>104000</v>
      </c>
      <c r="AG233">
        <v>6</v>
      </c>
      <c r="AH233">
        <v>10</v>
      </c>
      <c r="AI233">
        <v>-2</v>
      </c>
      <c r="AJ233">
        <v>-1</v>
      </c>
      <c r="AK233">
        <v>1</v>
      </c>
      <c r="AL233">
        <v>0</v>
      </c>
      <c r="AM233" t="s">
        <v>168</v>
      </c>
      <c r="AN233">
        <v>567</v>
      </c>
      <c r="AO233">
        <v>201</v>
      </c>
      <c r="AP233">
        <v>888</v>
      </c>
      <c r="AQ233">
        <v>888</v>
      </c>
      <c r="AS233">
        <v>2</v>
      </c>
      <c r="AT233">
        <v>78</v>
      </c>
      <c r="AU233" t="s">
        <v>123</v>
      </c>
      <c r="AV233">
        <v>16</v>
      </c>
      <c r="AW233" t="s">
        <v>108</v>
      </c>
      <c r="AX233">
        <v>21</v>
      </c>
      <c r="AY233">
        <f t="shared" si="18"/>
        <v>16</v>
      </c>
      <c r="AZ233">
        <f t="shared" si="19"/>
        <v>1</v>
      </c>
      <c r="BA233">
        <v>119</v>
      </c>
      <c r="BB233" t="str">
        <f t="shared" si="20"/>
        <v>(Dike-town)</v>
      </c>
      <c r="BC233">
        <f t="shared" si="21"/>
        <v>-2</v>
      </c>
      <c r="BD233">
        <f t="shared" si="22"/>
        <v>4000</v>
      </c>
      <c r="BE233">
        <v>6000</v>
      </c>
      <c r="BF233" t="str">
        <f t="shared" si="23"/>
        <v>(Dike-town)</v>
      </c>
    </row>
    <row r="234" spans="1:58" x14ac:dyDescent="0.3">
      <c r="A234">
        <v>856</v>
      </c>
      <c r="B234" s="2">
        <v>45559.599293981482</v>
      </c>
      <c r="C234">
        <v>80000</v>
      </c>
      <c r="D234">
        <v>40000</v>
      </c>
      <c r="E234">
        <v>1000</v>
      </c>
      <c r="F234">
        <v>13000</v>
      </c>
      <c r="G234">
        <v>0</v>
      </c>
      <c r="H234">
        <v>0</v>
      </c>
      <c r="I234">
        <v>15000</v>
      </c>
      <c r="J234">
        <v>0</v>
      </c>
      <c r="K234">
        <v>0</v>
      </c>
      <c r="L234">
        <v>0</v>
      </c>
      <c r="M234">
        <v>4000</v>
      </c>
      <c r="N234">
        <v>7000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5</v>
      </c>
      <c r="X234">
        <v>130000</v>
      </c>
      <c r="Y234">
        <v>130000</v>
      </c>
      <c r="Z234">
        <v>104000</v>
      </c>
      <c r="AA234">
        <v>0</v>
      </c>
      <c r="AB234">
        <v>0</v>
      </c>
      <c r="AC234">
        <v>130000</v>
      </c>
      <c r="AD234">
        <v>91000</v>
      </c>
      <c r="AG234">
        <v>6</v>
      </c>
      <c r="AH234">
        <v>10</v>
      </c>
      <c r="AI234">
        <v>-2</v>
      </c>
      <c r="AJ234">
        <v>-1</v>
      </c>
      <c r="AK234">
        <v>0</v>
      </c>
      <c r="AL234">
        <v>0</v>
      </c>
      <c r="AM234" t="s">
        <v>170</v>
      </c>
      <c r="AN234">
        <v>567</v>
      </c>
      <c r="AO234">
        <v>204</v>
      </c>
      <c r="AP234">
        <v>888</v>
      </c>
      <c r="AQ234">
        <v>888</v>
      </c>
      <c r="AS234">
        <v>3</v>
      </c>
      <c r="AT234">
        <v>78</v>
      </c>
      <c r="AU234" t="s">
        <v>123</v>
      </c>
      <c r="AV234">
        <v>16</v>
      </c>
      <c r="AW234" t="s">
        <v>108</v>
      </c>
      <c r="AX234">
        <v>21</v>
      </c>
      <c r="AY234">
        <f t="shared" si="18"/>
        <v>16</v>
      </c>
      <c r="AZ234">
        <f t="shared" si="19"/>
        <v>0</v>
      </c>
      <c r="BA234">
        <v>119</v>
      </c>
      <c r="BB234" t="str">
        <f t="shared" si="20"/>
        <v>(Dike-town)</v>
      </c>
      <c r="BC234">
        <f t="shared" si="21"/>
        <v>-2</v>
      </c>
      <c r="BD234">
        <f t="shared" si="22"/>
        <v>4000</v>
      </c>
      <c r="BE234">
        <v>0</v>
      </c>
      <c r="BF234" t="str">
        <f t="shared" si="23"/>
        <v>(Dike-town)</v>
      </c>
    </row>
    <row r="235" spans="1:58" x14ac:dyDescent="0.3">
      <c r="A235">
        <v>752</v>
      </c>
      <c r="B235" s="2">
        <v>45559.598009259258</v>
      </c>
      <c r="C235">
        <v>120000</v>
      </c>
      <c r="D235">
        <v>65000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50000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5</v>
      </c>
      <c r="W235">
        <v>7</v>
      </c>
      <c r="X235">
        <v>200000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t="s">
        <v>134</v>
      </c>
      <c r="AN235">
        <v>568</v>
      </c>
      <c r="AO235">
        <v>194</v>
      </c>
      <c r="AS235">
        <v>0</v>
      </c>
      <c r="AT235">
        <v>78</v>
      </c>
      <c r="AU235" t="s">
        <v>123</v>
      </c>
      <c r="AV235">
        <v>16</v>
      </c>
      <c r="AW235" t="s">
        <v>108</v>
      </c>
      <c r="AX235">
        <v>21</v>
      </c>
      <c r="AY235">
        <f t="shared" si="18"/>
        <v>0</v>
      </c>
      <c r="AZ235">
        <f t="shared" si="19"/>
        <v>0</v>
      </c>
      <c r="BA235">
        <v>121</v>
      </c>
      <c r="BB235" t="str">
        <f t="shared" si="20"/>
        <v/>
      </c>
      <c r="BC235" t="str">
        <f t="shared" si="21"/>
        <v/>
      </c>
      <c r="BD235">
        <f t="shared" si="22"/>
        <v>0</v>
      </c>
      <c r="BE235">
        <v>0</v>
      </c>
      <c r="BF235" t="str">
        <f t="shared" si="23"/>
        <v/>
      </c>
    </row>
    <row r="236" spans="1:58" x14ac:dyDescent="0.3">
      <c r="A236">
        <v>786</v>
      </c>
      <c r="B236" s="2">
        <v>45559.598009259258</v>
      </c>
      <c r="C236">
        <v>120000</v>
      </c>
      <c r="D236">
        <v>65000</v>
      </c>
      <c r="E236">
        <v>0</v>
      </c>
      <c r="F236">
        <v>16000</v>
      </c>
      <c r="G236">
        <v>0</v>
      </c>
      <c r="H236">
        <v>0</v>
      </c>
      <c r="I236">
        <v>15000</v>
      </c>
      <c r="J236">
        <v>28000</v>
      </c>
      <c r="K236">
        <v>0</v>
      </c>
      <c r="L236">
        <v>0</v>
      </c>
      <c r="M236">
        <v>0</v>
      </c>
      <c r="N236">
        <v>46000</v>
      </c>
      <c r="O236">
        <v>0</v>
      </c>
      <c r="P236">
        <v>-2</v>
      </c>
      <c r="Q236">
        <v>1</v>
      </c>
      <c r="R236">
        <v>2</v>
      </c>
      <c r="S236">
        <v>0</v>
      </c>
      <c r="T236">
        <v>0</v>
      </c>
      <c r="U236">
        <v>0</v>
      </c>
      <c r="V236">
        <v>6</v>
      </c>
      <c r="W236">
        <v>7</v>
      </c>
      <c r="X236">
        <v>200000</v>
      </c>
      <c r="Y236">
        <v>0</v>
      </c>
      <c r="Z236">
        <v>0</v>
      </c>
      <c r="AA236">
        <v>0</v>
      </c>
      <c r="AB236">
        <v>160000</v>
      </c>
      <c r="AC236">
        <v>160000</v>
      </c>
      <c r="AD236">
        <v>144000</v>
      </c>
      <c r="AG236">
        <v>6</v>
      </c>
      <c r="AH236">
        <v>10</v>
      </c>
      <c r="AI236">
        <v>0</v>
      </c>
      <c r="AJ236">
        <v>0</v>
      </c>
      <c r="AK236">
        <v>1</v>
      </c>
      <c r="AL236">
        <v>0</v>
      </c>
      <c r="AM236" t="s">
        <v>168</v>
      </c>
      <c r="AN236">
        <v>568</v>
      </c>
      <c r="AO236">
        <v>196</v>
      </c>
      <c r="AQ236">
        <v>889</v>
      </c>
      <c r="AS236">
        <v>1</v>
      </c>
      <c r="AT236">
        <v>78</v>
      </c>
      <c r="AU236" t="s">
        <v>123</v>
      </c>
      <c r="AV236">
        <v>16</v>
      </c>
      <c r="AW236" t="s">
        <v>108</v>
      </c>
      <c r="AX236">
        <v>21</v>
      </c>
      <c r="AY236">
        <f t="shared" si="18"/>
        <v>16</v>
      </c>
      <c r="AZ236">
        <f t="shared" si="19"/>
        <v>1</v>
      </c>
      <c r="BA236">
        <v>121</v>
      </c>
      <c r="BB236" t="str">
        <f t="shared" si="20"/>
        <v>(Dike-town)</v>
      </c>
      <c r="BC236">
        <f t="shared" si="21"/>
        <v>1</v>
      </c>
      <c r="BD236">
        <f t="shared" si="22"/>
        <v>0</v>
      </c>
      <c r="BE236">
        <v>28000</v>
      </c>
      <c r="BF236" t="str">
        <f t="shared" si="23"/>
        <v>(Dike-town)</v>
      </c>
    </row>
    <row r="237" spans="1:58" x14ac:dyDescent="0.3">
      <c r="A237">
        <v>832</v>
      </c>
      <c r="B237" s="2">
        <v>45559.598009259258</v>
      </c>
      <c r="C237">
        <v>120000</v>
      </c>
      <c r="D237">
        <v>65000</v>
      </c>
      <c r="E237">
        <v>0</v>
      </c>
      <c r="F237">
        <v>16000</v>
      </c>
      <c r="G237">
        <v>0</v>
      </c>
      <c r="H237">
        <v>0</v>
      </c>
      <c r="I237">
        <v>15000</v>
      </c>
      <c r="J237">
        <v>22000</v>
      </c>
      <c r="K237">
        <v>0</v>
      </c>
      <c r="L237">
        <v>0</v>
      </c>
      <c r="M237">
        <v>4000</v>
      </c>
      <c r="N237">
        <v>44000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5</v>
      </c>
      <c r="W237">
        <v>7</v>
      </c>
      <c r="X237">
        <v>200000</v>
      </c>
      <c r="Y237">
        <v>160000</v>
      </c>
      <c r="Z237">
        <v>144000</v>
      </c>
      <c r="AA237">
        <v>0</v>
      </c>
      <c r="AB237">
        <v>0</v>
      </c>
      <c r="AC237">
        <v>160000</v>
      </c>
      <c r="AD237">
        <v>128000</v>
      </c>
      <c r="AG237">
        <v>6</v>
      </c>
      <c r="AH237">
        <v>10</v>
      </c>
      <c r="AI237">
        <v>-2</v>
      </c>
      <c r="AJ237">
        <v>-1</v>
      </c>
      <c r="AK237">
        <v>1</v>
      </c>
      <c r="AL237">
        <v>0</v>
      </c>
      <c r="AM237" t="s">
        <v>168</v>
      </c>
      <c r="AN237">
        <v>568</v>
      </c>
      <c r="AO237">
        <v>201</v>
      </c>
      <c r="AP237">
        <v>889</v>
      </c>
      <c r="AQ237">
        <v>889</v>
      </c>
      <c r="AS237">
        <v>2</v>
      </c>
      <c r="AT237">
        <v>78</v>
      </c>
      <c r="AU237" t="s">
        <v>123</v>
      </c>
      <c r="AV237">
        <v>16</v>
      </c>
      <c r="AW237" t="s">
        <v>108</v>
      </c>
      <c r="AX237">
        <v>21</v>
      </c>
      <c r="AY237">
        <f t="shared" si="18"/>
        <v>16</v>
      </c>
      <c r="AZ237">
        <f t="shared" si="19"/>
        <v>1</v>
      </c>
      <c r="BA237">
        <v>121</v>
      </c>
      <c r="BB237" t="str">
        <f t="shared" si="20"/>
        <v>(Dike-town)</v>
      </c>
      <c r="BC237">
        <f t="shared" si="21"/>
        <v>-1</v>
      </c>
      <c r="BD237">
        <f t="shared" si="22"/>
        <v>4000</v>
      </c>
      <c r="BE237">
        <v>22000</v>
      </c>
      <c r="BF237" t="str">
        <f t="shared" si="23"/>
        <v>(Dike-town)</v>
      </c>
    </row>
    <row r="238" spans="1:58" x14ac:dyDescent="0.3">
      <c r="A238">
        <v>853</v>
      </c>
      <c r="B238" s="2">
        <v>45559.598009259258</v>
      </c>
      <c r="C238">
        <v>120000</v>
      </c>
      <c r="D238">
        <v>65000</v>
      </c>
      <c r="E238">
        <v>0</v>
      </c>
      <c r="F238">
        <v>16000</v>
      </c>
      <c r="G238">
        <v>0</v>
      </c>
      <c r="H238">
        <v>0</v>
      </c>
      <c r="I238">
        <v>15000</v>
      </c>
      <c r="J238">
        <v>35000</v>
      </c>
      <c r="K238">
        <v>0</v>
      </c>
      <c r="L238">
        <v>0</v>
      </c>
      <c r="M238">
        <v>4000</v>
      </c>
      <c r="N238">
        <v>29000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1</v>
      </c>
      <c r="U238">
        <v>0</v>
      </c>
      <c r="V238">
        <v>6</v>
      </c>
      <c r="W238">
        <v>7</v>
      </c>
      <c r="X238">
        <v>200000</v>
      </c>
      <c r="Y238">
        <v>160000</v>
      </c>
      <c r="Z238">
        <v>128000</v>
      </c>
      <c r="AA238">
        <v>0</v>
      </c>
      <c r="AB238">
        <v>0</v>
      </c>
      <c r="AC238">
        <v>160000</v>
      </c>
      <c r="AD238">
        <v>112000</v>
      </c>
      <c r="AG238">
        <v>6</v>
      </c>
      <c r="AH238">
        <v>10</v>
      </c>
      <c r="AI238">
        <v>-2</v>
      </c>
      <c r="AJ238">
        <v>-1</v>
      </c>
      <c r="AK238">
        <v>1</v>
      </c>
      <c r="AL238">
        <v>2</v>
      </c>
      <c r="AM238" t="s">
        <v>168</v>
      </c>
      <c r="AN238">
        <v>568</v>
      </c>
      <c r="AO238">
        <v>204</v>
      </c>
      <c r="AP238">
        <v>889</v>
      </c>
      <c r="AQ238">
        <v>889</v>
      </c>
      <c r="AS238">
        <v>3</v>
      </c>
      <c r="AT238">
        <v>78</v>
      </c>
      <c r="AU238" t="s">
        <v>123</v>
      </c>
      <c r="AV238">
        <v>16</v>
      </c>
      <c r="AW238" t="s">
        <v>108</v>
      </c>
      <c r="AX238">
        <v>21</v>
      </c>
      <c r="AY238">
        <f t="shared" si="18"/>
        <v>16</v>
      </c>
      <c r="AZ238">
        <f t="shared" si="19"/>
        <v>3</v>
      </c>
      <c r="BA238">
        <v>121</v>
      </c>
      <c r="BB238" t="str">
        <f t="shared" si="20"/>
        <v>(Dike-town)</v>
      </c>
      <c r="BC238">
        <f t="shared" si="21"/>
        <v>1</v>
      </c>
      <c r="BD238">
        <f t="shared" si="22"/>
        <v>4000</v>
      </c>
      <c r="BE238">
        <v>35000</v>
      </c>
      <c r="BF238" t="str">
        <f t="shared" si="23"/>
        <v>(Dike-town)</v>
      </c>
    </row>
    <row r="239" spans="1:58" x14ac:dyDescent="0.3">
      <c r="A239">
        <v>747</v>
      </c>
      <c r="B239" s="2">
        <v>45559.597893518519</v>
      </c>
      <c r="C239">
        <v>180000</v>
      </c>
      <c r="D239">
        <v>105000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80000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5</v>
      </c>
      <c r="W239">
        <v>8</v>
      </c>
      <c r="X239">
        <v>300000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t="s">
        <v>134</v>
      </c>
      <c r="AN239">
        <v>569</v>
      </c>
      <c r="AO239">
        <v>194</v>
      </c>
      <c r="AS239">
        <v>0</v>
      </c>
      <c r="AT239">
        <v>78</v>
      </c>
      <c r="AU239" t="s">
        <v>123</v>
      </c>
      <c r="AV239">
        <v>16</v>
      </c>
      <c r="AW239" t="s">
        <v>108</v>
      </c>
      <c r="AX239">
        <v>21</v>
      </c>
      <c r="AY239">
        <f t="shared" si="18"/>
        <v>0</v>
      </c>
      <c r="AZ239">
        <f t="shared" si="19"/>
        <v>0</v>
      </c>
      <c r="BA239">
        <v>122</v>
      </c>
      <c r="BB239" t="str">
        <f t="shared" si="20"/>
        <v/>
      </c>
      <c r="BC239" t="str">
        <f t="shared" si="21"/>
        <v/>
      </c>
      <c r="BD239">
        <f t="shared" si="22"/>
        <v>0</v>
      </c>
      <c r="BE239">
        <v>0</v>
      </c>
      <c r="BF239" t="str">
        <f t="shared" si="23"/>
        <v/>
      </c>
    </row>
    <row r="240" spans="1:58" x14ac:dyDescent="0.3">
      <c r="A240">
        <v>782</v>
      </c>
      <c r="B240" s="2">
        <v>45559.597893518519</v>
      </c>
      <c r="C240">
        <v>180000</v>
      </c>
      <c r="D240">
        <v>105000</v>
      </c>
      <c r="E240">
        <v>0</v>
      </c>
      <c r="F240">
        <v>30000</v>
      </c>
      <c r="G240">
        <v>0</v>
      </c>
      <c r="H240">
        <v>0</v>
      </c>
      <c r="I240">
        <v>15000</v>
      </c>
      <c r="J240">
        <v>32000</v>
      </c>
      <c r="K240">
        <v>0</v>
      </c>
      <c r="L240">
        <v>0</v>
      </c>
      <c r="M240">
        <v>0</v>
      </c>
      <c r="N240">
        <v>78000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7</v>
      </c>
      <c r="W240">
        <v>8</v>
      </c>
      <c r="X240">
        <v>300000</v>
      </c>
      <c r="Y240">
        <v>0</v>
      </c>
      <c r="Z240">
        <v>0</v>
      </c>
      <c r="AA240">
        <v>0</v>
      </c>
      <c r="AB240">
        <v>300000</v>
      </c>
      <c r="AC240">
        <v>300000</v>
      </c>
      <c r="AD240">
        <v>270000</v>
      </c>
      <c r="AG240">
        <v>6</v>
      </c>
      <c r="AH240">
        <v>10</v>
      </c>
      <c r="AI240">
        <v>0</v>
      </c>
      <c r="AJ240">
        <v>0</v>
      </c>
      <c r="AK240">
        <v>2</v>
      </c>
      <c r="AL240">
        <v>0</v>
      </c>
      <c r="AM240" t="s">
        <v>168</v>
      </c>
      <c r="AN240">
        <v>569</v>
      </c>
      <c r="AO240">
        <v>196</v>
      </c>
      <c r="AQ240">
        <v>887</v>
      </c>
      <c r="AS240">
        <v>1</v>
      </c>
      <c r="AT240">
        <v>78</v>
      </c>
      <c r="AU240" t="s">
        <v>123</v>
      </c>
      <c r="AV240">
        <v>16</v>
      </c>
      <c r="AW240" t="s">
        <v>108</v>
      </c>
      <c r="AX240">
        <v>21</v>
      </c>
      <c r="AY240">
        <f t="shared" si="18"/>
        <v>16</v>
      </c>
      <c r="AZ240">
        <f t="shared" si="19"/>
        <v>2</v>
      </c>
      <c r="BA240">
        <v>122</v>
      </c>
      <c r="BB240" t="str">
        <f t="shared" si="20"/>
        <v>(Dike-town)</v>
      </c>
      <c r="BC240">
        <f t="shared" si="21"/>
        <v>2</v>
      </c>
      <c r="BD240">
        <f t="shared" si="22"/>
        <v>0</v>
      </c>
      <c r="BE240">
        <v>32000</v>
      </c>
      <c r="BF240" t="str">
        <f t="shared" si="23"/>
        <v>(Dike-town)</v>
      </c>
    </row>
    <row r="241" spans="1:58" x14ac:dyDescent="0.3">
      <c r="A241">
        <v>828</v>
      </c>
      <c r="B241" s="2">
        <v>45559.597893518519</v>
      </c>
      <c r="C241">
        <v>180000</v>
      </c>
      <c r="D241">
        <v>105000</v>
      </c>
      <c r="E241">
        <v>0</v>
      </c>
      <c r="F241">
        <v>30000</v>
      </c>
      <c r="G241">
        <v>0</v>
      </c>
      <c r="H241">
        <v>0</v>
      </c>
      <c r="I241">
        <v>15000</v>
      </c>
      <c r="J241">
        <v>53000</v>
      </c>
      <c r="K241">
        <v>0</v>
      </c>
      <c r="L241">
        <v>0</v>
      </c>
      <c r="M241">
        <v>4000</v>
      </c>
      <c r="N241">
        <v>51000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8</v>
      </c>
      <c r="W241">
        <v>8</v>
      </c>
      <c r="X241">
        <v>300000</v>
      </c>
      <c r="Y241">
        <v>300000</v>
      </c>
      <c r="Z241">
        <v>270000</v>
      </c>
      <c r="AA241">
        <v>0</v>
      </c>
      <c r="AB241">
        <v>0</v>
      </c>
      <c r="AC241">
        <v>300000</v>
      </c>
      <c r="AD241">
        <v>240000</v>
      </c>
      <c r="AG241">
        <v>6</v>
      </c>
      <c r="AH241">
        <v>10</v>
      </c>
      <c r="AI241">
        <v>-2</v>
      </c>
      <c r="AJ241">
        <v>-1</v>
      </c>
      <c r="AK241">
        <v>3</v>
      </c>
      <c r="AL241">
        <v>2</v>
      </c>
      <c r="AM241" t="s">
        <v>168</v>
      </c>
      <c r="AN241">
        <v>569</v>
      </c>
      <c r="AO241">
        <v>201</v>
      </c>
      <c r="AP241">
        <v>887</v>
      </c>
      <c r="AQ241">
        <v>887</v>
      </c>
      <c r="AS241">
        <v>2</v>
      </c>
      <c r="AT241">
        <v>78</v>
      </c>
      <c r="AU241" t="s">
        <v>123</v>
      </c>
      <c r="AV241">
        <v>16</v>
      </c>
      <c r="AW241" t="s">
        <v>108</v>
      </c>
      <c r="AX241">
        <v>21</v>
      </c>
      <c r="AY241">
        <f t="shared" si="18"/>
        <v>16</v>
      </c>
      <c r="AZ241">
        <f t="shared" si="19"/>
        <v>5</v>
      </c>
      <c r="BA241">
        <v>122</v>
      </c>
      <c r="BB241" t="str">
        <f t="shared" si="20"/>
        <v>(Dike-town)</v>
      </c>
      <c r="BC241">
        <f t="shared" si="21"/>
        <v>1</v>
      </c>
      <c r="BD241">
        <f t="shared" si="22"/>
        <v>4000</v>
      </c>
      <c r="BE241">
        <v>53000</v>
      </c>
      <c r="BF241" t="str">
        <f t="shared" si="23"/>
        <v>(Dike-town)</v>
      </c>
    </row>
    <row r="242" spans="1:58" x14ac:dyDescent="0.3">
      <c r="A242">
        <v>852</v>
      </c>
      <c r="B242" s="2">
        <v>45559.597893518519</v>
      </c>
      <c r="C242">
        <v>180000</v>
      </c>
      <c r="D242">
        <v>105000</v>
      </c>
      <c r="E242">
        <v>0</v>
      </c>
      <c r="F242">
        <v>30000</v>
      </c>
      <c r="G242">
        <v>0</v>
      </c>
      <c r="H242">
        <v>0</v>
      </c>
      <c r="I242">
        <v>15000</v>
      </c>
      <c r="J242">
        <v>48000</v>
      </c>
      <c r="K242">
        <v>0</v>
      </c>
      <c r="L242">
        <v>0</v>
      </c>
      <c r="M242">
        <v>4000</v>
      </c>
      <c r="N242">
        <v>29000</v>
      </c>
      <c r="O242">
        <v>0</v>
      </c>
      <c r="P242">
        <v>0</v>
      </c>
      <c r="Q242">
        <v>0</v>
      </c>
      <c r="R242">
        <v>3</v>
      </c>
      <c r="S242">
        <v>0</v>
      </c>
      <c r="T242">
        <v>1</v>
      </c>
      <c r="U242">
        <v>0</v>
      </c>
      <c r="V242">
        <v>10</v>
      </c>
      <c r="W242">
        <v>8</v>
      </c>
      <c r="X242">
        <v>300000</v>
      </c>
      <c r="Y242">
        <v>300000</v>
      </c>
      <c r="Z242">
        <v>240000</v>
      </c>
      <c r="AA242">
        <v>0</v>
      </c>
      <c r="AB242">
        <v>0</v>
      </c>
      <c r="AC242">
        <v>300000</v>
      </c>
      <c r="AD242">
        <v>210000</v>
      </c>
      <c r="AG242">
        <v>6</v>
      </c>
      <c r="AH242">
        <v>10</v>
      </c>
      <c r="AI242">
        <v>-2</v>
      </c>
      <c r="AJ242">
        <v>-1</v>
      </c>
      <c r="AK242">
        <v>0</v>
      </c>
      <c r="AL242">
        <v>0</v>
      </c>
      <c r="AM242" t="s">
        <v>168</v>
      </c>
      <c r="AN242">
        <v>569</v>
      </c>
      <c r="AO242">
        <v>204</v>
      </c>
      <c r="AP242">
        <v>887</v>
      </c>
      <c r="AQ242">
        <v>887</v>
      </c>
      <c r="AS242">
        <v>3</v>
      </c>
      <c r="AT242">
        <v>78</v>
      </c>
      <c r="AU242" t="s">
        <v>123</v>
      </c>
      <c r="AV242">
        <v>16</v>
      </c>
      <c r="AW242" t="s">
        <v>108</v>
      </c>
      <c r="AX242">
        <v>21</v>
      </c>
      <c r="AY242">
        <f t="shared" si="18"/>
        <v>16</v>
      </c>
      <c r="AZ242">
        <f t="shared" si="19"/>
        <v>0</v>
      </c>
      <c r="BA242">
        <v>122</v>
      </c>
      <c r="BB242" t="str">
        <f t="shared" si="20"/>
        <v>(Dike-town)</v>
      </c>
      <c r="BC242">
        <f t="shared" si="21"/>
        <v>2</v>
      </c>
      <c r="BD242">
        <f t="shared" si="22"/>
        <v>4000</v>
      </c>
      <c r="BE242">
        <v>48000</v>
      </c>
      <c r="BF242" t="str">
        <f t="shared" si="23"/>
        <v>(Dike-town)</v>
      </c>
    </row>
    <row r="243" spans="1:58" x14ac:dyDescent="0.3">
      <c r="A243">
        <v>757</v>
      </c>
      <c r="B243" s="2">
        <v>45559.598217592589</v>
      </c>
      <c r="C243">
        <v>100000</v>
      </c>
      <c r="D243">
        <v>50000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30000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5</v>
      </c>
      <c r="W243">
        <v>6</v>
      </c>
      <c r="X243">
        <v>170000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t="s">
        <v>134</v>
      </c>
      <c r="AN243">
        <v>570</v>
      </c>
      <c r="AO243">
        <v>194</v>
      </c>
      <c r="AS243">
        <v>0</v>
      </c>
      <c r="AT243">
        <v>78</v>
      </c>
      <c r="AU243" t="s">
        <v>123</v>
      </c>
      <c r="AV243">
        <v>16</v>
      </c>
      <c r="AW243" t="s">
        <v>108</v>
      </c>
      <c r="AX243">
        <v>21</v>
      </c>
      <c r="AY243">
        <f t="shared" si="18"/>
        <v>0</v>
      </c>
      <c r="AZ243">
        <f t="shared" si="19"/>
        <v>0</v>
      </c>
      <c r="BA243">
        <v>120</v>
      </c>
      <c r="BB243" t="str">
        <f t="shared" si="20"/>
        <v/>
      </c>
      <c r="BC243" t="str">
        <f t="shared" si="21"/>
        <v/>
      </c>
      <c r="BD243">
        <f t="shared" si="22"/>
        <v>0</v>
      </c>
      <c r="BE243">
        <v>0</v>
      </c>
      <c r="BF243" t="str">
        <f t="shared" si="23"/>
        <v/>
      </c>
    </row>
    <row r="244" spans="1:58" x14ac:dyDescent="0.3">
      <c r="A244">
        <v>787</v>
      </c>
      <c r="B244" s="2">
        <v>45559.598217592589</v>
      </c>
      <c r="C244">
        <v>100000</v>
      </c>
      <c r="D244">
        <v>50000</v>
      </c>
      <c r="E244">
        <v>0</v>
      </c>
      <c r="F244">
        <v>17000</v>
      </c>
      <c r="G244">
        <v>0</v>
      </c>
      <c r="H244">
        <v>30000</v>
      </c>
      <c r="I244">
        <v>15000</v>
      </c>
      <c r="J244">
        <v>18000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6</v>
      </c>
      <c r="W244">
        <v>6</v>
      </c>
      <c r="X244">
        <v>170000</v>
      </c>
      <c r="Y244">
        <v>0</v>
      </c>
      <c r="Z244">
        <v>0</v>
      </c>
      <c r="AA244">
        <v>0</v>
      </c>
      <c r="AB244">
        <v>200000</v>
      </c>
      <c r="AC244">
        <v>170000</v>
      </c>
      <c r="AD244">
        <v>153000</v>
      </c>
      <c r="AG244">
        <v>8</v>
      </c>
      <c r="AH244">
        <v>7</v>
      </c>
      <c r="AI244">
        <v>0</v>
      </c>
      <c r="AJ244">
        <v>0</v>
      </c>
      <c r="AK244">
        <v>2</v>
      </c>
      <c r="AL244">
        <v>0</v>
      </c>
      <c r="AM244" t="s">
        <v>168</v>
      </c>
      <c r="AN244">
        <v>570</v>
      </c>
      <c r="AO244">
        <v>196</v>
      </c>
      <c r="AQ244">
        <v>891</v>
      </c>
      <c r="AS244">
        <v>1</v>
      </c>
      <c r="AT244">
        <v>78</v>
      </c>
      <c r="AU244" t="s">
        <v>123</v>
      </c>
      <c r="AV244">
        <v>16</v>
      </c>
      <c r="AW244" t="s">
        <v>108</v>
      </c>
      <c r="AX244">
        <v>21</v>
      </c>
      <c r="AY244">
        <f t="shared" si="18"/>
        <v>15</v>
      </c>
      <c r="AZ244">
        <f t="shared" si="19"/>
        <v>2</v>
      </c>
      <c r="BA244">
        <v>120</v>
      </c>
      <c r="BB244" t="str">
        <f t="shared" si="20"/>
        <v>(U-village)</v>
      </c>
      <c r="BC244">
        <f t="shared" si="21"/>
        <v>1</v>
      </c>
      <c r="BD244">
        <f t="shared" si="22"/>
        <v>0</v>
      </c>
      <c r="BE244">
        <v>18000</v>
      </c>
      <c r="BF244" t="str">
        <f t="shared" si="23"/>
        <v>(U-village)</v>
      </c>
    </row>
    <row r="245" spans="1:58" x14ac:dyDescent="0.3">
      <c r="A245">
        <v>830</v>
      </c>
      <c r="B245" s="2">
        <v>45559.598217592589</v>
      </c>
      <c r="C245">
        <v>100000</v>
      </c>
      <c r="D245">
        <v>50000</v>
      </c>
      <c r="E245">
        <v>0</v>
      </c>
      <c r="F245">
        <v>17000</v>
      </c>
      <c r="G245">
        <v>0</v>
      </c>
      <c r="H245">
        <v>0</v>
      </c>
      <c r="I245">
        <v>15000</v>
      </c>
      <c r="J245">
        <v>15000</v>
      </c>
      <c r="K245">
        <v>0</v>
      </c>
      <c r="L245">
        <v>0</v>
      </c>
      <c r="M245">
        <v>4000</v>
      </c>
      <c r="N245">
        <v>-1000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4</v>
      </c>
      <c r="W245">
        <v>6</v>
      </c>
      <c r="X245">
        <v>170000</v>
      </c>
      <c r="Y245">
        <v>170000</v>
      </c>
      <c r="Z245">
        <v>153000</v>
      </c>
      <c r="AA245">
        <v>0</v>
      </c>
      <c r="AB245">
        <v>0</v>
      </c>
      <c r="AC245">
        <v>170000</v>
      </c>
      <c r="AD245">
        <v>136000</v>
      </c>
      <c r="AG245">
        <v>8</v>
      </c>
      <c r="AH245">
        <v>7</v>
      </c>
      <c r="AI245">
        <v>-2</v>
      </c>
      <c r="AJ245">
        <v>-1</v>
      </c>
      <c r="AK245">
        <v>1</v>
      </c>
      <c r="AL245">
        <v>2</v>
      </c>
      <c r="AM245" t="s">
        <v>168</v>
      </c>
      <c r="AN245">
        <v>570</v>
      </c>
      <c r="AO245">
        <v>201</v>
      </c>
      <c r="AP245">
        <v>891</v>
      </c>
      <c r="AQ245">
        <v>891</v>
      </c>
      <c r="AS245">
        <v>2</v>
      </c>
      <c r="AT245">
        <v>78</v>
      </c>
      <c r="AU245" t="s">
        <v>123</v>
      </c>
      <c r="AV245">
        <v>16</v>
      </c>
      <c r="AW245" t="s">
        <v>108</v>
      </c>
      <c r="AX245">
        <v>21</v>
      </c>
      <c r="AY245">
        <f t="shared" si="18"/>
        <v>15</v>
      </c>
      <c r="AZ245">
        <f t="shared" si="19"/>
        <v>3</v>
      </c>
      <c r="BA245">
        <v>120</v>
      </c>
      <c r="BB245" t="str">
        <f t="shared" si="20"/>
        <v>(U-village)</v>
      </c>
      <c r="BC245">
        <f t="shared" si="21"/>
        <v>-2</v>
      </c>
      <c r="BD245">
        <f t="shared" si="22"/>
        <v>4000</v>
      </c>
      <c r="BE245">
        <v>15000</v>
      </c>
      <c r="BF245" t="str">
        <f t="shared" si="23"/>
        <v>(U-village)</v>
      </c>
    </row>
    <row r="246" spans="1:58" x14ac:dyDescent="0.3">
      <c r="A246">
        <v>855</v>
      </c>
      <c r="B246" s="2">
        <v>45559.598217592589</v>
      </c>
      <c r="C246">
        <v>100000</v>
      </c>
      <c r="D246">
        <v>50000</v>
      </c>
      <c r="E246">
        <v>1000</v>
      </c>
      <c r="F246">
        <v>17000</v>
      </c>
      <c r="G246">
        <v>0</v>
      </c>
      <c r="H246">
        <v>0</v>
      </c>
      <c r="I246">
        <v>15000</v>
      </c>
      <c r="J246">
        <v>10000</v>
      </c>
      <c r="K246">
        <v>0</v>
      </c>
      <c r="L246">
        <v>12000</v>
      </c>
      <c r="M246">
        <v>4000</v>
      </c>
      <c r="N246">
        <v>-9000</v>
      </c>
      <c r="O246">
        <v>0</v>
      </c>
      <c r="P246">
        <v>0</v>
      </c>
      <c r="Q246">
        <v>0</v>
      </c>
      <c r="R246">
        <v>1</v>
      </c>
      <c r="S246">
        <v>4</v>
      </c>
      <c r="T246">
        <v>1</v>
      </c>
      <c r="U246">
        <v>1</v>
      </c>
      <c r="V246">
        <v>-1</v>
      </c>
      <c r="W246">
        <v>6</v>
      </c>
      <c r="X246">
        <v>170000</v>
      </c>
      <c r="Y246">
        <v>170000</v>
      </c>
      <c r="Z246">
        <v>136000</v>
      </c>
      <c r="AA246">
        <v>0</v>
      </c>
      <c r="AB246">
        <v>0</v>
      </c>
      <c r="AC246">
        <v>170000</v>
      </c>
      <c r="AD246">
        <v>119000</v>
      </c>
      <c r="AG246">
        <v>8</v>
      </c>
      <c r="AH246">
        <v>7</v>
      </c>
      <c r="AI246">
        <v>-2</v>
      </c>
      <c r="AJ246">
        <v>-1</v>
      </c>
      <c r="AK246">
        <v>0</v>
      </c>
      <c r="AL246">
        <v>0</v>
      </c>
      <c r="AM246" t="s">
        <v>170</v>
      </c>
      <c r="AN246">
        <v>570</v>
      </c>
      <c r="AO246">
        <v>204</v>
      </c>
      <c r="AP246">
        <v>891</v>
      </c>
      <c r="AQ246">
        <v>891</v>
      </c>
      <c r="AS246">
        <v>3</v>
      </c>
      <c r="AT246">
        <v>78</v>
      </c>
      <c r="AU246" t="s">
        <v>123</v>
      </c>
      <c r="AV246">
        <v>16</v>
      </c>
      <c r="AW246" t="s">
        <v>108</v>
      </c>
      <c r="AX246">
        <v>21</v>
      </c>
      <c r="AY246">
        <f t="shared" si="18"/>
        <v>15</v>
      </c>
      <c r="AZ246">
        <f t="shared" si="19"/>
        <v>0</v>
      </c>
      <c r="BA246">
        <v>120</v>
      </c>
      <c r="BB246" t="str">
        <f t="shared" si="20"/>
        <v>(U-village)</v>
      </c>
      <c r="BC246">
        <f t="shared" si="21"/>
        <v>-5</v>
      </c>
      <c r="BD246">
        <f t="shared" si="22"/>
        <v>16000</v>
      </c>
      <c r="BE246">
        <v>10000</v>
      </c>
      <c r="BF246" t="str">
        <f t="shared" si="23"/>
        <v>(U-village)</v>
      </c>
    </row>
    <row r="247" spans="1:58" x14ac:dyDescent="0.3">
      <c r="A247">
        <v>750</v>
      </c>
      <c r="B247" s="2">
        <v>45559.597916666673</v>
      </c>
      <c r="C247">
        <v>100000</v>
      </c>
      <c r="D247">
        <v>50000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30000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</v>
      </c>
      <c r="W247">
        <v>6</v>
      </c>
      <c r="X247">
        <v>170000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t="s">
        <v>134</v>
      </c>
      <c r="AN247">
        <v>571</v>
      </c>
      <c r="AO247">
        <v>194</v>
      </c>
      <c r="AS247">
        <v>0</v>
      </c>
      <c r="AT247">
        <v>78</v>
      </c>
      <c r="AU247" t="s">
        <v>123</v>
      </c>
      <c r="AV247">
        <v>16</v>
      </c>
      <c r="AW247" t="s">
        <v>108</v>
      </c>
      <c r="AX247">
        <v>21</v>
      </c>
      <c r="AY247">
        <f t="shared" si="18"/>
        <v>0</v>
      </c>
      <c r="AZ247">
        <f t="shared" si="19"/>
        <v>0</v>
      </c>
      <c r="BA247">
        <v>120</v>
      </c>
      <c r="BB247" t="str">
        <f t="shared" si="20"/>
        <v/>
      </c>
      <c r="BC247" t="str">
        <f t="shared" si="21"/>
        <v/>
      </c>
      <c r="BD247">
        <f t="shared" si="22"/>
        <v>0</v>
      </c>
      <c r="BE247">
        <v>0</v>
      </c>
      <c r="BF247" t="str">
        <f t="shared" si="23"/>
        <v/>
      </c>
    </row>
    <row r="248" spans="1:58" x14ac:dyDescent="0.3">
      <c r="A248">
        <v>780</v>
      </c>
      <c r="B248" s="2">
        <v>45559.597916666673</v>
      </c>
      <c r="C248">
        <v>100000</v>
      </c>
      <c r="D248">
        <v>50000</v>
      </c>
      <c r="E248">
        <v>0</v>
      </c>
      <c r="F248">
        <v>12500</v>
      </c>
      <c r="G248">
        <v>0</v>
      </c>
      <c r="H248">
        <v>0</v>
      </c>
      <c r="I248">
        <v>15000</v>
      </c>
      <c r="J248">
        <v>36500</v>
      </c>
      <c r="K248">
        <v>0</v>
      </c>
      <c r="L248">
        <v>0</v>
      </c>
      <c r="M248">
        <v>0</v>
      </c>
      <c r="N248">
        <v>16000</v>
      </c>
      <c r="O248">
        <v>0</v>
      </c>
      <c r="P248">
        <v>-2</v>
      </c>
      <c r="Q248">
        <v>1</v>
      </c>
      <c r="R248">
        <v>2</v>
      </c>
      <c r="S248">
        <v>0</v>
      </c>
      <c r="T248">
        <v>0</v>
      </c>
      <c r="U248">
        <v>0</v>
      </c>
      <c r="V248">
        <v>6</v>
      </c>
      <c r="W248">
        <v>6</v>
      </c>
      <c r="X248">
        <v>170000</v>
      </c>
      <c r="Y248">
        <v>0</v>
      </c>
      <c r="Z248">
        <v>0</v>
      </c>
      <c r="AA248">
        <v>0</v>
      </c>
      <c r="AB248">
        <v>125000</v>
      </c>
      <c r="AC248">
        <v>125000</v>
      </c>
      <c r="AD248">
        <v>112500</v>
      </c>
      <c r="AG248">
        <v>8</v>
      </c>
      <c r="AH248">
        <v>7</v>
      </c>
      <c r="AI248">
        <v>0</v>
      </c>
      <c r="AJ248">
        <v>0</v>
      </c>
      <c r="AK248">
        <v>2</v>
      </c>
      <c r="AL248">
        <v>1</v>
      </c>
      <c r="AM248" t="s">
        <v>168</v>
      </c>
      <c r="AN248">
        <v>571</v>
      </c>
      <c r="AO248">
        <v>196</v>
      </c>
      <c r="AQ248">
        <v>892</v>
      </c>
      <c r="AS248">
        <v>1</v>
      </c>
      <c r="AT248">
        <v>78</v>
      </c>
      <c r="AU248" t="s">
        <v>123</v>
      </c>
      <c r="AV248">
        <v>16</v>
      </c>
      <c r="AW248" t="s">
        <v>108</v>
      </c>
      <c r="AX248">
        <v>21</v>
      </c>
      <c r="AY248">
        <f t="shared" si="18"/>
        <v>15</v>
      </c>
      <c r="AZ248">
        <f t="shared" si="19"/>
        <v>3</v>
      </c>
      <c r="BA248">
        <v>120</v>
      </c>
      <c r="BB248" t="str">
        <f t="shared" si="20"/>
        <v>(U-village)</v>
      </c>
      <c r="BC248">
        <f t="shared" si="21"/>
        <v>1</v>
      </c>
      <c r="BD248">
        <f t="shared" si="22"/>
        <v>0</v>
      </c>
      <c r="BE248">
        <v>36500</v>
      </c>
      <c r="BF248" t="str">
        <f t="shared" si="23"/>
        <v>(U-village)</v>
      </c>
    </row>
    <row r="249" spans="1:58" x14ac:dyDescent="0.3">
      <c r="A249">
        <v>826</v>
      </c>
      <c r="B249" s="2">
        <v>45559.597916666673</v>
      </c>
      <c r="C249">
        <v>100000</v>
      </c>
      <c r="D249">
        <v>50000</v>
      </c>
      <c r="E249">
        <v>0</v>
      </c>
      <c r="F249">
        <v>12500</v>
      </c>
      <c r="G249">
        <v>0</v>
      </c>
      <c r="H249">
        <v>0</v>
      </c>
      <c r="I249">
        <v>15000</v>
      </c>
      <c r="J249">
        <v>20000</v>
      </c>
      <c r="K249">
        <v>0</v>
      </c>
      <c r="L249">
        <v>0</v>
      </c>
      <c r="M249">
        <v>4000</v>
      </c>
      <c r="N249">
        <v>14500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</v>
      </c>
      <c r="V249">
        <v>5</v>
      </c>
      <c r="W249">
        <v>6</v>
      </c>
      <c r="X249">
        <v>170000</v>
      </c>
      <c r="Y249">
        <v>125000</v>
      </c>
      <c r="Z249">
        <v>112500</v>
      </c>
      <c r="AA249">
        <v>0</v>
      </c>
      <c r="AB249">
        <v>0</v>
      </c>
      <c r="AC249">
        <v>125000</v>
      </c>
      <c r="AD249">
        <v>100000</v>
      </c>
      <c r="AG249">
        <v>8</v>
      </c>
      <c r="AH249">
        <v>7</v>
      </c>
      <c r="AI249">
        <v>-2</v>
      </c>
      <c r="AJ249">
        <v>-1</v>
      </c>
      <c r="AK249">
        <v>1</v>
      </c>
      <c r="AL249">
        <v>1</v>
      </c>
      <c r="AM249" t="s">
        <v>168</v>
      </c>
      <c r="AN249">
        <v>571</v>
      </c>
      <c r="AO249">
        <v>201</v>
      </c>
      <c r="AP249">
        <v>892</v>
      </c>
      <c r="AQ249">
        <v>892</v>
      </c>
      <c r="AS249">
        <v>2</v>
      </c>
      <c r="AT249">
        <v>78</v>
      </c>
      <c r="AU249" t="s">
        <v>123</v>
      </c>
      <c r="AV249">
        <v>16</v>
      </c>
      <c r="AW249" t="s">
        <v>108</v>
      </c>
      <c r="AX249">
        <v>21</v>
      </c>
      <c r="AY249">
        <f t="shared" si="18"/>
        <v>15</v>
      </c>
      <c r="AZ249">
        <f t="shared" si="19"/>
        <v>2</v>
      </c>
      <c r="BA249">
        <v>120</v>
      </c>
      <c r="BB249" t="str">
        <f t="shared" si="20"/>
        <v>(U-village)</v>
      </c>
      <c r="BC249">
        <f t="shared" si="21"/>
        <v>-1</v>
      </c>
      <c r="BD249">
        <f t="shared" si="22"/>
        <v>4000</v>
      </c>
      <c r="BE249">
        <v>20000</v>
      </c>
      <c r="BF249" t="str">
        <f t="shared" si="23"/>
        <v>(U-village)</v>
      </c>
    </row>
    <row r="250" spans="1:58" x14ac:dyDescent="0.3">
      <c r="A250">
        <v>857</v>
      </c>
      <c r="B250" s="2">
        <v>45559.597916666673</v>
      </c>
      <c r="C250">
        <v>100000</v>
      </c>
      <c r="D250">
        <v>50000</v>
      </c>
      <c r="E250">
        <v>0</v>
      </c>
      <c r="F250">
        <v>12500</v>
      </c>
      <c r="G250">
        <v>0</v>
      </c>
      <c r="H250">
        <v>0</v>
      </c>
      <c r="I250">
        <v>15000</v>
      </c>
      <c r="J250">
        <v>23000</v>
      </c>
      <c r="K250">
        <v>0</v>
      </c>
      <c r="L250">
        <v>8000</v>
      </c>
      <c r="M250">
        <v>4000</v>
      </c>
      <c r="N250">
        <v>2000</v>
      </c>
      <c r="O250">
        <v>0</v>
      </c>
      <c r="P250">
        <v>0</v>
      </c>
      <c r="Q250">
        <v>1</v>
      </c>
      <c r="R250">
        <v>0</v>
      </c>
      <c r="S250">
        <v>3</v>
      </c>
      <c r="T250">
        <v>1</v>
      </c>
      <c r="U250">
        <v>0</v>
      </c>
      <c r="V250">
        <v>2</v>
      </c>
      <c r="W250">
        <v>6</v>
      </c>
      <c r="X250">
        <v>170000</v>
      </c>
      <c r="Y250">
        <v>125000</v>
      </c>
      <c r="Z250">
        <v>100000</v>
      </c>
      <c r="AA250">
        <v>0</v>
      </c>
      <c r="AB250">
        <v>0</v>
      </c>
      <c r="AC250">
        <v>125000</v>
      </c>
      <c r="AD250">
        <v>87500</v>
      </c>
      <c r="AG250">
        <v>8</v>
      </c>
      <c r="AH250">
        <v>7</v>
      </c>
      <c r="AI250">
        <v>-2</v>
      </c>
      <c r="AJ250">
        <v>-1</v>
      </c>
      <c r="AK250">
        <v>1</v>
      </c>
      <c r="AL250">
        <v>1</v>
      </c>
      <c r="AM250" t="s">
        <v>168</v>
      </c>
      <c r="AN250">
        <v>571</v>
      </c>
      <c r="AO250">
        <v>204</v>
      </c>
      <c r="AP250">
        <v>892</v>
      </c>
      <c r="AQ250">
        <v>892</v>
      </c>
      <c r="AS250">
        <v>3</v>
      </c>
      <c r="AT250">
        <v>78</v>
      </c>
      <c r="AU250" t="s">
        <v>123</v>
      </c>
      <c r="AV250">
        <v>16</v>
      </c>
      <c r="AW250" t="s">
        <v>108</v>
      </c>
      <c r="AX250">
        <v>21</v>
      </c>
      <c r="AY250">
        <f t="shared" si="18"/>
        <v>15</v>
      </c>
      <c r="AZ250">
        <f t="shared" si="19"/>
        <v>2</v>
      </c>
      <c r="BA250">
        <v>120</v>
      </c>
      <c r="BB250" t="str">
        <f t="shared" si="20"/>
        <v>(U-village)</v>
      </c>
      <c r="BC250">
        <f t="shared" si="21"/>
        <v>-3</v>
      </c>
      <c r="BD250">
        <f t="shared" si="22"/>
        <v>12000</v>
      </c>
      <c r="BE250">
        <v>23000</v>
      </c>
      <c r="BF250" t="str">
        <f t="shared" si="23"/>
        <v>(U-village)</v>
      </c>
    </row>
    <row r="251" spans="1:58" x14ac:dyDescent="0.3">
      <c r="A251">
        <v>809</v>
      </c>
      <c r="B251" s="2">
        <v>45559.603171296301</v>
      </c>
      <c r="C251">
        <v>65000</v>
      </c>
      <c r="D251">
        <v>30000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5000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5</v>
      </c>
      <c r="W251">
        <v>4</v>
      </c>
      <c r="X251">
        <v>110000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t="s">
        <v>134</v>
      </c>
      <c r="AN251">
        <v>572</v>
      </c>
      <c r="AO251">
        <v>191</v>
      </c>
      <c r="AS251">
        <v>0</v>
      </c>
      <c r="AT251">
        <v>79</v>
      </c>
      <c r="AU251" t="s">
        <v>124</v>
      </c>
      <c r="AV251">
        <v>16</v>
      </c>
      <c r="AW251" t="s">
        <v>108</v>
      </c>
      <c r="AX251">
        <v>21</v>
      </c>
      <c r="AY251">
        <f t="shared" si="18"/>
        <v>0</v>
      </c>
      <c r="AZ251">
        <f t="shared" si="19"/>
        <v>0</v>
      </c>
      <c r="BA251">
        <v>118</v>
      </c>
      <c r="BB251" t="str">
        <f t="shared" si="20"/>
        <v/>
      </c>
      <c r="BC251" t="str">
        <f t="shared" si="21"/>
        <v/>
      </c>
      <c r="BD251">
        <f t="shared" si="22"/>
        <v>0</v>
      </c>
      <c r="BE251">
        <v>0</v>
      </c>
      <c r="BF251" t="str">
        <f t="shared" si="23"/>
        <v/>
      </c>
    </row>
    <row r="252" spans="1:58" x14ac:dyDescent="0.3">
      <c r="A252">
        <v>813</v>
      </c>
      <c r="B252" s="2">
        <v>45559.603171296301</v>
      </c>
      <c r="C252">
        <v>65000</v>
      </c>
      <c r="D252">
        <v>30000</v>
      </c>
      <c r="E252">
        <v>0</v>
      </c>
      <c r="F252">
        <v>11000</v>
      </c>
      <c r="G252">
        <v>0</v>
      </c>
      <c r="H252">
        <v>15000</v>
      </c>
      <c r="I252">
        <v>20000</v>
      </c>
      <c r="J252">
        <v>0</v>
      </c>
      <c r="K252">
        <v>0</v>
      </c>
      <c r="L252">
        <v>0</v>
      </c>
      <c r="M252">
        <v>0</v>
      </c>
      <c r="N252">
        <v>-6000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</v>
      </c>
      <c r="W252">
        <v>4</v>
      </c>
      <c r="X252">
        <v>110000</v>
      </c>
      <c r="Y252">
        <v>0</v>
      </c>
      <c r="Z252">
        <v>0</v>
      </c>
      <c r="AA252">
        <v>0</v>
      </c>
      <c r="AB252">
        <v>125000</v>
      </c>
      <c r="AC252">
        <v>110000</v>
      </c>
      <c r="AD252">
        <v>99000</v>
      </c>
      <c r="AG252">
        <v>8</v>
      </c>
      <c r="AH252">
        <v>7</v>
      </c>
      <c r="AI252">
        <v>0</v>
      </c>
      <c r="AJ252">
        <v>0</v>
      </c>
      <c r="AK252">
        <v>0</v>
      </c>
      <c r="AL252">
        <v>0</v>
      </c>
      <c r="AM252" t="s">
        <v>168</v>
      </c>
      <c r="AN252">
        <v>572</v>
      </c>
      <c r="AO252">
        <v>199</v>
      </c>
      <c r="AQ252">
        <v>922</v>
      </c>
      <c r="AS252">
        <v>1</v>
      </c>
      <c r="AT252">
        <v>79</v>
      </c>
      <c r="AU252" t="s">
        <v>124</v>
      </c>
      <c r="AV252">
        <v>16</v>
      </c>
      <c r="AW252" t="s">
        <v>108</v>
      </c>
      <c r="AX252">
        <v>21</v>
      </c>
      <c r="AY252">
        <f t="shared" si="18"/>
        <v>15</v>
      </c>
      <c r="AZ252">
        <f t="shared" si="19"/>
        <v>0</v>
      </c>
      <c r="BA252">
        <v>118</v>
      </c>
      <c r="BB252" t="str">
        <f t="shared" si="20"/>
        <v>(U-village)</v>
      </c>
      <c r="BC252">
        <f t="shared" si="21"/>
        <v>0</v>
      </c>
      <c r="BD252">
        <f t="shared" si="22"/>
        <v>0</v>
      </c>
      <c r="BE252">
        <v>0</v>
      </c>
      <c r="BF252" t="str">
        <f t="shared" si="23"/>
        <v>(U-village)</v>
      </c>
    </row>
    <row r="253" spans="1:58" x14ac:dyDescent="0.3">
      <c r="A253">
        <v>862</v>
      </c>
      <c r="B253" s="2">
        <v>45559.603171296301</v>
      </c>
      <c r="C253">
        <v>65000</v>
      </c>
      <c r="D253">
        <v>30000</v>
      </c>
      <c r="E253">
        <v>6000</v>
      </c>
      <c r="F253">
        <v>11000</v>
      </c>
      <c r="G253">
        <v>0</v>
      </c>
      <c r="H253">
        <v>0</v>
      </c>
      <c r="I253">
        <v>20000</v>
      </c>
      <c r="J253">
        <v>0</v>
      </c>
      <c r="K253">
        <v>0</v>
      </c>
      <c r="L253">
        <v>12000</v>
      </c>
      <c r="M253">
        <v>4000</v>
      </c>
      <c r="N253">
        <v>-18000</v>
      </c>
      <c r="O253">
        <v>0</v>
      </c>
      <c r="P253">
        <v>0</v>
      </c>
      <c r="Q253">
        <v>0</v>
      </c>
      <c r="R253">
        <v>0</v>
      </c>
      <c r="S253">
        <v>4</v>
      </c>
      <c r="T253">
        <v>1</v>
      </c>
      <c r="U253">
        <v>1</v>
      </c>
      <c r="V253">
        <v>-1</v>
      </c>
      <c r="W253">
        <v>4</v>
      </c>
      <c r="X253">
        <v>110000</v>
      </c>
      <c r="Y253">
        <v>110000</v>
      </c>
      <c r="Z253">
        <v>99000</v>
      </c>
      <c r="AA253">
        <v>0</v>
      </c>
      <c r="AB253">
        <v>0</v>
      </c>
      <c r="AC253">
        <v>110000</v>
      </c>
      <c r="AD253">
        <v>88000</v>
      </c>
      <c r="AG253">
        <v>8</v>
      </c>
      <c r="AH253">
        <v>7</v>
      </c>
      <c r="AI253">
        <v>-2</v>
      </c>
      <c r="AJ253">
        <v>-1</v>
      </c>
      <c r="AK253">
        <v>0</v>
      </c>
      <c r="AL253">
        <v>0</v>
      </c>
      <c r="AM253" t="s">
        <v>168</v>
      </c>
      <c r="AN253">
        <v>572</v>
      </c>
      <c r="AO253">
        <v>205</v>
      </c>
      <c r="AP253">
        <v>922</v>
      </c>
      <c r="AQ253">
        <v>922</v>
      </c>
      <c r="AS253">
        <v>2</v>
      </c>
      <c r="AT253">
        <v>79</v>
      </c>
      <c r="AU253" t="s">
        <v>124</v>
      </c>
      <c r="AV253">
        <v>16</v>
      </c>
      <c r="AW253" t="s">
        <v>108</v>
      </c>
      <c r="AX253">
        <v>21</v>
      </c>
      <c r="AY253">
        <f t="shared" si="18"/>
        <v>15</v>
      </c>
      <c r="AZ253">
        <f t="shared" si="19"/>
        <v>0</v>
      </c>
      <c r="BA253">
        <v>118</v>
      </c>
      <c r="BB253" t="str">
        <f t="shared" si="20"/>
        <v>(U-village)</v>
      </c>
      <c r="BC253">
        <f t="shared" si="21"/>
        <v>-6</v>
      </c>
      <c r="BD253">
        <f t="shared" si="22"/>
        <v>16000</v>
      </c>
      <c r="BE253">
        <v>0</v>
      </c>
      <c r="BF253" t="str">
        <f t="shared" si="23"/>
        <v>(U-village)</v>
      </c>
    </row>
    <row r="254" spans="1:58" x14ac:dyDescent="0.3">
      <c r="A254">
        <v>892</v>
      </c>
      <c r="B254" s="2">
        <v>45559.603171296301</v>
      </c>
      <c r="C254">
        <v>65000</v>
      </c>
      <c r="D254">
        <v>30000</v>
      </c>
      <c r="E254">
        <v>18000</v>
      </c>
      <c r="F254">
        <v>11000</v>
      </c>
      <c r="G254">
        <v>0</v>
      </c>
      <c r="H254">
        <v>0</v>
      </c>
      <c r="I254">
        <v>20000</v>
      </c>
      <c r="J254">
        <v>0</v>
      </c>
      <c r="K254">
        <v>0</v>
      </c>
      <c r="L254">
        <v>0</v>
      </c>
      <c r="M254">
        <v>4000</v>
      </c>
      <c r="N254">
        <v>-18000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-3</v>
      </c>
      <c r="W254">
        <v>4</v>
      </c>
      <c r="X254">
        <v>110000</v>
      </c>
      <c r="Y254">
        <v>110000</v>
      </c>
      <c r="Z254">
        <v>88000</v>
      </c>
      <c r="AA254">
        <v>0</v>
      </c>
      <c r="AB254">
        <v>0</v>
      </c>
      <c r="AC254">
        <v>110000</v>
      </c>
      <c r="AD254">
        <v>77000</v>
      </c>
      <c r="AG254">
        <v>8</v>
      </c>
      <c r="AH254">
        <v>7</v>
      </c>
      <c r="AI254">
        <v>-2</v>
      </c>
      <c r="AJ254">
        <v>-1</v>
      </c>
      <c r="AK254">
        <v>0</v>
      </c>
      <c r="AL254">
        <v>0</v>
      </c>
      <c r="AM254" t="s">
        <v>168</v>
      </c>
      <c r="AN254">
        <v>572</v>
      </c>
      <c r="AO254">
        <v>209</v>
      </c>
      <c r="AP254">
        <v>922</v>
      </c>
      <c r="AQ254">
        <v>922</v>
      </c>
      <c r="AS254">
        <v>3</v>
      </c>
      <c r="AT254">
        <v>79</v>
      </c>
      <c r="AU254" t="s">
        <v>124</v>
      </c>
      <c r="AV254">
        <v>16</v>
      </c>
      <c r="AW254" t="s">
        <v>108</v>
      </c>
      <c r="AX254">
        <v>21</v>
      </c>
      <c r="AY254">
        <f t="shared" si="18"/>
        <v>15</v>
      </c>
      <c r="AZ254">
        <f t="shared" si="19"/>
        <v>0</v>
      </c>
      <c r="BA254">
        <v>118</v>
      </c>
      <c r="BB254" t="str">
        <f t="shared" si="20"/>
        <v>(U-village)</v>
      </c>
      <c r="BC254">
        <f t="shared" si="21"/>
        <v>-2</v>
      </c>
      <c r="BD254">
        <f t="shared" si="22"/>
        <v>4000</v>
      </c>
      <c r="BE254">
        <v>0</v>
      </c>
      <c r="BF254" t="str">
        <f t="shared" si="23"/>
        <v>(U-village)</v>
      </c>
    </row>
    <row r="255" spans="1:58" x14ac:dyDescent="0.3">
      <c r="A255">
        <v>803</v>
      </c>
      <c r="B255" s="2">
        <v>45559.602789351848</v>
      </c>
      <c r="C255">
        <v>100000</v>
      </c>
      <c r="D255">
        <v>50000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30000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5</v>
      </c>
      <c r="W255">
        <v>6</v>
      </c>
      <c r="X255">
        <v>170000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t="s">
        <v>134</v>
      </c>
      <c r="AN255">
        <v>573</v>
      </c>
      <c r="AO255">
        <v>191</v>
      </c>
      <c r="AS255">
        <v>0</v>
      </c>
      <c r="AT255">
        <v>79</v>
      </c>
      <c r="AU255" t="s">
        <v>124</v>
      </c>
      <c r="AV255">
        <v>16</v>
      </c>
      <c r="AW255" t="s">
        <v>108</v>
      </c>
      <c r="AX255">
        <v>21</v>
      </c>
      <c r="AY255">
        <f t="shared" si="18"/>
        <v>0</v>
      </c>
      <c r="AZ255">
        <f t="shared" si="19"/>
        <v>0</v>
      </c>
      <c r="BA255">
        <v>120</v>
      </c>
      <c r="BB255" t="str">
        <f t="shared" si="20"/>
        <v/>
      </c>
      <c r="BC255" t="str">
        <f t="shared" si="21"/>
        <v/>
      </c>
      <c r="BD255">
        <f t="shared" si="22"/>
        <v>0</v>
      </c>
      <c r="BE255">
        <v>0</v>
      </c>
      <c r="BF255" t="str">
        <f t="shared" si="23"/>
        <v/>
      </c>
    </row>
    <row r="256" spans="1:58" x14ac:dyDescent="0.3">
      <c r="A256">
        <v>814</v>
      </c>
      <c r="B256" s="2">
        <v>45559.602789351848</v>
      </c>
      <c r="C256">
        <v>100000</v>
      </c>
      <c r="D256">
        <v>50000</v>
      </c>
      <c r="E256">
        <v>0</v>
      </c>
      <c r="F256">
        <v>16000</v>
      </c>
      <c r="G256">
        <v>0</v>
      </c>
      <c r="H256">
        <v>0</v>
      </c>
      <c r="I256">
        <v>15000</v>
      </c>
      <c r="J256">
        <v>12000</v>
      </c>
      <c r="K256">
        <v>0</v>
      </c>
      <c r="L256">
        <v>0</v>
      </c>
      <c r="M256">
        <v>0</v>
      </c>
      <c r="N256">
        <v>37000</v>
      </c>
      <c r="O256">
        <v>0</v>
      </c>
      <c r="P256">
        <v>-1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5</v>
      </c>
      <c r="W256">
        <v>6</v>
      </c>
      <c r="X256">
        <v>170000</v>
      </c>
      <c r="Y256">
        <v>0</v>
      </c>
      <c r="Z256">
        <v>0</v>
      </c>
      <c r="AA256">
        <v>0</v>
      </c>
      <c r="AB256">
        <v>160000</v>
      </c>
      <c r="AC256">
        <v>160000</v>
      </c>
      <c r="AD256">
        <v>144000</v>
      </c>
      <c r="AG256">
        <v>6</v>
      </c>
      <c r="AH256">
        <v>10</v>
      </c>
      <c r="AI256">
        <v>0</v>
      </c>
      <c r="AJ256">
        <v>0</v>
      </c>
      <c r="AK256">
        <v>1</v>
      </c>
      <c r="AL256">
        <v>0</v>
      </c>
      <c r="AM256" t="s">
        <v>168</v>
      </c>
      <c r="AN256">
        <v>573</v>
      </c>
      <c r="AO256">
        <v>199</v>
      </c>
      <c r="AQ256">
        <v>918</v>
      </c>
      <c r="AS256">
        <v>1</v>
      </c>
      <c r="AT256">
        <v>79</v>
      </c>
      <c r="AU256" t="s">
        <v>124</v>
      </c>
      <c r="AV256">
        <v>16</v>
      </c>
      <c r="AW256" t="s">
        <v>108</v>
      </c>
      <c r="AX256">
        <v>21</v>
      </c>
      <c r="AY256">
        <f t="shared" si="18"/>
        <v>16</v>
      </c>
      <c r="AZ256">
        <f t="shared" si="19"/>
        <v>1</v>
      </c>
      <c r="BA256">
        <v>120</v>
      </c>
      <c r="BB256" t="str">
        <f t="shared" si="20"/>
        <v>(Dike-town)</v>
      </c>
      <c r="BC256">
        <f t="shared" si="21"/>
        <v>0</v>
      </c>
      <c r="BD256">
        <f t="shared" si="22"/>
        <v>0</v>
      </c>
      <c r="BE256">
        <v>12000</v>
      </c>
      <c r="BF256" t="str">
        <f t="shared" si="23"/>
        <v>(Dike-town)</v>
      </c>
    </row>
    <row r="257" spans="1:58" x14ac:dyDescent="0.3">
      <c r="A257">
        <v>867</v>
      </c>
      <c r="B257" s="2">
        <v>45559.602789351848</v>
      </c>
      <c r="C257">
        <v>100000</v>
      </c>
      <c r="D257">
        <v>50000</v>
      </c>
      <c r="E257">
        <v>0</v>
      </c>
      <c r="F257">
        <v>16000</v>
      </c>
      <c r="G257">
        <v>0</v>
      </c>
      <c r="H257">
        <v>0</v>
      </c>
      <c r="I257">
        <v>15000</v>
      </c>
      <c r="J257">
        <v>12000</v>
      </c>
      <c r="K257">
        <v>0</v>
      </c>
      <c r="L257">
        <v>0</v>
      </c>
      <c r="M257">
        <v>4000</v>
      </c>
      <c r="N257">
        <v>40000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4</v>
      </c>
      <c r="W257">
        <v>6</v>
      </c>
      <c r="X257">
        <v>170000</v>
      </c>
      <c r="Y257">
        <v>160000</v>
      </c>
      <c r="Z257">
        <v>144000</v>
      </c>
      <c r="AA257">
        <v>0</v>
      </c>
      <c r="AB257">
        <v>0</v>
      </c>
      <c r="AC257">
        <v>160000</v>
      </c>
      <c r="AD257">
        <v>128000</v>
      </c>
      <c r="AG257">
        <v>6</v>
      </c>
      <c r="AH257">
        <v>10</v>
      </c>
      <c r="AI257">
        <v>-2</v>
      </c>
      <c r="AJ257">
        <v>-1</v>
      </c>
      <c r="AK257">
        <v>1</v>
      </c>
      <c r="AL257">
        <v>1</v>
      </c>
      <c r="AM257" t="s">
        <v>168</v>
      </c>
      <c r="AN257">
        <v>573</v>
      </c>
      <c r="AO257">
        <v>205</v>
      </c>
      <c r="AP257">
        <v>918</v>
      </c>
      <c r="AQ257">
        <v>918</v>
      </c>
      <c r="AS257">
        <v>2</v>
      </c>
      <c r="AT257">
        <v>79</v>
      </c>
      <c r="AU257" t="s">
        <v>124</v>
      </c>
      <c r="AV257">
        <v>16</v>
      </c>
      <c r="AW257" t="s">
        <v>108</v>
      </c>
      <c r="AX257">
        <v>21</v>
      </c>
      <c r="AY257">
        <f t="shared" si="18"/>
        <v>16</v>
      </c>
      <c r="AZ257">
        <f t="shared" si="19"/>
        <v>2</v>
      </c>
      <c r="BA257">
        <v>120</v>
      </c>
      <c r="BB257" t="str">
        <f t="shared" si="20"/>
        <v>(Dike-town)</v>
      </c>
      <c r="BC257">
        <f t="shared" si="21"/>
        <v>-1</v>
      </c>
      <c r="BD257">
        <f t="shared" si="22"/>
        <v>4000</v>
      </c>
      <c r="BE257">
        <v>12000</v>
      </c>
      <c r="BF257" t="str">
        <f t="shared" si="23"/>
        <v>(Dike-town)</v>
      </c>
    </row>
    <row r="258" spans="1:58" x14ac:dyDescent="0.3">
      <c r="A258">
        <v>890</v>
      </c>
      <c r="B258" s="2">
        <v>45559.602789351848</v>
      </c>
      <c r="C258">
        <v>100000</v>
      </c>
      <c r="D258">
        <v>50000</v>
      </c>
      <c r="E258">
        <v>0</v>
      </c>
      <c r="F258">
        <v>16000</v>
      </c>
      <c r="G258">
        <v>0</v>
      </c>
      <c r="H258">
        <v>0</v>
      </c>
      <c r="I258">
        <v>15000</v>
      </c>
      <c r="J258">
        <v>54000</v>
      </c>
      <c r="K258">
        <v>0</v>
      </c>
      <c r="L258">
        <v>0</v>
      </c>
      <c r="M258">
        <v>4000</v>
      </c>
      <c r="N258">
        <v>1000</v>
      </c>
      <c r="O258">
        <v>0</v>
      </c>
      <c r="P258">
        <v>0</v>
      </c>
      <c r="Q258">
        <v>1</v>
      </c>
      <c r="R258">
        <v>4</v>
      </c>
      <c r="S258">
        <v>0</v>
      </c>
      <c r="T258">
        <v>1</v>
      </c>
      <c r="U258">
        <v>0</v>
      </c>
      <c r="V258">
        <v>8</v>
      </c>
      <c r="W258">
        <v>6</v>
      </c>
      <c r="X258">
        <v>170000</v>
      </c>
      <c r="Y258">
        <v>160000</v>
      </c>
      <c r="Z258">
        <v>128000</v>
      </c>
      <c r="AA258">
        <v>0</v>
      </c>
      <c r="AB258">
        <v>0</v>
      </c>
      <c r="AC258">
        <v>160000</v>
      </c>
      <c r="AD258">
        <v>112000</v>
      </c>
      <c r="AG258">
        <v>6</v>
      </c>
      <c r="AH258">
        <v>10</v>
      </c>
      <c r="AI258">
        <v>-2</v>
      </c>
      <c r="AJ258">
        <v>-1</v>
      </c>
      <c r="AK258">
        <v>1</v>
      </c>
      <c r="AL258">
        <v>0</v>
      </c>
      <c r="AM258" t="s">
        <v>168</v>
      </c>
      <c r="AN258">
        <v>573</v>
      </c>
      <c r="AO258">
        <v>209</v>
      </c>
      <c r="AP258">
        <v>918</v>
      </c>
      <c r="AQ258">
        <v>918</v>
      </c>
      <c r="AS258">
        <v>3</v>
      </c>
      <c r="AT258">
        <v>79</v>
      </c>
      <c r="AU258" t="s">
        <v>124</v>
      </c>
      <c r="AV258">
        <v>16</v>
      </c>
      <c r="AW258" t="s">
        <v>108</v>
      </c>
      <c r="AX258">
        <v>21</v>
      </c>
      <c r="AY258">
        <f t="shared" si="18"/>
        <v>16</v>
      </c>
      <c r="AZ258">
        <f t="shared" si="19"/>
        <v>1</v>
      </c>
      <c r="BA258">
        <v>120</v>
      </c>
      <c r="BB258" t="str">
        <f t="shared" si="20"/>
        <v>(Dike-town)</v>
      </c>
      <c r="BC258">
        <f t="shared" si="21"/>
        <v>4</v>
      </c>
      <c r="BD258">
        <f t="shared" si="22"/>
        <v>4000</v>
      </c>
      <c r="BE258">
        <v>54000</v>
      </c>
      <c r="BF258" t="str">
        <f t="shared" si="23"/>
        <v>(Dike-town)</v>
      </c>
    </row>
    <row r="259" spans="1:58" x14ac:dyDescent="0.3">
      <c r="A259">
        <v>805</v>
      </c>
      <c r="B259" s="2">
        <v>45559.602847222217</v>
      </c>
      <c r="C259">
        <v>50000</v>
      </c>
      <c r="D259">
        <v>20000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5</v>
      </c>
      <c r="W259">
        <v>3</v>
      </c>
      <c r="X259">
        <v>80000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t="s">
        <v>134</v>
      </c>
      <c r="AN259">
        <v>574</v>
      </c>
      <c r="AO259">
        <v>191</v>
      </c>
      <c r="AS259">
        <v>0</v>
      </c>
      <c r="AT259">
        <v>79</v>
      </c>
      <c r="AU259" t="s">
        <v>124</v>
      </c>
      <c r="AV259">
        <v>16</v>
      </c>
      <c r="AW259" t="s">
        <v>108</v>
      </c>
      <c r="AX259">
        <v>21</v>
      </c>
      <c r="AY259">
        <f t="shared" ref="AY259:AY314" si="24">AG259+AH259</f>
        <v>0</v>
      </c>
      <c r="AZ259">
        <f t="shared" ref="AZ259:AZ314" si="25">AK259+AL259</f>
        <v>0</v>
      </c>
      <c r="BA259">
        <v>117</v>
      </c>
      <c r="BB259" t="str">
        <f t="shared" ref="BB259:BB314" si="26">IF(AY259=15,"(U-village)",IF(AY259=16,"(Dike-town)",IF(AY259=18,"(Natu-city)","")))</f>
        <v/>
      </c>
      <c r="BC259" t="str">
        <f t="shared" ref="BC259:BC314" si="27">IF(AN259=AN258,V259-V258,"")</f>
        <v/>
      </c>
      <c r="BD259">
        <f t="shared" ref="BD259:BD314" si="28">L259+M259</f>
        <v>0</v>
      </c>
      <c r="BE259">
        <v>0</v>
      </c>
      <c r="BF259" t="str">
        <f t="shared" ref="BF259:BF314" si="29">IF(AY259=15,"(U-village)",IF(AY259=16,"(Dike-town)",IF(AY259=18,"(Natu-city)","")))</f>
        <v/>
      </c>
    </row>
    <row r="260" spans="1:58" x14ac:dyDescent="0.3">
      <c r="A260">
        <v>816</v>
      </c>
      <c r="B260" s="2">
        <v>45559.602847222217</v>
      </c>
      <c r="C260">
        <v>50000</v>
      </c>
      <c r="D260">
        <v>20000</v>
      </c>
      <c r="E260">
        <v>0</v>
      </c>
      <c r="F260">
        <v>8000</v>
      </c>
      <c r="G260">
        <v>0</v>
      </c>
      <c r="H260">
        <v>20000</v>
      </c>
      <c r="I260">
        <v>15000</v>
      </c>
      <c r="J260">
        <v>0</v>
      </c>
      <c r="K260">
        <v>0</v>
      </c>
      <c r="L260">
        <v>0</v>
      </c>
      <c r="M260">
        <v>0</v>
      </c>
      <c r="N260">
        <v>-13000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</v>
      </c>
      <c r="W260">
        <v>3</v>
      </c>
      <c r="X260">
        <v>80000</v>
      </c>
      <c r="Y260">
        <v>0</v>
      </c>
      <c r="Z260">
        <v>0</v>
      </c>
      <c r="AA260">
        <v>0</v>
      </c>
      <c r="AB260">
        <v>100000</v>
      </c>
      <c r="AC260">
        <v>80000</v>
      </c>
      <c r="AD260">
        <v>72000</v>
      </c>
      <c r="AG260">
        <v>8</v>
      </c>
      <c r="AH260">
        <v>10</v>
      </c>
      <c r="AI260">
        <v>0</v>
      </c>
      <c r="AJ260">
        <v>0</v>
      </c>
      <c r="AK260">
        <v>0</v>
      </c>
      <c r="AL260">
        <v>0</v>
      </c>
      <c r="AM260" t="s">
        <v>168</v>
      </c>
      <c r="AN260">
        <v>574</v>
      </c>
      <c r="AO260">
        <v>199</v>
      </c>
      <c r="AQ260">
        <v>916</v>
      </c>
      <c r="AS260">
        <v>1</v>
      </c>
      <c r="AT260">
        <v>79</v>
      </c>
      <c r="AU260" t="s">
        <v>124</v>
      </c>
      <c r="AV260">
        <v>16</v>
      </c>
      <c r="AW260" t="s">
        <v>108</v>
      </c>
      <c r="AX260">
        <v>21</v>
      </c>
      <c r="AY260">
        <f t="shared" si="24"/>
        <v>18</v>
      </c>
      <c r="AZ260">
        <f t="shared" si="25"/>
        <v>0</v>
      </c>
      <c r="BA260">
        <v>117</v>
      </c>
      <c r="BB260" t="str">
        <f t="shared" si="26"/>
        <v>(Natu-city)</v>
      </c>
      <c r="BC260">
        <f t="shared" si="27"/>
        <v>0</v>
      </c>
      <c r="BD260">
        <f t="shared" si="28"/>
        <v>0</v>
      </c>
      <c r="BE260">
        <v>0</v>
      </c>
      <c r="BF260" t="str">
        <f t="shared" si="29"/>
        <v>(Natu-city)</v>
      </c>
    </row>
    <row r="261" spans="1:58" x14ac:dyDescent="0.3">
      <c r="A261">
        <v>860</v>
      </c>
      <c r="B261" s="2">
        <v>45559.602847222217</v>
      </c>
      <c r="C261">
        <v>50000</v>
      </c>
      <c r="D261">
        <v>20000</v>
      </c>
      <c r="E261">
        <v>13000</v>
      </c>
      <c r="F261">
        <v>8000</v>
      </c>
      <c r="G261">
        <v>0</v>
      </c>
      <c r="H261">
        <v>0</v>
      </c>
      <c r="I261">
        <v>15000</v>
      </c>
      <c r="J261">
        <v>0</v>
      </c>
      <c r="K261">
        <v>0</v>
      </c>
      <c r="L261">
        <v>0</v>
      </c>
      <c r="M261">
        <v>4000</v>
      </c>
      <c r="N261">
        <v>-10000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3</v>
      </c>
      <c r="W261">
        <v>3</v>
      </c>
      <c r="X261">
        <v>80000</v>
      </c>
      <c r="Y261">
        <v>80000</v>
      </c>
      <c r="Z261">
        <v>72000</v>
      </c>
      <c r="AA261">
        <v>0</v>
      </c>
      <c r="AB261">
        <v>0</v>
      </c>
      <c r="AC261">
        <v>80000</v>
      </c>
      <c r="AD261">
        <v>64000</v>
      </c>
      <c r="AG261">
        <v>8</v>
      </c>
      <c r="AH261">
        <v>10</v>
      </c>
      <c r="AI261">
        <v>-2</v>
      </c>
      <c r="AJ261">
        <v>-1</v>
      </c>
      <c r="AK261">
        <v>0</v>
      </c>
      <c r="AL261">
        <v>0</v>
      </c>
      <c r="AM261" t="s">
        <v>168</v>
      </c>
      <c r="AN261">
        <v>574</v>
      </c>
      <c r="AO261">
        <v>205</v>
      </c>
      <c r="AP261">
        <v>916</v>
      </c>
      <c r="AQ261">
        <v>916</v>
      </c>
      <c r="AS261">
        <v>2</v>
      </c>
      <c r="AT261">
        <v>79</v>
      </c>
      <c r="AU261" t="s">
        <v>124</v>
      </c>
      <c r="AV261">
        <v>16</v>
      </c>
      <c r="AW261" t="s">
        <v>108</v>
      </c>
      <c r="AX261">
        <v>21</v>
      </c>
      <c r="AY261">
        <f t="shared" si="24"/>
        <v>18</v>
      </c>
      <c r="AZ261">
        <f t="shared" si="25"/>
        <v>0</v>
      </c>
      <c r="BA261">
        <v>117</v>
      </c>
      <c r="BB261" t="str">
        <f t="shared" si="26"/>
        <v>(Natu-city)</v>
      </c>
      <c r="BC261">
        <f t="shared" si="27"/>
        <v>-2</v>
      </c>
      <c r="BD261">
        <f t="shared" si="28"/>
        <v>4000</v>
      </c>
      <c r="BE261">
        <v>0</v>
      </c>
      <c r="BF261" t="str">
        <f t="shared" si="29"/>
        <v>(Natu-city)</v>
      </c>
    </row>
    <row r="262" spans="1:58" x14ac:dyDescent="0.3">
      <c r="A262">
        <v>896</v>
      </c>
      <c r="B262" s="2">
        <v>45559.602847222217</v>
      </c>
      <c r="C262">
        <v>50000</v>
      </c>
      <c r="D262">
        <v>20000</v>
      </c>
      <c r="E262">
        <v>10000</v>
      </c>
      <c r="F262">
        <v>8000</v>
      </c>
      <c r="G262">
        <v>0</v>
      </c>
      <c r="H262">
        <v>0</v>
      </c>
      <c r="I262">
        <v>20000</v>
      </c>
      <c r="J262">
        <v>0</v>
      </c>
      <c r="K262">
        <v>0</v>
      </c>
      <c r="L262">
        <v>0</v>
      </c>
      <c r="M262">
        <v>4000</v>
      </c>
      <c r="N262">
        <v>-12000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3</v>
      </c>
      <c r="X262">
        <v>80000</v>
      </c>
      <c r="Y262">
        <v>80000</v>
      </c>
      <c r="Z262">
        <v>64000</v>
      </c>
      <c r="AA262">
        <v>0</v>
      </c>
      <c r="AB262">
        <v>0</v>
      </c>
      <c r="AC262">
        <v>80000</v>
      </c>
      <c r="AD262">
        <v>56000</v>
      </c>
      <c r="AG262">
        <v>8</v>
      </c>
      <c r="AH262">
        <v>10</v>
      </c>
      <c r="AI262">
        <v>-2</v>
      </c>
      <c r="AJ262">
        <v>-1</v>
      </c>
      <c r="AK262">
        <v>0</v>
      </c>
      <c r="AL262">
        <v>0</v>
      </c>
      <c r="AM262" t="s">
        <v>170</v>
      </c>
      <c r="AN262">
        <v>574</v>
      </c>
      <c r="AO262">
        <v>209</v>
      </c>
      <c r="AP262">
        <v>916</v>
      </c>
      <c r="AQ262">
        <v>916</v>
      </c>
      <c r="AS262">
        <v>3</v>
      </c>
      <c r="AT262">
        <v>79</v>
      </c>
      <c r="AU262" t="s">
        <v>124</v>
      </c>
      <c r="AV262">
        <v>16</v>
      </c>
      <c r="AW262" t="s">
        <v>108</v>
      </c>
      <c r="AX262">
        <v>21</v>
      </c>
      <c r="AY262">
        <f t="shared" si="24"/>
        <v>18</v>
      </c>
      <c r="AZ262">
        <f t="shared" si="25"/>
        <v>0</v>
      </c>
      <c r="BA262">
        <v>117</v>
      </c>
      <c r="BB262" t="str">
        <f t="shared" si="26"/>
        <v>(Natu-city)</v>
      </c>
      <c r="BC262">
        <f t="shared" si="27"/>
        <v>-2</v>
      </c>
      <c r="BD262">
        <f t="shared" si="28"/>
        <v>4000</v>
      </c>
      <c r="BE262">
        <v>0</v>
      </c>
      <c r="BF262" t="str">
        <f t="shared" si="29"/>
        <v>(Natu-city)</v>
      </c>
    </row>
    <row r="263" spans="1:58" x14ac:dyDescent="0.3">
      <c r="A263">
        <v>806</v>
      </c>
      <c r="B263" s="2">
        <v>45559.60292824074</v>
      </c>
      <c r="C263">
        <v>80000</v>
      </c>
      <c r="D263">
        <v>40000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15000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5</v>
      </c>
      <c r="W263">
        <v>5</v>
      </c>
      <c r="X263">
        <v>130000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t="s">
        <v>134</v>
      </c>
      <c r="AN263">
        <v>575</v>
      </c>
      <c r="AO263">
        <v>191</v>
      </c>
      <c r="AS263">
        <v>0</v>
      </c>
      <c r="AT263">
        <v>79</v>
      </c>
      <c r="AU263" t="s">
        <v>124</v>
      </c>
      <c r="AV263">
        <v>16</v>
      </c>
      <c r="AW263" t="s">
        <v>108</v>
      </c>
      <c r="AX263">
        <v>21</v>
      </c>
      <c r="AY263">
        <f t="shared" si="24"/>
        <v>0</v>
      </c>
      <c r="AZ263">
        <f t="shared" si="25"/>
        <v>0</v>
      </c>
      <c r="BA263">
        <v>119</v>
      </c>
      <c r="BB263" t="str">
        <f t="shared" si="26"/>
        <v/>
      </c>
      <c r="BC263" t="str">
        <f t="shared" si="27"/>
        <v/>
      </c>
      <c r="BD263">
        <f t="shared" si="28"/>
        <v>0</v>
      </c>
      <c r="BE263">
        <v>0</v>
      </c>
      <c r="BF263" t="str">
        <f t="shared" si="29"/>
        <v/>
      </c>
    </row>
    <row r="264" spans="1:58" x14ac:dyDescent="0.3">
      <c r="A264">
        <v>818</v>
      </c>
      <c r="B264" s="2">
        <v>45559.60292824074</v>
      </c>
      <c r="C264">
        <v>80000</v>
      </c>
      <c r="D264">
        <v>40000</v>
      </c>
      <c r="E264">
        <v>0</v>
      </c>
      <c r="F264">
        <v>10500</v>
      </c>
      <c r="G264">
        <v>0</v>
      </c>
      <c r="H264">
        <v>0</v>
      </c>
      <c r="I264">
        <v>15000</v>
      </c>
      <c r="J264">
        <v>24000</v>
      </c>
      <c r="K264">
        <v>0</v>
      </c>
      <c r="L264">
        <v>0</v>
      </c>
      <c r="M264">
        <v>0</v>
      </c>
      <c r="N264">
        <v>5500</v>
      </c>
      <c r="O264">
        <v>0</v>
      </c>
      <c r="P264">
        <v>-3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4</v>
      </c>
      <c r="W264">
        <v>5</v>
      </c>
      <c r="X264">
        <v>130000</v>
      </c>
      <c r="Y264">
        <v>0</v>
      </c>
      <c r="Z264">
        <v>0</v>
      </c>
      <c r="AA264">
        <v>0</v>
      </c>
      <c r="AB264">
        <v>105000</v>
      </c>
      <c r="AC264">
        <v>105000</v>
      </c>
      <c r="AD264">
        <v>94500</v>
      </c>
      <c r="AG264">
        <v>6</v>
      </c>
      <c r="AH264">
        <v>10</v>
      </c>
      <c r="AI264">
        <v>0</v>
      </c>
      <c r="AJ264">
        <v>0</v>
      </c>
      <c r="AK264">
        <v>1</v>
      </c>
      <c r="AL264">
        <v>0</v>
      </c>
      <c r="AM264" t="s">
        <v>168</v>
      </c>
      <c r="AN264">
        <v>575</v>
      </c>
      <c r="AO264">
        <v>199</v>
      </c>
      <c r="AQ264">
        <v>920</v>
      </c>
      <c r="AS264">
        <v>1</v>
      </c>
      <c r="AT264">
        <v>79</v>
      </c>
      <c r="AU264" t="s">
        <v>124</v>
      </c>
      <c r="AV264">
        <v>16</v>
      </c>
      <c r="AW264" t="s">
        <v>108</v>
      </c>
      <c r="AX264">
        <v>21</v>
      </c>
      <c r="AY264">
        <f t="shared" si="24"/>
        <v>16</v>
      </c>
      <c r="AZ264">
        <f t="shared" si="25"/>
        <v>1</v>
      </c>
      <c r="BA264">
        <v>119</v>
      </c>
      <c r="BB264" t="str">
        <f t="shared" si="26"/>
        <v>(Dike-town)</v>
      </c>
      <c r="BC264">
        <f t="shared" si="27"/>
        <v>-1</v>
      </c>
      <c r="BD264">
        <f t="shared" si="28"/>
        <v>0</v>
      </c>
      <c r="BE264">
        <v>24000</v>
      </c>
      <c r="BF264" t="str">
        <f t="shared" si="29"/>
        <v>(Dike-town)</v>
      </c>
    </row>
    <row r="265" spans="1:58" x14ac:dyDescent="0.3">
      <c r="A265">
        <v>866</v>
      </c>
      <c r="B265" s="2">
        <v>45559.60292824074</v>
      </c>
      <c r="C265">
        <v>80000</v>
      </c>
      <c r="D265">
        <v>40000</v>
      </c>
      <c r="E265">
        <v>0</v>
      </c>
      <c r="F265">
        <v>10500</v>
      </c>
      <c r="G265">
        <v>0</v>
      </c>
      <c r="H265">
        <v>0</v>
      </c>
      <c r="I265">
        <v>15000</v>
      </c>
      <c r="J265">
        <v>20000</v>
      </c>
      <c r="K265">
        <v>0</v>
      </c>
      <c r="L265">
        <v>0</v>
      </c>
      <c r="M265">
        <v>4000</v>
      </c>
      <c r="N265">
        <v>-4000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4</v>
      </c>
      <c r="W265">
        <v>5</v>
      </c>
      <c r="X265">
        <v>130000</v>
      </c>
      <c r="Y265">
        <v>105000</v>
      </c>
      <c r="Z265">
        <v>94500</v>
      </c>
      <c r="AA265">
        <v>0</v>
      </c>
      <c r="AB265">
        <v>0</v>
      </c>
      <c r="AC265">
        <v>105000</v>
      </c>
      <c r="AD265">
        <v>84000</v>
      </c>
      <c r="AG265">
        <v>6</v>
      </c>
      <c r="AH265">
        <v>10</v>
      </c>
      <c r="AI265">
        <v>-2</v>
      </c>
      <c r="AJ265">
        <v>-1</v>
      </c>
      <c r="AK265">
        <v>1</v>
      </c>
      <c r="AL265">
        <v>1</v>
      </c>
      <c r="AM265" t="s">
        <v>168</v>
      </c>
      <c r="AN265">
        <v>575</v>
      </c>
      <c r="AO265">
        <v>205</v>
      </c>
      <c r="AP265">
        <v>920</v>
      </c>
      <c r="AQ265">
        <v>920</v>
      </c>
      <c r="AS265">
        <v>2</v>
      </c>
      <c r="AT265">
        <v>79</v>
      </c>
      <c r="AU265" t="s">
        <v>124</v>
      </c>
      <c r="AV265">
        <v>16</v>
      </c>
      <c r="AW265" t="s">
        <v>108</v>
      </c>
      <c r="AX265">
        <v>21</v>
      </c>
      <c r="AY265">
        <f t="shared" si="24"/>
        <v>16</v>
      </c>
      <c r="AZ265">
        <f t="shared" si="25"/>
        <v>2</v>
      </c>
      <c r="BA265">
        <v>119</v>
      </c>
      <c r="BB265" t="str">
        <f t="shared" si="26"/>
        <v>(Dike-town)</v>
      </c>
      <c r="BC265">
        <f t="shared" si="27"/>
        <v>0</v>
      </c>
      <c r="BD265">
        <f t="shared" si="28"/>
        <v>4000</v>
      </c>
      <c r="BE265">
        <v>20000</v>
      </c>
      <c r="BF265" t="str">
        <f t="shared" si="29"/>
        <v>(Dike-town)</v>
      </c>
    </row>
    <row r="266" spans="1:58" x14ac:dyDescent="0.3">
      <c r="A266">
        <v>897</v>
      </c>
      <c r="B266" s="2">
        <v>45559.60292824074</v>
      </c>
      <c r="C266">
        <v>80000</v>
      </c>
      <c r="D266">
        <v>40000</v>
      </c>
      <c r="E266">
        <v>4000</v>
      </c>
      <c r="F266">
        <v>10500</v>
      </c>
      <c r="G266">
        <v>0</v>
      </c>
      <c r="H266">
        <v>0</v>
      </c>
      <c r="I266">
        <v>15000</v>
      </c>
      <c r="J266">
        <v>8000</v>
      </c>
      <c r="K266">
        <v>0</v>
      </c>
      <c r="L266">
        <v>0</v>
      </c>
      <c r="M266">
        <v>4000</v>
      </c>
      <c r="N266">
        <v>-1500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1</v>
      </c>
      <c r="U266">
        <v>1</v>
      </c>
      <c r="V266">
        <v>4</v>
      </c>
      <c r="W266">
        <v>5</v>
      </c>
      <c r="X266">
        <v>130000</v>
      </c>
      <c r="Y266">
        <v>105000</v>
      </c>
      <c r="Z266">
        <v>84000</v>
      </c>
      <c r="AA266">
        <v>0</v>
      </c>
      <c r="AB266">
        <v>0</v>
      </c>
      <c r="AC266">
        <v>105000</v>
      </c>
      <c r="AD266">
        <v>73500</v>
      </c>
      <c r="AG266">
        <v>6</v>
      </c>
      <c r="AH266">
        <v>10</v>
      </c>
      <c r="AI266">
        <v>-2</v>
      </c>
      <c r="AJ266">
        <v>-1</v>
      </c>
      <c r="AK266">
        <v>0</v>
      </c>
      <c r="AL266">
        <v>0</v>
      </c>
      <c r="AM266" t="s">
        <v>170</v>
      </c>
      <c r="AN266">
        <v>575</v>
      </c>
      <c r="AO266">
        <v>209</v>
      </c>
      <c r="AP266">
        <v>920</v>
      </c>
      <c r="AQ266">
        <v>920</v>
      </c>
      <c r="AS266">
        <v>3</v>
      </c>
      <c r="AT266">
        <v>79</v>
      </c>
      <c r="AU266" t="s">
        <v>124</v>
      </c>
      <c r="AV266">
        <v>16</v>
      </c>
      <c r="AW266" t="s">
        <v>108</v>
      </c>
      <c r="AX266">
        <v>21</v>
      </c>
      <c r="AY266">
        <f t="shared" si="24"/>
        <v>16</v>
      </c>
      <c r="AZ266">
        <f t="shared" si="25"/>
        <v>0</v>
      </c>
      <c r="BA266">
        <v>119</v>
      </c>
      <c r="BB266" t="str">
        <f t="shared" si="26"/>
        <v>(Dike-town)</v>
      </c>
      <c r="BC266">
        <f t="shared" si="27"/>
        <v>0</v>
      </c>
      <c r="BD266">
        <f t="shared" si="28"/>
        <v>4000</v>
      </c>
      <c r="BE266">
        <v>8000</v>
      </c>
      <c r="BF266" t="str">
        <f t="shared" si="29"/>
        <v>(Dike-town)</v>
      </c>
    </row>
    <row r="267" spans="1:58" x14ac:dyDescent="0.3">
      <c r="A267">
        <v>808</v>
      </c>
      <c r="B267" s="2">
        <v>45559.603078703702</v>
      </c>
      <c r="C267">
        <v>120000</v>
      </c>
      <c r="D267">
        <v>65000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50000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5</v>
      </c>
      <c r="W267">
        <v>7</v>
      </c>
      <c r="X267">
        <v>200000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t="s">
        <v>134</v>
      </c>
      <c r="AN267">
        <v>576</v>
      </c>
      <c r="AO267">
        <v>191</v>
      </c>
      <c r="AS267">
        <v>0</v>
      </c>
      <c r="AT267">
        <v>79</v>
      </c>
      <c r="AU267" t="s">
        <v>124</v>
      </c>
      <c r="AV267">
        <v>16</v>
      </c>
      <c r="AW267" t="s">
        <v>108</v>
      </c>
      <c r="AX267">
        <v>21</v>
      </c>
      <c r="AY267">
        <f t="shared" si="24"/>
        <v>0</v>
      </c>
      <c r="AZ267">
        <f t="shared" si="25"/>
        <v>0</v>
      </c>
      <c r="BA267">
        <v>121</v>
      </c>
      <c r="BB267" t="str">
        <f t="shared" si="26"/>
        <v/>
      </c>
      <c r="BC267" t="str">
        <f t="shared" si="27"/>
        <v/>
      </c>
      <c r="BD267">
        <f t="shared" si="28"/>
        <v>0</v>
      </c>
      <c r="BE267">
        <v>0</v>
      </c>
      <c r="BF267" t="str">
        <f t="shared" si="29"/>
        <v/>
      </c>
    </row>
    <row r="268" spans="1:58" x14ac:dyDescent="0.3">
      <c r="A268">
        <v>815</v>
      </c>
      <c r="B268" s="2">
        <v>45559.603078703702</v>
      </c>
      <c r="C268">
        <v>120000</v>
      </c>
      <c r="D268">
        <v>65000</v>
      </c>
      <c r="E268">
        <v>0</v>
      </c>
      <c r="F268">
        <v>20000</v>
      </c>
      <c r="G268">
        <v>0</v>
      </c>
      <c r="H268">
        <v>55000</v>
      </c>
      <c r="I268">
        <v>15000</v>
      </c>
      <c r="J268">
        <v>12000</v>
      </c>
      <c r="K268">
        <v>0</v>
      </c>
      <c r="L268">
        <v>0</v>
      </c>
      <c r="M268">
        <v>0</v>
      </c>
      <c r="N268">
        <v>3000</v>
      </c>
      <c r="O268">
        <v>0</v>
      </c>
      <c r="P268">
        <v>-1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5</v>
      </c>
      <c r="W268">
        <v>7</v>
      </c>
      <c r="X268">
        <v>200000</v>
      </c>
      <c r="Y268">
        <v>0</v>
      </c>
      <c r="Z268">
        <v>0</v>
      </c>
      <c r="AA268">
        <v>0</v>
      </c>
      <c r="AB268">
        <v>255000</v>
      </c>
      <c r="AC268">
        <v>200000</v>
      </c>
      <c r="AD268">
        <v>180000</v>
      </c>
      <c r="AG268">
        <v>8</v>
      </c>
      <c r="AH268">
        <v>10</v>
      </c>
      <c r="AI268">
        <v>0</v>
      </c>
      <c r="AJ268">
        <v>0</v>
      </c>
      <c r="AK268">
        <v>1</v>
      </c>
      <c r="AL268">
        <v>0</v>
      </c>
      <c r="AM268" t="s">
        <v>168</v>
      </c>
      <c r="AN268">
        <v>576</v>
      </c>
      <c r="AO268">
        <v>199</v>
      </c>
      <c r="AQ268">
        <v>915</v>
      </c>
      <c r="AS268">
        <v>1</v>
      </c>
      <c r="AT268">
        <v>79</v>
      </c>
      <c r="AU268" t="s">
        <v>124</v>
      </c>
      <c r="AV268">
        <v>16</v>
      </c>
      <c r="AW268" t="s">
        <v>108</v>
      </c>
      <c r="AX268">
        <v>21</v>
      </c>
      <c r="AY268">
        <f t="shared" si="24"/>
        <v>18</v>
      </c>
      <c r="AZ268">
        <f t="shared" si="25"/>
        <v>1</v>
      </c>
      <c r="BA268">
        <v>121</v>
      </c>
      <c r="BB268" t="str">
        <f t="shared" si="26"/>
        <v>(Natu-city)</v>
      </c>
      <c r="BC268">
        <f t="shared" si="27"/>
        <v>0</v>
      </c>
      <c r="BD268">
        <f t="shared" si="28"/>
        <v>0</v>
      </c>
      <c r="BE268">
        <v>12000</v>
      </c>
      <c r="BF268" t="str">
        <f t="shared" si="29"/>
        <v>(Natu-city)</v>
      </c>
    </row>
    <row r="269" spans="1:58" x14ac:dyDescent="0.3">
      <c r="A269">
        <v>865</v>
      </c>
      <c r="B269" s="2">
        <v>45559.603078703702</v>
      </c>
      <c r="C269">
        <v>120000</v>
      </c>
      <c r="D269">
        <v>65000</v>
      </c>
      <c r="E269">
        <v>0</v>
      </c>
      <c r="F269">
        <v>20000</v>
      </c>
      <c r="G269">
        <v>0</v>
      </c>
      <c r="H269">
        <v>0</v>
      </c>
      <c r="I269">
        <v>15000</v>
      </c>
      <c r="J269">
        <v>20000</v>
      </c>
      <c r="K269">
        <v>0</v>
      </c>
      <c r="L269">
        <v>0</v>
      </c>
      <c r="M269">
        <v>4000</v>
      </c>
      <c r="N269">
        <v>-1000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5</v>
      </c>
      <c r="W269">
        <v>7</v>
      </c>
      <c r="X269">
        <v>200000</v>
      </c>
      <c r="Y269">
        <v>200000</v>
      </c>
      <c r="Z269">
        <v>180000</v>
      </c>
      <c r="AA269">
        <v>0</v>
      </c>
      <c r="AB269">
        <v>0</v>
      </c>
      <c r="AC269">
        <v>200000</v>
      </c>
      <c r="AD269">
        <v>160000</v>
      </c>
      <c r="AG269">
        <v>8</v>
      </c>
      <c r="AH269">
        <v>10</v>
      </c>
      <c r="AI269">
        <v>-2</v>
      </c>
      <c r="AJ269">
        <v>-1</v>
      </c>
      <c r="AK269">
        <v>1</v>
      </c>
      <c r="AL269">
        <v>1</v>
      </c>
      <c r="AM269" t="s">
        <v>168</v>
      </c>
      <c r="AN269">
        <v>576</v>
      </c>
      <c r="AO269">
        <v>205</v>
      </c>
      <c r="AP269">
        <v>915</v>
      </c>
      <c r="AQ269">
        <v>915</v>
      </c>
      <c r="AS269">
        <v>2</v>
      </c>
      <c r="AT269">
        <v>79</v>
      </c>
      <c r="AU269" t="s">
        <v>124</v>
      </c>
      <c r="AV269">
        <v>16</v>
      </c>
      <c r="AW269" t="s">
        <v>108</v>
      </c>
      <c r="AX269">
        <v>21</v>
      </c>
      <c r="AY269">
        <f t="shared" si="24"/>
        <v>18</v>
      </c>
      <c r="AZ269">
        <f t="shared" si="25"/>
        <v>2</v>
      </c>
      <c r="BA269">
        <v>121</v>
      </c>
      <c r="BB269" t="str">
        <f t="shared" si="26"/>
        <v>(Natu-city)</v>
      </c>
      <c r="BC269">
        <f t="shared" si="27"/>
        <v>0</v>
      </c>
      <c r="BD269">
        <f t="shared" si="28"/>
        <v>4000</v>
      </c>
      <c r="BE269">
        <v>20000</v>
      </c>
      <c r="BF269" t="str">
        <f t="shared" si="29"/>
        <v>(Natu-city)</v>
      </c>
    </row>
    <row r="270" spans="1:58" x14ac:dyDescent="0.3">
      <c r="A270">
        <v>893</v>
      </c>
      <c r="B270" s="2">
        <v>45559.603078703702</v>
      </c>
      <c r="C270">
        <v>120000</v>
      </c>
      <c r="D270">
        <v>65000</v>
      </c>
      <c r="E270">
        <v>1000</v>
      </c>
      <c r="F270">
        <v>20000</v>
      </c>
      <c r="G270">
        <v>0</v>
      </c>
      <c r="H270">
        <v>0</v>
      </c>
      <c r="I270">
        <v>20000</v>
      </c>
      <c r="J270">
        <v>10000</v>
      </c>
      <c r="K270">
        <v>0</v>
      </c>
      <c r="L270">
        <v>0</v>
      </c>
      <c r="M270">
        <v>4000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4</v>
      </c>
      <c r="W270">
        <v>7</v>
      </c>
      <c r="X270">
        <v>200000</v>
      </c>
      <c r="Y270">
        <v>200000</v>
      </c>
      <c r="Z270">
        <v>160000</v>
      </c>
      <c r="AA270">
        <v>0</v>
      </c>
      <c r="AB270">
        <v>0</v>
      </c>
      <c r="AC270">
        <v>200000</v>
      </c>
      <c r="AD270">
        <v>140000</v>
      </c>
      <c r="AG270">
        <v>8</v>
      </c>
      <c r="AH270">
        <v>10</v>
      </c>
      <c r="AI270">
        <v>-2</v>
      </c>
      <c r="AJ270">
        <v>-1</v>
      </c>
      <c r="AK270">
        <v>0</v>
      </c>
      <c r="AL270">
        <v>0</v>
      </c>
      <c r="AM270" t="s">
        <v>172</v>
      </c>
      <c r="AN270">
        <v>576</v>
      </c>
      <c r="AO270">
        <v>209</v>
      </c>
      <c r="AP270">
        <v>915</v>
      </c>
      <c r="AQ270">
        <v>915</v>
      </c>
      <c r="AS270">
        <v>3</v>
      </c>
      <c r="AT270">
        <v>79</v>
      </c>
      <c r="AU270" t="s">
        <v>124</v>
      </c>
      <c r="AV270">
        <v>16</v>
      </c>
      <c r="AW270" t="s">
        <v>108</v>
      </c>
      <c r="AX270">
        <v>21</v>
      </c>
      <c r="AY270">
        <f t="shared" si="24"/>
        <v>18</v>
      </c>
      <c r="AZ270">
        <f t="shared" si="25"/>
        <v>0</v>
      </c>
      <c r="BA270">
        <v>121</v>
      </c>
      <c r="BB270" t="str">
        <f t="shared" si="26"/>
        <v>(Natu-city)</v>
      </c>
      <c r="BC270">
        <f t="shared" si="27"/>
        <v>-1</v>
      </c>
      <c r="BD270">
        <f t="shared" si="28"/>
        <v>4000</v>
      </c>
      <c r="BE270">
        <v>10000</v>
      </c>
      <c r="BF270" t="str">
        <f t="shared" si="29"/>
        <v>(Natu-city)</v>
      </c>
    </row>
    <row r="271" spans="1:58" x14ac:dyDescent="0.3">
      <c r="A271">
        <v>807</v>
      </c>
      <c r="B271" s="2">
        <v>45559.602986111116</v>
      </c>
      <c r="C271">
        <v>180000</v>
      </c>
      <c r="D271">
        <v>105000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80000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5</v>
      </c>
      <c r="W271">
        <v>8</v>
      </c>
      <c r="X271">
        <v>300000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t="s">
        <v>134</v>
      </c>
      <c r="AN271">
        <v>577</v>
      </c>
      <c r="AO271">
        <v>191</v>
      </c>
      <c r="AS271">
        <v>0</v>
      </c>
      <c r="AT271">
        <v>79</v>
      </c>
      <c r="AU271" t="s">
        <v>124</v>
      </c>
      <c r="AV271">
        <v>16</v>
      </c>
      <c r="AW271" t="s">
        <v>108</v>
      </c>
      <c r="AX271">
        <v>21</v>
      </c>
      <c r="AY271">
        <f t="shared" si="24"/>
        <v>0</v>
      </c>
      <c r="AZ271">
        <f t="shared" si="25"/>
        <v>0</v>
      </c>
      <c r="BA271">
        <v>122</v>
      </c>
      <c r="BB271" t="str">
        <f t="shared" si="26"/>
        <v/>
      </c>
      <c r="BC271" t="str">
        <f t="shared" si="27"/>
        <v/>
      </c>
      <c r="BD271">
        <f t="shared" si="28"/>
        <v>0</v>
      </c>
      <c r="BE271">
        <v>0</v>
      </c>
      <c r="BF271" t="str">
        <f t="shared" si="29"/>
        <v/>
      </c>
    </row>
    <row r="272" spans="1:58" x14ac:dyDescent="0.3">
      <c r="A272">
        <v>820</v>
      </c>
      <c r="B272" s="2">
        <v>45559.602986111116</v>
      </c>
      <c r="C272">
        <v>180000</v>
      </c>
      <c r="D272">
        <v>105000</v>
      </c>
      <c r="E272">
        <v>0</v>
      </c>
      <c r="F272">
        <v>30000</v>
      </c>
      <c r="G272">
        <v>0</v>
      </c>
      <c r="H272">
        <v>125000</v>
      </c>
      <c r="I272">
        <v>15000</v>
      </c>
      <c r="J272">
        <v>0</v>
      </c>
      <c r="K272">
        <v>0</v>
      </c>
      <c r="L272">
        <v>0</v>
      </c>
      <c r="M272">
        <v>0</v>
      </c>
      <c r="N272">
        <v>-15000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6</v>
      </c>
      <c r="W272">
        <v>8</v>
      </c>
      <c r="X272">
        <v>300000</v>
      </c>
      <c r="Y272">
        <v>0</v>
      </c>
      <c r="Z272">
        <v>0</v>
      </c>
      <c r="AA272">
        <v>0</v>
      </c>
      <c r="AB272">
        <v>425000</v>
      </c>
      <c r="AC272">
        <v>300000</v>
      </c>
      <c r="AD272">
        <v>270000</v>
      </c>
      <c r="AG272">
        <v>8</v>
      </c>
      <c r="AH272">
        <v>10</v>
      </c>
      <c r="AI272">
        <v>0</v>
      </c>
      <c r="AJ272">
        <v>0</v>
      </c>
      <c r="AK272">
        <v>0</v>
      </c>
      <c r="AL272">
        <v>0</v>
      </c>
      <c r="AM272" t="s">
        <v>168</v>
      </c>
      <c r="AN272">
        <v>577</v>
      </c>
      <c r="AO272">
        <v>199</v>
      </c>
      <c r="AQ272">
        <v>914</v>
      </c>
      <c r="AS272">
        <v>1</v>
      </c>
      <c r="AT272">
        <v>79</v>
      </c>
      <c r="AU272" t="s">
        <v>124</v>
      </c>
      <c r="AV272">
        <v>16</v>
      </c>
      <c r="AW272" t="s">
        <v>108</v>
      </c>
      <c r="AX272">
        <v>21</v>
      </c>
      <c r="AY272">
        <f t="shared" si="24"/>
        <v>18</v>
      </c>
      <c r="AZ272">
        <f t="shared" si="25"/>
        <v>0</v>
      </c>
      <c r="BA272">
        <v>122</v>
      </c>
      <c r="BB272" t="str">
        <f t="shared" si="26"/>
        <v>(Natu-city)</v>
      </c>
      <c r="BC272">
        <f t="shared" si="27"/>
        <v>1</v>
      </c>
      <c r="BD272">
        <f t="shared" si="28"/>
        <v>0</v>
      </c>
      <c r="BE272">
        <v>0</v>
      </c>
      <c r="BF272" t="str">
        <f t="shared" si="29"/>
        <v>(Natu-city)</v>
      </c>
    </row>
    <row r="273" spans="1:58" x14ac:dyDescent="0.3">
      <c r="A273">
        <v>863</v>
      </c>
      <c r="B273" s="2">
        <v>45559.602986111116</v>
      </c>
      <c r="C273">
        <v>180000</v>
      </c>
      <c r="D273">
        <v>105000</v>
      </c>
      <c r="E273">
        <v>15000</v>
      </c>
      <c r="F273">
        <v>30000</v>
      </c>
      <c r="G273">
        <v>0</v>
      </c>
      <c r="H273">
        <v>0</v>
      </c>
      <c r="I273">
        <v>15000</v>
      </c>
      <c r="J273">
        <v>15000</v>
      </c>
      <c r="K273">
        <v>0</v>
      </c>
      <c r="L273">
        <v>0</v>
      </c>
      <c r="M273">
        <v>4000</v>
      </c>
      <c r="N273">
        <v>-4000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5</v>
      </c>
      <c r="W273">
        <v>8</v>
      </c>
      <c r="X273">
        <v>300000</v>
      </c>
      <c r="Y273">
        <v>300000</v>
      </c>
      <c r="Z273">
        <v>270000</v>
      </c>
      <c r="AA273">
        <v>0</v>
      </c>
      <c r="AB273">
        <v>0</v>
      </c>
      <c r="AC273">
        <v>300000</v>
      </c>
      <c r="AD273">
        <v>240000</v>
      </c>
      <c r="AG273">
        <v>8</v>
      </c>
      <c r="AH273">
        <v>10</v>
      </c>
      <c r="AI273">
        <v>-2</v>
      </c>
      <c r="AJ273">
        <v>-1</v>
      </c>
      <c r="AK273">
        <v>1</v>
      </c>
      <c r="AL273">
        <v>1</v>
      </c>
      <c r="AM273" t="s">
        <v>168</v>
      </c>
      <c r="AN273">
        <v>577</v>
      </c>
      <c r="AO273">
        <v>205</v>
      </c>
      <c r="AP273">
        <v>914</v>
      </c>
      <c r="AQ273">
        <v>914</v>
      </c>
      <c r="AS273">
        <v>2</v>
      </c>
      <c r="AT273">
        <v>79</v>
      </c>
      <c r="AU273" t="s">
        <v>124</v>
      </c>
      <c r="AV273">
        <v>16</v>
      </c>
      <c r="AW273" t="s">
        <v>108</v>
      </c>
      <c r="AX273">
        <v>21</v>
      </c>
      <c r="AY273">
        <f t="shared" si="24"/>
        <v>18</v>
      </c>
      <c r="AZ273">
        <f t="shared" si="25"/>
        <v>2</v>
      </c>
      <c r="BA273">
        <v>122</v>
      </c>
      <c r="BB273" t="str">
        <f t="shared" si="26"/>
        <v>(Natu-city)</v>
      </c>
      <c r="BC273">
        <f t="shared" si="27"/>
        <v>-1</v>
      </c>
      <c r="BD273">
        <f t="shared" si="28"/>
        <v>4000</v>
      </c>
      <c r="BE273">
        <v>15000</v>
      </c>
      <c r="BF273" t="str">
        <f t="shared" si="29"/>
        <v>(Natu-city)</v>
      </c>
    </row>
    <row r="274" spans="1:58" x14ac:dyDescent="0.3">
      <c r="A274">
        <v>894</v>
      </c>
      <c r="B274" s="2">
        <v>45559.602986111116</v>
      </c>
      <c r="C274">
        <v>180000</v>
      </c>
      <c r="D274">
        <v>105000</v>
      </c>
      <c r="E274">
        <v>4000</v>
      </c>
      <c r="F274">
        <v>30000</v>
      </c>
      <c r="G274">
        <v>0</v>
      </c>
      <c r="H274">
        <v>0</v>
      </c>
      <c r="I274">
        <v>20000</v>
      </c>
      <c r="J274">
        <v>20000</v>
      </c>
      <c r="K274">
        <v>0</v>
      </c>
      <c r="L274">
        <v>0</v>
      </c>
      <c r="M274">
        <v>4000</v>
      </c>
      <c r="N274">
        <v>-3000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4</v>
      </c>
      <c r="W274">
        <v>8</v>
      </c>
      <c r="X274">
        <v>300000</v>
      </c>
      <c r="Y274">
        <v>300000</v>
      </c>
      <c r="Z274">
        <v>240000</v>
      </c>
      <c r="AA274">
        <v>0</v>
      </c>
      <c r="AB274">
        <v>0</v>
      </c>
      <c r="AC274">
        <v>300000</v>
      </c>
      <c r="AD274">
        <v>210000</v>
      </c>
      <c r="AG274">
        <v>8</v>
      </c>
      <c r="AH274">
        <v>10</v>
      </c>
      <c r="AI274">
        <v>-2</v>
      </c>
      <c r="AJ274">
        <v>-1</v>
      </c>
      <c r="AK274">
        <v>1</v>
      </c>
      <c r="AL274">
        <v>1</v>
      </c>
      <c r="AM274" t="s">
        <v>170</v>
      </c>
      <c r="AN274">
        <v>577</v>
      </c>
      <c r="AO274">
        <v>209</v>
      </c>
      <c r="AP274">
        <v>914</v>
      </c>
      <c r="AQ274">
        <v>914</v>
      </c>
      <c r="AS274">
        <v>3</v>
      </c>
      <c r="AT274">
        <v>79</v>
      </c>
      <c r="AU274" t="s">
        <v>124</v>
      </c>
      <c r="AV274">
        <v>16</v>
      </c>
      <c r="AW274" t="s">
        <v>108</v>
      </c>
      <c r="AX274">
        <v>21</v>
      </c>
      <c r="AY274">
        <f t="shared" si="24"/>
        <v>18</v>
      </c>
      <c r="AZ274">
        <f t="shared" si="25"/>
        <v>2</v>
      </c>
      <c r="BA274">
        <v>122</v>
      </c>
      <c r="BB274" t="str">
        <f t="shared" si="26"/>
        <v>(Natu-city)</v>
      </c>
      <c r="BC274">
        <f t="shared" si="27"/>
        <v>-1</v>
      </c>
      <c r="BD274">
        <f t="shared" si="28"/>
        <v>4000</v>
      </c>
      <c r="BE274">
        <v>20000</v>
      </c>
      <c r="BF274" t="str">
        <f t="shared" si="29"/>
        <v>(Natu-city)</v>
      </c>
    </row>
    <row r="275" spans="1:58" x14ac:dyDescent="0.3">
      <c r="A275">
        <v>812</v>
      </c>
      <c r="B275" s="2">
        <v>45559.604502314818</v>
      </c>
      <c r="C275">
        <v>100000</v>
      </c>
      <c r="D275">
        <v>50000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30000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5</v>
      </c>
      <c r="W275">
        <v>6</v>
      </c>
      <c r="X275">
        <v>170000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t="s">
        <v>134</v>
      </c>
      <c r="AN275">
        <v>578</v>
      </c>
      <c r="AO275">
        <v>191</v>
      </c>
      <c r="AS275">
        <v>0</v>
      </c>
      <c r="AT275">
        <v>79</v>
      </c>
      <c r="AU275" t="s">
        <v>124</v>
      </c>
      <c r="AV275">
        <v>16</v>
      </c>
      <c r="AW275" t="s">
        <v>108</v>
      </c>
      <c r="AX275">
        <v>21</v>
      </c>
      <c r="AY275">
        <f t="shared" si="24"/>
        <v>0</v>
      </c>
      <c r="AZ275">
        <f t="shared" si="25"/>
        <v>0</v>
      </c>
      <c r="BA275">
        <v>120</v>
      </c>
      <c r="BB275" t="str">
        <f t="shared" si="26"/>
        <v/>
      </c>
      <c r="BC275" t="str">
        <f t="shared" si="27"/>
        <v/>
      </c>
      <c r="BD275">
        <f t="shared" si="28"/>
        <v>0</v>
      </c>
      <c r="BE275">
        <v>0</v>
      </c>
      <c r="BF275" t="str">
        <f t="shared" si="29"/>
        <v/>
      </c>
    </row>
    <row r="276" spans="1:58" x14ac:dyDescent="0.3">
      <c r="A276">
        <v>817</v>
      </c>
      <c r="B276" s="2">
        <v>45559.604502314818</v>
      </c>
      <c r="C276">
        <v>100000</v>
      </c>
      <c r="D276">
        <v>50000</v>
      </c>
      <c r="E276">
        <v>0</v>
      </c>
      <c r="F276">
        <v>17000</v>
      </c>
      <c r="G276">
        <v>0</v>
      </c>
      <c r="H276">
        <v>40000</v>
      </c>
      <c r="I276">
        <v>20000</v>
      </c>
      <c r="J276">
        <v>3000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5</v>
      </c>
      <c r="W276">
        <v>6</v>
      </c>
      <c r="X276">
        <v>170000</v>
      </c>
      <c r="Y276">
        <v>0</v>
      </c>
      <c r="Z276">
        <v>0</v>
      </c>
      <c r="AA276">
        <v>0</v>
      </c>
      <c r="AB276">
        <v>210000</v>
      </c>
      <c r="AC276">
        <v>170000</v>
      </c>
      <c r="AD276">
        <v>153000</v>
      </c>
      <c r="AG276">
        <v>8</v>
      </c>
      <c r="AH276">
        <v>7</v>
      </c>
      <c r="AI276">
        <v>0</v>
      </c>
      <c r="AJ276">
        <v>0</v>
      </c>
      <c r="AK276">
        <v>0</v>
      </c>
      <c r="AL276">
        <v>1</v>
      </c>
      <c r="AM276" t="s">
        <v>168</v>
      </c>
      <c r="AN276">
        <v>578</v>
      </c>
      <c r="AO276">
        <v>199</v>
      </c>
      <c r="AQ276">
        <v>921</v>
      </c>
      <c r="AS276">
        <v>1</v>
      </c>
      <c r="AT276">
        <v>79</v>
      </c>
      <c r="AU276" t="s">
        <v>124</v>
      </c>
      <c r="AV276">
        <v>16</v>
      </c>
      <c r="AW276" t="s">
        <v>108</v>
      </c>
      <c r="AX276">
        <v>21</v>
      </c>
      <c r="AY276">
        <f t="shared" si="24"/>
        <v>15</v>
      </c>
      <c r="AZ276">
        <f t="shared" si="25"/>
        <v>1</v>
      </c>
      <c r="BA276">
        <v>120</v>
      </c>
      <c r="BB276" t="str">
        <f t="shared" si="26"/>
        <v>(U-village)</v>
      </c>
      <c r="BC276">
        <f t="shared" si="27"/>
        <v>0</v>
      </c>
      <c r="BD276">
        <f t="shared" si="28"/>
        <v>0</v>
      </c>
      <c r="BE276">
        <v>3000</v>
      </c>
      <c r="BF276" t="str">
        <f t="shared" si="29"/>
        <v>(U-village)</v>
      </c>
    </row>
    <row r="277" spans="1:58" x14ac:dyDescent="0.3">
      <c r="A277">
        <v>864</v>
      </c>
      <c r="B277" s="2">
        <v>45559.604502314818</v>
      </c>
      <c r="C277">
        <v>100000</v>
      </c>
      <c r="D277">
        <v>50000</v>
      </c>
      <c r="E277">
        <v>0</v>
      </c>
      <c r="F277">
        <v>17000</v>
      </c>
      <c r="G277">
        <v>0</v>
      </c>
      <c r="H277">
        <v>0</v>
      </c>
      <c r="I277">
        <v>20000</v>
      </c>
      <c r="J277">
        <v>12000</v>
      </c>
      <c r="K277">
        <v>0</v>
      </c>
      <c r="L277">
        <v>8000</v>
      </c>
      <c r="M277">
        <v>4000</v>
      </c>
      <c r="N277">
        <v>-11000</v>
      </c>
      <c r="O277">
        <v>0</v>
      </c>
      <c r="P277">
        <v>0</v>
      </c>
      <c r="Q277">
        <v>0</v>
      </c>
      <c r="R277">
        <v>0</v>
      </c>
      <c r="S277">
        <v>3</v>
      </c>
      <c r="T277">
        <v>1</v>
      </c>
      <c r="U277">
        <v>0</v>
      </c>
      <c r="V277">
        <v>1</v>
      </c>
      <c r="W277">
        <v>6</v>
      </c>
      <c r="X277">
        <v>170000</v>
      </c>
      <c r="Y277">
        <v>170000</v>
      </c>
      <c r="Z277">
        <v>153000</v>
      </c>
      <c r="AA277">
        <v>0</v>
      </c>
      <c r="AB277">
        <v>0</v>
      </c>
      <c r="AC277">
        <v>170000</v>
      </c>
      <c r="AD277">
        <v>136000</v>
      </c>
      <c r="AG277">
        <v>8</v>
      </c>
      <c r="AH277">
        <v>7</v>
      </c>
      <c r="AI277">
        <v>-2</v>
      </c>
      <c r="AJ277">
        <v>-1</v>
      </c>
      <c r="AK277">
        <v>1</v>
      </c>
      <c r="AL277">
        <v>1</v>
      </c>
      <c r="AM277" t="s">
        <v>168</v>
      </c>
      <c r="AN277">
        <v>578</v>
      </c>
      <c r="AO277">
        <v>205</v>
      </c>
      <c r="AP277">
        <v>921</v>
      </c>
      <c r="AQ277">
        <v>921</v>
      </c>
      <c r="AS277">
        <v>2</v>
      </c>
      <c r="AT277">
        <v>79</v>
      </c>
      <c r="AU277" t="s">
        <v>124</v>
      </c>
      <c r="AV277">
        <v>16</v>
      </c>
      <c r="AW277" t="s">
        <v>108</v>
      </c>
      <c r="AX277">
        <v>21</v>
      </c>
      <c r="AY277">
        <f t="shared" si="24"/>
        <v>15</v>
      </c>
      <c r="AZ277">
        <f t="shared" si="25"/>
        <v>2</v>
      </c>
      <c r="BA277">
        <v>120</v>
      </c>
      <c r="BB277" t="str">
        <f t="shared" si="26"/>
        <v>(U-village)</v>
      </c>
      <c r="BC277">
        <f t="shared" si="27"/>
        <v>-4</v>
      </c>
      <c r="BD277">
        <f t="shared" si="28"/>
        <v>12000</v>
      </c>
      <c r="BE277">
        <v>12000</v>
      </c>
      <c r="BF277" t="str">
        <f t="shared" si="29"/>
        <v>(U-village)</v>
      </c>
    </row>
    <row r="278" spans="1:58" x14ac:dyDescent="0.3">
      <c r="A278">
        <v>895</v>
      </c>
      <c r="B278" s="2">
        <v>45559.604502314818</v>
      </c>
      <c r="C278">
        <v>100000</v>
      </c>
      <c r="D278">
        <v>50000</v>
      </c>
      <c r="E278">
        <v>11000</v>
      </c>
      <c r="F278">
        <v>17000</v>
      </c>
      <c r="G278">
        <v>0</v>
      </c>
      <c r="H278">
        <v>0</v>
      </c>
      <c r="I278">
        <v>20000</v>
      </c>
      <c r="J278">
        <v>0</v>
      </c>
      <c r="K278">
        <v>0</v>
      </c>
      <c r="L278">
        <v>0</v>
      </c>
      <c r="M278">
        <v>4000</v>
      </c>
      <c r="N278">
        <v>-2000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-1</v>
      </c>
      <c r="W278">
        <v>6</v>
      </c>
      <c r="X278">
        <v>170000</v>
      </c>
      <c r="Y278">
        <v>170000</v>
      </c>
      <c r="Z278">
        <v>136000</v>
      </c>
      <c r="AA278">
        <v>0</v>
      </c>
      <c r="AB278">
        <v>0</v>
      </c>
      <c r="AC278">
        <v>170000</v>
      </c>
      <c r="AD278">
        <v>119000</v>
      </c>
      <c r="AG278">
        <v>8</v>
      </c>
      <c r="AH278">
        <v>7</v>
      </c>
      <c r="AI278">
        <v>-2</v>
      </c>
      <c r="AJ278">
        <v>-1</v>
      </c>
      <c r="AK278">
        <v>0</v>
      </c>
      <c r="AL278">
        <v>0</v>
      </c>
      <c r="AM278" t="s">
        <v>170</v>
      </c>
      <c r="AN278">
        <v>578</v>
      </c>
      <c r="AO278">
        <v>209</v>
      </c>
      <c r="AP278">
        <v>921</v>
      </c>
      <c r="AQ278">
        <v>921</v>
      </c>
      <c r="AS278">
        <v>3</v>
      </c>
      <c r="AT278">
        <v>79</v>
      </c>
      <c r="AU278" t="s">
        <v>124</v>
      </c>
      <c r="AV278">
        <v>16</v>
      </c>
      <c r="AW278" t="s">
        <v>108</v>
      </c>
      <c r="AX278">
        <v>21</v>
      </c>
      <c r="AY278">
        <f t="shared" si="24"/>
        <v>15</v>
      </c>
      <c r="AZ278">
        <f t="shared" si="25"/>
        <v>0</v>
      </c>
      <c r="BA278">
        <v>120</v>
      </c>
      <c r="BB278" t="str">
        <f t="shared" si="26"/>
        <v>(U-village)</v>
      </c>
      <c r="BC278">
        <f t="shared" si="27"/>
        <v>-2</v>
      </c>
      <c r="BD278">
        <f t="shared" si="28"/>
        <v>4000</v>
      </c>
      <c r="BE278">
        <v>0</v>
      </c>
      <c r="BF278" t="str">
        <f t="shared" si="29"/>
        <v>(U-village)</v>
      </c>
    </row>
    <row r="279" spans="1:58" x14ac:dyDescent="0.3">
      <c r="A279">
        <v>811</v>
      </c>
      <c r="B279" s="2">
        <v>45559.603587962964</v>
      </c>
      <c r="C279">
        <v>100000</v>
      </c>
      <c r="D279">
        <v>50000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30000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5</v>
      </c>
      <c r="W279">
        <v>6</v>
      </c>
      <c r="X279">
        <v>170000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t="s">
        <v>134</v>
      </c>
      <c r="AN279">
        <v>579</v>
      </c>
      <c r="AO279">
        <v>191</v>
      </c>
      <c r="AS279">
        <v>0</v>
      </c>
      <c r="AT279">
        <v>79</v>
      </c>
      <c r="AU279" t="s">
        <v>124</v>
      </c>
      <c r="AV279">
        <v>16</v>
      </c>
      <c r="AW279" t="s">
        <v>108</v>
      </c>
      <c r="AX279">
        <v>21</v>
      </c>
      <c r="AY279">
        <f t="shared" si="24"/>
        <v>0</v>
      </c>
      <c r="AZ279">
        <f t="shared" si="25"/>
        <v>0</v>
      </c>
      <c r="BA279">
        <v>120</v>
      </c>
      <c r="BB279" t="str">
        <f t="shared" si="26"/>
        <v/>
      </c>
      <c r="BC279" t="str">
        <f t="shared" si="27"/>
        <v/>
      </c>
      <c r="BD279">
        <f t="shared" si="28"/>
        <v>0</v>
      </c>
      <c r="BE279">
        <v>0</v>
      </c>
      <c r="BF279" t="str">
        <f t="shared" si="29"/>
        <v/>
      </c>
    </row>
    <row r="280" spans="1:58" x14ac:dyDescent="0.3">
      <c r="A280">
        <v>819</v>
      </c>
      <c r="B280" s="2">
        <v>45559.603587962964</v>
      </c>
      <c r="C280">
        <v>100000</v>
      </c>
      <c r="D280">
        <v>50000</v>
      </c>
      <c r="E280">
        <v>0</v>
      </c>
      <c r="F280">
        <v>16000</v>
      </c>
      <c r="G280">
        <v>0</v>
      </c>
      <c r="H280">
        <v>0</v>
      </c>
      <c r="I280">
        <v>15000</v>
      </c>
      <c r="J280">
        <v>46000</v>
      </c>
      <c r="K280">
        <v>0</v>
      </c>
      <c r="L280">
        <v>0</v>
      </c>
      <c r="M280">
        <v>0</v>
      </c>
      <c r="N280">
        <v>3000</v>
      </c>
      <c r="O280">
        <v>0</v>
      </c>
      <c r="P280">
        <v>-1</v>
      </c>
      <c r="Q280">
        <v>2</v>
      </c>
      <c r="R280">
        <v>1</v>
      </c>
      <c r="S280">
        <v>0</v>
      </c>
      <c r="T280">
        <v>0</v>
      </c>
      <c r="U280">
        <v>0</v>
      </c>
      <c r="V280">
        <v>7</v>
      </c>
      <c r="W280">
        <v>6</v>
      </c>
      <c r="X280">
        <v>170000</v>
      </c>
      <c r="Y280">
        <v>0</v>
      </c>
      <c r="Z280">
        <v>0</v>
      </c>
      <c r="AA280">
        <v>0</v>
      </c>
      <c r="AB280">
        <v>160000</v>
      </c>
      <c r="AC280">
        <v>160000</v>
      </c>
      <c r="AD280">
        <v>144000</v>
      </c>
      <c r="AG280">
        <v>6</v>
      </c>
      <c r="AH280">
        <v>10</v>
      </c>
      <c r="AI280">
        <v>0</v>
      </c>
      <c r="AJ280">
        <v>0</v>
      </c>
      <c r="AK280">
        <v>3</v>
      </c>
      <c r="AL280">
        <v>0</v>
      </c>
      <c r="AM280" t="s">
        <v>168</v>
      </c>
      <c r="AN280">
        <v>579</v>
      </c>
      <c r="AO280">
        <v>199</v>
      </c>
      <c r="AQ280">
        <v>919</v>
      </c>
      <c r="AS280">
        <v>1</v>
      </c>
      <c r="AT280">
        <v>79</v>
      </c>
      <c r="AU280" t="s">
        <v>124</v>
      </c>
      <c r="AV280">
        <v>16</v>
      </c>
      <c r="AW280" t="s">
        <v>108</v>
      </c>
      <c r="AX280">
        <v>21</v>
      </c>
      <c r="AY280">
        <f t="shared" si="24"/>
        <v>16</v>
      </c>
      <c r="AZ280">
        <f t="shared" si="25"/>
        <v>3</v>
      </c>
      <c r="BA280">
        <v>120</v>
      </c>
      <c r="BB280" t="str">
        <f t="shared" si="26"/>
        <v>(Dike-town)</v>
      </c>
      <c r="BC280">
        <f t="shared" si="27"/>
        <v>2</v>
      </c>
      <c r="BD280">
        <f t="shared" si="28"/>
        <v>0</v>
      </c>
      <c r="BE280">
        <v>46000</v>
      </c>
      <c r="BF280" t="str">
        <f t="shared" si="29"/>
        <v>(Dike-town)</v>
      </c>
    </row>
    <row r="281" spans="1:58" x14ac:dyDescent="0.3">
      <c r="A281">
        <v>861</v>
      </c>
      <c r="B281" s="2">
        <v>45559.603587962964</v>
      </c>
      <c r="C281">
        <v>100000</v>
      </c>
      <c r="D281">
        <v>50000</v>
      </c>
      <c r="E281">
        <v>0</v>
      </c>
      <c r="F281">
        <v>16000</v>
      </c>
      <c r="G281">
        <v>0</v>
      </c>
      <c r="H281">
        <v>0</v>
      </c>
      <c r="I281">
        <v>15000</v>
      </c>
      <c r="J281">
        <v>20000</v>
      </c>
      <c r="K281">
        <v>0</v>
      </c>
      <c r="L281">
        <v>0</v>
      </c>
      <c r="M281">
        <v>4000</v>
      </c>
      <c r="N281">
        <v>-2000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7</v>
      </c>
      <c r="W281">
        <v>6</v>
      </c>
      <c r="X281">
        <v>170000</v>
      </c>
      <c r="Y281">
        <v>160000</v>
      </c>
      <c r="Z281">
        <v>144000</v>
      </c>
      <c r="AA281">
        <v>0</v>
      </c>
      <c r="AB281">
        <v>0</v>
      </c>
      <c r="AC281">
        <v>160000</v>
      </c>
      <c r="AD281">
        <v>128000</v>
      </c>
      <c r="AG281">
        <v>6</v>
      </c>
      <c r="AH281">
        <v>10</v>
      </c>
      <c r="AI281">
        <v>-2</v>
      </c>
      <c r="AJ281">
        <v>-1</v>
      </c>
      <c r="AK281">
        <v>1</v>
      </c>
      <c r="AL281">
        <v>1</v>
      </c>
      <c r="AM281" t="s">
        <v>168</v>
      </c>
      <c r="AN281">
        <v>579</v>
      </c>
      <c r="AO281">
        <v>205</v>
      </c>
      <c r="AP281">
        <v>919</v>
      </c>
      <c r="AQ281">
        <v>919</v>
      </c>
      <c r="AS281">
        <v>2</v>
      </c>
      <c r="AT281">
        <v>79</v>
      </c>
      <c r="AU281" t="s">
        <v>124</v>
      </c>
      <c r="AV281">
        <v>16</v>
      </c>
      <c r="AW281" t="s">
        <v>108</v>
      </c>
      <c r="AX281">
        <v>21</v>
      </c>
      <c r="AY281">
        <f t="shared" si="24"/>
        <v>16</v>
      </c>
      <c r="AZ281">
        <f t="shared" si="25"/>
        <v>2</v>
      </c>
      <c r="BA281">
        <v>120</v>
      </c>
      <c r="BB281" t="str">
        <f t="shared" si="26"/>
        <v>(Dike-town)</v>
      </c>
      <c r="BC281">
        <f t="shared" si="27"/>
        <v>0</v>
      </c>
      <c r="BD281">
        <f t="shared" si="28"/>
        <v>4000</v>
      </c>
      <c r="BE281">
        <v>20000</v>
      </c>
      <c r="BF281" t="str">
        <f t="shared" si="29"/>
        <v>(Dike-town)</v>
      </c>
    </row>
    <row r="282" spans="1:58" x14ac:dyDescent="0.3">
      <c r="A282">
        <v>891</v>
      </c>
      <c r="B282" s="2">
        <v>45559.603587962964</v>
      </c>
      <c r="C282">
        <v>100000</v>
      </c>
      <c r="D282">
        <v>50000</v>
      </c>
      <c r="E282">
        <v>2000</v>
      </c>
      <c r="F282">
        <v>16000</v>
      </c>
      <c r="G282">
        <v>0</v>
      </c>
      <c r="H282">
        <v>0</v>
      </c>
      <c r="I282">
        <v>15000</v>
      </c>
      <c r="J282">
        <v>16000</v>
      </c>
      <c r="K282">
        <v>0</v>
      </c>
      <c r="L282">
        <v>0</v>
      </c>
      <c r="M282">
        <v>4000</v>
      </c>
      <c r="N282">
        <v>-3000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1</v>
      </c>
      <c r="U282">
        <v>1</v>
      </c>
      <c r="V282">
        <v>7</v>
      </c>
      <c r="W282">
        <v>6</v>
      </c>
      <c r="X282">
        <v>170000</v>
      </c>
      <c r="Y282">
        <v>160000</v>
      </c>
      <c r="Z282">
        <v>128000</v>
      </c>
      <c r="AA282">
        <v>0</v>
      </c>
      <c r="AB282">
        <v>0</v>
      </c>
      <c r="AC282">
        <v>160000</v>
      </c>
      <c r="AD282">
        <v>112000</v>
      </c>
      <c r="AG282">
        <v>6</v>
      </c>
      <c r="AH282">
        <v>10</v>
      </c>
      <c r="AI282">
        <v>-2</v>
      </c>
      <c r="AJ282">
        <v>-1</v>
      </c>
      <c r="AK282">
        <v>0</v>
      </c>
      <c r="AL282">
        <v>0</v>
      </c>
      <c r="AM282" t="s">
        <v>170</v>
      </c>
      <c r="AN282">
        <v>579</v>
      </c>
      <c r="AO282">
        <v>209</v>
      </c>
      <c r="AP282">
        <v>919</v>
      </c>
      <c r="AQ282">
        <v>919</v>
      </c>
      <c r="AS282">
        <v>3</v>
      </c>
      <c r="AT282">
        <v>79</v>
      </c>
      <c r="AU282" t="s">
        <v>124</v>
      </c>
      <c r="AV282">
        <v>16</v>
      </c>
      <c r="AW282" t="s">
        <v>108</v>
      </c>
      <c r="AX282">
        <v>21</v>
      </c>
      <c r="AY282">
        <f t="shared" si="24"/>
        <v>16</v>
      </c>
      <c r="AZ282">
        <f t="shared" si="25"/>
        <v>0</v>
      </c>
      <c r="BA282">
        <v>120</v>
      </c>
      <c r="BB282" t="str">
        <f t="shared" si="26"/>
        <v>(Dike-town)</v>
      </c>
      <c r="BC282">
        <f t="shared" si="27"/>
        <v>0</v>
      </c>
      <c r="BD282">
        <f t="shared" si="28"/>
        <v>4000</v>
      </c>
      <c r="BE282">
        <v>16000</v>
      </c>
      <c r="BF282" t="str">
        <f t="shared" si="29"/>
        <v>(Dike-town)</v>
      </c>
    </row>
    <row r="283" spans="1:58" x14ac:dyDescent="0.3">
      <c r="A283">
        <v>742</v>
      </c>
      <c r="B283" s="2">
        <v>45559.596076388887</v>
      </c>
      <c r="C283">
        <v>65000</v>
      </c>
      <c r="D283">
        <v>30000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5000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5</v>
      </c>
      <c r="W283">
        <v>4</v>
      </c>
      <c r="X283">
        <v>110000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t="s">
        <v>134</v>
      </c>
      <c r="AN283">
        <v>580</v>
      </c>
      <c r="AO283">
        <v>192</v>
      </c>
      <c r="AS283">
        <v>0</v>
      </c>
      <c r="AT283">
        <v>80</v>
      </c>
      <c r="AU283" t="s">
        <v>125</v>
      </c>
      <c r="AV283">
        <v>16</v>
      </c>
      <c r="AW283" t="s">
        <v>108</v>
      </c>
      <c r="AX283">
        <v>21</v>
      </c>
      <c r="AY283">
        <f t="shared" si="24"/>
        <v>0</v>
      </c>
      <c r="AZ283">
        <f t="shared" si="25"/>
        <v>0</v>
      </c>
      <c r="BA283">
        <v>118</v>
      </c>
      <c r="BB283" t="str">
        <f t="shared" si="26"/>
        <v/>
      </c>
      <c r="BC283" t="str">
        <f t="shared" si="27"/>
        <v/>
      </c>
      <c r="BD283">
        <f t="shared" si="28"/>
        <v>0</v>
      </c>
      <c r="BE283">
        <v>0</v>
      </c>
      <c r="BF283" t="str">
        <f t="shared" si="29"/>
        <v/>
      </c>
    </row>
    <row r="284" spans="1:58" x14ac:dyDescent="0.3">
      <c r="A284">
        <v>804</v>
      </c>
      <c r="B284" s="2">
        <v>45559.596076388887</v>
      </c>
      <c r="C284">
        <v>65000</v>
      </c>
      <c r="D284">
        <v>30000</v>
      </c>
      <c r="E284">
        <v>0</v>
      </c>
      <c r="F284">
        <v>8000</v>
      </c>
      <c r="G284">
        <v>0</v>
      </c>
      <c r="H284">
        <v>0</v>
      </c>
      <c r="I284">
        <v>15000</v>
      </c>
      <c r="J284">
        <v>14000</v>
      </c>
      <c r="K284">
        <v>0</v>
      </c>
      <c r="L284">
        <v>0</v>
      </c>
      <c r="M284">
        <v>4000</v>
      </c>
      <c r="N284">
        <v>-1000</v>
      </c>
      <c r="O284">
        <v>0</v>
      </c>
      <c r="P284">
        <v>-2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2</v>
      </c>
      <c r="W284">
        <v>4</v>
      </c>
      <c r="X284">
        <v>110000</v>
      </c>
      <c r="Y284">
        <v>0</v>
      </c>
      <c r="Z284">
        <v>0</v>
      </c>
      <c r="AA284">
        <v>0</v>
      </c>
      <c r="AB284">
        <v>80000</v>
      </c>
      <c r="AC284">
        <v>80000</v>
      </c>
      <c r="AD284">
        <v>72000</v>
      </c>
      <c r="AG284">
        <v>6</v>
      </c>
      <c r="AH284">
        <v>10</v>
      </c>
      <c r="AI284">
        <v>0</v>
      </c>
      <c r="AJ284">
        <v>0</v>
      </c>
      <c r="AK284">
        <v>1</v>
      </c>
      <c r="AL284">
        <v>0</v>
      </c>
      <c r="AM284" t="s">
        <v>168</v>
      </c>
      <c r="AN284">
        <v>580</v>
      </c>
      <c r="AO284">
        <v>198</v>
      </c>
      <c r="AQ284">
        <v>910</v>
      </c>
      <c r="AS284">
        <v>1</v>
      </c>
      <c r="AT284">
        <v>80</v>
      </c>
      <c r="AU284" t="s">
        <v>125</v>
      </c>
      <c r="AV284">
        <v>16</v>
      </c>
      <c r="AW284" t="s">
        <v>108</v>
      </c>
      <c r="AX284">
        <v>21</v>
      </c>
      <c r="AY284">
        <f t="shared" si="24"/>
        <v>16</v>
      </c>
      <c r="AZ284">
        <f t="shared" si="25"/>
        <v>1</v>
      </c>
      <c r="BA284">
        <v>118</v>
      </c>
      <c r="BB284" t="str">
        <f t="shared" si="26"/>
        <v>(Dike-town)</v>
      </c>
      <c r="BC284">
        <f t="shared" si="27"/>
        <v>-3</v>
      </c>
      <c r="BD284">
        <f t="shared" si="28"/>
        <v>4000</v>
      </c>
      <c r="BE284">
        <v>14000</v>
      </c>
      <c r="BF284" t="str">
        <f t="shared" si="29"/>
        <v>(Dike-town)</v>
      </c>
    </row>
    <row r="285" spans="1:58" x14ac:dyDescent="0.3">
      <c r="A285">
        <v>842</v>
      </c>
      <c r="B285" s="2">
        <v>45559.596076388887</v>
      </c>
      <c r="C285">
        <v>65000</v>
      </c>
      <c r="D285">
        <v>30000</v>
      </c>
      <c r="E285">
        <v>1000</v>
      </c>
      <c r="F285">
        <v>8000</v>
      </c>
      <c r="G285">
        <v>0</v>
      </c>
      <c r="H285">
        <v>0</v>
      </c>
      <c r="I285">
        <v>15000</v>
      </c>
      <c r="J285">
        <v>3000</v>
      </c>
      <c r="K285">
        <v>0</v>
      </c>
      <c r="L285">
        <v>0</v>
      </c>
      <c r="M285">
        <v>4000</v>
      </c>
      <c r="N285">
        <v>4000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4</v>
      </c>
      <c r="X285">
        <v>110000</v>
      </c>
      <c r="Y285">
        <v>80000</v>
      </c>
      <c r="Z285">
        <v>72000</v>
      </c>
      <c r="AA285">
        <v>0</v>
      </c>
      <c r="AB285">
        <v>0</v>
      </c>
      <c r="AC285">
        <v>80000</v>
      </c>
      <c r="AD285">
        <v>64000</v>
      </c>
      <c r="AG285">
        <v>6</v>
      </c>
      <c r="AH285">
        <v>10</v>
      </c>
      <c r="AI285">
        <v>-2</v>
      </c>
      <c r="AJ285">
        <v>-1</v>
      </c>
      <c r="AK285">
        <v>0</v>
      </c>
      <c r="AL285">
        <v>1</v>
      </c>
      <c r="AM285" t="s">
        <v>168</v>
      </c>
      <c r="AN285">
        <v>580</v>
      </c>
      <c r="AO285">
        <v>203</v>
      </c>
      <c r="AP285">
        <v>910</v>
      </c>
      <c r="AQ285">
        <v>910</v>
      </c>
      <c r="AS285">
        <v>2</v>
      </c>
      <c r="AT285">
        <v>80</v>
      </c>
      <c r="AU285" t="s">
        <v>125</v>
      </c>
      <c r="AV285">
        <v>16</v>
      </c>
      <c r="AW285" t="s">
        <v>108</v>
      </c>
      <c r="AX285">
        <v>21</v>
      </c>
      <c r="AY285">
        <f t="shared" si="24"/>
        <v>16</v>
      </c>
      <c r="AZ285">
        <f t="shared" si="25"/>
        <v>1</v>
      </c>
      <c r="BA285">
        <v>118</v>
      </c>
      <c r="BB285" t="str">
        <f t="shared" si="26"/>
        <v>(Dike-town)</v>
      </c>
      <c r="BC285">
        <f t="shared" si="27"/>
        <v>-2</v>
      </c>
      <c r="BD285">
        <f t="shared" si="28"/>
        <v>4000</v>
      </c>
      <c r="BE285">
        <v>3000</v>
      </c>
      <c r="BF285" t="str">
        <f t="shared" si="29"/>
        <v>(Dike-town)</v>
      </c>
    </row>
    <row r="286" spans="1:58" x14ac:dyDescent="0.3">
      <c r="A286">
        <v>887</v>
      </c>
      <c r="B286" s="2">
        <v>45559.596076388887</v>
      </c>
      <c r="C286">
        <v>65000</v>
      </c>
      <c r="D286">
        <v>30000</v>
      </c>
      <c r="E286">
        <v>0</v>
      </c>
      <c r="F286">
        <v>8000</v>
      </c>
      <c r="G286">
        <v>0</v>
      </c>
      <c r="H286">
        <v>0</v>
      </c>
      <c r="I286">
        <v>15000</v>
      </c>
      <c r="J286">
        <v>12000</v>
      </c>
      <c r="K286">
        <v>0</v>
      </c>
      <c r="L286">
        <v>4000</v>
      </c>
      <c r="M286">
        <v>4000</v>
      </c>
      <c r="N286">
        <v>-42000</v>
      </c>
      <c r="O286">
        <v>0</v>
      </c>
      <c r="P286">
        <v>0</v>
      </c>
      <c r="Q286">
        <v>0</v>
      </c>
      <c r="R286">
        <v>3</v>
      </c>
      <c r="S286">
        <v>2</v>
      </c>
      <c r="T286">
        <v>1</v>
      </c>
      <c r="U286">
        <v>0</v>
      </c>
      <c r="V286">
        <v>-3</v>
      </c>
      <c r="W286">
        <v>4</v>
      </c>
      <c r="X286">
        <v>110000</v>
      </c>
      <c r="Y286">
        <v>80000</v>
      </c>
      <c r="Z286">
        <v>64000</v>
      </c>
      <c r="AA286">
        <v>0</v>
      </c>
      <c r="AB286">
        <v>0</v>
      </c>
      <c r="AC286">
        <v>80000</v>
      </c>
      <c r="AD286">
        <v>56000</v>
      </c>
      <c r="AG286">
        <v>6</v>
      </c>
      <c r="AH286">
        <v>10</v>
      </c>
      <c r="AI286">
        <v>-2</v>
      </c>
      <c r="AJ286">
        <v>-1</v>
      </c>
      <c r="AK286">
        <v>0</v>
      </c>
      <c r="AL286">
        <v>0</v>
      </c>
      <c r="AM286" t="s">
        <v>168</v>
      </c>
      <c r="AN286">
        <v>580</v>
      </c>
      <c r="AO286">
        <v>208</v>
      </c>
      <c r="AP286">
        <v>910</v>
      </c>
      <c r="AQ286">
        <v>910</v>
      </c>
      <c r="AS286">
        <v>3</v>
      </c>
      <c r="AT286">
        <v>80</v>
      </c>
      <c r="AU286" t="s">
        <v>125</v>
      </c>
      <c r="AV286">
        <v>16</v>
      </c>
      <c r="AW286" t="s">
        <v>108</v>
      </c>
      <c r="AX286">
        <v>21</v>
      </c>
      <c r="AY286">
        <f t="shared" si="24"/>
        <v>16</v>
      </c>
      <c r="AZ286">
        <f t="shared" si="25"/>
        <v>0</v>
      </c>
      <c r="BA286">
        <v>118</v>
      </c>
      <c r="BB286" t="str">
        <f t="shared" si="26"/>
        <v>(Dike-town)</v>
      </c>
      <c r="BC286">
        <f t="shared" si="27"/>
        <v>-3</v>
      </c>
      <c r="BD286">
        <f t="shared" si="28"/>
        <v>8000</v>
      </c>
      <c r="BE286">
        <v>12000</v>
      </c>
      <c r="BF286" t="str">
        <f t="shared" si="29"/>
        <v>(Dike-town)</v>
      </c>
    </row>
    <row r="287" spans="1:58" x14ac:dyDescent="0.3">
      <c r="A287">
        <v>753</v>
      </c>
      <c r="B287" s="2">
        <v>45559.598067129627</v>
      </c>
      <c r="C287">
        <v>100000</v>
      </c>
      <c r="D287">
        <v>50000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30000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5</v>
      </c>
      <c r="W287">
        <v>6</v>
      </c>
      <c r="X287">
        <v>170000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t="s">
        <v>134</v>
      </c>
      <c r="AN287">
        <v>581</v>
      </c>
      <c r="AO287">
        <v>192</v>
      </c>
      <c r="AS287">
        <v>0</v>
      </c>
      <c r="AT287">
        <v>80</v>
      </c>
      <c r="AU287" t="s">
        <v>125</v>
      </c>
      <c r="AV287">
        <v>16</v>
      </c>
      <c r="AW287" t="s">
        <v>108</v>
      </c>
      <c r="AX287">
        <v>21</v>
      </c>
      <c r="AY287">
        <f t="shared" si="24"/>
        <v>0</v>
      </c>
      <c r="AZ287">
        <f t="shared" si="25"/>
        <v>0</v>
      </c>
      <c r="BA287">
        <v>120</v>
      </c>
      <c r="BB287" t="str">
        <f t="shared" si="26"/>
        <v/>
      </c>
      <c r="BC287" t="str">
        <f t="shared" si="27"/>
        <v/>
      </c>
      <c r="BD287">
        <f t="shared" si="28"/>
        <v>0</v>
      </c>
      <c r="BE287">
        <v>0</v>
      </c>
      <c r="BF287" t="str">
        <f t="shared" si="29"/>
        <v/>
      </c>
    </row>
    <row r="288" spans="1:58" x14ac:dyDescent="0.3">
      <c r="A288">
        <v>798</v>
      </c>
      <c r="B288" s="2">
        <v>45559.598067129627</v>
      </c>
      <c r="C288">
        <v>100000</v>
      </c>
      <c r="D288">
        <v>50000</v>
      </c>
      <c r="E288">
        <v>0</v>
      </c>
      <c r="F288">
        <v>10000</v>
      </c>
      <c r="G288">
        <v>0</v>
      </c>
      <c r="H288">
        <v>0</v>
      </c>
      <c r="I288">
        <v>20000</v>
      </c>
      <c r="J288">
        <v>20000</v>
      </c>
      <c r="K288">
        <v>0</v>
      </c>
      <c r="L288">
        <v>0</v>
      </c>
      <c r="M288">
        <v>0</v>
      </c>
      <c r="N288">
        <v>30000</v>
      </c>
      <c r="O288">
        <v>0</v>
      </c>
      <c r="P288">
        <v>-3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6</v>
      </c>
      <c r="X288">
        <v>170000</v>
      </c>
      <c r="Y288">
        <v>0</v>
      </c>
      <c r="Z288">
        <v>0</v>
      </c>
      <c r="AA288">
        <v>0</v>
      </c>
      <c r="AB288">
        <v>100000</v>
      </c>
      <c r="AC288">
        <v>100000</v>
      </c>
      <c r="AD288">
        <v>90000</v>
      </c>
      <c r="AG288">
        <v>8</v>
      </c>
      <c r="AH288">
        <v>10</v>
      </c>
      <c r="AI288">
        <v>0</v>
      </c>
      <c r="AJ288">
        <v>0</v>
      </c>
      <c r="AK288">
        <v>1</v>
      </c>
      <c r="AL288">
        <v>1</v>
      </c>
      <c r="AM288" t="s">
        <v>168</v>
      </c>
      <c r="AN288">
        <v>581</v>
      </c>
      <c r="AO288">
        <v>198</v>
      </c>
      <c r="AQ288">
        <v>906</v>
      </c>
      <c r="AS288">
        <v>1</v>
      </c>
      <c r="AT288">
        <v>80</v>
      </c>
      <c r="AU288" t="s">
        <v>125</v>
      </c>
      <c r="AV288">
        <v>16</v>
      </c>
      <c r="AW288" t="s">
        <v>108</v>
      </c>
      <c r="AX288">
        <v>21</v>
      </c>
      <c r="AY288">
        <f t="shared" si="24"/>
        <v>18</v>
      </c>
      <c r="AZ288">
        <f t="shared" si="25"/>
        <v>2</v>
      </c>
      <c r="BA288">
        <v>120</v>
      </c>
      <c r="BB288" t="str">
        <f t="shared" si="26"/>
        <v>(Natu-city)</v>
      </c>
      <c r="BC288">
        <f t="shared" si="27"/>
        <v>-2</v>
      </c>
      <c r="BD288">
        <f t="shared" si="28"/>
        <v>0</v>
      </c>
      <c r="BE288">
        <v>20000</v>
      </c>
      <c r="BF288" t="str">
        <f t="shared" si="29"/>
        <v>(Natu-city)</v>
      </c>
    </row>
    <row r="289" spans="1:58" x14ac:dyDescent="0.3">
      <c r="A289">
        <v>844</v>
      </c>
      <c r="B289" s="2">
        <v>45559.598067129627</v>
      </c>
      <c r="C289">
        <v>100000</v>
      </c>
      <c r="D289">
        <v>50000</v>
      </c>
      <c r="E289">
        <v>0</v>
      </c>
      <c r="F289">
        <v>10000</v>
      </c>
      <c r="G289">
        <v>0</v>
      </c>
      <c r="H289">
        <v>0</v>
      </c>
      <c r="I289">
        <v>15000</v>
      </c>
      <c r="J289">
        <v>10000</v>
      </c>
      <c r="K289">
        <v>0</v>
      </c>
      <c r="L289">
        <v>0</v>
      </c>
      <c r="M289">
        <v>4000</v>
      </c>
      <c r="N289">
        <v>41000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3</v>
      </c>
      <c r="W289">
        <v>6</v>
      </c>
      <c r="X289">
        <v>170000</v>
      </c>
      <c r="Y289">
        <v>100000</v>
      </c>
      <c r="Z289">
        <v>90000</v>
      </c>
      <c r="AA289">
        <v>0</v>
      </c>
      <c r="AB289">
        <v>0</v>
      </c>
      <c r="AC289">
        <v>100000</v>
      </c>
      <c r="AD289">
        <v>80000</v>
      </c>
      <c r="AG289">
        <v>8</v>
      </c>
      <c r="AH289">
        <v>10</v>
      </c>
      <c r="AI289">
        <v>-2</v>
      </c>
      <c r="AJ289">
        <v>-1</v>
      </c>
      <c r="AK289">
        <v>0</v>
      </c>
      <c r="AL289">
        <v>0</v>
      </c>
      <c r="AM289" t="s">
        <v>168</v>
      </c>
      <c r="AN289">
        <v>581</v>
      </c>
      <c r="AO289">
        <v>203</v>
      </c>
      <c r="AP289">
        <v>906</v>
      </c>
      <c r="AQ289">
        <v>906</v>
      </c>
      <c r="AS289">
        <v>2</v>
      </c>
      <c r="AT289">
        <v>80</v>
      </c>
      <c r="AU289" t="s">
        <v>125</v>
      </c>
      <c r="AV289">
        <v>16</v>
      </c>
      <c r="AW289" t="s">
        <v>108</v>
      </c>
      <c r="AX289">
        <v>21</v>
      </c>
      <c r="AY289">
        <f t="shared" si="24"/>
        <v>18</v>
      </c>
      <c r="AZ289">
        <f t="shared" si="25"/>
        <v>0</v>
      </c>
      <c r="BA289">
        <v>120</v>
      </c>
      <c r="BB289" t="str">
        <f t="shared" si="26"/>
        <v>(Natu-city)</v>
      </c>
      <c r="BC289">
        <f t="shared" si="27"/>
        <v>0</v>
      </c>
      <c r="BD289">
        <f t="shared" si="28"/>
        <v>4000</v>
      </c>
      <c r="BE289">
        <v>10000</v>
      </c>
      <c r="BF289" t="str">
        <f t="shared" si="29"/>
        <v>(Natu-city)</v>
      </c>
    </row>
    <row r="290" spans="1:58" x14ac:dyDescent="0.3">
      <c r="A290">
        <v>888</v>
      </c>
      <c r="B290" s="2">
        <v>45559.598067129627</v>
      </c>
      <c r="C290">
        <v>100000</v>
      </c>
      <c r="D290">
        <v>50000</v>
      </c>
      <c r="E290">
        <v>0</v>
      </c>
      <c r="F290">
        <v>17000</v>
      </c>
      <c r="G290">
        <v>20000</v>
      </c>
      <c r="H290">
        <v>30000</v>
      </c>
      <c r="I290">
        <v>15000</v>
      </c>
      <c r="J290">
        <v>40000</v>
      </c>
      <c r="K290">
        <v>0</v>
      </c>
      <c r="L290">
        <v>8000</v>
      </c>
      <c r="M290">
        <v>4000</v>
      </c>
      <c r="N290">
        <v>-55000</v>
      </c>
      <c r="O290">
        <v>3</v>
      </c>
      <c r="P290">
        <v>0</v>
      </c>
      <c r="Q290">
        <v>1</v>
      </c>
      <c r="R290">
        <v>2</v>
      </c>
      <c r="S290">
        <v>3</v>
      </c>
      <c r="T290">
        <v>1</v>
      </c>
      <c r="U290">
        <v>0</v>
      </c>
      <c r="V290">
        <v>-5</v>
      </c>
      <c r="W290">
        <v>6</v>
      </c>
      <c r="X290">
        <v>170000</v>
      </c>
      <c r="Y290">
        <v>100000</v>
      </c>
      <c r="Z290">
        <v>80000</v>
      </c>
      <c r="AA290">
        <v>100000</v>
      </c>
      <c r="AB290">
        <v>200000</v>
      </c>
      <c r="AC290">
        <v>170000</v>
      </c>
      <c r="AD290">
        <v>153000</v>
      </c>
      <c r="AE290">
        <v>27</v>
      </c>
      <c r="AG290">
        <v>8</v>
      </c>
      <c r="AH290">
        <v>7</v>
      </c>
      <c r="AI290">
        <v>-2</v>
      </c>
      <c r="AJ290">
        <v>-1</v>
      </c>
      <c r="AK290">
        <v>2</v>
      </c>
      <c r="AL290">
        <v>2</v>
      </c>
      <c r="AM290" t="s">
        <v>168</v>
      </c>
      <c r="AN290">
        <v>581</v>
      </c>
      <c r="AO290">
        <v>208</v>
      </c>
      <c r="AP290">
        <v>906</v>
      </c>
      <c r="AQ290">
        <v>970</v>
      </c>
      <c r="AS290">
        <v>3</v>
      </c>
      <c r="AT290">
        <v>80</v>
      </c>
      <c r="AU290" t="s">
        <v>125</v>
      </c>
      <c r="AV290">
        <v>16</v>
      </c>
      <c r="AW290" t="s">
        <v>108</v>
      </c>
      <c r="AX290">
        <v>21</v>
      </c>
      <c r="AY290">
        <f t="shared" si="24"/>
        <v>15</v>
      </c>
      <c r="AZ290">
        <f t="shared" si="25"/>
        <v>4</v>
      </c>
      <c r="BA290">
        <v>120</v>
      </c>
      <c r="BB290" t="str">
        <f t="shared" si="26"/>
        <v>(U-village)</v>
      </c>
      <c r="BC290">
        <f t="shared" si="27"/>
        <v>-8</v>
      </c>
      <c r="BD290">
        <f t="shared" si="28"/>
        <v>12000</v>
      </c>
      <c r="BE290">
        <v>40000</v>
      </c>
      <c r="BF290" t="str">
        <f t="shared" si="29"/>
        <v>(U-village)</v>
      </c>
    </row>
    <row r="291" spans="1:58" x14ac:dyDescent="0.3">
      <c r="A291">
        <v>751</v>
      </c>
      <c r="B291" s="2">
        <v>45559.597939814819</v>
      </c>
      <c r="C291">
        <v>50000</v>
      </c>
      <c r="D291">
        <v>20000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5</v>
      </c>
      <c r="W291">
        <v>3</v>
      </c>
      <c r="X291">
        <v>80000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t="s">
        <v>134</v>
      </c>
      <c r="AN291">
        <v>582</v>
      </c>
      <c r="AO291">
        <v>192</v>
      </c>
      <c r="AS291">
        <v>0</v>
      </c>
      <c r="AT291">
        <v>80</v>
      </c>
      <c r="AU291" t="s">
        <v>125</v>
      </c>
      <c r="AV291">
        <v>16</v>
      </c>
      <c r="AW291" t="s">
        <v>108</v>
      </c>
      <c r="AX291">
        <v>21</v>
      </c>
      <c r="AY291">
        <f t="shared" si="24"/>
        <v>0</v>
      </c>
      <c r="AZ291">
        <f t="shared" si="25"/>
        <v>0</v>
      </c>
      <c r="BA291">
        <v>117</v>
      </c>
      <c r="BB291" t="str">
        <f t="shared" si="26"/>
        <v/>
      </c>
      <c r="BC291" t="str">
        <f t="shared" si="27"/>
        <v/>
      </c>
      <c r="BD291">
        <f t="shared" si="28"/>
        <v>0</v>
      </c>
      <c r="BE291">
        <v>0</v>
      </c>
      <c r="BF291" t="str">
        <f t="shared" si="29"/>
        <v/>
      </c>
    </row>
    <row r="292" spans="1:58" x14ac:dyDescent="0.3">
      <c r="A292">
        <v>796</v>
      </c>
      <c r="B292" s="2">
        <v>45559.597939814819</v>
      </c>
      <c r="C292">
        <v>50000</v>
      </c>
      <c r="D292">
        <v>20000</v>
      </c>
      <c r="E292">
        <v>0</v>
      </c>
      <c r="F292">
        <v>7000</v>
      </c>
      <c r="G292">
        <v>0</v>
      </c>
      <c r="H292">
        <v>0</v>
      </c>
      <c r="I292">
        <v>20000</v>
      </c>
      <c r="J292">
        <v>3000</v>
      </c>
      <c r="K292">
        <v>0</v>
      </c>
      <c r="L292">
        <v>8000</v>
      </c>
      <c r="M292">
        <v>4000</v>
      </c>
      <c r="N292">
        <v>-12000</v>
      </c>
      <c r="O292">
        <v>0</v>
      </c>
      <c r="P292">
        <v>-1</v>
      </c>
      <c r="Q292">
        <v>0</v>
      </c>
      <c r="R292">
        <v>0</v>
      </c>
      <c r="S292">
        <v>3</v>
      </c>
      <c r="T292">
        <v>1</v>
      </c>
      <c r="U292">
        <v>0</v>
      </c>
      <c r="V292">
        <v>0</v>
      </c>
      <c r="W292">
        <v>3</v>
      </c>
      <c r="X292">
        <v>80000</v>
      </c>
      <c r="Y292">
        <v>0</v>
      </c>
      <c r="Z292">
        <v>0</v>
      </c>
      <c r="AA292">
        <v>0</v>
      </c>
      <c r="AB292">
        <v>70000</v>
      </c>
      <c r="AC292">
        <v>70000</v>
      </c>
      <c r="AD292">
        <v>63000</v>
      </c>
      <c r="AG292">
        <v>8</v>
      </c>
      <c r="AH292">
        <v>7</v>
      </c>
      <c r="AI292">
        <v>0</v>
      </c>
      <c r="AJ292">
        <v>0</v>
      </c>
      <c r="AK292">
        <v>0</v>
      </c>
      <c r="AL292">
        <v>1</v>
      </c>
      <c r="AM292" t="s">
        <v>168</v>
      </c>
      <c r="AN292">
        <v>582</v>
      </c>
      <c r="AO292">
        <v>198</v>
      </c>
      <c r="AQ292">
        <v>913</v>
      </c>
      <c r="AS292">
        <v>1</v>
      </c>
      <c r="AT292">
        <v>80</v>
      </c>
      <c r="AU292" t="s">
        <v>125</v>
      </c>
      <c r="AV292">
        <v>16</v>
      </c>
      <c r="AW292" t="s">
        <v>108</v>
      </c>
      <c r="AX292">
        <v>21</v>
      </c>
      <c r="AY292">
        <f t="shared" si="24"/>
        <v>15</v>
      </c>
      <c r="AZ292">
        <f t="shared" si="25"/>
        <v>1</v>
      </c>
      <c r="BA292">
        <v>117</v>
      </c>
      <c r="BB292" t="str">
        <f t="shared" si="26"/>
        <v>(U-village)</v>
      </c>
      <c r="BC292">
        <f t="shared" si="27"/>
        <v>-5</v>
      </c>
      <c r="BD292">
        <f t="shared" si="28"/>
        <v>12000</v>
      </c>
      <c r="BE292">
        <v>3000</v>
      </c>
      <c r="BF292" t="str">
        <f t="shared" si="29"/>
        <v>(U-village)</v>
      </c>
    </row>
    <row r="293" spans="1:58" x14ac:dyDescent="0.3">
      <c r="A293">
        <v>848</v>
      </c>
      <c r="B293" s="2">
        <v>45559.597939814819</v>
      </c>
      <c r="C293">
        <v>50000</v>
      </c>
      <c r="D293">
        <v>20000</v>
      </c>
      <c r="E293">
        <v>12000</v>
      </c>
      <c r="F293">
        <v>7000</v>
      </c>
      <c r="G293">
        <v>0</v>
      </c>
      <c r="H293">
        <v>0</v>
      </c>
      <c r="I293">
        <v>20000</v>
      </c>
      <c r="J293">
        <v>0</v>
      </c>
      <c r="K293">
        <v>0</v>
      </c>
      <c r="L293">
        <v>8000</v>
      </c>
      <c r="M293">
        <v>4000</v>
      </c>
      <c r="N293">
        <v>-21000</v>
      </c>
      <c r="O293">
        <v>0</v>
      </c>
      <c r="P293">
        <v>0</v>
      </c>
      <c r="Q293">
        <v>0</v>
      </c>
      <c r="R293">
        <v>0</v>
      </c>
      <c r="S293">
        <v>3</v>
      </c>
      <c r="T293">
        <v>1</v>
      </c>
      <c r="U293">
        <v>1</v>
      </c>
      <c r="V293">
        <v>-5</v>
      </c>
      <c r="W293">
        <v>3</v>
      </c>
      <c r="X293">
        <v>80000</v>
      </c>
      <c r="Y293">
        <v>70000</v>
      </c>
      <c r="Z293">
        <v>63000</v>
      </c>
      <c r="AA293">
        <v>0</v>
      </c>
      <c r="AB293">
        <v>0</v>
      </c>
      <c r="AC293">
        <v>70000</v>
      </c>
      <c r="AD293">
        <v>56000</v>
      </c>
      <c r="AG293">
        <v>8</v>
      </c>
      <c r="AH293">
        <v>7</v>
      </c>
      <c r="AI293">
        <v>-2</v>
      </c>
      <c r="AJ293">
        <v>-1</v>
      </c>
      <c r="AK293">
        <v>0</v>
      </c>
      <c r="AL293">
        <v>0</v>
      </c>
      <c r="AM293" t="s">
        <v>168</v>
      </c>
      <c r="AN293">
        <v>582</v>
      </c>
      <c r="AO293">
        <v>203</v>
      </c>
      <c r="AP293">
        <v>913</v>
      </c>
      <c r="AQ293">
        <v>913</v>
      </c>
      <c r="AS293">
        <v>2</v>
      </c>
      <c r="AT293">
        <v>80</v>
      </c>
      <c r="AU293" t="s">
        <v>125</v>
      </c>
      <c r="AV293">
        <v>16</v>
      </c>
      <c r="AW293" t="s">
        <v>108</v>
      </c>
      <c r="AX293">
        <v>21</v>
      </c>
      <c r="AY293">
        <f t="shared" si="24"/>
        <v>15</v>
      </c>
      <c r="AZ293">
        <f t="shared" si="25"/>
        <v>0</v>
      </c>
      <c r="BA293">
        <v>117</v>
      </c>
      <c r="BB293" t="str">
        <f t="shared" si="26"/>
        <v>(U-village)</v>
      </c>
      <c r="BC293">
        <f t="shared" si="27"/>
        <v>-5</v>
      </c>
      <c r="BD293">
        <f t="shared" si="28"/>
        <v>12000</v>
      </c>
      <c r="BE293">
        <v>0</v>
      </c>
      <c r="BF293" t="str">
        <f t="shared" si="29"/>
        <v>(U-village)</v>
      </c>
    </row>
    <row r="294" spans="1:58" x14ac:dyDescent="0.3">
      <c r="A294">
        <v>884</v>
      </c>
      <c r="B294" s="2">
        <v>45559.597939814819</v>
      </c>
      <c r="C294">
        <v>50000</v>
      </c>
      <c r="D294">
        <v>20000</v>
      </c>
      <c r="E294">
        <v>21000</v>
      </c>
      <c r="F294">
        <v>7000</v>
      </c>
      <c r="G294">
        <v>0</v>
      </c>
      <c r="H294">
        <v>0</v>
      </c>
      <c r="I294">
        <v>15000</v>
      </c>
      <c r="J294">
        <v>0</v>
      </c>
      <c r="K294">
        <v>0</v>
      </c>
      <c r="L294">
        <v>16000</v>
      </c>
      <c r="M294">
        <v>4000</v>
      </c>
      <c r="N294">
        <v>-93000</v>
      </c>
      <c r="O294">
        <v>0</v>
      </c>
      <c r="P294">
        <v>0</v>
      </c>
      <c r="Q294">
        <v>0</v>
      </c>
      <c r="R294">
        <v>0</v>
      </c>
      <c r="S294">
        <v>5</v>
      </c>
      <c r="T294">
        <v>1</v>
      </c>
      <c r="U294">
        <v>1</v>
      </c>
      <c r="V294">
        <v>-18</v>
      </c>
      <c r="W294">
        <v>3</v>
      </c>
      <c r="X294">
        <v>80000</v>
      </c>
      <c r="Y294">
        <v>70000</v>
      </c>
      <c r="Z294">
        <v>56000</v>
      </c>
      <c r="AA294">
        <v>0</v>
      </c>
      <c r="AB294">
        <v>0</v>
      </c>
      <c r="AC294">
        <v>70000</v>
      </c>
      <c r="AD294">
        <v>49000</v>
      </c>
      <c r="AG294">
        <v>8</v>
      </c>
      <c r="AH294">
        <v>7</v>
      </c>
      <c r="AI294">
        <v>-2</v>
      </c>
      <c r="AJ294">
        <v>-1</v>
      </c>
      <c r="AK294">
        <v>0</v>
      </c>
      <c r="AL294">
        <v>0</v>
      </c>
      <c r="AM294" t="s">
        <v>168</v>
      </c>
      <c r="AN294">
        <v>582</v>
      </c>
      <c r="AO294">
        <v>208</v>
      </c>
      <c r="AP294">
        <v>913</v>
      </c>
      <c r="AQ294">
        <v>913</v>
      </c>
      <c r="AS294">
        <v>3</v>
      </c>
      <c r="AT294">
        <v>80</v>
      </c>
      <c r="AU294" t="s">
        <v>125</v>
      </c>
      <c r="AV294">
        <v>16</v>
      </c>
      <c r="AW294" t="s">
        <v>108</v>
      </c>
      <c r="AX294">
        <v>21</v>
      </c>
      <c r="AY294">
        <f t="shared" si="24"/>
        <v>15</v>
      </c>
      <c r="AZ294">
        <f t="shared" si="25"/>
        <v>0</v>
      </c>
      <c r="BA294">
        <v>117</v>
      </c>
      <c r="BB294" t="str">
        <f t="shared" si="26"/>
        <v>(U-village)</v>
      </c>
      <c r="BC294">
        <f t="shared" si="27"/>
        <v>-13</v>
      </c>
      <c r="BD294">
        <f t="shared" si="28"/>
        <v>20000</v>
      </c>
      <c r="BE294">
        <v>0</v>
      </c>
      <c r="BF294" t="str">
        <f t="shared" si="29"/>
        <v>(U-village)</v>
      </c>
    </row>
    <row r="295" spans="1:58" x14ac:dyDescent="0.3">
      <c r="A295">
        <v>760</v>
      </c>
      <c r="B295" s="2">
        <v>45559.598344907412</v>
      </c>
      <c r="C295">
        <v>80000</v>
      </c>
      <c r="D295">
        <v>40000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15000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</v>
      </c>
      <c r="W295">
        <v>5</v>
      </c>
      <c r="X295">
        <v>130000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t="s">
        <v>134</v>
      </c>
      <c r="AN295">
        <v>583</v>
      </c>
      <c r="AO295">
        <v>192</v>
      </c>
      <c r="AS295">
        <v>0</v>
      </c>
      <c r="AT295">
        <v>80</v>
      </c>
      <c r="AU295" t="s">
        <v>125</v>
      </c>
      <c r="AV295">
        <v>16</v>
      </c>
      <c r="AW295" t="s">
        <v>108</v>
      </c>
      <c r="AX295">
        <v>21</v>
      </c>
      <c r="AY295">
        <f t="shared" si="24"/>
        <v>0</v>
      </c>
      <c r="AZ295">
        <f t="shared" si="25"/>
        <v>0</v>
      </c>
      <c r="BA295">
        <v>119</v>
      </c>
      <c r="BB295" t="str">
        <f t="shared" si="26"/>
        <v/>
      </c>
      <c r="BC295" t="str">
        <f t="shared" si="27"/>
        <v/>
      </c>
      <c r="BD295">
        <f t="shared" si="28"/>
        <v>0</v>
      </c>
      <c r="BE295">
        <v>0</v>
      </c>
      <c r="BF295" t="str">
        <f t="shared" si="29"/>
        <v/>
      </c>
    </row>
    <row r="296" spans="1:58" x14ac:dyDescent="0.3">
      <c r="A296">
        <v>794</v>
      </c>
      <c r="B296" s="2">
        <v>45559.598344907412</v>
      </c>
      <c r="C296">
        <v>80000</v>
      </c>
      <c r="D296">
        <v>40000</v>
      </c>
      <c r="E296">
        <v>0</v>
      </c>
      <c r="F296">
        <v>13000</v>
      </c>
      <c r="G296">
        <v>0</v>
      </c>
      <c r="H296">
        <v>30000</v>
      </c>
      <c r="I296">
        <v>15000</v>
      </c>
      <c r="J296">
        <v>0</v>
      </c>
      <c r="K296">
        <v>0</v>
      </c>
      <c r="L296">
        <v>0</v>
      </c>
      <c r="M296">
        <v>4000</v>
      </c>
      <c r="N296">
        <v>-7000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4</v>
      </c>
      <c r="W296">
        <v>5</v>
      </c>
      <c r="X296">
        <v>130000</v>
      </c>
      <c r="Y296">
        <v>0</v>
      </c>
      <c r="Z296">
        <v>0</v>
      </c>
      <c r="AA296">
        <v>0</v>
      </c>
      <c r="AB296">
        <v>160000</v>
      </c>
      <c r="AC296">
        <v>130000</v>
      </c>
      <c r="AD296">
        <v>117000</v>
      </c>
      <c r="AG296">
        <v>6</v>
      </c>
      <c r="AH296">
        <v>10</v>
      </c>
      <c r="AI296">
        <v>0</v>
      </c>
      <c r="AJ296">
        <v>0</v>
      </c>
      <c r="AK296">
        <v>0</v>
      </c>
      <c r="AL296">
        <v>0</v>
      </c>
      <c r="AM296" t="s">
        <v>168</v>
      </c>
      <c r="AN296">
        <v>583</v>
      </c>
      <c r="AO296">
        <v>198</v>
      </c>
      <c r="AQ296">
        <v>908</v>
      </c>
      <c r="AS296">
        <v>1</v>
      </c>
      <c r="AT296">
        <v>80</v>
      </c>
      <c r="AU296" t="s">
        <v>125</v>
      </c>
      <c r="AV296">
        <v>16</v>
      </c>
      <c r="AW296" t="s">
        <v>108</v>
      </c>
      <c r="AX296">
        <v>21</v>
      </c>
      <c r="AY296">
        <f t="shared" si="24"/>
        <v>16</v>
      </c>
      <c r="AZ296">
        <f t="shared" si="25"/>
        <v>0</v>
      </c>
      <c r="BA296">
        <v>119</v>
      </c>
      <c r="BB296" t="str">
        <f t="shared" si="26"/>
        <v>(Dike-town)</v>
      </c>
      <c r="BC296">
        <f t="shared" si="27"/>
        <v>-1</v>
      </c>
      <c r="BD296">
        <f t="shared" si="28"/>
        <v>4000</v>
      </c>
      <c r="BE296">
        <v>0</v>
      </c>
      <c r="BF296" t="str">
        <f t="shared" si="29"/>
        <v>(Dike-town)</v>
      </c>
    </row>
    <row r="297" spans="1:58" x14ac:dyDescent="0.3">
      <c r="A297">
        <v>843</v>
      </c>
      <c r="B297" s="2">
        <v>45559.598344907412</v>
      </c>
      <c r="C297">
        <v>80000</v>
      </c>
      <c r="D297">
        <v>40000</v>
      </c>
      <c r="E297">
        <v>7000</v>
      </c>
      <c r="F297">
        <v>13000</v>
      </c>
      <c r="G297">
        <v>0</v>
      </c>
      <c r="H297">
        <v>0</v>
      </c>
      <c r="I297">
        <v>15000</v>
      </c>
      <c r="J297">
        <v>3000</v>
      </c>
      <c r="K297">
        <v>0</v>
      </c>
      <c r="L297">
        <v>0</v>
      </c>
      <c r="M297">
        <v>4000</v>
      </c>
      <c r="N297">
        <v>-2000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2</v>
      </c>
      <c r="W297">
        <v>5</v>
      </c>
      <c r="X297">
        <v>130000</v>
      </c>
      <c r="Y297">
        <v>130000</v>
      </c>
      <c r="Z297">
        <v>117000</v>
      </c>
      <c r="AA297">
        <v>0</v>
      </c>
      <c r="AB297">
        <v>0</v>
      </c>
      <c r="AC297">
        <v>130000</v>
      </c>
      <c r="AD297">
        <v>104000</v>
      </c>
      <c r="AG297">
        <v>6</v>
      </c>
      <c r="AH297">
        <v>10</v>
      </c>
      <c r="AI297">
        <v>-2</v>
      </c>
      <c r="AJ297">
        <v>-1</v>
      </c>
      <c r="AK297">
        <v>0</v>
      </c>
      <c r="AL297">
        <v>1</v>
      </c>
      <c r="AM297" t="s">
        <v>168</v>
      </c>
      <c r="AN297">
        <v>583</v>
      </c>
      <c r="AO297">
        <v>203</v>
      </c>
      <c r="AP297">
        <v>908</v>
      </c>
      <c r="AQ297">
        <v>908</v>
      </c>
      <c r="AS297">
        <v>2</v>
      </c>
      <c r="AT297">
        <v>80</v>
      </c>
      <c r="AU297" t="s">
        <v>125</v>
      </c>
      <c r="AV297">
        <v>16</v>
      </c>
      <c r="AW297" t="s">
        <v>108</v>
      </c>
      <c r="AX297">
        <v>21</v>
      </c>
      <c r="AY297">
        <f t="shared" si="24"/>
        <v>16</v>
      </c>
      <c r="AZ297">
        <f t="shared" si="25"/>
        <v>1</v>
      </c>
      <c r="BA297">
        <v>119</v>
      </c>
      <c r="BB297" t="str">
        <f t="shared" si="26"/>
        <v>(Dike-town)</v>
      </c>
      <c r="BC297">
        <f t="shared" si="27"/>
        <v>-2</v>
      </c>
      <c r="BD297">
        <f t="shared" si="28"/>
        <v>4000</v>
      </c>
      <c r="BE297">
        <v>3000</v>
      </c>
      <c r="BF297" t="str">
        <f t="shared" si="29"/>
        <v>(Dike-town)</v>
      </c>
    </row>
    <row r="298" spans="1:58" x14ac:dyDescent="0.3">
      <c r="A298">
        <v>885</v>
      </c>
      <c r="B298" s="2">
        <v>45559.598344907412</v>
      </c>
      <c r="C298">
        <v>80000</v>
      </c>
      <c r="D298">
        <v>40000</v>
      </c>
      <c r="E298">
        <v>2000</v>
      </c>
      <c r="F298">
        <v>13000</v>
      </c>
      <c r="G298">
        <v>0</v>
      </c>
      <c r="H298">
        <v>0</v>
      </c>
      <c r="I298">
        <v>15000</v>
      </c>
      <c r="J298">
        <v>8000</v>
      </c>
      <c r="K298">
        <v>0</v>
      </c>
      <c r="L298">
        <v>4000</v>
      </c>
      <c r="M298">
        <v>4000</v>
      </c>
      <c r="N298">
        <v>-44000</v>
      </c>
      <c r="O298">
        <v>0</v>
      </c>
      <c r="P298">
        <v>0</v>
      </c>
      <c r="Q298">
        <v>0</v>
      </c>
      <c r="R298">
        <v>1</v>
      </c>
      <c r="S298">
        <v>2</v>
      </c>
      <c r="T298">
        <v>1</v>
      </c>
      <c r="U298">
        <v>1</v>
      </c>
      <c r="V298">
        <v>-4</v>
      </c>
      <c r="W298">
        <v>5</v>
      </c>
      <c r="X298">
        <v>130000</v>
      </c>
      <c r="Y298">
        <v>130000</v>
      </c>
      <c r="Z298">
        <v>104000</v>
      </c>
      <c r="AA298">
        <v>0</v>
      </c>
      <c r="AB298">
        <v>0</v>
      </c>
      <c r="AC298">
        <v>130000</v>
      </c>
      <c r="AD298">
        <v>91000</v>
      </c>
      <c r="AG298">
        <v>6</v>
      </c>
      <c r="AH298">
        <v>10</v>
      </c>
      <c r="AI298">
        <v>-2</v>
      </c>
      <c r="AJ298">
        <v>-1</v>
      </c>
      <c r="AK298">
        <v>0</v>
      </c>
      <c r="AL298">
        <v>0</v>
      </c>
      <c r="AM298" t="s">
        <v>168</v>
      </c>
      <c r="AN298">
        <v>583</v>
      </c>
      <c r="AO298">
        <v>208</v>
      </c>
      <c r="AP298">
        <v>908</v>
      </c>
      <c r="AQ298">
        <v>908</v>
      </c>
      <c r="AS298">
        <v>3</v>
      </c>
      <c r="AT298">
        <v>80</v>
      </c>
      <c r="AU298" t="s">
        <v>125</v>
      </c>
      <c r="AV298">
        <v>16</v>
      </c>
      <c r="AW298" t="s">
        <v>108</v>
      </c>
      <c r="AX298">
        <v>21</v>
      </c>
      <c r="AY298">
        <f t="shared" si="24"/>
        <v>16</v>
      </c>
      <c r="AZ298">
        <f t="shared" si="25"/>
        <v>0</v>
      </c>
      <c r="BA298">
        <v>119</v>
      </c>
      <c r="BB298" t="str">
        <f t="shared" si="26"/>
        <v>(Dike-town)</v>
      </c>
      <c r="BC298">
        <f t="shared" si="27"/>
        <v>-6</v>
      </c>
      <c r="BD298">
        <f t="shared" si="28"/>
        <v>8000</v>
      </c>
      <c r="BE298">
        <v>8000</v>
      </c>
      <c r="BF298" t="str">
        <f t="shared" si="29"/>
        <v>(Dike-town)</v>
      </c>
    </row>
    <row r="299" spans="1:58" x14ac:dyDescent="0.3">
      <c r="A299">
        <v>788</v>
      </c>
      <c r="B299" s="2">
        <v>45559.600543981483</v>
      </c>
      <c r="C299">
        <v>120000</v>
      </c>
      <c r="D299">
        <v>65000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50000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5</v>
      </c>
      <c r="W299">
        <v>7</v>
      </c>
      <c r="X299">
        <v>200000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t="s">
        <v>134</v>
      </c>
      <c r="AN299">
        <v>584</v>
      </c>
      <c r="AO299">
        <v>192</v>
      </c>
      <c r="AS299">
        <v>0</v>
      </c>
      <c r="AT299">
        <v>80</v>
      </c>
      <c r="AU299" t="s">
        <v>125</v>
      </c>
      <c r="AV299">
        <v>16</v>
      </c>
      <c r="AW299" t="s">
        <v>108</v>
      </c>
      <c r="AX299">
        <v>21</v>
      </c>
      <c r="AY299">
        <f t="shared" si="24"/>
        <v>0</v>
      </c>
      <c r="AZ299">
        <f t="shared" si="25"/>
        <v>0</v>
      </c>
      <c r="BA299">
        <v>121</v>
      </c>
      <c r="BB299" t="str">
        <f t="shared" si="26"/>
        <v/>
      </c>
      <c r="BC299" t="str">
        <f t="shared" si="27"/>
        <v/>
      </c>
      <c r="BD299">
        <f t="shared" si="28"/>
        <v>0</v>
      </c>
      <c r="BE299">
        <v>0</v>
      </c>
      <c r="BF299" t="str">
        <f t="shared" si="29"/>
        <v/>
      </c>
    </row>
    <row r="300" spans="1:58" x14ac:dyDescent="0.3">
      <c r="A300">
        <v>793</v>
      </c>
      <c r="B300" s="2">
        <v>45559.600543981483</v>
      </c>
      <c r="C300">
        <v>120000</v>
      </c>
      <c r="D300">
        <v>65000</v>
      </c>
      <c r="E300">
        <v>0</v>
      </c>
      <c r="F300">
        <v>20000</v>
      </c>
      <c r="G300">
        <v>0</v>
      </c>
      <c r="H300">
        <v>51000</v>
      </c>
      <c r="I300">
        <v>20000</v>
      </c>
      <c r="J300">
        <v>10000</v>
      </c>
      <c r="K300">
        <v>0</v>
      </c>
      <c r="L300">
        <v>0</v>
      </c>
      <c r="M300">
        <v>4000</v>
      </c>
      <c r="N300">
        <v>0</v>
      </c>
      <c r="O300">
        <v>0</v>
      </c>
      <c r="P300">
        <v>-1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4</v>
      </c>
      <c r="W300">
        <v>7</v>
      </c>
      <c r="X300">
        <v>200000</v>
      </c>
      <c r="Y300">
        <v>0</v>
      </c>
      <c r="Z300">
        <v>0</v>
      </c>
      <c r="AA300">
        <v>0</v>
      </c>
      <c r="AB300">
        <v>251000</v>
      </c>
      <c r="AC300">
        <v>200000</v>
      </c>
      <c r="AD300">
        <v>180000</v>
      </c>
      <c r="AG300">
        <v>8</v>
      </c>
      <c r="AH300">
        <v>10</v>
      </c>
      <c r="AI300">
        <v>0</v>
      </c>
      <c r="AJ300">
        <v>0</v>
      </c>
      <c r="AK300">
        <v>0</v>
      </c>
      <c r="AL300">
        <v>0</v>
      </c>
      <c r="AM300" t="s">
        <v>168</v>
      </c>
      <c r="AN300">
        <v>584</v>
      </c>
      <c r="AO300">
        <v>198</v>
      </c>
      <c r="AQ300">
        <v>905</v>
      </c>
      <c r="AS300">
        <v>1</v>
      </c>
      <c r="AT300">
        <v>80</v>
      </c>
      <c r="AU300" t="s">
        <v>125</v>
      </c>
      <c r="AV300">
        <v>16</v>
      </c>
      <c r="AW300" t="s">
        <v>108</v>
      </c>
      <c r="AX300">
        <v>21</v>
      </c>
      <c r="AY300">
        <f t="shared" si="24"/>
        <v>18</v>
      </c>
      <c r="AZ300">
        <f t="shared" si="25"/>
        <v>0</v>
      </c>
      <c r="BA300">
        <v>121</v>
      </c>
      <c r="BB300" t="str">
        <f t="shared" si="26"/>
        <v>(Natu-city)</v>
      </c>
      <c r="BC300">
        <f t="shared" si="27"/>
        <v>-1</v>
      </c>
      <c r="BD300">
        <f t="shared" si="28"/>
        <v>4000</v>
      </c>
      <c r="BE300">
        <v>10000</v>
      </c>
      <c r="BF300" t="str">
        <f t="shared" si="29"/>
        <v>(Natu-city)</v>
      </c>
    </row>
    <row r="301" spans="1:58" x14ac:dyDescent="0.3">
      <c r="A301">
        <v>847</v>
      </c>
      <c r="B301" s="2">
        <v>45559.600543981483</v>
      </c>
      <c r="C301">
        <v>120000</v>
      </c>
      <c r="D301">
        <v>65000</v>
      </c>
      <c r="E301">
        <v>0</v>
      </c>
      <c r="F301">
        <v>20000</v>
      </c>
      <c r="G301">
        <v>0</v>
      </c>
      <c r="H301">
        <v>0</v>
      </c>
      <c r="I301">
        <v>15000</v>
      </c>
      <c r="J301">
        <v>20000</v>
      </c>
      <c r="K301">
        <v>0</v>
      </c>
      <c r="L301">
        <v>0</v>
      </c>
      <c r="M301">
        <v>4000</v>
      </c>
      <c r="N301">
        <v>-4000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4</v>
      </c>
      <c r="W301">
        <v>7</v>
      </c>
      <c r="X301">
        <v>200000</v>
      </c>
      <c r="Y301">
        <v>200000</v>
      </c>
      <c r="Z301">
        <v>180000</v>
      </c>
      <c r="AA301">
        <v>0</v>
      </c>
      <c r="AB301">
        <v>0</v>
      </c>
      <c r="AC301">
        <v>200000</v>
      </c>
      <c r="AD301">
        <v>160000</v>
      </c>
      <c r="AG301">
        <v>8</v>
      </c>
      <c r="AH301">
        <v>10</v>
      </c>
      <c r="AI301">
        <v>-2</v>
      </c>
      <c r="AJ301">
        <v>-1</v>
      </c>
      <c r="AK301">
        <v>1</v>
      </c>
      <c r="AL301">
        <v>1</v>
      </c>
      <c r="AM301" t="s">
        <v>168</v>
      </c>
      <c r="AN301">
        <v>584</v>
      </c>
      <c r="AO301">
        <v>203</v>
      </c>
      <c r="AP301">
        <v>905</v>
      </c>
      <c r="AQ301">
        <v>905</v>
      </c>
      <c r="AS301">
        <v>2</v>
      </c>
      <c r="AT301">
        <v>80</v>
      </c>
      <c r="AU301" t="s">
        <v>125</v>
      </c>
      <c r="AV301">
        <v>16</v>
      </c>
      <c r="AW301" t="s">
        <v>108</v>
      </c>
      <c r="AX301">
        <v>21</v>
      </c>
      <c r="AY301">
        <f t="shared" si="24"/>
        <v>18</v>
      </c>
      <c r="AZ301">
        <f t="shared" si="25"/>
        <v>2</v>
      </c>
      <c r="BA301">
        <v>121</v>
      </c>
      <c r="BB301" t="str">
        <f t="shared" si="26"/>
        <v>(Natu-city)</v>
      </c>
      <c r="BC301">
        <f t="shared" si="27"/>
        <v>0</v>
      </c>
      <c r="BD301">
        <f t="shared" si="28"/>
        <v>4000</v>
      </c>
      <c r="BE301">
        <v>20000</v>
      </c>
      <c r="BF301" t="str">
        <f t="shared" si="29"/>
        <v>(Natu-city)</v>
      </c>
    </row>
    <row r="302" spans="1:58" x14ac:dyDescent="0.3">
      <c r="A302">
        <v>889</v>
      </c>
      <c r="B302" s="2">
        <v>45559.600543981483</v>
      </c>
      <c r="C302">
        <v>120000</v>
      </c>
      <c r="D302">
        <v>65000</v>
      </c>
      <c r="E302">
        <v>4000</v>
      </c>
      <c r="F302">
        <v>20000</v>
      </c>
      <c r="G302">
        <v>0</v>
      </c>
      <c r="H302">
        <v>0</v>
      </c>
      <c r="I302">
        <v>25000</v>
      </c>
      <c r="J302">
        <v>6000</v>
      </c>
      <c r="K302">
        <v>0</v>
      </c>
      <c r="L302">
        <v>4000</v>
      </c>
      <c r="M302">
        <v>4000</v>
      </c>
      <c r="N302">
        <v>-66000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1</v>
      </c>
      <c r="U302">
        <v>1</v>
      </c>
      <c r="V302">
        <v>-3</v>
      </c>
      <c r="W302">
        <v>7</v>
      </c>
      <c r="X302">
        <v>200000</v>
      </c>
      <c r="Y302">
        <v>200000</v>
      </c>
      <c r="Z302">
        <v>160000</v>
      </c>
      <c r="AA302">
        <v>0</v>
      </c>
      <c r="AB302">
        <v>0</v>
      </c>
      <c r="AC302">
        <v>200000</v>
      </c>
      <c r="AD302">
        <v>140000</v>
      </c>
      <c r="AG302">
        <v>8</v>
      </c>
      <c r="AH302">
        <v>10</v>
      </c>
      <c r="AI302">
        <v>-2</v>
      </c>
      <c r="AJ302">
        <v>-1</v>
      </c>
      <c r="AK302">
        <v>1</v>
      </c>
      <c r="AL302">
        <v>0</v>
      </c>
      <c r="AM302" t="s">
        <v>168</v>
      </c>
      <c r="AN302">
        <v>584</v>
      </c>
      <c r="AO302">
        <v>208</v>
      </c>
      <c r="AP302">
        <v>905</v>
      </c>
      <c r="AQ302">
        <v>905</v>
      </c>
      <c r="AS302">
        <v>3</v>
      </c>
      <c r="AT302">
        <v>80</v>
      </c>
      <c r="AU302" t="s">
        <v>125</v>
      </c>
      <c r="AV302">
        <v>16</v>
      </c>
      <c r="AW302" t="s">
        <v>108</v>
      </c>
      <c r="AX302">
        <v>21</v>
      </c>
      <c r="AY302">
        <f t="shared" si="24"/>
        <v>18</v>
      </c>
      <c r="AZ302">
        <f t="shared" si="25"/>
        <v>1</v>
      </c>
      <c r="BA302">
        <v>121</v>
      </c>
      <c r="BB302" t="str">
        <f t="shared" si="26"/>
        <v>(Natu-city)</v>
      </c>
      <c r="BC302">
        <f>IF(AN302=AN301,V302-V301,"")</f>
        <v>-7</v>
      </c>
      <c r="BD302">
        <f t="shared" si="28"/>
        <v>8000</v>
      </c>
      <c r="BE302">
        <v>6000</v>
      </c>
      <c r="BF302" t="str">
        <f t="shared" si="29"/>
        <v>(Natu-city)</v>
      </c>
    </row>
    <row r="303" spans="1:58" x14ac:dyDescent="0.3">
      <c r="A303">
        <v>744</v>
      </c>
      <c r="B303" s="2">
        <v>45559.597025462957</v>
      </c>
      <c r="C303">
        <v>180000</v>
      </c>
      <c r="D303">
        <v>105000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80000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5</v>
      </c>
      <c r="W303">
        <v>8</v>
      </c>
      <c r="X303">
        <v>300000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t="s">
        <v>134</v>
      </c>
      <c r="AN303">
        <v>585</v>
      </c>
      <c r="AO303">
        <v>192</v>
      </c>
      <c r="AS303">
        <v>0</v>
      </c>
      <c r="AT303">
        <v>80</v>
      </c>
      <c r="AU303" t="s">
        <v>125</v>
      </c>
      <c r="AV303">
        <v>16</v>
      </c>
      <c r="AW303" t="s">
        <v>108</v>
      </c>
      <c r="AX303">
        <v>21</v>
      </c>
      <c r="AY303">
        <f t="shared" si="24"/>
        <v>0</v>
      </c>
      <c r="AZ303">
        <f t="shared" si="25"/>
        <v>0</v>
      </c>
      <c r="BA303">
        <v>122</v>
      </c>
      <c r="BB303" t="str">
        <f t="shared" si="26"/>
        <v/>
      </c>
      <c r="BC303" t="str">
        <f t="shared" si="27"/>
        <v/>
      </c>
      <c r="BD303">
        <f t="shared" si="28"/>
        <v>0</v>
      </c>
      <c r="BE303">
        <v>0</v>
      </c>
      <c r="BF303" t="str">
        <f t="shared" si="29"/>
        <v/>
      </c>
    </row>
    <row r="304" spans="1:58" x14ac:dyDescent="0.3">
      <c r="A304">
        <v>797</v>
      </c>
      <c r="B304" s="2">
        <v>45559.597025462957</v>
      </c>
      <c r="C304">
        <v>180000</v>
      </c>
      <c r="D304">
        <v>105000</v>
      </c>
      <c r="E304">
        <v>0</v>
      </c>
      <c r="F304">
        <v>30000</v>
      </c>
      <c r="G304">
        <v>0</v>
      </c>
      <c r="H304">
        <v>0</v>
      </c>
      <c r="I304">
        <v>15000</v>
      </c>
      <c r="J304">
        <v>63000</v>
      </c>
      <c r="K304">
        <v>0</v>
      </c>
      <c r="L304">
        <v>0</v>
      </c>
      <c r="M304">
        <v>4000</v>
      </c>
      <c r="N304">
        <v>43000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1</v>
      </c>
      <c r="U304">
        <v>0</v>
      </c>
      <c r="V304">
        <v>6</v>
      </c>
      <c r="W304">
        <v>8</v>
      </c>
      <c r="X304">
        <v>300000</v>
      </c>
      <c r="Y304">
        <v>0</v>
      </c>
      <c r="Z304">
        <v>0</v>
      </c>
      <c r="AA304">
        <v>0</v>
      </c>
      <c r="AB304">
        <v>300000</v>
      </c>
      <c r="AC304">
        <v>300000</v>
      </c>
      <c r="AD304">
        <v>270000</v>
      </c>
      <c r="AG304">
        <v>6</v>
      </c>
      <c r="AH304">
        <v>10</v>
      </c>
      <c r="AI304">
        <v>0</v>
      </c>
      <c r="AJ304">
        <v>0</v>
      </c>
      <c r="AK304">
        <v>0</v>
      </c>
      <c r="AL304">
        <v>1</v>
      </c>
      <c r="AM304" t="s">
        <v>168</v>
      </c>
      <c r="AN304">
        <v>585</v>
      </c>
      <c r="AO304">
        <v>198</v>
      </c>
      <c r="AQ304">
        <v>907</v>
      </c>
      <c r="AS304">
        <v>1</v>
      </c>
      <c r="AT304">
        <v>80</v>
      </c>
      <c r="AU304" t="s">
        <v>125</v>
      </c>
      <c r="AV304">
        <v>16</v>
      </c>
      <c r="AW304" t="s">
        <v>108</v>
      </c>
      <c r="AX304">
        <v>21</v>
      </c>
      <c r="AY304">
        <f t="shared" si="24"/>
        <v>16</v>
      </c>
      <c r="AZ304">
        <f t="shared" si="25"/>
        <v>1</v>
      </c>
      <c r="BA304">
        <v>122</v>
      </c>
      <c r="BB304" t="str">
        <f t="shared" si="26"/>
        <v>(Dike-town)</v>
      </c>
      <c r="BC304">
        <f t="shared" si="27"/>
        <v>1</v>
      </c>
      <c r="BD304">
        <f t="shared" si="28"/>
        <v>4000</v>
      </c>
      <c r="BE304">
        <v>63000</v>
      </c>
      <c r="BF304" t="str">
        <f t="shared" si="29"/>
        <v>(Dike-town)</v>
      </c>
    </row>
    <row r="305" spans="1:58" x14ac:dyDescent="0.3">
      <c r="A305">
        <v>845</v>
      </c>
      <c r="B305" s="2">
        <v>45559.597025462957</v>
      </c>
      <c r="C305">
        <v>180000</v>
      </c>
      <c r="D305">
        <v>105000</v>
      </c>
      <c r="E305">
        <v>0</v>
      </c>
      <c r="F305">
        <v>30000</v>
      </c>
      <c r="G305">
        <v>0</v>
      </c>
      <c r="H305">
        <v>0</v>
      </c>
      <c r="I305">
        <v>15000</v>
      </c>
      <c r="J305">
        <v>38000</v>
      </c>
      <c r="K305">
        <v>0</v>
      </c>
      <c r="L305">
        <v>0</v>
      </c>
      <c r="M305">
        <v>4000</v>
      </c>
      <c r="N305">
        <v>31000</v>
      </c>
      <c r="O305">
        <v>0</v>
      </c>
      <c r="P305">
        <v>0</v>
      </c>
      <c r="Q305">
        <v>2</v>
      </c>
      <c r="R305">
        <v>0</v>
      </c>
      <c r="S305">
        <v>0</v>
      </c>
      <c r="T305">
        <v>1</v>
      </c>
      <c r="U305">
        <v>0</v>
      </c>
      <c r="V305">
        <v>7</v>
      </c>
      <c r="W305">
        <v>8</v>
      </c>
      <c r="X305">
        <v>300000</v>
      </c>
      <c r="Y305">
        <v>300000</v>
      </c>
      <c r="Z305">
        <v>270000</v>
      </c>
      <c r="AA305">
        <v>0</v>
      </c>
      <c r="AB305">
        <v>0</v>
      </c>
      <c r="AC305">
        <v>300000</v>
      </c>
      <c r="AD305">
        <v>240000</v>
      </c>
      <c r="AG305">
        <v>6</v>
      </c>
      <c r="AH305">
        <v>10</v>
      </c>
      <c r="AI305">
        <v>-2</v>
      </c>
      <c r="AJ305">
        <v>-1</v>
      </c>
      <c r="AK305">
        <v>3</v>
      </c>
      <c r="AL305">
        <v>0</v>
      </c>
      <c r="AM305" t="s">
        <v>168</v>
      </c>
      <c r="AN305">
        <v>585</v>
      </c>
      <c r="AO305">
        <v>203</v>
      </c>
      <c r="AP305">
        <v>907</v>
      </c>
      <c r="AQ305">
        <v>907</v>
      </c>
      <c r="AS305">
        <v>2</v>
      </c>
      <c r="AT305">
        <v>80</v>
      </c>
      <c r="AU305" t="s">
        <v>125</v>
      </c>
      <c r="AV305">
        <v>16</v>
      </c>
      <c r="AW305" t="s">
        <v>108</v>
      </c>
      <c r="AX305">
        <v>21</v>
      </c>
      <c r="AY305">
        <f t="shared" si="24"/>
        <v>16</v>
      </c>
      <c r="AZ305">
        <f t="shared" si="25"/>
        <v>3</v>
      </c>
      <c r="BA305">
        <v>122</v>
      </c>
      <c r="BB305" t="str">
        <f t="shared" si="26"/>
        <v>(Dike-town)</v>
      </c>
      <c r="BC305">
        <f t="shared" si="27"/>
        <v>1</v>
      </c>
      <c r="BD305">
        <f t="shared" si="28"/>
        <v>4000</v>
      </c>
      <c r="BE305">
        <v>38000</v>
      </c>
      <c r="BF305" t="str">
        <f t="shared" si="29"/>
        <v>(Dike-town)</v>
      </c>
    </row>
    <row r="306" spans="1:58" x14ac:dyDescent="0.3">
      <c r="A306">
        <v>883</v>
      </c>
      <c r="B306" s="2">
        <v>45559.597025462957</v>
      </c>
      <c r="C306">
        <v>180000</v>
      </c>
      <c r="D306">
        <v>105000</v>
      </c>
      <c r="E306">
        <v>0</v>
      </c>
      <c r="F306">
        <v>30000</v>
      </c>
      <c r="G306">
        <v>0</v>
      </c>
      <c r="H306">
        <v>0</v>
      </c>
      <c r="I306">
        <v>15000</v>
      </c>
      <c r="J306">
        <v>15000</v>
      </c>
      <c r="K306">
        <v>0</v>
      </c>
      <c r="L306">
        <v>4000</v>
      </c>
      <c r="M306">
        <v>4000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</v>
      </c>
      <c r="T306">
        <v>1</v>
      </c>
      <c r="U306">
        <v>0</v>
      </c>
      <c r="V306">
        <v>2</v>
      </c>
      <c r="W306">
        <v>8</v>
      </c>
      <c r="X306">
        <v>300000</v>
      </c>
      <c r="Y306">
        <v>300000</v>
      </c>
      <c r="Z306">
        <v>240000</v>
      </c>
      <c r="AA306">
        <v>0</v>
      </c>
      <c r="AB306">
        <v>0</v>
      </c>
      <c r="AC306">
        <v>300000</v>
      </c>
      <c r="AD306">
        <v>210000</v>
      </c>
      <c r="AG306">
        <v>6</v>
      </c>
      <c r="AH306">
        <v>10</v>
      </c>
      <c r="AI306">
        <v>-2</v>
      </c>
      <c r="AJ306">
        <v>-1</v>
      </c>
      <c r="AK306">
        <v>0</v>
      </c>
      <c r="AL306">
        <v>0</v>
      </c>
      <c r="AM306" t="s">
        <v>168</v>
      </c>
      <c r="AN306">
        <v>585</v>
      </c>
      <c r="AO306">
        <v>208</v>
      </c>
      <c r="AP306">
        <v>907</v>
      </c>
      <c r="AQ306">
        <v>907</v>
      </c>
      <c r="AS306">
        <v>3</v>
      </c>
      <c r="AT306">
        <v>80</v>
      </c>
      <c r="AU306" t="s">
        <v>125</v>
      </c>
      <c r="AV306">
        <v>16</v>
      </c>
      <c r="AW306" t="s">
        <v>108</v>
      </c>
      <c r="AX306">
        <v>21</v>
      </c>
      <c r="AY306">
        <f t="shared" si="24"/>
        <v>16</v>
      </c>
      <c r="AZ306">
        <f t="shared" si="25"/>
        <v>0</v>
      </c>
      <c r="BA306">
        <v>122</v>
      </c>
      <c r="BB306" t="str">
        <f t="shared" si="26"/>
        <v>(Dike-town)</v>
      </c>
      <c r="BC306">
        <f t="shared" si="27"/>
        <v>-5</v>
      </c>
      <c r="BD306">
        <f t="shared" si="28"/>
        <v>8000</v>
      </c>
      <c r="BE306">
        <v>15000</v>
      </c>
      <c r="BF306" t="str">
        <f t="shared" si="29"/>
        <v>(Dike-town)</v>
      </c>
    </row>
    <row r="307" spans="1:58" x14ac:dyDescent="0.3">
      <c r="A307">
        <v>743</v>
      </c>
      <c r="B307" s="2">
        <v>45559.596736111111</v>
      </c>
      <c r="C307">
        <v>100000</v>
      </c>
      <c r="D307">
        <v>50000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30000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</v>
      </c>
      <c r="W307">
        <v>6</v>
      </c>
      <c r="X307">
        <v>170000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t="s">
        <v>134</v>
      </c>
      <c r="AN307">
        <v>586</v>
      </c>
      <c r="AO307">
        <v>192</v>
      </c>
      <c r="AS307">
        <v>0</v>
      </c>
      <c r="AT307">
        <v>80</v>
      </c>
      <c r="AU307" t="s">
        <v>125</v>
      </c>
      <c r="AV307">
        <v>16</v>
      </c>
      <c r="AW307" t="s">
        <v>108</v>
      </c>
      <c r="AX307">
        <v>21</v>
      </c>
      <c r="AY307">
        <f t="shared" si="24"/>
        <v>0</v>
      </c>
      <c r="AZ307">
        <f t="shared" si="25"/>
        <v>0</v>
      </c>
      <c r="BA307">
        <v>120</v>
      </c>
      <c r="BB307" t="str">
        <f t="shared" si="26"/>
        <v/>
      </c>
      <c r="BC307" t="str">
        <f t="shared" si="27"/>
        <v/>
      </c>
      <c r="BD307">
        <f t="shared" si="28"/>
        <v>0</v>
      </c>
      <c r="BE307">
        <v>0</v>
      </c>
      <c r="BF307" t="str">
        <f t="shared" si="29"/>
        <v/>
      </c>
    </row>
    <row r="308" spans="1:58" x14ac:dyDescent="0.3">
      <c r="A308">
        <v>810</v>
      </c>
      <c r="B308" s="2">
        <v>45559.596736111111</v>
      </c>
      <c r="C308">
        <v>100000</v>
      </c>
      <c r="D308">
        <v>50000</v>
      </c>
      <c r="E308">
        <v>0</v>
      </c>
      <c r="F308">
        <v>17000</v>
      </c>
      <c r="G308">
        <v>0</v>
      </c>
      <c r="H308">
        <v>30000</v>
      </c>
      <c r="I308">
        <v>20000</v>
      </c>
      <c r="J308">
        <v>12000</v>
      </c>
      <c r="K308">
        <v>0</v>
      </c>
      <c r="L308">
        <v>8000</v>
      </c>
      <c r="M308">
        <v>0</v>
      </c>
      <c r="N308">
        <v>-7000</v>
      </c>
      <c r="O308">
        <v>0</v>
      </c>
      <c r="P308">
        <v>0</v>
      </c>
      <c r="Q308">
        <v>0</v>
      </c>
      <c r="R308">
        <v>0</v>
      </c>
      <c r="S308">
        <v>3</v>
      </c>
      <c r="T308">
        <v>0</v>
      </c>
      <c r="U308">
        <v>0</v>
      </c>
      <c r="V308">
        <v>2</v>
      </c>
      <c r="W308">
        <v>6</v>
      </c>
      <c r="X308">
        <v>170000</v>
      </c>
      <c r="Y308">
        <v>0</v>
      </c>
      <c r="Z308">
        <v>0</v>
      </c>
      <c r="AA308">
        <v>0</v>
      </c>
      <c r="AB308">
        <v>200000</v>
      </c>
      <c r="AC308">
        <v>170000</v>
      </c>
      <c r="AD308">
        <v>153000</v>
      </c>
      <c r="AG308">
        <v>8</v>
      </c>
      <c r="AH308">
        <v>7</v>
      </c>
      <c r="AI308">
        <v>0</v>
      </c>
      <c r="AJ308">
        <v>0</v>
      </c>
      <c r="AK308">
        <v>1</v>
      </c>
      <c r="AL308">
        <v>1</v>
      </c>
      <c r="AM308" t="s">
        <v>168</v>
      </c>
      <c r="AN308">
        <v>586</v>
      </c>
      <c r="AO308">
        <v>198</v>
      </c>
      <c r="AQ308">
        <v>911</v>
      </c>
      <c r="AS308">
        <v>1</v>
      </c>
      <c r="AT308">
        <v>80</v>
      </c>
      <c r="AU308" t="s">
        <v>125</v>
      </c>
      <c r="AV308">
        <v>16</v>
      </c>
      <c r="AW308" t="s">
        <v>108</v>
      </c>
      <c r="AX308">
        <v>21</v>
      </c>
      <c r="AY308">
        <f t="shared" si="24"/>
        <v>15</v>
      </c>
      <c r="AZ308">
        <f t="shared" si="25"/>
        <v>2</v>
      </c>
      <c r="BA308">
        <v>120</v>
      </c>
      <c r="BB308" t="str">
        <f t="shared" si="26"/>
        <v>(U-village)</v>
      </c>
      <c r="BC308">
        <f t="shared" si="27"/>
        <v>-3</v>
      </c>
      <c r="BD308">
        <f t="shared" si="28"/>
        <v>8000</v>
      </c>
      <c r="BE308">
        <v>12000</v>
      </c>
      <c r="BF308" t="str">
        <f t="shared" si="29"/>
        <v>(U-village)</v>
      </c>
    </row>
    <row r="309" spans="1:58" x14ac:dyDescent="0.3">
      <c r="A309">
        <v>851</v>
      </c>
      <c r="B309" s="2">
        <v>45559.596736111111</v>
      </c>
      <c r="C309">
        <v>100000</v>
      </c>
      <c r="D309">
        <v>50000</v>
      </c>
      <c r="E309">
        <v>7000</v>
      </c>
      <c r="F309">
        <v>17000</v>
      </c>
      <c r="G309">
        <v>0</v>
      </c>
      <c r="H309">
        <v>0</v>
      </c>
      <c r="I309">
        <v>20000</v>
      </c>
      <c r="J309">
        <v>6000</v>
      </c>
      <c r="K309">
        <v>0</v>
      </c>
      <c r="L309">
        <v>8000</v>
      </c>
      <c r="M309">
        <v>4000</v>
      </c>
      <c r="N309">
        <v>-12000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1</v>
      </c>
      <c r="U309">
        <v>1</v>
      </c>
      <c r="V309">
        <v>-3</v>
      </c>
      <c r="W309">
        <v>6</v>
      </c>
      <c r="X309">
        <v>170000</v>
      </c>
      <c r="Y309">
        <v>170000</v>
      </c>
      <c r="Z309">
        <v>153000</v>
      </c>
      <c r="AA309">
        <v>0</v>
      </c>
      <c r="AB309">
        <v>0</v>
      </c>
      <c r="AC309">
        <v>170000</v>
      </c>
      <c r="AD309">
        <v>136000</v>
      </c>
      <c r="AG309">
        <v>8</v>
      </c>
      <c r="AH309">
        <v>7</v>
      </c>
      <c r="AI309">
        <v>-2</v>
      </c>
      <c r="AJ309">
        <v>-1</v>
      </c>
      <c r="AK309">
        <v>1</v>
      </c>
      <c r="AL309">
        <v>0</v>
      </c>
      <c r="AM309" t="s">
        <v>168</v>
      </c>
      <c r="AN309">
        <v>586</v>
      </c>
      <c r="AO309">
        <v>203</v>
      </c>
      <c r="AP309">
        <v>911</v>
      </c>
      <c r="AQ309">
        <v>911</v>
      </c>
      <c r="AS309">
        <v>2</v>
      </c>
      <c r="AT309">
        <v>80</v>
      </c>
      <c r="AU309" t="s">
        <v>125</v>
      </c>
      <c r="AV309">
        <v>16</v>
      </c>
      <c r="AW309" t="s">
        <v>108</v>
      </c>
      <c r="AX309">
        <v>21</v>
      </c>
      <c r="AY309">
        <f t="shared" si="24"/>
        <v>15</v>
      </c>
      <c r="AZ309">
        <f t="shared" si="25"/>
        <v>1</v>
      </c>
      <c r="BA309">
        <v>120</v>
      </c>
      <c r="BB309" t="str">
        <f t="shared" si="26"/>
        <v>(U-village)</v>
      </c>
      <c r="BC309">
        <f t="shared" si="27"/>
        <v>-5</v>
      </c>
      <c r="BD309">
        <f t="shared" si="28"/>
        <v>12000</v>
      </c>
      <c r="BE309">
        <v>6000</v>
      </c>
      <c r="BF309" t="str">
        <f t="shared" si="29"/>
        <v>(U-village)</v>
      </c>
    </row>
    <row r="310" spans="1:58" x14ac:dyDescent="0.3">
      <c r="A310">
        <v>898</v>
      </c>
      <c r="B310" s="2">
        <v>45559.596736111111</v>
      </c>
      <c r="C310">
        <v>100000</v>
      </c>
      <c r="D310">
        <v>50000</v>
      </c>
      <c r="E310">
        <v>12000</v>
      </c>
      <c r="F310">
        <v>17000</v>
      </c>
      <c r="G310">
        <v>86000</v>
      </c>
      <c r="H310">
        <v>20000</v>
      </c>
      <c r="I310">
        <v>15000</v>
      </c>
      <c r="J310">
        <v>115000</v>
      </c>
      <c r="K310">
        <v>0</v>
      </c>
      <c r="L310">
        <v>8000</v>
      </c>
      <c r="M310">
        <v>0</v>
      </c>
      <c r="N310">
        <v>10000</v>
      </c>
      <c r="O310">
        <v>1</v>
      </c>
      <c r="P310">
        <v>0</v>
      </c>
      <c r="Q310">
        <v>3</v>
      </c>
      <c r="R310">
        <v>4</v>
      </c>
      <c r="S310">
        <v>3</v>
      </c>
      <c r="T310">
        <v>0</v>
      </c>
      <c r="U310">
        <v>1</v>
      </c>
      <c r="V310">
        <v>-5</v>
      </c>
      <c r="W310">
        <v>6</v>
      </c>
      <c r="X310">
        <v>170000</v>
      </c>
      <c r="Y310">
        <v>170000</v>
      </c>
      <c r="Z310">
        <v>136000</v>
      </c>
      <c r="AA310">
        <v>222000</v>
      </c>
      <c r="AB310">
        <v>190000</v>
      </c>
      <c r="AC310">
        <v>170000</v>
      </c>
      <c r="AD310">
        <v>153000</v>
      </c>
      <c r="AE310">
        <v>29</v>
      </c>
      <c r="AG310">
        <v>8</v>
      </c>
      <c r="AH310">
        <v>7</v>
      </c>
      <c r="AI310">
        <v>-2</v>
      </c>
      <c r="AJ310">
        <v>-1</v>
      </c>
      <c r="AK310">
        <v>3</v>
      </c>
      <c r="AL310">
        <v>2</v>
      </c>
      <c r="AM310" t="s">
        <v>168</v>
      </c>
      <c r="AN310">
        <v>586</v>
      </c>
      <c r="AO310">
        <v>208</v>
      </c>
      <c r="AP310">
        <v>911</v>
      </c>
      <c r="AQ310">
        <v>911</v>
      </c>
      <c r="AS310">
        <v>3</v>
      </c>
      <c r="AT310">
        <v>80</v>
      </c>
      <c r="AU310" t="s">
        <v>125</v>
      </c>
      <c r="AV310">
        <v>16</v>
      </c>
      <c r="AW310" t="s">
        <v>108</v>
      </c>
      <c r="AX310">
        <v>21</v>
      </c>
      <c r="AY310">
        <f t="shared" si="24"/>
        <v>15</v>
      </c>
      <c r="AZ310">
        <f t="shared" si="25"/>
        <v>5</v>
      </c>
      <c r="BA310">
        <v>120</v>
      </c>
      <c r="BB310" t="str">
        <f t="shared" si="26"/>
        <v>(U-village)</v>
      </c>
      <c r="BC310">
        <f t="shared" si="27"/>
        <v>-2</v>
      </c>
      <c r="BD310">
        <f t="shared" si="28"/>
        <v>8000</v>
      </c>
      <c r="BE310">
        <v>115000</v>
      </c>
      <c r="BF310" t="str">
        <f t="shared" si="29"/>
        <v>(U-village)</v>
      </c>
    </row>
    <row r="311" spans="1:58" x14ac:dyDescent="0.3">
      <c r="A311">
        <v>758</v>
      </c>
      <c r="B311" s="2">
        <v>45559.598252314812</v>
      </c>
      <c r="C311">
        <v>100000</v>
      </c>
      <c r="D311">
        <v>50000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30000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5</v>
      </c>
      <c r="W311">
        <v>6</v>
      </c>
      <c r="X311">
        <v>170000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t="s">
        <v>134</v>
      </c>
      <c r="AN311">
        <v>587</v>
      </c>
      <c r="AO311">
        <v>192</v>
      </c>
      <c r="AS311">
        <v>0</v>
      </c>
      <c r="AT311">
        <v>80</v>
      </c>
      <c r="AU311" t="s">
        <v>125</v>
      </c>
      <c r="AV311">
        <v>16</v>
      </c>
      <c r="AW311" t="s">
        <v>108</v>
      </c>
      <c r="AX311">
        <v>21</v>
      </c>
      <c r="AY311">
        <f t="shared" si="24"/>
        <v>0</v>
      </c>
      <c r="AZ311">
        <f t="shared" si="25"/>
        <v>0</v>
      </c>
      <c r="BA311">
        <v>120</v>
      </c>
      <c r="BB311" t="str">
        <f t="shared" si="26"/>
        <v/>
      </c>
      <c r="BC311" t="str">
        <f t="shared" si="27"/>
        <v/>
      </c>
      <c r="BD311">
        <f t="shared" si="28"/>
        <v>0</v>
      </c>
      <c r="BE311">
        <v>0</v>
      </c>
      <c r="BF311" t="str">
        <f t="shared" si="29"/>
        <v/>
      </c>
    </row>
    <row r="312" spans="1:58" x14ac:dyDescent="0.3">
      <c r="A312">
        <v>795</v>
      </c>
      <c r="B312" s="2">
        <v>45559.598252314812</v>
      </c>
      <c r="C312">
        <v>100000</v>
      </c>
      <c r="D312">
        <v>50000</v>
      </c>
      <c r="E312">
        <v>0</v>
      </c>
      <c r="F312">
        <v>16000</v>
      </c>
      <c r="G312">
        <v>0</v>
      </c>
      <c r="H312">
        <v>0</v>
      </c>
      <c r="I312">
        <v>15000</v>
      </c>
      <c r="J312">
        <v>16000</v>
      </c>
      <c r="K312">
        <v>0</v>
      </c>
      <c r="L312">
        <v>0</v>
      </c>
      <c r="M312">
        <v>4000</v>
      </c>
      <c r="N312">
        <v>29000</v>
      </c>
      <c r="O312">
        <v>0</v>
      </c>
      <c r="P312">
        <v>-1</v>
      </c>
      <c r="Q312">
        <v>0</v>
      </c>
      <c r="R312">
        <v>2</v>
      </c>
      <c r="S312">
        <v>0</v>
      </c>
      <c r="T312">
        <v>1</v>
      </c>
      <c r="U312">
        <v>0</v>
      </c>
      <c r="V312">
        <v>5</v>
      </c>
      <c r="W312">
        <v>6</v>
      </c>
      <c r="X312">
        <v>170000</v>
      </c>
      <c r="Y312">
        <v>0</v>
      </c>
      <c r="Z312">
        <v>0</v>
      </c>
      <c r="AA312">
        <v>0</v>
      </c>
      <c r="AB312">
        <v>160000</v>
      </c>
      <c r="AC312">
        <v>160000</v>
      </c>
      <c r="AD312">
        <v>144000</v>
      </c>
      <c r="AG312">
        <v>6</v>
      </c>
      <c r="AH312">
        <v>10</v>
      </c>
      <c r="AI312">
        <v>0</v>
      </c>
      <c r="AJ312">
        <v>0</v>
      </c>
      <c r="AK312">
        <v>0</v>
      </c>
      <c r="AL312">
        <v>0</v>
      </c>
      <c r="AM312" t="s">
        <v>168</v>
      </c>
      <c r="AN312">
        <v>587</v>
      </c>
      <c r="AO312">
        <v>198</v>
      </c>
      <c r="AQ312">
        <v>909</v>
      </c>
      <c r="AS312">
        <v>1</v>
      </c>
      <c r="AT312">
        <v>80</v>
      </c>
      <c r="AU312" t="s">
        <v>125</v>
      </c>
      <c r="AV312">
        <v>16</v>
      </c>
      <c r="AW312" t="s">
        <v>108</v>
      </c>
      <c r="AX312">
        <v>21</v>
      </c>
      <c r="AY312">
        <f t="shared" si="24"/>
        <v>16</v>
      </c>
      <c r="AZ312">
        <f t="shared" si="25"/>
        <v>0</v>
      </c>
      <c r="BA312">
        <v>120</v>
      </c>
      <c r="BB312" t="str">
        <f t="shared" si="26"/>
        <v>(Dike-town)</v>
      </c>
      <c r="BC312">
        <f t="shared" si="27"/>
        <v>0</v>
      </c>
      <c r="BD312">
        <f t="shared" si="28"/>
        <v>4000</v>
      </c>
      <c r="BE312">
        <v>16000</v>
      </c>
      <c r="BF312" t="str">
        <f t="shared" si="29"/>
        <v>(Dike-town)</v>
      </c>
    </row>
    <row r="313" spans="1:58" x14ac:dyDescent="0.3">
      <c r="A313">
        <v>846</v>
      </c>
      <c r="B313" s="2">
        <v>45559.598252314812</v>
      </c>
      <c r="C313">
        <v>100000</v>
      </c>
      <c r="D313">
        <v>50000</v>
      </c>
      <c r="E313">
        <v>0</v>
      </c>
      <c r="F313">
        <v>17000</v>
      </c>
      <c r="G313">
        <v>20000</v>
      </c>
      <c r="H313">
        <v>30000</v>
      </c>
      <c r="I313">
        <v>15000</v>
      </c>
      <c r="J313">
        <v>29000</v>
      </c>
      <c r="K313">
        <v>0</v>
      </c>
      <c r="L313">
        <v>0</v>
      </c>
      <c r="M313">
        <v>4000</v>
      </c>
      <c r="N313">
        <v>4000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1</v>
      </c>
      <c r="U313">
        <v>0</v>
      </c>
      <c r="V313">
        <v>4</v>
      </c>
      <c r="W313">
        <v>6</v>
      </c>
      <c r="X313">
        <v>170000</v>
      </c>
      <c r="Y313">
        <v>160000</v>
      </c>
      <c r="Z313">
        <v>144000</v>
      </c>
      <c r="AA313">
        <v>164000</v>
      </c>
      <c r="AB313">
        <v>200000</v>
      </c>
      <c r="AC313">
        <v>170000</v>
      </c>
      <c r="AD313">
        <v>153000</v>
      </c>
      <c r="AE313">
        <v>28</v>
      </c>
      <c r="AG313">
        <v>8</v>
      </c>
      <c r="AH313">
        <v>10</v>
      </c>
      <c r="AI313">
        <v>-2</v>
      </c>
      <c r="AJ313">
        <v>-1</v>
      </c>
      <c r="AK313">
        <v>2</v>
      </c>
      <c r="AL313">
        <v>2</v>
      </c>
      <c r="AM313" t="s">
        <v>168</v>
      </c>
      <c r="AN313">
        <v>587</v>
      </c>
      <c r="AO313">
        <v>203</v>
      </c>
      <c r="AP313">
        <v>909</v>
      </c>
      <c r="AQ313">
        <v>939</v>
      </c>
      <c r="AS313">
        <v>2</v>
      </c>
      <c r="AT313">
        <v>80</v>
      </c>
      <c r="AU313" t="s">
        <v>125</v>
      </c>
      <c r="AV313">
        <v>16</v>
      </c>
      <c r="AW313" t="s">
        <v>108</v>
      </c>
      <c r="AX313">
        <v>21</v>
      </c>
      <c r="AY313">
        <f t="shared" si="24"/>
        <v>18</v>
      </c>
      <c r="AZ313">
        <f t="shared" si="25"/>
        <v>4</v>
      </c>
      <c r="BA313">
        <v>120</v>
      </c>
      <c r="BB313" t="str">
        <f t="shared" si="26"/>
        <v>(Natu-city)</v>
      </c>
      <c r="BC313">
        <f t="shared" si="27"/>
        <v>-1</v>
      </c>
      <c r="BD313">
        <f t="shared" si="28"/>
        <v>4000</v>
      </c>
      <c r="BE313">
        <v>29000</v>
      </c>
      <c r="BF313" t="str">
        <f t="shared" si="29"/>
        <v>(Natu-city)</v>
      </c>
    </row>
    <row r="314" spans="1:58" x14ac:dyDescent="0.3">
      <c r="A314">
        <v>886</v>
      </c>
      <c r="B314" s="2">
        <v>45559.598252314812</v>
      </c>
      <c r="C314">
        <v>100000</v>
      </c>
      <c r="D314">
        <v>50000</v>
      </c>
      <c r="E314">
        <v>0</v>
      </c>
      <c r="F314">
        <v>17000</v>
      </c>
      <c r="G314">
        <v>0</v>
      </c>
      <c r="H314">
        <v>0</v>
      </c>
      <c r="I314">
        <v>25000</v>
      </c>
      <c r="J314">
        <v>0</v>
      </c>
      <c r="K314">
        <v>0</v>
      </c>
      <c r="L314">
        <v>4000</v>
      </c>
      <c r="M314">
        <v>4000</v>
      </c>
      <c r="N314">
        <v>-54000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1</v>
      </c>
      <c r="U314">
        <v>0</v>
      </c>
      <c r="V314">
        <v>-2</v>
      </c>
      <c r="W314">
        <v>6</v>
      </c>
      <c r="X314">
        <v>170000</v>
      </c>
      <c r="Y314">
        <v>170000</v>
      </c>
      <c r="Z314">
        <v>153000</v>
      </c>
      <c r="AA314">
        <v>0</v>
      </c>
      <c r="AB314">
        <v>0</v>
      </c>
      <c r="AC314">
        <v>170000</v>
      </c>
      <c r="AD314">
        <v>136000</v>
      </c>
      <c r="AG314">
        <v>8</v>
      </c>
      <c r="AH314">
        <v>10</v>
      </c>
      <c r="AI314">
        <v>-2</v>
      </c>
      <c r="AJ314">
        <v>-1</v>
      </c>
      <c r="AK314">
        <v>0</v>
      </c>
      <c r="AL314">
        <v>0</v>
      </c>
      <c r="AM314" t="s">
        <v>168</v>
      </c>
      <c r="AN314">
        <v>587</v>
      </c>
      <c r="AO314">
        <v>208</v>
      </c>
      <c r="AP314">
        <v>939</v>
      </c>
      <c r="AQ314">
        <v>939</v>
      </c>
      <c r="AS314">
        <v>3</v>
      </c>
      <c r="AT314">
        <v>80</v>
      </c>
      <c r="AU314" t="s">
        <v>125</v>
      </c>
      <c r="AV314">
        <v>16</v>
      </c>
      <c r="AW314" t="s">
        <v>108</v>
      </c>
      <c r="AX314">
        <v>21</v>
      </c>
      <c r="AY314">
        <f t="shared" si="24"/>
        <v>18</v>
      </c>
      <c r="AZ314">
        <f t="shared" si="25"/>
        <v>0</v>
      </c>
      <c r="BA314">
        <v>120</v>
      </c>
      <c r="BB314" t="str">
        <f t="shared" si="26"/>
        <v>(Natu-city)</v>
      </c>
      <c r="BC314">
        <f t="shared" si="27"/>
        <v>-6</v>
      </c>
      <c r="BD314">
        <f t="shared" si="28"/>
        <v>8000</v>
      </c>
      <c r="BE314">
        <v>0</v>
      </c>
      <c r="BF314" t="str">
        <f t="shared" si="29"/>
        <v>(Natu-city)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df_income_dist</vt:lpstr>
      <vt:lpstr>Plots</vt:lpstr>
      <vt:lpstr>gamesession</vt:lpstr>
      <vt:lpstr>group</vt:lpstr>
      <vt:lpstr>groupround</vt:lpstr>
      <vt:lpstr>player</vt:lpstr>
      <vt:lpstr>Sum delta houseprotection</vt:lpstr>
      <vt:lpstr>Blad6</vt:lpstr>
      <vt:lpstr>Behaviour dimesions</vt:lpstr>
      <vt:lpstr>Delta protection housing area</vt:lpstr>
      <vt:lpstr>Income allocation</vt:lpstr>
      <vt:lpstr>Ratio personalhouse measures</vt:lpstr>
      <vt:lpstr>Behaviour dimension final</vt:lpstr>
      <vt:lpstr>playerround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Sophia Huitema</dc:creator>
  <cp:lastModifiedBy>Anne Sophia Huitema</cp:lastModifiedBy>
  <dcterms:created xsi:type="dcterms:W3CDTF">2025-11-17T13:03:25Z</dcterms:created>
  <dcterms:modified xsi:type="dcterms:W3CDTF">2025-11-26T21:12:36Z</dcterms:modified>
</cp:coreProperties>
</file>