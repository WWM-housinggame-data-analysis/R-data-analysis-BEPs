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40831fc7e8278/Bureaublad/BEP data analysis/Scripts_annehuitema2003/Copy exel - graphs/Copy_data_ouput_exceladjustments/"/>
    </mc:Choice>
  </mc:AlternateContent>
  <xr:revisionPtr revIDLastSave="876" documentId="8_{19952296-3D70-421E-BC6F-4638A080F461}" xr6:coauthVersionLast="47" xr6:coauthVersionMax="47" xr10:uidLastSave="{5CEF64D6-0356-41CA-8888-B8BCF63C0659}"/>
  <bookViews>
    <workbookView xWindow="-96" yWindow="0" windowWidth="11712" windowHeight="13776" firstSheet="5" activeTab="8" xr2:uid="{00000000-000D-0000-FFFF-FFFF00000000}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Delta protection living area" sheetId="7" r:id="rId6"/>
    <sheet name="Avg Satisfaction over rounds" sheetId="8" r:id="rId7"/>
    <sheet name="Costs vs satisfaction" sheetId="9" r:id="rId8"/>
    <sheet name="Income distribution" sheetId="13" r:id="rId9"/>
    <sheet name="Blad9" sheetId="16" r:id="rId10"/>
    <sheet name="playerround" sheetId="6" r:id="rId11"/>
  </sheets>
  <calcPr calcId="191029"/>
  <pivotCaches>
    <pivotCache cacheId="0" r:id="rId12"/>
    <pivotCache cacheId="1" r:id="rId13"/>
    <pivotCache cacheId="2" r:id="rId14"/>
    <pivotCache cacheId="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" i="6" l="1" a="1"/>
  <c r="AZ2" i="6" s="1"/>
  <c r="BC3" i="6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2" i="6"/>
  <c r="BB3" i="6"/>
  <c r="BB4" i="6"/>
  <c r="BB5" i="6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16" i="6"/>
  <c r="BB117" i="6"/>
  <c r="BB118" i="6"/>
  <c r="BB119" i="6"/>
  <c r="BB120" i="6"/>
  <c r="BB121" i="6"/>
  <c r="BB2" i="6"/>
  <c r="BA6" i="6"/>
  <c r="BA7" i="6"/>
  <c r="BA8" i="6"/>
  <c r="BA9" i="6"/>
  <c r="BA10" i="6"/>
  <c r="BA22" i="6"/>
  <c r="BA23" i="6"/>
  <c r="BA24" i="6"/>
  <c r="BA25" i="6"/>
  <c r="BA26" i="6"/>
  <c r="BA38" i="6"/>
  <c r="BA39" i="6"/>
  <c r="BA40" i="6"/>
  <c r="BA41" i="6"/>
  <c r="BA42" i="6"/>
  <c r="BA54" i="6"/>
  <c r="BA55" i="6"/>
  <c r="BA56" i="6"/>
  <c r="BA57" i="6"/>
  <c r="BA58" i="6"/>
  <c r="BA70" i="6"/>
  <c r="BA71" i="6"/>
  <c r="BA72" i="6"/>
  <c r="BA73" i="6"/>
  <c r="BA74" i="6"/>
  <c r="BA86" i="6"/>
  <c r="BA87" i="6"/>
  <c r="BA88" i="6"/>
  <c r="BA89" i="6"/>
  <c r="BA90" i="6"/>
  <c r="BA102" i="6"/>
  <c r="BA103" i="6"/>
  <c r="BA104" i="6"/>
  <c r="BA105" i="6"/>
  <c r="BA106" i="6"/>
  <c r="BA118" i="6"/>
  <c r="BA119" i="6"/>
  <c r="BA120" i="6"/>
  <c r="BA121" i="6"/>
  <c r="BA2" i="6"/>
  <c r="AY3" i="6"/>
  <c r="AY4" i="6"/>
  <c r="BA3" i="6" s="1"/>
  <c r="AY5" i="6"/>
  <c r="BA4" i="6" s="1"/>
  <c r="AY6" i="6"/>
  <c r="BA5" i="6" s="1"/>
  <c r="AY7" i="6"/>
  <c r="AY8" i="6"/>
  <c r="AY9" i="6"/>
  <c r="AY10" i="6"/>
  <c r="AY11" i="6"/>
  <c r="AY12" i="6"/>
  <c r="BA11" i="6" s="1"/>
  <c r="AY13" i="6"/>
  <c r="BA12" i="6" s="1"/>
  <c r="AY14" i="6"/>
  <c r="BA13" i="6" s="1"/>
  <c r="AY15" i="6"/>
  <c r="BA14" i="6" s="1"/>
  <c r="AY16" i="6"/>
  <c r="BA15" i="6" s="1"/>
  <c r="AY17" i="6"/>
  <c r="BA16" i="6" s="1"/>
  <c r="AY18" i="6"/>
  <c r="BA17" i="6" s="1"/>
  <c r="AY19" i="6"/>
  <c r="BA18" i="6" s="1"/>
  <c r="AY20" i="6"/>
  <c r="BA19" i="6" s="1"/>
  <c r="AY21" i="6"/>
  <c r="BA20" i="6" s="1"/>
  <c r="AY22" i="6"/>
  <c r="BA21" i="6" s="1"/>
  <c r="AY23" i="6"/>
  <c r="AY24" i="6"/>
  <c r="AY25" i="6"/>
  <c r="AY26" i="6"/>
  <c r="AY27" i="6"/>
  <c r="AY28" i="6"/>
  <c r="BA27" i="6" s="1"/>
  <c r="AY29" i="6"/>
  <c r="BA28" i="6" s="1"/>
  <c r="AY30" i="6"/>
  <c r="BA29" i="6" s="1"/>
  <c r="AY31" i="6"/>
  <c r="BA30" i="6" s="1"/>
  <c r="AY32" i="6"/>
  <c r="BA31" i="6" s="1"/>
  <c r="AY33" i="6"/>
  <c r="BA32" i="6" s="1"/>
  <c r="AY34" i="6"/>
  <c r="BA33" i="6" s="1"/>
  <c r="AY35" i="6"/>
  <c r="BA34" i="6" s="1"/>
  <c r="AY36" i="6"/>
  <c r="BA35" i="6" s="1"/>
  <c r="AY37" i="6"/>
  <c r="BA36" i="6" s="1"/>
  <c r="AY38" i="6"/>
  <c r="BA37" i="6" s="1"/>
  <c r="AY39" i="6"/>
  <c r="AY40" i="6"/>
  <c r="AY41" i="6"/>
  <c r="AY42" i="6"/>
  <c r="AY43" i="6"/>
  <c r="AY44" i="6"/>
  <c r="BA43" i="6" s="1"/>
  <c r="AY45" i="6"/>
  <c r="BA44" i="6" s="1"/>
  <c r="AY46" i="6"/>
  <c r="BA45" i="6" s="1"/>
  <c r="AY47" i="6"/>
  <c r="BA46" i="6" s="1"/>
  <c r="AY48" i="6"/>
  <c r="BA47" i="6" s="1"/>
  <c r="AY49" i="6"/>
  <c r="BA48" i="6" s="1"/>
  <c r="AY50" i="6"/>
  <c r="BA49" i="6" s="1"/>
  <c r="AY51" i="6"/>
  <c r="BA50" i="6" s="1"/>
  <c r="AY52" i="6"/>
  <c r="BA51" i="6" s="1"/>
  <c r="AY53" i="6"/>
  <c r="BA52" i="6" s="1"/>
  <c r="AY54" i="6"/>
  <c r="BA53" i="6" s="1"/>
  <c r="AY55" i="6"/>
  <c r="AY56" i="6"/>
  <c r="AY57" i="6"/>
  <c r="AY58" i="6"/>
  <c r="AY59" i="6"/>
  <c r="AY60" i="6"/>
  <c r="BA59" i="6" s="1"/>
  <c r="AY61" i="6"/>
  <c r="BA60" i="6" s="1"/>
  <c r="AY62" i="6"/>
  <c r="BA61" i="6" s="1"/>
  <c r="AY63" i="6"/>
  <c r="BA62" i="6" s="1"/>
  <c r="AY64" i="6"/>
  <c r="BA63" i="6" s="1"/>
  <c r="AY65" i="6"/>
  <c r="BA64" i="6" s="1"/>
  <c r="AY66" i="6"/>
  <c r="BA65" i="6" s="1"/>
  <c r="AY67" i="6"/>
  <c r="BA66" i="6" s="1"/>
  <c r="AY68" i="6"/>
  <c r="BA67" i="6" s="1"/>
  <c r="AY69" i="6"/>
  <c r="BA68" i="6" s="1"/>
  <c r="AY70" i="6"/>
  <c r="BA69" i="6" s="1"/>
  <c r="AY71" i="6"/>
  <c r="AY72" i="6"/>
  <c r="AY73" i="6"/>
  <c r="AY74" i="6"/>
  <c r="AY75" i="6"/>
  <c r="AY76" i="6"/>
  <c r="BA75" i="6" s="1"/>
  <c r="AY77" i="6"/>
  <c r="BA76" i="6" s="1"/>
  <c r="AY78" i="6"/>
  <c r="BA77" i="6" s="1"/>
  <c r="AY79" i="6"/>
  <c r="BA78" i="6" s="1"/>
  <c r="AY80" i="6"/>
  <c r="BA79" i="6" s="1"/>
  <c r="AY81" i="6"/>
  <c r="BA80" i="6" s="1"/>
  <c r="AY82" i="6"/>
  <c r="BA81" i="6" s="1"/>
  <c r="AY83" i="6"/>
  <c r="BA82" i="6" s="1"/>
  <c r="AY84" i="6"/>
  <c r="BA83" i="6" s="1"/>
  <c r="AY85" i="6"/>
  <c r="BA84" i="6" s="1"/>
  <c r="AY86" i="6"/>
  <c r="BA85" i="6" s="1"/>
  <c r="AY87" i="6"/>
  <c r="AY88" i="6"/>
  <c r="AY89" i="6"/>
  <c r="AY90" i="6"/>
  <c r="AY91" i="6"/>
  <c r="AY92" i="6"/>
  <c r="BA91" i="6" s="1"/>
  <c r="AY93" i="6"/>
  <c r="BA92" i="6" s="1"/>
  <c r="AY94" i="6"/>
  <c r="BA93" i="6" s="1"/>
  <c r="AY95" i="6"/>
  <c r="BA94" i="6" s="1"/>
  <c r="AY96" i="6"/>
  <c r="BA95" i="6" s="1"/>
  <c r="AY97" i="6"/>
  <c r="BA96" i="6" s="1"/>
  <c r="AY98" i="6"/>
  <c r="BA97" i="6" s="1"/>
  <c r="AY99" i="6"/>
  <c r="BA98" i="6" s="1"/>
  <c r="AY100" i="6"/>
  <c r="BA99" i="6" s="1"/>
  <c r="AY101" i="6"/>
  <c r="BA100" i="6" s="1"/>
  <c r="AY102" i="6"/>
  <c r="BA101" i="6" s="1"/>
  <c r="AY103" i="6"/>
  <c r="AY104" i="6"/>
  <c r="AY105" i="6"/>
  <c r="AY106" i="6"/>
  <c r="AY107" i="6"/>
  <c r="AY108" i="6"/>
  <c r="BA107" i="6" s="1"/>
  <c r="AY109" i="6"/>
  <c r="BA108" i="6" s="1"/>
  <c r="AY110" i="6"/>
  <c r="BA109" i="6" s="1"/>
  <c r="AY111" i="6"/>
  <c r="BA110" i="6" s="1"/>
  <c r="AY112" i="6"/>
  <c r="BA111" i="6" s="1"/>
  <c r="AY113" i="6"/>
  <c r="BA112" i="6" s="1"/>
  <c r="AY114" i="6"/>
  <c r="BA113" i="6" s="1"/>
  <c r="AY115" i="6"/>
  <c r="BA114" i="6" s="1"/>
  <c r="AY116" i="6"/>
  <c r="BA115" i="6" s="1"/>
  <c r="AY117" i="6"/>
  <c r="BA116" i="6" s="1"/>
  <c r="AY118" i="6"/>
  <c r="BA117" i="6" s="1"/>
  <c r="AY119" i="6"/>
  <c r="AY120" i="6"/>
  <c r="AY121" i="6"/>
  <c r="AY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<sst xmlns="http://schemas.openxmlformats.org/spreadsheetml/2006/main" count="774" uniqueCount="173">
  <si>
    <t>playerround_id</t>
  </si>
  <si>
    <t>player_id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</si>
  <si>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</si>
  <si>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</si>
  <si>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</si>
  <si>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</si>
  <si>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</si>
  <si>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</si>
  <si>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</si>
  <si>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</si>
  <si>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</si>
  <si>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</si>
  <si>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</si>
  <si>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</si>
  <si>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</si>
  <si>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</si>
  <si>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p_code</t>
  </si>
  <si>
    <t>calculated_costs</t>
  </si>
  <si>
    <t>calculated_spendable</t>
  </si>
  <si>
    <t>t1p1</t>
  </si>
  <si>
    <t>t1p2</t>
  </si>
  <si>
    <t>t1p3</t>
  </si>
  <si>
    <t>t1p4</t>
  </si>
  <si>
    <t>t1p5</t>
  </si>
  <si>
    <t>t1p6</t>
  </si>
  <si>
    <t>t2p1</t>
  </si>
  <si>
    <t>t2p2</t>
  </si>
  <si>
    <t>t2p3</t>
  </si>
  <si>
    <t>t2p4</t>
  </si>
  <si>
    <t>t2p5</t>
  </si>
  <si>
    <t>t2p6</t>
  </si>
  <si>
    <t>t3p1</t>
  </si>
  <si>
    <t>t3p2</t>
  </si>
  <si>
    <t>t3p3</t>
  </si>
  <si>
    <t>t3p4</t>
  </si>
  <si>
    <t>t3p5</t>
  </si>
  <si>
    <t>t3p6</t>
  </si>
  <si>
    <t>t4p1</t>
  </si>
  <si>
    <t>t4p2</t>
  </si>
  <si>
    <t>t4p3</t>
  </si>
  <si>
    <t>t4p4</t>
  </si>
  <si>
    <t>t4p5</t>
  </si>
  <si>
    <t>t4p6</t>
  </si>
  <si>
    <t>id</t>
  </si>
  <si>
    <t>gamesession_name</t>
  </si>
  <si>
    <t>password</t>
  </si>
  <si>
    <t>location</t>
  </si>
  <si>
    <t>create_time</t>
  </si>
  <si>
    <t>date</t>
  </si>
  <si>
    <t>start_time</t>
  </si>
  <si>
    <t>end_time</t>
  </si>
  <si>
    <t>gameversion_id</t>
  </si>
  <si>
    <t>description</t>
  </si>
  <si>
    <t>251007_VerzekeraarsMasterClass</t>
  </si>
  <si>
    <t>IA</t>
  </si>
  <si>
    <t>name</t>
  </si>
  <si>
    <t>gamesession_id</t>
  </si>
  <si>
    <t>scenario_id</t>
  </si>
  <si>
    <t>facilitator_id</t>
  </si>
  <si>
    <t>Table1</t>
  </si>
  <si>
    <t>WWM</t>
  </si>
  <si>
    <t>Table2</t>
  </si>
  <si>
    <t>Table3</t>
  </si>
  <si>
    <t>Table4</t>
  </si>
  <si>
    <t>Table5</t>
  </si>
  <si>
    <t>Table6</t>
  </si>
  <si>
    <t>Table7</t>
  </si>
  <si>
    <t>Table8</t>
  </si>
  <si>
    <t>timestamp</t>
  </si>
  <si>
    <t>pluvial_flood_intensity</t>
  </si>
  <si>
    <t>fluvial_flood_intensity</t>
  </si>
  <si>
    <t>group_state</t>
  </si>
  <si>
    <t>round_number</t>
  </si>
  <si>
    <t>group_id</t>
  </si>
  <si>
    <t>group_name</t>
  </si>
  <si>
    <t>group_scenario_id</t>
  </si>
  <si>
    <t>LOGIN</t>
  </si>
  <si>
    <t>SHOW_SUMMARY</t>
  </si>
  <si>
    <t>code</t>
  </si>
  <si>
    <t>user_id</t>
  </si>
  <si>
    <t>welfaretype_id</t>
  </si>
  <si>
    <t>t1p7</t>
  </si>
  <si>
    <t>t1p8</t>
  </si>
  <si>
    <t>t2p7</t>
  </si>
  <si>
    <t>t2p8</t>
  </si>
  <si>
    <t>t3p7</t>
  </si>
  <si>
    <t>t3p8</t>
  </si>
  <si>
    <t>t4p7</t>
  </si>
  <si>
    <t>t4p8</t>
  </si>
  <si>
    <t>t5p1</t>
  </si>
  <si>
    <t>t5p2</t>
  </si>
  <si>
    <t>t5p3</t>
  </si>
  <si>
    <t>t5p4</t>
  </si>
  <si>
    <t>t5p5</t>
  </si>
  <si>
    <t>t5p6</t>
  </si>
  <si>
    <t>t5p7</t>
  </si>
  <si>
    <t>t5p8</t>
  </si>
  <si>
    <t>t6p1</t>
  </si>
  <si>
    <t>t6p2</t>
  </si>
  <si>
    <t>t6p3</t>
  </si>
  <si>
    <t>t6p4</t>
  </si>
  <si>
    <t>t6p5</t>
  </si>
  <si>
    <t>t6p6</t>
  </si>
  <si>
    <t>t6p7</t>
  </si>
  <si>
    <t>t6p8</t>
  </si>
  <si>
    <t>t7p1</t>
  </si>
  <si>
    <t>t7p2</t>
  </si>
  <si>
    <t>t7p3</t>
  </si>
  <si>
    <t>t7p4</t>
  </si>
  <si>
    <t>t7p5</t>
  </si>
  <si>
    <t>t7p6</t>
  </si>
  <si>
    <t>t7p7</t>
  </si>
  <si>
    <t>t7p8</t>
  </si>
  <si>
    <t>t8p1</t>
  </si>
  <si>
    <t>t8p2</t>
  </si>
  <si>
    <t>t8p3</t>
  </si>
  <si>
    <t>t8p4</t>
  </si>
  <si>
    <t>t8p5</t>
  </si>
  <si>
    <t>t8p6</t>
  </si>
  <si>
    <t>t8p7</t>
  </si>
  <si>
    <t>t8p8</t>
  </si>
  <si>
    <t>satisfaction_move_penalty</t>
  </si>
  <si>
    <t>satisfaction_house_rating_delta</t>
  </si>
  <si>
    <t>satisfaction_house_measures</t>
  </si>
  <si>
    <t>satisfaction_personal_measures</t>
  </si>
  <si>
    <t>satisfaction_fluvial_penalty</t>
  </si>
  <si>
    <t>satisfaction_pluvial_penalty</t>
  </si>
  <si>
    <t>satisfaction_debt_penalty</t>
  </si>
  <si>
    <t>satisfaction_total</t>
  </si>
  <si>
    <t>preferred_house_rating</t>
  </si>
  <si>
    <t>maximum_mortgage</t>
  </si>
  <si>
    <t>mortgage_house_start</t>
  </si>
  <si>
    <t>mortgage_left_start</t>
  </si>
  <si>
    <t>house_price_sold</t>
  </si>
  <si>
    <t>house_price_bought</t>
  </si>
  <si>
    <t>mortgage_house_end</t>
  </si>
  <si>
    <t>mortgage_left_end</t>
  </si>
  <si>
    <t>movingreason_id</t>
  </si>
  <si>
    <t>moving_reason_other</t>
  </si>
  <si>
    <t>pluvial_base_protection</t>
  </si>
  <si>
    <t>fluvial_base_protection</t>
  </si>
  <si>
    <t>pluvial_community_delta</t>
  </si>
  <si>
    <t>fluvial_community_delta</t>
  </si>
  <si>
    <t>pluvial_house_delta</t>
  </si>
  <si>
    <t>fluvial_house_delta</t>
  </si>
  <si>
    <t>player_state</t>
  </si>
  <si>
    <t>start_housegroup_id</t>
  </si>
  <si>
    <t>final_housegroup_id</t>
  </si>
  <si>
    <t>active_transaction_id</t>
  </si>
  <si>
    <t>VIEW_SUMMARY</t>
  </si>
  <si>
    <t>VIEW_DAMAGE</t>
  </si>
  <si>
    <t>Added_total_base_protection</t>
  </si>
  <si>
    <t>Added_player_welfaretype</t>
  </si>
  <si>
    <t>Added_living_Area</t>
  </si>
  <si>
    <t>Added_delta_protection</t>
  </si>
  <si>
    <t>Rijlabels</t>
  </si>
  <si>
    <t>(Dike-town)</t>
  </si>
  <si>
    <t>(Natu-city)</t>
  </si>
  <si>
    <t>(U-village)</t>
  </si>
  <si>
    <t>Eindtotaal</t>
  </si>
  <si>
    <t>Som van Added_delta_protection</t>
  </si>
  <si>
    <t>Kolomlabels</t>
  </si>
  <si>
    <t>Som van satisfaction_total</t>
  </si>
  <si>
    <t>Gemiddelde van satisfaction_total</t>
  </si>
  <si>
    <t>(Alle)</t>
  </si>
  <si>
    <t>Gemiddelde van cost_personal_measures_bought</t>
  </si>
  <si>
    <t>Gemiddelde van cost_house_measures_bought</t>
  </si>
  <si>
    <t xml:space="preserve">Added_total_damage </t>
  </si>
  <si>
    <t>Gemiddelde van paid_debt</t>
  </si>
  <si>
    <t>Gemiddelde van spent_savings_for_buying_house</t>
  </si>
  <si>
    <t>Gemiddelde van mortgage_payment</t>
  </si>
  <si>
    <t xml:space="preserve">Gemiddelde van Added_total_damage </t>
  </si>
  <si>
    <t>(Meerdere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</si>
</sst>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[Copy_Income_dist_housinggame_session_20_251007_VerzekeraarsMasterClass.xlsx]Delta protection living area!Draaitabel5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Added house</a:t>
            </a:r>
            <a:r>
              <a:rPr lang="nl-NL" baseline="0"/>
              <a:t> protection per living area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'Delta protection living area'!$B$3:$B$4</c:f>
              <c:strCache>
                <c:ptCount val="1"/>
                <c:pt idx="0">
                  <c:v>123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'Delta protection living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living area'!$B$5:$B$8</c:f>
              <c:numCache>
                <c:formatCode>General</c:formatCode>
                <c:ptCount val="3"/>
                <c:pt idx="0">
                  <c:v>3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E-4E25-828B-96E0802FCB9A}"/>
            </c:ext>
          </c:extLst>
        </c:ser>
        <c:ser>
          <c:idx val="1"/>
          <c:order val="1"/>
          <c:tx>
            <c:strRef>
              <c:f>'Delta protection living area'!$C$3:$C$4</c:f>
              <c:strCache>
                <c:ptCount val="1"/>
                <c:pt idx="0">
                  <c:v>124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'Delta protection living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living area'!$C$5:$C$8</c:f>
              <c:numCache>
                <c:formatCode>General</c:formatCode>
                <c:ptCount val="3"/>
                <c:pt idx="0">
                  <c:v>18</c:v>
                </c:pt>
                <c:pt idx="1">
                  <c:v>17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E-4E25-828B-96E0802FCB9A}"/>
            </c:ext>
          </c:extLst>
        </c:ser>
        <c:ser>
          <c:idx val="2"/>
          <c:order val="2"/>
          <c:tx>
            <c:strRef>
              <c:f>'Delta protection living area'!$D$3:$D$4</c:f>
              <c:strCache>
                <c:ptCount val="1"/>
                <c:pt idx="0">
                  <c:v>125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'Delta protection living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living area'!$D$5:$D$8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E-4E25-828B-96E0802FCB9A}"/>
            </c:ext>
          </c:extLst>
        </c:ser>
        <c:ser>
          <c:idx val="3"/>
          <c:order val="3"/>
          <c:tx>
            <c:strRef>
              <c:f>'Delta protection living area'!$E$3:$E$4</c:f>
              <c:strCache>
                <c:ptCount val="1"/>
                <c:pt idx="0">
                  <c:v>126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'Delta protection living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living area'!$E$5:$E$8</c:f>
              <c:numCache>
                <c:formatCode>General</c:formatCode>
                <c:ptCount val="3"/>
                <c:pt idx="0">
                  <c:v>14</c:v>
                </c:pt>
                <c:pt idx="1">
                  <c:v>22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2E-4E25-828B-96E0802FCB9A}"/>
            </c:ext>
          </c:extLst>
        </c:ser>
        <c:ser>
          <c:idx val="4"/>
          <c:order val="4"/>
          <c:tx>
            <c:strRef>
              <c:f>'Delta protection living area'!$F$3:$F$4</c:f>
              <c:strCache>
                <c:ptCount val="1"/>
                <c:pt idx="0">
                  <c:v>127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'Delta protection living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living area'!$F$5:$F$8</c:f>
              <c:numCache>
                <c:formatCode>General</c:formatCode>
                <c:ptCount val="3"/>
                <c:pt idx="1">
                  <c:v>56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2E-4E25-828B-96E0802FCB9A}"/>
            </c:ext>
          </c:extLst>
        </c:ser>
        <c:ser>
          <c:idx val="5"/>
          <c:order val="5"/>
          <c:tx>
            <c:strRef>
              <c:f>'Delta protection living area'!$G$3:$G$4</c:f>
              <c:strCache>
                <c:ptCount val="1"/>
                <c:pt idx="0">
                  <c:v>128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'Delta protection living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living area'!$G$5:$G$8</c:f>
              <c:numCache>
                <c:formatCode>General</c:formatCode>
                <c:ptCount val="3"/>
                <c:pt idx="0">
                  <c:v>34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2E-4E25-828B-96E0802F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9978800"/>
        <c:axId val="1429985040"/>
      </c:barChart>
      <c:catAx>
        <c:axId val="1429978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Living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9985040"/>
        <c:crosses val="autoZero"/>
        <c:auto val="1"/>
        <c:lblAlgn val="ctr"/>
        <c:lblOffset val="100"/>
        <c:noMultiLvlLbl val="0"/>
      </c:catAx>
      <c:valAx>
        <c:axId val="142998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Added pluvial/fluvial house</a:t>
                </a:r>
                <a:r>
                  <a:rPr lang="nl-NL" baseline="0"/>
                  <a:t> protection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99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[Copy_Income_dist_housinggame_session_20_251007_VerzekeraarsMasterClass.xlsx]Avg Satisfaction over rounds!Draaitabel1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Satisfaction over rounds'!$B$3:$B$4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Satisfaction over rounds'!$A$5:$A$10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'Avg Satisfaction over rounds'!$B$5:$B$10</c:f>
              <c:numCache>
                <c:formatCode>General</c:formatCode>
                <c:ptCount val="5"/>
                <c:pt idx="0">
                  <c:v>20</c:v>
                </c:pt>
                <c:pt idx="1">
                  <c:v>12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C-46E1-BBE2-5C659191668C}"/>
            </c:ext>
          </c:extLst>
        </c:ser>
        <c:ser>
          <c:idx val="1"/>
          <c:order val="1"/>
          <c:tx>
            <c:strRef>
              <c:f>'Avg Satisfaction over rounds'!$C$3:$C$4</c:f>
              <c:strCache>
                <c:ptCount val="1"/>
                <c:pt idx="0">
                  <c:v>124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Satisfaction over rounds'!$A$5:$A$10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'Avg Satisfaction over rounds'!$C$5:$C$10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21</c:v>
                </c:pt>
                <c:pt idx="3">
                  <c:v>20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CC-46E1-BBE2-5C659191668C}"/>
            </c:ext>
          </c:extLst>
        </c:ser>
        <c:ser>
          <c:idx val="2"/>
          <c:order val="2"/>
          <c:tx>
            <c:strRef>
              <c:f>'Avg Satisfaction over rounds'!$D$3:$D$4</c:f>
              <c:strCache>
                <c:ptCount val="1"/>
                <c:pt idx="0">
                  <c:v>125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'Avg Satisfaction over rounds'!$A$5:$A$10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'Avg Satisfaction over rounds'!$D$5:$D$10</c:f>
              <c:numCache>
                <c:formatCode>General</c:formatCode>
                <c:ptCount val="5"/>
                <c:pt idx="0">
                  <c:v>20</c:v>
                </c:pt>
                <c:pt idx="1">
                  <c:v>18</c:v>
                </c:pt>
                <c:pt idx="2">
                  <c:v>23</c:v>
                </c:pt>
                <c:pt idx="3">
                  <c:v>25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CC-46E1-BBE2-5C659191668C}"/>
            </c:ext>
          </c:extLst>
        </c:ser>
        <c:ser>
          <c:idx val="3"/>
          <c:order val="3"/>
          <c:tx>
            <c:strRef>
              <c:f>'Avg Satisfaction over rounds'!$E$3:$E$4</c:f>
              <c:strCache>
                <c:ptCount val="1"/>
                <c:pt idx="0">
                  <c:v>126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'Avg Satisfaction over rounds'!$A$5:$A$10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'Avg Satisfaction over rounds'!$E$5:$E$10</c:f>
              <c:numCache>
                <c:formatCode>General</c:formatCode>
                <c:ptCount val="5"/>
                <c:pt idx="0">
                  <c:v>20</c:v>
                </c:pt>
                <c:pt idx="1">
                  <c:v>27</c:v>
                </c:pt>
                <c:pt idx="2">
                  <c:v>35</c:v>
                </c:pt>
                <c:pt idx="3">
                  <c:v>47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CC-46E1-BBE2-5C659191668C}"/>
            </c:ext>
          </c:extLst>
        </c:ser>
        <c:ser>
          <c:idx val="4"/>
          <c:order val="4"/>
          <c:tx>
            <c:strRef>
              <c:f>'Avg Satisfaction over rounds'!$F$3:$F$4</c:f>
              <c:strCache>
                <c:ptCount val="1"/>
                <c:pt idx="0">
                  <c:v>127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'Avg Satisfaction over rounds'!$A$5:$A$10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'Avg Satisfaction over rounds'!$F$5:$F$10</c:f>
              <c:numCache>
                <c:formatCode>General</c:formatCode>
                <c:ptCount val="5"/>
                <c:pt idx="0">
                  <c:v>20</c:v>
                </c:pt>
                <c:pt idx="1">
                  <c:v>21</c:v>
                </c:pt>
                <c:pt idx="2">
                  <c:v>36</c:v>
                </c:pt>
                <c:pt idx="3">
                  <c:v>54</c:v>
                </c:pt>
                <c:pt idx="4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CC-46E1-BBE2-5C659191668C}"/>
            </c:ext>
          </c:extLst>
        </c:ser>
        <c:ser>
          <c:idx val="5"/>
          <c:order val="5"/>
          <c:tx>
            <c:strRef>
              <c:f>'Avg Satisfaction over rounds'!$G$3:$G$4</c:f>
              <c:strCache>
                <c:ptCount val="1"/>
                <c:pt idx="0">
                  <c:v>128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'Avg Satisfaction over rounds'!$A$5:$A$10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'Avg Satisfaction over rounds'!$G$5:$G$10</c:f>
              <c:numCache>
                <c:formatCode>General</c:formatCode>
                <c:ptCount val="5"/>
                <c:pt idx="0">
                  <c:v>20</c:v>
                </c:pt>
                <c:pt idx="1">
                  <c:v>26</c:v>
                </c:pt>
                <c:pt idx="2">
                  <c:v>40</c:v>
                </c:pt>
                <c:pt idx="3">
                  <c:v>53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2CC-46E1-BBE2-5C6591916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954640"/>
        <c:axId val="436955120"/>
      </c:lineChart>
      <c:catAx>
        <c:axId val="43695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6955120"/>
        <c:crosses val="autoZero"/>
        <c:auto val="1"/>
        <c:lblAlgn val="ctr"/>
        <c:lblOffset val="100"/>
        <c:noMultiLvlLbl val="0"/>
      </c:catAx>
      <c:valAx>
        <c:axId val="4369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695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[Copy_Income_dist_housinggame_session_20_251007_VerzekeraarsMasterClass.xlsx]Costs vs satisfaction!Draaitabel2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0" u="none" strike="noStrike" baseline="0"/>
              <a:t>Spending Priorities and Satisfaction Across Welfare Type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'Costs vs satisfaction'!$B$3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'Costs vs satisfaction'!$A$4:$A$10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'Costs vs satisfaction'!$B$4:$B$10</c:f>
              <c:numCache>
                <c:formatCode>General</c:formatCode>
                <c:ptCount val="6"/>
                <c:pt idx="0">
                  <c:v>9000</c:v>
                </c:pt>
                <c:pt idx="1">
                  <c:v>500</c:v>
                </c:pt>
                <c:pt idx="2">
                  <c:v>9500</c:v>
                </c:pt>
                <c:pt idx="3">
                  <c:v>0</c:v>
                </c:pt>
                <c:pt idx="4">
                  <c:v>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3-4E33-BB22-92D1D93DA91A}"/>
            </c:ext>
          </c:extLst>
        </c:ser>
        <c:ser>
          <c:idx val="1"/>
          <c:order val="1"/>
          <c:tx>
            <c:strRef>
              <c:f>'Costs vs satisfaction'!$C$3</c:f>
              <c:strCache>
                <c:ptCount val="1"/>
                <c:pt idx="0">
                  <c:v>Gemiddelde van cost_personal_measures_bought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'Costs vs satisfaction'!$A$4:$A$10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'Costs vs satisfaction'!$C$4:$C$10</c:f>
              <c:numCache>
                <c:formatCode>General</c:formatCode>
                <c:ptCount val="6"/>
                <c:pt idx="0">
                  <c:v>3525</c:v>
                </c:pt>
                <c:pt idx="1">
                  <c:v>4625</c:v>
                </c:pt>
                <c:pt idx="2">
                  <c:v>10312.5</c:v>
                </c:pt>
                <c:pt idx="3">
                  <c:v>14393.75</c:v>
                </c:pt>
                <c:pt idx="4">
                  <c:v>19718.75</c:v>
                </c:pt>
                <c:pt idx="5">
                  <c:v>30768.75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3-4E33-BB22-92D1D93DA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7254752"/>
        <c:axId val="397259072"/>
      </c:barChart>
      <c:lineChart>
        <c:grouping val="standard"/>
        <c:varyColors val="0"/>
        <c:ser>
          <c:idx val="2"/>
          <c:order val="2"/>
          <c:tx>
            <c:strRef>
              <c:f>'Costs vs satisfaction'!$D$3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'Costs vs satisfaction'!$A$4:$A$10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'Costs vs satisfaction'!$D$4:$D$10</c:f>
              <c:numCache>
                <c:formatCode>General</c:formatCode>
                <c:ptCount val="6"/>
                <c:pt idx="0">
                  <c:v>0.25</c:v>
                </c:pt>
                <c:pt idx="1">
                  <c:v>7.5</c:v>
                </c:pt>
                <c:pt idx="2">
                  <c:v>10.75</c:v>
                </c:pt>
                <c:pt idx="3">
                  <c:v>15.25</c:v>
                </c:pt>
                <c:pt idx="4">
                  <c:v>18.5</c:v>
                </c:pt>
                <c:pt idx="5">
                  <c:v>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53-4E33-BB22-92D1D93DA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129904"/>
        <c:axId val="416584640"/>
      </c:lineChart>
      <c:catAx>
        <c:axId val="39725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7259072"/>
        <c:crosses val="autoZero"/>
        <c:auto val="1"/>
        <c:lblAlgn val="ctr"/>
        <c:lblOffset val="100"/>
        <c:noMultiLvlLbl val="0"/>
      </c:catAx>
      <c:valAx>
        <c:axId val="3972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Ratio</a:t>
                </a:r>
                <a:r>
                  <a:rPr lang="nl-NL" baseline="0"/>
                  <a:t> personal/house measures spendings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7254752"/>
        <c:crosses val="autoZero"/>
        <c:crossBetween val="between"/>
      </c:valAx>
      <c:valAx>
        <c:axId val="416584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Satisfavtion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6129904"/>
        <c:crosses val="max"/>
        <c:crossBetween val="between"/>
      </c:valAx>
      <c:catAx>
        <c:axId val="34612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6584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[Copy_Income_dist_housinggame_session_20_251007_VerzekeraarsMasterClass.xlsx]Income distribution!Draaitabel5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Cost distribution per welfare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distribution'!$B$3</c:f>
              <c:strCache>
                <c:ptCount val="1"/>
                <c:pt idx="0">
                  <c:v>Gemiddelde van paid_debt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distribution'!$B$4:$B$10</c:f>
              <c:numCache>
                <c:formatCode>General</c:formatCode>
                <c:ptCount val="6"/>
                <c:pt idx="0">
                  <c:v>2620</c:v>
                </c:pt>
                <c:pt idx="1">
                  <c:v>1166.25</c:v>
                </c:pt>
                <c:pt idx="2">
                  <c:v>1035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0-4368-896C-0AB760ECF4A6}"/>
            </c:ext>
          </c:extLst>
        </c:ser>
        <c:ser>
          <c:idx val="1"/>
          <c:order val="1"/>
          <c:tx>
            <c:strRef>
              <c:f>'Income distribution'!$C$3</c:f>
              <c:strCache>
                <c:ptCount val="1"/>
                <c:pt idx="0">
                  <c:v>Gemiddelde van mortgage_payment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distribution'!$C$4:$C$10</c:f>
              <c:numCache>
                <c:formatCode>General</c:formatCode>
                <c:ptCount val="6"/>
                <c:pt idx="0">
                  <c:v>5650</c:v>
                </c:pt>
                <c:pt idx="1">
                  <c:v>7800</c:v>
                </c:pt>
                <c:pt idx="2">
                  <c:v>8050</c:v>
                </c:pt>
                <c:pt idx="3">
                  <c:v>12500</c:v>
                </c:pt>
                <c:pt idx="4">
                  <c:v>12500</c:v>
                </c:pt>
                <c:pt idx="5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0-4368-896C-0AB760ECF4A6}"/>
            </c:ext>
          </c:extLst>
        </c:ser>
        <c:ser>
          <c:idx val="2"/>
          <c:order val="2"/>
          <c:tx>
            <c:strRef>
              <c:f>'Income distribution'!$D$3</c:f>
              <c:strCache>
                <c:ptCount val="1"/>
                <c:pt idx="0">
                  <c:v>Gemiddelde van spent_savings_for_buying_house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distribution'!$D$4:$D$10</c:f>
              <c:numCache>
                <c:formatCode>General</c:formatCode>
                <c:ptCount val="6"/>
                <c:pt idx="0">
                  <c:v>0</c:v>
                </c:pt>
                <c:pt idx="1">
                  <c:v>750</c:v>
                </c:pt>
                <c:pt idx="2">
                  <c:v>6500</c:v>
                </c:pt>
                <c:pt idx="3">
                  <c:v>3000</c:v>
                </c:pt>
                <c:pt idx="4">
                  <c:v>0</c:v>
                </c:pt>
                <c:pt idx="5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80-4368-896C-0AB760ECF4A6}"/>
            </c:ext>
          </c:extLst>
        </c:ser>
        <c:ser>
          <c:idx val="3"/>
          <c:order val="3"/>
          <c:tx>
            <c:strRef>
              <c:f>'Income distribution'!$E$3</c:f>
              <c:strCache>
                <c:ptCount val="1"/>
                <c:pt idx="0">
                  <c:v>Gemiddelde van Added_total_damage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distribution'!$E$4:$E$10</c:f>
              <c:numCache>
                <c:formatCode>General</c:formatCode>
                <c:ptCount val="6"/>
                <c:pt idx="0">
                  <c:v>2400</c:v>
                </c:pt>
                <c:pt idx="1">
                  <c:v>1600</c:v>
                </c:pt>
                <c:pt idx="2">
                  <c:v>1200</c:v>
                </c:pt>
                <c:pt idx="3">
                  <c:v>600</c:v>
                </c:pt>
                <c:pt idx="4">
                  <c:v>400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80-4368-896C-0AB760ECF4A6}"/>
            </c:ext>
          </c:extLst>
        </c:ser>
        <c:ser>
          <c:idx val="4"/>
          <c:order val="4"/>
          <c:tx>
            <c:strRef>
              <c:f>'Income distribution'!$F$3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distribution'!$F$4:$F$10</c:f>
              <c:numCache>
                <c:formatCode>General</c:formatCode>
                <c:ptCount val="6"/>
                <c:pt idx="0">
                  <c:v>2650</c:v>
                </c:pt>
                <c:pt idx="1">
                  <c:v>3350</c:v>
                </c:pt>
                <c:pt idx="2">
                  <c:v>4250</c:v>
                </c:pt>
                <c:pt idx="3">
                  <c:v>5600</c:v>
                </c:pt>
                <c:pt idx="4">
                  <c:v>6550</c:v>
                </c:pt>
                <c:pt idx="5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80-4368-896C-0AB760ECF4A6}"/>
            </c:ext>
          </c:extLst>
        </c:ser>
        <c:ser>
          <c:idx val="5"/>
          <c:order val="5"/>
          <c:tx>
            <c:strRef>
              <c:f>'Income distribution'!$G$3</c:f>
              <c:strCache>
                <c:ptCount val="1"/>
                <c:pt idx="0">
                  <c:v>Gemiddelde van cost_personal_measures_bought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distribution'!$G$4:$G$10</c:f>
              <c:numCache>
                <c:formatCode>General</c:formatCode>
                <c:ptCount val="6"/>
                <c:pt idx="0">
                  <c:v>1632.5</c:v>
                </c:pt>
                <c:pt idx="1">
                  <c:v>2933.75</c:v>
                </c:pt>
                <c:pt idx="2">
                  <c:v>4517.5</c:v>
                </c:pt>
                <c:pt idx="3">
                  <c:v>8023.75</c:v>
                </c:pt>
                <c:pt idx="4">
                  <c:v>13237.5</c:v>
                </c:pt>
                <c:pt idx="5">
                  <c:v>18183.75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80-4368-896C-0AB760ECF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8809792"/>
        <c:axId val="398808832"/>
      </c:barChart>
      <c:lineChart>
        <c:grouping val="standard"/>
        <c:varyColors val="0"/>
        <c:ser>
          <c:idx val="6"/>
          <c:order val="6"/>
          <c:tx>
            <c:strRef>
              <c:f>'Income distribution'!$H$3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'Income distribution'!$A$4:$A$10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'Income distribution'!$H$4:$H$10</c:f>
              <c:numCache>
                <c:formatCode>General</c:formatCode>
                <c:ptCount val="6"/>
                <c:pt idx="0">
                  <c:v>2.2000000000000002</c:v>
                </c:pt>
                <c:pt idx="1">
                  <c:v>5.5</c:v>
                </c:pt>
                <c:pt idx="2">
                  <c:v>6.45</c:v>
                </c:pt>
                <c:pt idx="3">
                  <c:v>9.5</c:v>
                </c:pt>
                <c:pt idx="4">
                  <c:v>10.25</c:v>
                </c:pt>
                <c:pt idx="5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80-4368-896C-0AB760ECF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604160"/>
        <c:axId val="742620480"/>
      </c:lineChart>
      <c:valAx>
        <c:axId val="3988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Money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8809792"/>
        <c:crosses val="autoZero"/>
        <c:crossBetween val="between"/>
      </c:valAx>
      <c:catAx>
        <c:axId val="39880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8808832"/>
        <c:crosses val="autoZero"/>
        <c:auto val="1"/>
        <c:lblAlgn val="ctr"/>
        <c:lblOffset val="100"/>
        <c:noMultiLvlLbl val="0"/>
      </c:catAx>
      <c:valAx>
        <c:axId val="7426204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Satisfaction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2604160"/>
        <c:crosses val="max"/>
        <c:crossBetween val="between"/>
      </c:valAx>
      <c:catAx>
        <c:axId val="74260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620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[Copy_Income_dist_housinggame_session_20_251007_VerzekeraarsMasterClass.xlsx]Blad9!Draaitabel13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1" u="none" strike="noStrike" baseline="0"/>
              <a:t>I</a:t>
            </a:r>
            <a:r>
              <a:rPr lang="nl-NL" sz="1400" b="0" i="0" u="none" strike="noStrike" baseline="0"/>
              <a:t>nvestment, Damage, and Satisfaction Across Welfare Types</a:t>
            </a:r>
            <a:endParaRPr lang="nl-NL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Blad9!$B$3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Blad9!$A$4:$A$10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Blad9!$B$4:$B$10</c:f>
              <c:numCache>
                <c:formatCode>General</c:formatCode>
                <c:ptCount val="6"/>
                <c:pt idx="0">
                  <c:v>2650</c:v>
                </c:pt>
                <c:pt idx="1">
                  <c:v>3350</c:v>
                </c:pt>
                <c:pt idx="2">
                  <c:v>4250</c:v>
                </c:pt>
                <c:pt idx="3">
                  <c:v>5600</c:v>
                </c:pt>
                <c:pt idx="4">
                  <c:v>6550</c:v>
                </c:pt>
                <c:pt idx="5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B-4349-9118-5909F7DAEC61}"/>
            </c:ext>
          </c:extLst>
        </c:ser>
        <c:ser>
          <c:idx val="1"/>
          <c:order val="1"/>
          <c:tx>
            <c:strRef>
              <c:f>Blad9!$C$3</c:f>
              <c:strCache>
                <c:ptCount val="1"/>
                <c:pt idx="0">
                  <c:v>Gemiddelde van Added_total_damage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Blad9!$A$4:$A$10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Blad9!$C$4:$C$10</c:f>
              <c:numCache>
                <c:formatCode>General</c:formatCode>
                <c:ptCount val="6"/>
                <c:pt idx="0">
                  <c:v>2400</c:v>
                </c:pt>
                <c:pt idx="1">
                  <c:v>1600</c:v>
                </c:pt>
                <c:pt idx="2">
                  <c:v>1200</c:v>
                </c:pt>
                <c:pt idx="3">
                  <c:v>600</c:v>
                </c:pt>
                <c:pt idx="4">
                  <c:v>400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7B-4349-9118-5909F7DAE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620432"/>
        <c:axId val="766617552"/>
      </c:barChart>
      <c:lineChart>
        <c:grouping val="standard"/>
        <c:varyColors val="0"/>
        <c:ser>
          <c:idx val="2"/>
          <c:order val="2"/>
          <c:tx>
            <c:strRef>
              <c:f>Blad9!$D$3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Blad9!$A$4:$A$10</c:f>
              <c:strCache>
                <c:ptCount val="6"/>
                <c:pt idx="0">
                  <c:v>123</c:v>
                </c:pt>
                <c:pt idx="1">
                  <c:v>124</c:v>
                </c:pt>
                <c:pt idx="2">
                  <c:v>125</c:v>
                </c:pt>
                <c:pt idx="3">
                  <c:v>126</c:v>
                </c:pt>
                <c:pt idx="4">
                  <c:v>127</c:v>
                </c:pt>
                <c:pt idx="5">
                  <c:v>128</c:v>
                </c:pt>
              </c:strCache>
            </c:strRef>
          </c:cat>
          <c:val>
            <c:numRef>
              <c:f>Blad9!$D$4:$D$10</c:f>
              <c:numCache>
                <c:formatCode>General</c:formatCode>
                <c:ptCount val="6"/>
                <c:pt idx="0">
                  <c:v>2.2000000000000002</c:v>
                </c:pt>
                <c:pt idx="1">
                  <c:v>5.5</c:v>
                </c:pt>
                <c:pt idx="2">
                  <c:v>6.45</c:v>
                </c:pt>
                <c:pt idx="3">
                  <c:v>9.5</c:v>
                </c:pt>
                <c:pt idx="4">
                  <c:v>10.25</c:v>
                </c:pt>
                <c:pt idx="5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7B-4349-9118-5909F7DAE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817504"/>
        <c:axId val="753832384"/>
      </c:lineChart>
      <c:catAx>
        <c:axId val="76662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</a:t>
                </a:r>
                <a:r>
                  <a:rPr lang="nl-NL" baseline="0"/>
                  <a:t> type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66617552"/>
        <c:crosses val="autoZero"/>
        <c:auto val="1"/>
        <c:lblAlgn val="ctr"/>
        <c:lblOffset val="100"/>
        <c:noMultiLvlLbl val="0"/>
      </c:catAx>
      <c:valAx>
        <c:axId val="76661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66620432"/>
        <c:crosses val="autoZero"/>
        <c:crossBetween val="between"/>
      </c:valAx>
      <c:valAx>
        <c:axId val="753832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Satisfaction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53817504"/>
        <c:crosses val="max"/>
        <c:crossBetween val="between"/>
      </c:valAx>
      <c:catAx>
        <c:axId val="753817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3832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16</xdr:col>
      <xdr:colOff>464820</xdr:colOff>
      <xdr:row>29</xdr:row>
      <xdr:rowOff>15240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3185029-04A5-BB0A-44AD-19A242710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11</xdr:row>
      <xdr:rowOff>11430</xdr:rowOff>
    </xdr:from>
    <xdr:to>
      <xdr:col>10</xdr:col>
      <xdr:colOff>441960</xdr:colOff>
      <xdr:row>26</xdr:row>
      <xdr:rowOff>15240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48F6D4A-CBF5-BF7E-3F1C-09F7C95F4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1579729</xdr:colOff>
      <xdr:row>12</xdr:row>
      <xdr:rowOff>53737</xdr:rowOff>
    </xdr:from>
    <xdr:to>
      <xdr:col>4</xdr:col>
      <xdr:colOff>1444388</xdr:colOff>
      <xdr:row>33</xdr:row>
      <xdr:rowOff>79611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5102886-CFAB-AC9C-B2F2-9BD55708A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1118235</xdr:colOff>
      <xdr:row>12</xdr:row>
      <xdr:rowOff>73025</xdr:rowOff>
    </xdr:from>
    <xdr:to>
      <xdr:col>6</xdr:col>
      <xdr:colOff>873125</xdr:colOff>
      <xdr:row>37</xdr:row>
      <xdr:rowOff>92075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67F19FC-B799-9D24-B816-FAD4EF10F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1195137</xdr:colOff>
      <xdr:row>17</xdr:row>
      <xdr:rowOff>183316</xdr:rowOff>
    </xdr:from>
    <xdr:to>
      <xdr:col>7</xdr:col>
      <xdr:colOff>529389</xdr:colOff>
      <xdr:row>45</xdr:row>
      <xdr:rowOff>16042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2305137-C0B6-CFC2-9EC1-872C458CD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6.711180439816" createdVersion="8" refreshedVersion="8" minRefreshableVersion="3" recordCount="120" xr:uid="{96F1B8EE-F2BB-4EF9-92E3-E4FD9B5FE085}">
  <cacheSource type="worksheet">
    <worksheetSource ref="AZ1:BB121" sheet="playerround"/>
  </cacheSource>
  <cacheFields count="3">
    <cacheField name="Added_player_welfaretype" numFmtId="0">
      <sharedItems containsSemiMixedTypes="0" containsString="0" containsNumber="1" containsInteger="1" minValue="123" maxValue="128" count="6">
        <n v="124"/>
        <n v="126"/>
        <n v="123"/>
        <n v="125"/>
        <n v="127"/>
        <n v="128"/>
      </sharedItems>
    </cacheField>
    <cacheField name="Added_living_Area" numFmtId="0">
      <sharedItems count="4">
        <s v="(Natu-city)"/>
        <s v=""/>
        <s v="(U-village)"/>
        <s v="(Dike-town)"/>
      </sharedItems>
    </cacheField>
    <cacheField name="Added_delta_protection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7.497042129631" createdVersion="8" refreshedVersion="8" minRefreshableVersion="3" recordCount="314" xr:uid="{07D83FA0-3004-4163-A9F8-8428D4320186}">
  <cacheSource type="worksheet">
    <worksheetSource ref="V1:AZ1048576" sheet="playerround"/>
  </cacheSource>
  <cacheFields count="31">
    <cacheField name="satisfaction_total" numFmtId="0">
      <sharedItems containsString="0" containsBlank="1" containsNumber="1" containsInteger="1" minValue="-6" maxValue="25"/>
    </cacheField>
    <cacheField name="preferred_house_rating" numFmtId="0">
      <sharedItems containsString="0" containsBlank="1" containsNumber="1" containsInteger="1" minValue="3" maxValue="8"/>
    </cacheField>
    <cacheField name="maximum_mortgage" numFmtId="0">
      <sharedItems containsString="0" containsBlank="1" containsNumber="1" containsInteger="1" minValue="80000" maxValue="300000"/>
    </cacheField>
    <cacheField name="mortgage_house_start" numFmtId="0">
      <sharedItems containsString="0" containsBlank="1" containsNumber="1" containsInteger="1" minValue="0" maxValue="300000"/>
    </cacheField>
    <cacheField name="mortgage_left_start" numFmtId="0">
      <sharedItems containsString="0" containsBlank="1" containsNumber="1" containsInteger="1" minValue="0" maxValue="270000"/>
    </cacheField>
    <cacheField name="house_price_sold" numFmtId="0">
      <sharedItems containsString="0" containsBlank="1" containsNumber="1" containsInteger="1" minValue="0" maxValue="200000"/>
    </cacheField>
    <cacheField name="house_price_bought" numFmtId="0">
      <sharedItems containsString="0" containsBlank="1" containsNumber="1" containsInteger="1" minValue="0" maxValue="425000"/>
    </cacheField>
    <cacheField name="mortgage_house_end" numFmtId="0">
      <sharedItems containsString="0" containsBlank="1" containsNumber="1" containsInteger="1" minValue="0" maxValue="300000"/>
    </cacheField>
    <cacheField name="mortgage_left_end" numFmtId="0">
      <sharedItems containsString="0" containsBlank="1" containsNumber="1" containsInteger="1" minValue="0" maxValue="270000"/>
    </cacheField>
    <cacheField name="movingreason_id" numFmtId="0">
      <sharedItems containsString="0" containsBlank="1" containsNumber="1" containsInteger="1" minValue="33" maxValue="36"/>
    </cacheField>
    <cacheField name="moving_reason_other" numFmtId="0">
      <sharedItems containsNonDate="0" containsString="0" containsBlank="1"/>
    </cacheField>
    <cacheField name="pluvial_base_protection" numFmtId="0">
      <sharedItems containsString="0" containsBlank="1" containsNumber="1" containsInteger="1" minValue="0" maxValue="6"/>
    </cacheField>
    <cacheField name="fluvial_base_protection" numFmtId="0">
      <sharedItems containsString="0" containsBlank="1" containsNumber="1" containsInteger="1" minValue="0" maxValue="9"/>
    </cacheField>
    <cacheField name="pluvial_community_delta" numFmtId="0">
      <sharedItems containsString="0" containsBlank="1" containsNumber="1" containsInteger="1" minValue="-2" maxValue="0"/>
    </cacheField>
    <cacheField name="fluvial_community_delta" numFmtId="0">
      <sharedItems containsString="0" containsBlank="1" containsNumber="1" containsInteger="1" minValue="-1" maxValue="0"/>
    </cacheField>
    <cacheField name="pluvial_house_delta" numFmtId="0">
      <sharedItems containsString="0" containsBlank="1" containsNumber="1" containsInteger="1" minValue="0" maxValue="5"/>
    </cacheField>
    <cacheField name="fluvial_house_delta" numFmtId="0">
      <sharedItems containsString="0" containsBlank="1" containsNumber="1" containsInteger="1" minValue="0" maxValue="4"/>
    </cacheField>
    <cacheField name="player_state" numFmtId="0">
      <sharedItems containsBlank="1"/>
    </cacheField>
    <cacheField name="player_id" numFmtId="0">
      <sharedItems containsString="0" containsBlank="1" containsNumber="1" containsInteger="1" minValue="698" maxValue="727"/>
    </cacheField>
    <cacheField name="groupround_id" numFmtId="0">
      <sharedItems containsString="0" containsBlank="1" containsNumber="1" containsInteger="1" minValue="318" maxValue="337"/>
    </cacheField>
    <cacheField name="start_housegroup_id" numFmtId="0">
      <sharedItems containsString="0" containsBlank="1" containsNumber="1" containsInteger="1" minValue="1566" maxValue="1623"/>
    </cacheField>
    <cacheField name="final_housegroup_id" numFmtId="0">
      <sharedItems containsString="0" containsBlank="1" containsNumber="1" containsInteger="1" minValue="1566" maxValue="1663"/>
    </cacheField>
    <cacheField name="active_transaction_id" numFmtId="0">
      <sharedItems containsNonDate="0" containsString="0" containsBlank="1"/>
    </cacheField>
    <cacheField name="groupround_round_number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group_id" numFmtId="0">
      <sharedItems containsString="0" containsBlank="1" containsNumber="1" containsInteger="1" minValue="97" maxValue="100"/>
    </cacheField>
    <cacheField name="group_name" numFmtId="0">
      <sharedItems containsBlank="1"/>
    </cacheField>
    <cacheField name="gamesession_id" numFmtId="0">
      <sharedItems containsString="0" containsBlank="1" containsNumber="1" containsInteger="1" minValue="20" maxValue="20"/>
    </cacheField>
    <cacheField name="gamesession_name" numFmtId="0">
      <sharedItems containsBlank="1"/>
    </cacheField>
    <cacheField name="group_scenario_id" numFmtId="0">
      <sharedItems containsString="0" containsBlank="1" containsNumber="1" containsInteger="1" minValue="22" maxValue="22"/>
    </cacheField>
    <cacheField name="Added_total_base_protection" numFmtId="0">
      <sharedItems containsString="0" containsBlank="1" containsNumber="1" containsInteger="1" minValue="0" maxValue="15"/>
    </cacheField>
    <cacheField name="Added_player_welfaretype" numFmtId="0">
      <sharedItems containsBlank="1" containsMixedTypes="1" containsNumber="1" containsInteger="1" minValue="123" maxValue="128" count="8">
        <n v="124"/>
        <n v="126"/>
        <n v="123"/>
        <n v="125"/>
        <n v="127"/>
        <n v="128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7.515833333331" createdVersion="8" refreshedVersion="8" minRefreshableVersion="3" recordCount="313" xr:uid="{878C17DB-F03A-42B4-9E1C-697B0AC3C1B4}">
  <cacheSource type="worksheet">
    <worksheetSource ref="A1:BB314" sheet="playerround"/>
  </cacheSource>
  <cacheFields count="54">
    <cacheField name="playerround_id" numFmtId="0">
      <sharedItems containsString="0" containsBlank="1" containsNumber="1" containsInteger="1" minValue="1321" maxValue="1440"/>
    </cacheField>
    <cacheField name="create_time" numFmtId="164">
      <sharedItems containsNonDate="0" containsDate="1" containsString="0" containsBlank="1" minDate="2025-10-07T11:30:49" maxDate="2025-10-07T14:21:17"/>
    </cacheField>
    <cacheField name="round_income" numFmtId="0">
      <sharedItems containsString="0" containsBlank="1" containsNumber="1" containsInteger="1" minValue="60000" maxValue="190000"/>
    </cacheField>
    <cacheField name="living_costs" numFmtId="0">
      <sharedItems containsString="0" containsBlank="1" containsNumber="1" containsInteger="1" minValue="30000" maxValue="115000"/>
    </cacheField>
    <cacheField name="paid_debt" numFmtId="0">
      <sharedItems containsString="0" containsBlank="1" containsNumber="1" containsInteger="1" minValue="0" maxValue="16250"/>
    </cacheField>
    <cacheField name="mortgage_payment" numFmtId="0">
      <sharedItems containsString="0" containsBlank="1" containsNumber="1" containsInteger="1" minValue="0" maxValue="30000"/>
    </cacheField>
    <cacheField name="profit_sold_house" numFmtId="0">
      <sharedItems containsString="0" containsBlank="1" containsNumber="1" containsInteger="1" minValue="0" maxValue="82000"/>
    </cacheField>
    <cacheField name="spent_savings_for_buying_house" numFmtId="0">
      <sharedItems containsString="0" containsBlank="1" containsNumber="1" containsInteger="1" minValue="0" maxValue="125000"/>
    </cacheField>
    <cacheField name="cost_taxes" numFmtId="0">
      <sharedItems containsString="0" containsBlank="1" containsNumber="1" containsInteger="1" minValue="0" maxValue="25000"/>
    </cacheField>
    <cacheField name="cost_house_measures_bought" numFmtId="0">
      <sharedItems containsString="0" containsBlank="1" containsNumber="1" containsInteger="1" minValue="0" maxValue="32000"/>
    </cacheField>
    <cacheField name="cost_personal_measures_bought" numFmtId="0">
      <sharedItems containsString="0" containsBlank="1" containsNumber="1" containsInteger="1" minValue="0" maxValue="38000"/>
    </cacheField>
    <cacheField name="cost_fluvial_damage" numFmtId="0">
      <sharedItems containsString="0" containsBlank="1" containsNumber="1" containsInteger="1" minValue="0" maxValue="12000"/>
    </cacheField>
    <cacheField name="cost_pluvial_damage" numFmtId="0">
      <sharedItems containsString="0" containsBlank="1" containsNumber="1" containsInteger="1" minValue="0" maxValue="4000"/>
    </cacheField>
    <cacheField name="spendable_income" numFmtId="0">
      <sharedItems containsString="0" containsBlank="1" containsNumber="1" containsInteger="1" minValue="-17250" maxValue="132200"/>
    </cacheField>
    <cacheField name="satisfaction_move_penalty" numFmtId="0">
      <sharedItems containsString="0" containsBlank="1" containsNumber="1" containsInteger="1" minValue="0" maxValue="1"/>
    </cacheField>
    <cacheField name="satisfaction_house_rating_delta" numFmtId="0">
      <sharedItems containsString="0" containsBlank="1" containsNumber="1" containsInteger="1" minValue="-4" maxValue="1"/>
    </cacheField>
    <cacheField name="satisfaction_house_measures" numFmtId="0">
      <sharedItems containsString="0" containsBlank="1" containsNumber="1" containsInteger="1" minValue="0" maxValue="3"/>
    </cacheField>
    <cacheField name="satisfaction_personal_measures" numFmtId="0">
      <sharedItems containsString="0" containsBlank="1" containsNumber="1" containsInteger="1" minValue="0" maxValue="4"/>
    </cacheField>
    <cacheField name="satisfaction_fluvial_penalty" numFmtId="0">
      <sharedItems containsString="0" containsBlank="1" containsNumber="1" containsInteger="1" minValue="0" maxValue="4"/>
    </cacheField>
    <cacheField name="satisfaction_pluvial_penalty" numFmtId="0">
      <sharedItems containsString="0" containsBlank="1" containsNumber="1" containsInteger="1" minValue="0" maxValue="1"/>
    </cacheField>
    <cacheField name="satisfaction_debt_penalty" numFmtId="0">
      <sharedItems containsString="0" containsBlank="1" containsNumber="1" containsInteger="1" minValue="0" maxValue="1"/>
    </cacheField>
    <cacheField name="satisfaction_total" numFmtId="0">
      <sharedItems containsString="0" containsBlank="1" containsNumber="1" containsInteger="1" minValue="-6" maxValue="25"/>
    </cacheField>
    <cacheField name="preferred_house_rating" numFmtId="0">
      <sharedItems containsString="0" containsBlank="1" containsNumber="1" containsInteger="1" minValue="3" maxValue="8"/>
    </cacheField>
    <cacheField name="maximum_mortgage" numFmtId="0">
      <sharedItems containsString="0" containsBlank="1" containsNumber="1" containsInteger="1" minValue="80000" maxValue="300000"/>
    </cacheField>
    <cacheField name="mortgage_house_start" numFmtId="0">
      <sharedItems containsString="0" containsBlank="1" containsNumber="1" containsInteger="1" minValue="0" maxValue="300000"/>
    </cacheField>
    <cacheField name="mortgage_left_start" numFmtId="0">
      <sharedItems containsString="0" containsBlank="1" containsNumber="1" containsInteger="1" minValue="0" maxValue="270000"/>
    </cacheField>
    <cacheField name="house_price_sold" numFmtId="0">
      <sharedItems containsString="0" containsBlank="1" containsNumber="1" containsInteger="1" minValue="0" maxValue="200000"/>
    </cacheField>
    <cacheField name="house_price_bought" numFmtId="0">
      <sharedItems containsString="0" containsBlank="1" containsNumber="1" containsInteger="1" minValue="0" maxValue="425000"/>
    </cacheField>
    <cacheField name="mortgage_house_end" numFmtId="0">
      <sharedItems containsString="0" containsBlank="1" containsNumber="1" containsInteger="1" minValue="0" maxValue="300000"/>
    </cacheField>
    <cacheField name="mortgage_left_end" numFmtId="0">
      <sharedItems containsString="0" containsBlank="1" containsNumber="1" containsInteger="1" minValue="0" maxValue="270000"/>
    </cacheField>
    <cacheField name="movingreason_id" numFmtId="0">
      <sharedItems containsString="0" containsBlank="1" containsNumber="1" containsInteger="1" minValue="33" maxValue="36"/>
    </cacheField>
    <cacheField name="moving_reason_other" numFmtId="0">
      <sharedItems containsNonDate="0" containsString="0" containsBlank="1"/>
    </cacheField>
    <cacheField name="pluvial_base_protection" numFmtId="0">
      <sharedItems containsString="0" containsBlank="1" containsNumber="1" containsInteger="1" minValue="0" maxValue="6"/>
    </cacheField>
    <cacheField name="fluvial_base_protection" numFmtId="0">
      <sharedItems containsString="0" containsBlank="1" containsNumber="1" containsInteger="1" minValue="0" maxValue="9"/>
    </cacheField>
    <cacheField name="pluvial_community_delta" numFmtId="0">
      <sharedItems containsString="0" containsBlank="1" containsNumber="1" containsInteger="1" minValue="-2" maxValue="0"/>
    </cacheField>
    <cacheField name="fluvial_community_delta" numFmtId="0">
      <sharedItems containsString="0" containsBlank="1" containsNumber="1" containsInteger="1" minValue="-1" maxValue="0"/>
    </cacheField>
    <cacheField name="pluvial_house_delta" numFmtId="0">
      <sharedItems containsString="0" containsBlank="1" containsNumber="1" containsInteger="1" minValue="0" maxValue="5"/>
    </cacheField>
    <cacheField name="fluvial_house_delta" numFmtId="0">
      <sharedItems containsString="0" containsBlank="1" containsNumber="1" containsInteger="1" minValue="0" maxValue="4"/>
    </cacheField>
    <cacheField name="player_state" numFmtId="0">
      <sharedItems containsBlank="1"/>
    </cacheField>
    <cacheField name="player_id" numFmtId="0">
      <sharedItems containsString="0" containsBlank="1" containsNumber="1" containsInteger="1" minValue="698" maxValue="727"/>
    </cacheField>
    <cacheField name="groupround_id" numFmtId="0">
      <sharedItems containsString="0" containsBlank="1" containsNumber="1" containsInteger="1" minValue="318" maxValue="337"/>
    </cacheField>
    <cacheField name="start_housegroup_id" numFmtId="0">
      <sharedItems containsString="0" containsBlank="1" containsNumber="1" containsInteger="1" minValue="1566" maxValue="1623"/>
    </cacheField>
    <cacheField name="final_housegroup_id" numFmtId="0">
      <sharedItems containsString="0" containsBlank="1" containsNumber="1" containsInteger="1" minValue="1566" maxValue="1663"/>
    </cacheField>
    <cacheField name="active_transaction_id" numFmtId="0">
      <sharedItems containsNonDate="0" containsString="0" containsBlank="1"/>
    </cacheField>
    <cacheField name="groupround_round_number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group_id" numFmtId="0">
      <sharedItems containsString="0" containsBlank="1" containsNumber="1" containsInteger="1" minValue="97" maxValue="100"/>
    </cacheField>
    <cacheField name="group_name" numFmtId="0">
      <sharedItems containsBlank="1"/>
    </cacheField>
    <cacheField name="gamesession_id" numFmtId="0">
      <sharedItems containsString="0" containsBlank="1" containsNumber="1" containsInteger="1" minValue="20" maxValue="20"/>
    </cacheField>
    <cacheField name="gamesession_name" numFmtId="0">
      <sharedItems containsBlank="1"/>
    </cacheField>
    <cacheField name="group_scenario_id" numFmtId="0">
      <sharedItems containsString="0" containsBlank="1" containsNumber="1" containsInteger="1" minValue="22" maxValue="22"/>
    </cacheField>
    <cacheField name="Added_total_base_protection" numFmtId="0">
      <sharedItems containsString="0" containsBlank="1" containsNumber="1" containsInteger="1" minValue="0" maxValue="15"/>
    </cacheField>
    <cacheField name="Added_player_welfaretype" numFmtId="0">
      <sharedItems containsMixedTypes="1" containsNumber="1" containsInteger="1" minValue="123" maxValue="128" count="7">
        <n v="124"/>
        <n v="126"/>
        <n v="123"/>
        <n v="125"/>
        <n v="127"/>
        <n v="128"/>
        <e v="#N/A"/>
      </sharedItems>
    </cacheField>
    <cacheField name="Added_living_Area" numFmtId="0">
      <sharedItems containsBlank="1"/>
    </cacheField>
    <cacheField name="Added_delta_protection" numFmtId="0">
      <sharedItems containsString="0" containsBlank="1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7.536382175924" createdVersion="8" refreshedVersion="8" minRefreshableVersion="3" recordCount="314" xr:uid="{BE68A83B-17B5-4FC5-90CB-0923CD413445}">
  <cacheSource type="worksheet">
    <worksheetSource ref="A1:BC1048576" sheet="playerround"/>
  </cacheSource>
  <cacheFields count="55">
    <cacheField name="playerround_id" numFmtId="0">
      <sharedItems containsString="0" containsBlank="1" containsNumber="1" containsInteger="1" minValue="1321" maxValue="1440"/>
    </cacheField>
    <cacheField name="create_time" numFmtId="164">
      <sharedItems containsNonDate="0" containsDate="1" containsString="0" containsBlank="1" minDate="2025-10-07T11:30:49" maxDate="2025-10-07T14:21:17"/>
    </cacheField>
    <cacheField name="round_income" numFmtId="0">
      <sharedItems containsString="0" containsBlank="1" containsNumber="1" containsInteger="1" minValue="60000" maxValue="190000"/>
    </cacheField>
    <cacheField name="living_costs" numFmtId="0">
      <sharedItems containsString="0" containsBlank="1" containsNumber="1" containsInteger="1" minValue="30000" maxValue="115000"/>
    </cacheField>
    <cacheField name="paid_debt" numFmtId="0">
      <sharedItems containsString="0" containsBlank="1" containsNumber="1" containsInteger="1" minValue="0" maxValue="16250"/>
    </cacheField>
    <cacheField name="mortgage_payment" numFmtId="0">
      <sharedItems containsString="0" containsBlank="1" containsNumber="1" containsInteger="1" minValue="0" maxValue="30000"/>
    </cacheField>
    <cacheField name="profit_sold_house" numFmtId="0">
      <sharedItems containsString="0" containsBlank="1" containsNumber="1" containsInteger="1" minValue="0" maxValue="82000"/>
    </cacheField>
    <cacheField name="spent_savings_for_buying_house" numFmtId="0">
      <sharedItems containsString="0" containsBlank="1" containsNumber="1" containsInteger="1" minValue="0" maxValue="125000"/>
    </cacheField>
    <cacheField name="cost_taxes" numFmtId="0">
      <sharedItems containsString="0" containsBlank="1" containsNumber="1" containsInteger="1" minValue="0" maxValue="25000"/>
    </cacheField>
    <cacheField name="cost_house_measures_bought" numFmtId="0">
      <sharedItems containsString="0" containsBlank="1" containsNumber="1" containsInteger="1" minValue="0" maxValue="32000"/>
    </cacheField>
    <cacheField name="cost_personal_measures_bought" numFmtId="0">
      <sharedItems containsString="0" containsBlank="1" containsNumber="1" containsInteger="1" minValue="0" maxValue="38000"/>
    </cacheField>
    <cacheField name="cost_fluvial_damage" numFmtId="0">
      <sharedItems containsString="0" containsBlank="1" containsNumber="1" containsInteger="1" minValue="0" maxValue="12000"/>
    </cacheField>
    <cacheField name="cost_pluvial_damage" numFmtId="0">
      <sharedItems containsString="0" containsBlank="1" containsNumber="1" containsInteger="1" minValue="0" maxValue="4000"/>
    </cacheField>
    <cacheField name="spendable_income" numFmtId="0">
      <sharedItems containsString="0" containsBlank="1" containsNumber="1" containsInteger="1" minValue="-17250" maxValue="132200"/>
    </cacheField>
    <cacheField name="satisfaction_move_penalty" numFmtId="0">
      <sharedItems containsString="0" containsBlank="1" containsNumber="1" containsInteger="1" minValue="0" maxValue="1"/>
    </cacheField>
    <cacheField name="satisfaction_house_rating_delta" numFmtId="0">
      <sharedItems containsString="0" containsBlank="1" containsNumber="1" containsInteger="1" minValue="-4" maxValue="1"/>
    </cacheField>
    <cacheField name="satisfaction_house_measures" numFmtId="0">
      <sharedItems containsString="0" containsBlank="1" containsNumber="1" containsInteger="1" minValue="0" maxValue="3"/>
    </cacheField>
    <cacheField name="satisfaction_personal_measures" numFmtId="0">
      <sharedItems containsString="0" containsBlank="1" containsNumber="1" containsInteger="1" minValue="0" maxValue="4"/>
    </cacheField>
    <cacheField name="satisfaction_fluvial_penalty" numFmtId="0">
      <sharedItems containsString="0" containsBlank="1" containsNumber="1" containsInteger="1" minValue="0" maxValue="4"/>
    </cacheField>
    <cacheField name="satisfaction_pluvial_penalty" numFmtId="0">
      <sharedItems containsString="0" containsBlank="1" containsNumber="1" containsInteger="1" minValue="0" maxValue="1"/>
    </cacheField>
    <cacheField name="satisfaction_debt_penalty" numFmtId="0">
      <sharedItems containsString="0" containsBlank="1" containsNumber="1" containsInteger="1" minValue="0" maxValue="1"/>
    </cacheField>
    <cacheField name="satisfaction_total" numFmtId="0">
      <sharedItems containsString="0" containsBlank="1" containsNumber="1" containsInteger="1" minValue="-6" maxValue="25"/>
    </cacheField>
    <cacheField name="preferred_house_rating" numFmtId="0">
      <sharedItems containsString="0" containsBlank="1" containsNumber="1" containsInteger="1" minValue="3" maxValue="8"/>
    </cacheField>
    <cacheField name="maximum_mortgage" numFmtId="0">
      <sharedItems containsString="0" containsBlank="1" containsNumber="1" containsInteger="1" minValue="80000" maxValue="300000"/>
    </cacheField>
    <cacheField name="mortgage_house_start" numFmtId="0">
      <sharedItems containsString="0" containsBlank="1" containsNumber="1" containsInteger="1" minValue="0" maxValue="300000"/>
    </cacheField>
    <cacheField name="mortgage_left_start" numFmtId="0">
      <sharedItems containsString="0" containsBlank="1" containsNumber="1" containsInteger="1" minValue="0" maxValue="270000"/>
    </cacheField>
    <cacheField name="house_price_sold" numFmtId="0">
      <sharedItems containsString="0" containsBlank="1" containsNumber="1" containsInteger="1" minValue="0" maxValue="200000"/>
    </cacheField>
    <cacheField name="house_price_bought" numFmtId="0">
      <sharedItems containsString="0" containsBlank="1" containsNumber="1" containsInteger="1" minValue="0" maxValue="425000"/>
    </cacheField>
    <cacheField name="mortgage_house_end" numFmtId="0">
      <sharedItems containsString="0" containsBlank="1" containsNumber="1" containsInteger="1" minValue="0" maxValue="300000"/>
    </cacheField>
    <cacheField name="mortgage_left_end" numFmtId="0">
      <sharedItems containsString="0" containsBlank="1" containsNumber="1" containsInteger="1" minValue="0" maxValue="270000"/>
    </cacheField>
    <cacheField name="movingreason_id" numFmtId="0">
      <sharedItems containsString="0" containsBlank="1" containsNumber="1" containsInteger="1" minValue="33" maxValue="36"/>
    </cacheField>
    <cacheField name="moving_reason_other" numFmtId="0">
      <sharedItems containsNonDate="0" containsString="0" containsBlank="1"/>
    </cacheField>
    <cacheField name="pluvial_base_protection" numFmtId="0">
      <sharedItems containsString="0" containsBlank="1" containsNumber="1" containsInteger="1" minValue="0" maxValue="6"/>
    </cacheField>
    <cacheField name="fluvial_base_protection" numFmtId="0">
      <sharedItems containsString="0" containsBlank="1" containsNumber="1" containsInteger="1" minValue="0" maxValue="9"/>
    </cacheField>
    <cacheField name="pluvial_community_delta" numFmtId="0">
      <sharedItems containsString="0" containsBlank="1" containsNumber="1" containsInteger="1" minValue="-2" maxValue="0"/>
    </cacheField>
    <cacheField name="fluvial_community_delta" numFmtId="0">
      <sharedItems containsString="0" containsBlank="1" containsNumber="1" containsInteger="1" minValue="-1" maxValue="0"/>
    </cacheField>
    <cacheField name="pluvial_house_delta" numFmtId="0">
      <sharedItems containsString="0" containsBlank="1" containsNumber="1" containsInteger="1" minValue="0" maxValue="5"/>
    </cacheField>
    <cacheField name="fluvial_house_delta" numFmtId="0">
      <sharedItems containsString="0" containsBlank="1" containsNumber="1" containsInteger="1" minValue="0" maxValue="4"/>
    </cacheField>
    <cacheField name="player_state" numFmtId="0">
      <sharedItems containsBlank="1"/>
    </cacheField>
    <cacheField name="player_id" numFmtId="0">
      <sharedItems containsString="0" containsBlank="1" containsNumber="1" containsInteger="1" minValue="698" maxValue="727"/>
    </cacheField>
    <cacheField name="groupround_id" numFmtId="0">
      <sharedItems containsString="0" containsBlank="1" containsNumber="1" containsInteger="1" minValue="318" maxValue="337"/>
    </cacheField>
    <cacheField name="start_housegroup_id" numFmtId="0">
      <sharedItems containsString="0" containsBlank="1" containsNumber="1" containsInteger="1" minValue="1566" maxValue="1623"/>
    </cacheField>
    <cacheField name="final_housegroup_id" numFmtId="0">
      <sharedItems containsString="0" containsBlank="1" containsNumber="1" containsInteger="1" minValue="1566" maxValue="1663"/>
    </cacheField>
    <cacheField name="active_transaction_id" numFmtId="0">
      <sharedItems containsNonDate="0" containsString="0" containsBlank="1"/>
    </cacheField>
    <cacheField name="groupround_round_number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group_id" numFmtId="0">
      <sharedItems containsString="0" containsBlank="1" containsNumber="1" containsInteger="1" minValue="97" maxValue="100"/>
    </cacheField>
    <cacheField name="group_name" numFmtId="0">
      <sharedItems containsBlank="1"/>
    </cacheField>
    <cacheField name="gamesession_id" numFmtId="0">
      <sharedItems containsString="0" containsBlank="1" containsNumber="1" containsInteger="1" minValue="20" maxValue="20"/>
    </cacheField>
    <cacheField name="gamesession_name" numFmtId="0">
      <sharedItems containsBlank="1"/>
    </cacheField>
    <cacheField name="group_scenario_id" numFmtId="0">
      <sharedItems containsString="0" containsBlank="1" containsNumber="1" containsInteger="1" minValue="22" maxValue="22"/>
    </cacheField>
    <cacheField name="Added_total_base_protection" numFmtId="0">
      <sharedItems containsString="0" containsBlank="1" containsNumber="1" containsInteger="1" minValue="0" maxValue="15"/>
    </cacheField>
    <cacheField name="Added_player_welfaretype" numFmtId="0">
      <sharedItems containsBlank="1" containsMixedTypes="1" containsNumber="1" containsInteger="1" minValue="123" maxValue="128" count="8">
        <n v="124"/>
        <n v="126"/>
        <n v="123"/>
        <n v="125"/>
        <n v="127"/>
        <n v="128"/>
        <e v="#N/A"/>
        <m/>
      </sharedItems>
    </cacheField>
    <cacheField name="Added_living_Area" numFmtId="0">
      <sharedItems containsBlank="1" count="5">
        <s v="(Natu-city)"/>
        <s v=""/>
        <s v="(U-village)"/>
        <s v="(Dike-town)"/>
        <m/>
      </sharedItems>
    </cacheField>
    <cacheField name="Added_delta_protection" numFmtId="0">
      <sharedItems containsString="0" containsBlank="1" containsNumber="1" containsInteger="1" minValue="0" maxValue="9"/>
    </cacheField>
    <cacheField name="Added_total_damage " numFmtId="0">
      <sharedItems containsString="0" containsBlank="1" containsNumber="1" containsInteger="1" minValue="0" maxValue="16000" count="6">
        <n v="0"/>
        <n v="4000"/>
        <n v="8000"/>
        <n v="16000"/>
        <n v="12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0"/>
  </r>
  <r>
    <x v="0"/>
    <x v="0"/>
    <n v="3"/>
  </r>
  <r>
    <x v="0"/>
    <x v="0"/>
    <n v="3"/>
  </r>
  <r>
    <x v="0"/>
    <x v="0"/>
    <n v="3"/>
  </r>
  <r>
    <x v="0"/>
    <x v="1"/>
    <n v="2"/>
  </r>
  <r>
    <x v="1"/>
    <x v="0"/>
    <n v="0"/>
  </r>
  <r>
    <x v="1"/>
    <x v="0"/>
    <n v="1"/>
  </r>
  <r>
    <x v="1"/>
    <x v="0"/>
    <n v="3"/>
  </r>
  <r>
    <x v="1"/>
    <x v="0"/>
    <n v="5"/>
  </r>
  <r>
    <x v="1"/>
    <x v="1"/>
    <n v="7"/>
  </r>
  <r>
    <x v="2"/>
    <x v="2"/>
    <n v="0"/>
  </r>
  <r>
    <x v="2"/>
    <x v="2"/>
    <n v="2"/>
  </r>
  <r>
    <x v="2"/>
    <x v="2"/>
    <n v="0"/>
  </r>
  <r>
    <x v="2"/>
    <x v="2"/>
    <n v="0"/>
  </r>
  <r>
    <x v="2"/>
    <x v="1"/>
    <n v="4"/>
  </r>
  <r>
    <x v="3"/>
    <x v="3"/>
    <n v="0"/>
  </r>
  <r>
    <x v="3"/>
    <x v="3"/>
    <n v="2"/>
  </r>
  <r>
    <x v="3"/>
    <x v="3"/>
    <n v="2"/>
  </r>
  <r>
    <x v="3"/>
    <x v="3"/>
    <n v="2"/>
  </r>
  <r>
    <x v="3"/>
    <x v="1"/>
    <n v="4"/>
  </r>
  <r>
    <x v="4"/>
    <x v="2"/>
    <n v="0"/>
  </r>
  <r>
    <x v="4"/>
    <x v="2"/>
    <n v="6"/>
  </r>
  <r>
    <x v="4"/>
    <x v="2"/>
    <n v="8"/>
  </r>
  <r>
    <x v="4"/>
    <x v="2"/>
    <n v="8"/>
  </r>
  <r>
    <x v="4"/>
    <x v="1"/>
    <n v="8"/>
  </r>
  <r>
    <x v="5"/>
    <x v="0"/>
    <n v="0"/>
  </r>
  <r>
    <x v="5"/>
    <x v="0"/>
    <n v="2"/>
  </r>
  <r>
    <x v="5"/>
    <x v="0"/>
    <n v="6"/>
  </r>
  <r>
    <x v="5"/>
    <x v="0"/>
    <n v="6"/>
  </r>
  <r>
    <x v="5"/>
    <x v="1"/>
    <n v="6"/>
  </r>
  <r>
    <x v="0"/>
    <x v="3"/>
    <n v="0"/>
  </r>
  <r>
    <x v="0"/>
    <x v="3"/>
    <n v="4"/>
  </r>
  <r>
    <x v="0"/>
    <x v="3"/>
    <n v="6"/>
  </r>
  <r>
    <x v="0"/>
    <x v="3"/>
    <n v="8"/>
  </r>
  <r>
    <x v="0"/>
    <x v="1"/>
    <n v="7"/>
  </r>
  <r>
    <x v="1"/>
    <x v="0"/>
    <n v="0"/>
  </r>
  <r>
    <x v="1"/>
    <x v="0"/>
    <n v="2"/>
  </r>
  <r>
    <x v="1"/>
    <x v="0"/>
    <n v="4"/>
  </r>
  <r>
    <x v="1"/>
    <x v="0"/>
    <n v="7"/>
  </r>
  <r>
    <x v="1"/>
    <x v="1"/>
    <n v="7"/>
  </r>
  <r>
    <x v="2"/>
    <x v="2"/>
    <n v="0"/>
  </r>
  <r>
    <x v="2"/>
    <x v="2"/>
    <n v="0"/>
  </r>
  <r>
    <x v="2"/>
    <x v="2"/>
    <n v="0"/>
  </r>
  <r>
    <x v="2"/>
    <x v="2"/>
    <n v="0"/>
  </r>
  <r>
    <x v="2"/>
    <x v="1"/>
    <n v="0"/>
  </r>
  <r>
    <x v="3"/>
    <x v="3"/>
    <n v="0"/>
  </r>
  <r>
    <x v="3"/>
    <x v="3"/>
    <n v="0"/>
  </r>
  <r>
    <x v="3"/>
    <x v="3"/>
    <n v="2"/>
  </r>
  <r>
    <x v="3"/>
    <x v="0"/>
    <n v="0"/>
  </r>
  <r>
    <x v="3"/>
    <x v="1"/>
    <n v="9"/>
  </r>
  <r>
    <x v="4"/>
    <x v="0"/>
    <n v="0"/>
  </r>
  <r>
    <x v="4"/>
    <x v="0"/>
    <n v="4"/>
  </r>
  <r>
    <x v="4"/>
    <x v="0"/>
    <n v="9"/>
  </r>
  <r>
    <x v="4"/>
    <x v="0"/>
    <n v="9"/>
  </r>
  <r>
    <x v="4"/>
    <x v="1"/>
    <n v="9"/>
  </r>
  <r>
    <x v="5"/>
    <x v="3"/>
    <n v="0"/>
  </r>
  <r>
    <x v="5"/>
    <x v="3"/>
    <n v="4"/>
  </r>
  <r>
    <x v="5"/>
    <x v="3"/>
    <n v="4"/>
  </r>
  <r>
    <x v="5"/>
    <x v="3"/>
    <n v="9"/>
  </r>
  <r>
    <x v="5"/>
    <x v="1"/>
    <n v="9"/>
  </r>
  <r>
    <x v="0"/>
    <x v="0"/>
    <n v="0"/>
  </r>
  <r>
    <x v="0"/>
    <x v="0"/>
    <n v="0"/>
  </r>
  <r>
    <x v="0"/>
    <x v="0"/>
    <n v="2"/>
  </r>
  <r>
    <x v="0"/>
    <x v="0"/>
    <n v="6"/>
  </r>
  <r>
    <x v="0"/>
    <x v="1"/>
    <n v="6"/>
  </r>
  <r>
    <x v="1"/>
    <x v="2"/>
    <n v="0"/>
  </r>
  <r>
    <x v="1"/>
    <x v="2"/>
    <n v="4"/>
  </r>
  <r>
    <x v="1"/>
    <x v="2"/>
    <n v="9"/>
  </r>
  <r>
    <x v="1"/>
    <x v="2"/>
    <n v="9"/>
  </r>
  <r>
    <x v="1"/>
    <x v="1"/>
    <n v="9"/>
  </r>
  <r>
    <x v="2"/>
    <x v="2"/>
    <n v="0"/>
  </r>
  <r>
    <x v="2"/>
    <x v="2"/>
    <n v="3"/>
  </r>
  <r>
    <x v="2"/>
    <x v="2"/>
    <n v="3"/>
  </r>
  <r>
    <x v="2"/>
    <x v="3"/>
    <n v="3"/>
  </r>
  <r>
    <x v="2"/>
    <x v="1"/>
    <n v="8"/>
  </r>
  <r>
    <x v="3"/>
    <x v="3"/>
    <n v="0"/>
  </r>
  <r>
    <x v="3"/>
    <x v="3"/>
    <n v="0"/>
  </r>
  <r>
    <x v="3"/>
    <x v="3"/>
    <n v="0"/>
  </r>
  <r>
    <x v="3"/>
    <x v="0"/>
    <n v="0"/>
  </r>
  <r>
    <x v="3"/>
    <x v="1"/>
    <n v="3"/>
  </r>
  <r>
    <x v="4"/>
    <x v="0"/>
    <n v="0"/>
  </r>
  <r>
    <x v="4"/>
    <x v="0"/>
    <n v="6"/>
  </r>
  <r>
    <x v="4"/>
    <x v="0"/>
    <n v="6"/>
  </r>
  <r>
    <x v="4"/>
    <x v="0"/>
    <n v="9"/>
  </r>
  <r>
    <x v="4"/>
    <x v="1"/>
    <n v="9"/>
  </r>
  <r>
    <x v="5"/>
    <x v="0"/>
    <n v="0"/>
  </r>
  <r>
    <x v="5"/>
    <x v="0"/>
    <n v="7"/>
  </r>
  <r>
    <x v="5"/>
    <x v="0"/>
    <n v="9"/>
  </r>
  <r>
    <x v="5"/>
    <x v="0"/>
    <n v="9"/>
  </r>
  <r>
    <x v="5"/>
    <x v="1"/>
    <n v="9"/>
  </r>
  <r>
    <x v="0"/>
    <x v="2"/>
    <n v="0"/>
  </r>
  <r>
    <x v="0"/>
    <x v="2"/>
    <n v="0"/>
  </r>
  <r>
    <x v="0"/>
    <x v="2"/>
    <n v="0"/>
  </r>
  <r>
    <x v="0"/>
    <x v="2"/>
    <n v="0"/>
  </r>
  <r>
    <x v="0"/>
    <x v="1"/>
    <n v="0"/>
  </r>
  <r>
    <x v="1"/>
    <x v="3"/>
    <n v="0"/>
  </r>
  <r>
    <x v="1"/>
    <x v="3"/>
    <n v="2"/>
  </r>
  <r>
    <x v="1"/>
    <x v="3"/>
    <n v="5"/>
  </r>
  <r>
    <x v="1"/>
    <x v="3"/>
    <n v="7"/>
  </r>
  <r>
    <x v="1"/>
    <x v="1"/>
    <n v="7"/>
  </r>
  <r>
    <x v="2"/>
    <x v="2"/>
    <n v="0"/>
  </r>
  <r>
    <x v="2"/>
    <x v="2"/>
    <n v="3"/>
  </r>
  <r>
    <x v="2"/>
    <x v="2"/>
    <n v="5"/>
  </r>
  <r>
    <x v="2"/>
    <x v="2"/>
    <n v="6"/>
  </r>
  <r>
    <x v="2"/>
    <x v="1"/>
    <n v="5"/>
  </r>
  <r>
    <x v="3"/>
    <x v="2"/>
    <n v="0"/>
  </r>
  <r>
    <x v="3"/>
    <x v="2"/>
    <n v="5"/>
  </r>
  <r>
    <x v="3"/>
    <x v="2"/>
    <n v="7"/>
  </r>
  <r>
    <x v="3"/>
    <x v="2"/>
    <n v="9"/>
  </r>
  <r>
    <x v="3"/>
    <x v="1"/>
    <n v="9"/>
  </r>
  <r>
    <x v="4"/>
    <x v="0"/>
    <n v="0"/>
  </r>
  <r>
    <x v="4"/>
    <x v="0"/>
    <n v="0"/>
  </r>
  <r>
    <x v="4"/>
    <x v="0"/>
    <n v="4"/>
  </r>
  <r>
    <x v="4"/>
    <x v="0"/>
    <n v="9"/>
  </r>
  <r>
    <x v="4"/>
    <x v="1"/>
    <n v="9"/>
  </r>
  <r>
    <x v="5"/>
    <x v="3"/>
    <n v="0"/>
  </r>
  <r>
    <x v="5"/>
    <x v="3"/>
    <n v="5"/>
  </r>
  <r>
    <x v="5"/>
    <x v="3"/>
    <n v="5"/>
  </r>
  <r>
    <x v="5"/>
    <x v="3"/>
    <n v="7"/>
  </r>
  <r>
    <x v="5"/>
    <x v="1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98"/>
    <n v="318"/>
    <m/>
    <m/>
    <m/>
    <x v="0"/>
    <n v="97"/>
    <s v="Table1"/>
    <n v="20"/>
    <s v="251007_VerzekeraarsMasterClass"/>
    <n v="22"/>
    <n v="0"/>
    <x v="0"/>
  </r>
  <r>
    <n v="7"/>
    <n v="4"/>
    <n v="110000"/>
    <n v="0"/>
    <n v="0"/>
    <n v="0"/>
    <n v="100000"/>
    <n v="100000"/>
    <n v="90000"/>
    <m/>
    <m/>
    <n v="6"/>
    <n v="9"/>
    <n v="0"/>
    <n v="0"/>
    <n v="2"/>
    <n v="1"/>
    <s v="VIEW_SUMMARY"/>
    <n v="698"/>
    <n v="325"/>
    <m/>
    <n v="1613"/>
    <m/>
    <x v="1"/>
    <n v="97"/>
    <s v="Table1"/>
    <n v="20"/>
    <s v="251007_VerzekeraarsMasterClass"/>
    <n v="22"/>
    <n v="15"/>
    <x v="0"/>
  </r>
  <r>
    <n v="10"/>
    <n v="4"/>
    <n v="110000"/>
    <n v="100000"/>
    <n v="90000"/>
    <n v="0"/>
    <n v="0"/>
    <n v="100000"/>
    <n v="80000"/>
    <m/>
    <m/>
    <n v="6"/>
    <n v="9"/>
    <n v="0"/>
    <n v="0"/>
    <n v="2"/>
    <n v="1"/>
    <s v="VIEW_SUMMARY"/>
    <n v="698"/>
    <n v="328"/>
    <n v="1613"/>
    <n v="1613"/>
    <m/>
    <x v="2"/>
    <n v="97"/>
    <s v="Table1"/>
    <n v="20"/>
    <s v="251007_VerzekeraarsMasterClass"/>
    <n v="22"/>
    <n v="15"/>
    <x v="0"/>
  </r>
  <r>
    <n v="13"/>
    <n v="4"/>
    <n v="110000"/>
    <n v="100000"/>
    <n v="80000"/>
    <n v="0"/>
    <n v="0"/>
    <n v="100000"/>
    <n v="70000"/>
    <m/>
    <m/>
    <n v="6"/>
    <n v="9"/>
    <n v="-2"/>
    <n v="-1"/>
    <n v="2"/>
    <n v="1"/>
    <s v="VIEW_SUMMARY"/>
    <n v="698"/>
    <n v="332"/>
    <n v="1613"/>
    <n v="1613"/>
    <m/>
    <x v="3"/>
    <n v="97"/>
    <s v="Table1"/>
    <n v="20"/>
    <s v="251007_VerzekeraarsMasterClass"/>
    <n v="22"/>
    <n v="15"/>
    <x v="0"/>
  </r>
  <r>
    <n v="16"/>
    <n v="4"/>
    <n v="110000"/>
    <n v="100000"/>
    <n v="70000"/>
    <n v="0"/>
    <n v="0"/>
    <n v="100000"/>
    <n v="60000"/>
    <m/>
    <m/>
    <n v="6"/>
    <n v="9"/>
    <n v="-2"/>
    <n v="-1"/>
    <n v="1"/>
    <n v="1"/>
    <s v="VIEW_SUMMARY"/>
    <n v="698"/>
    <n v="336"/>
    <n v="1613"/>
    <n v="1613"/>
    <m/>
    <x v="4"/>
    <n v="97"/>
    <s v="Table1"/>
    <n v="20"/>
    <s v="251007_VerzekeraarsMasterClass"/>
    <n v="22"/>
    <n v="15"/>
    <x v="0"/>
  </r>
  <r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9"/>
    <n v="318"/>
    <m/>
    <m/>
    <m/>
    <x v="0"/>
    <n v="97"/>
    <s v="Table1"/>
    <n v="20"/>
    <s v="251007_VerzekeraarsMasterClass"/>
    <n v="22"/>
    <n v="0"/>
    <x v="1"/>
  </r>
  <r>
    <n v="7"/>
    <n v="6"/>
    <n v="170000"/>
    <n v="0"/>
    <n v="0"/>
    <n v="0"/>
    <n v="200000"/>
    <n v="170000"/>
    <n v="153000"/>
    <m/>
    <m/>
    <n v="6"/>
    <n v="9"/>
    <n v="0"/>
    <n v="0"/>
    <n v="1"/>
    <n v="0"/>
    <s v="VIEW_SUMMARY"/>
    <n v="699"/>
    <n v="325"/>
    <m/>
    <n v="1611"/>
    <m/>
    <x v="1"/>
    <n v="97"/>
    <s v="Table1"/>
    <n v="20"/>
    <s v="251007_VerzekeraarsMasterClass"/>
    <n v="22"/>
    <n v="15"/>
    <x v="1"/>
  </r>
  <r>
    <n v="11"/>
    <n v="6"/>
    <n v="170000"/>
    <n v="170000"/>
    <n v="153000"/>
    <n v="0"/>
    <n v="0"/>
    <n v="170000"/>
    <n v="136000"/>
    <m/>
    <m/>
    <n v="6"/>
    <n v="9"/>
    <n v="0"/>
    <n v="0"/>
    <n v="2"/>
    <n v="1"/>
    <s v="VIEW_SUMMARY"/>
    <n v="699"/>
    <n v="328"/>
    <n v="1611"/>
    <n v="1611"/>
    <m/>
    <x v="2"/>
    <n v="97"/>
    <s v="Table1"/>
    <n v="20"/>
    <s v="251007_VerzekeraarsMasterClass"/>
    <n v="22"/>
    <n v="15"/>
    <x v="1"/>
  </r>
  <r>
    <n v="14"/>
    <n v="6"/>
    <n v="170000"/>
    <n v="170000"/>
    <n v="136000"/>
    <n v="0"/>
    <n v="0"/>
    <n v="170000"/>
    <n v="119000"/>
    <m/>
    <m/>
    <n v="6"/>
    <n v="9"/>
    <n v="-2"/>
    <n v="-1"/>
    <n v="3"/>
    <n v="2"/>
    <s v="VIEW_SUMMARY"/>
    <n v="699"/>
    <n v="332"/>
    <n v="1611"/>
    <n v="1611"/>
    <m/>
    <x v="3"/>
    <n v="97"/>
    <s v="Table1"/>
    <n v="20"/>
    <s v="251007_VerzekeraarsMasterClass"/>
    <n v="22"/>
    <n v="15"/>
    <x v="1"/>
  </r>
  <r>
    <n v="18"/>
    <n v="6"/>
    <n v="170000"/>
    <n v="170000"/>
    <n v="119000"/>
    <n v="0"/>
    <n v="0"/>
    <n v="170000"/>
    <n v="102000"/>
    <m/>
    <m/>
    <n v="6"/>
    <n v="9"/>
    <n v="-2"/>
    <n v="-1"/>
    <n v="4"/>
    <n v="3"/>
    <s v="VIEW_SUMMARY"/>
    <n v="699"/>
    <n v="336"/>
    <n v="1611"/>
    <n v="1611"/>
    <m/>
    <x v="4"/>
    <n v="97"/>
    <s v="Table1"/>
    <n v="20"/>
    <s v="251007_VerzekeraarsMasterClass"/>
    <n v="22"/>
    <n v="15"/>
    <x v="1"/>
  </r>
  <r>
    <n v="5"/>
    <n v="3"/>
    <n v="80000"/>
    <n v="0"/>
    <n v="0"/>
    <n v="0"/>
    <n v="0"/>
    <n v="0"/>
    <n v="0"/>
    <m/>
    <m/>
    <n v="0"/>
    <n v="0"/>
    <n v="0"/>
    <n v="0"/>
    <n v="0"/>
    <n v="0"/>
    <s v="LOGIN"/>
    <n v="700"/>
    <n v="318"/>
    <m/>
    <m/>
    <m/>
    <x v="0"/>
    <n v="97"/>
    <s v="Table1"/>
    <n v="20"/>
    <s v="251007_VerzekeraarsMasterClass"/>
    <n v="22"/>
    <n v="0"/>
    <x v="2"/>
  </r>
  <r>
    <n v="1"/>
    <n v="3"/>
    <n v="80000"/>
    <n v="0"/>
    <n v="0"/>
    <n v="0"/>
    <n v="70000"/>
    <n v="70000"/>
    <n v="63000"/>
    <m/>
    <m/>
    <n v="6"/>
    <n v="6"/>
    <n v="0"/>
    <n v="0"/>
    <n v="1"/>
    <n v="1"/>
    <s v="VIEW_SUMMARY"/>
    <n v="700"/>
    <n v="325"/>
    <m/>
    <n v="1623"/>
    <m/>
    <x v="1"/>
    <n v="97"/>
    <s v="Table1"/>
    <n v="20"/>
    <s v="251007_VerzekeraarsMasterClass"/>
    <n v="22"/>
    <n v="12"/>
    <x v="2"/>
  </r>
  <r>
    <n v="0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700"/>
    <n v="328"/>
    <n v="1623"/>
    <n v="1623"/>
    <m/>
    <x v="2"/>
    <n v="97"/>
    <s v="Table1"/>
    <n v="20"/>
    <s v="251007_VerzekeraarsMasterClass"/>
    <n v="22"/>
    <n v="12"/>
    <x v="2"/>
  </r>
  <r>
    <n v="-3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700"/>
    <n v="332"/>
    <n v="1623"/>
    <n v="1623"/>
    <m/>
    <x v="3"/>
    <n v="97"/>
    <s v="Table1"/>
    <n v="20"/>
    <s v="251007_VerzekeraarsMasterClass"/>
    <n v="22"/>
    <n v="12"/>
    <x v="2"/>
  </r>
  <r>
    <n v="-5"/>
    <n v="3"/>
    <n v="80000"/>
    <n v="70000"/>
    <n v="49000"/>
    <n v="100000"/>
    <n v="70000"/>
    <n v="70000"/>
    <n v="63000"/>
    <n v="35"/>
    <m/>
    <n v="6"/>
    <n v="6"/>
    <n v="-2"/>
    <n v="-1"/>
    <n v="2"/>
    <n v="2"/>
    <s v="VIEW_SUMMARY"/>
    <n v="700"/>
    <n v="336"/>
    <n v="1623"/>
    <n v="1660"/>
    <m/>
    <x v="4"/>
    <n v="97"/>
    <s v="Table1"/>
    <n v="20"/>
    <s v="251007_VerzekeraarsMasterClass"/>
    <n v="22"/>
    <n v="12"/>
    <x v="2"/>
  </r>
  <r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01"/>
    <n v="318"/>
    <m/>
    <m/>
    <m/>
    <x v="0"/>
    <n v="97"/>
    <s v="Table1"/>
    <n v="20"/>
    <s v="251007_VerzekeraarsMasterClass"/>
    <n v="22"/>
    <n v="0"/>
    <x v="3"/>
  </r>
  <r>
    <n v="7"/>
    <n v="5"/>
    <n v="130000"/>
    <n v="0"/>
    <n v="0"/>
    <n v="0"/>
    <n v="80000"/>
    <n v="80000"/>
    <n v="72000"/>
    <m/>
    <m/>
    <n v="4"/>
    <n v="9"/>
    <n v="0"/>
    <n v="0"/>
    <n v="2"/>
    <n v="0"/>
    <s v="VIEW_SUMMARY"/>
    <n v="701"/>
    <n v="325"/>
    <m/>
    <n v="1619"/>
    <m/>
    <x v="1"/>
    <n v="97"/>
    <s v="Table1"/>
    <n v="20"/>
    <s v="251007_VerzekeraarsMasterClass"/>
    <n v="22"/>
    <n v="13"/>
    <x v="3"/>
  </r>
  <r>
    <n v="10"/>
    <n v="5"/>
    <n v="130000"/>
    <n v="80000"/>
    <n v="72000"/>
    <n v="0"/>
    <n v="0"/>
    <n v="80000"/>
    <n v="64000"/>
    <m/>
    <m/>
    <n v="4"/>
    <n v="9"/>
    <n v="0"/>
    <n v="0"/>
    <n v="2"/>
    <n v="0"/>
    <s v="VIEW_SUMMARY"/>
    <n v="701"/>
    <n v="328"/>
    <n v="1619"/>
    <n v="1619"/>
    <m/>
    <x v="2"/>
    <n v="97"/>
    <s v="Table1"/>
    <n v="20"/>
    <s v="251007_VerzekeraarsMasterClass"/>
    <n v="22"/>
    <n v="13"/>
    <x v="3"/>
  </r>
  <r>
    <n v="13"/>
    <n v="5"/>
    <n v="130000"/>
    <n v="80000"/>
    <n v="64000"/>
    <n v="0"/>
    <n v="0"/>
    <n v="80000"/>
    <n v="56000"/>
    <m/>
    <m/>
    <n v="4"/>
    <n v="9"/>
    <n v="-2"/>
    <n v="-1"/>
    <n v="2"/>
    <n v="0"/>
    <s v="VIEW_SUMMARY"/>
    <n v="701"/>
    <n v="332"/>
    <n v="1619"/>
    <n v="1619"/>
    <m/>
    <x v="3"/>
    <n v="97"/>
    <s v="Table1"/>
    <n v="20"/>
    <s v="251007_VerzekeraarsMasterClass"/>
    <n v="22"/>
    <n v="13"/>
    <x v="3"/>
  </r>
  <r>
    <n v="13"/>
    <n v="5"/>
    <n v="130000"/>
    <n v="80000"/>
    <n v="56000"/>
    <n v="0"/>
    <n v="0"/>
    <n v="80000"/>
    <n v="48000"/>
    <m/>
    <m/>
    <n v="4"/>
    <n v="9"/>
    <n v="-2"/>
    <n v="-1"/>
    <n v="3"/>
    <n v="1"/>
    <s v="VIEW_SUMMARY"/>
    <n v="701"/>
    <n v="336"/>
    <n v="1619"/>
    <n v="1619"/>
    <m/>
    <x v="4"/>
    <n v="97"/>
    <s v="Table1"/>
    <n v="20"/>
    <s v="251007_VerzekeraarsMasterClass"/>
    <n v="22"/>
    <n v="13"/>
    <x v="3"/>
  </r>
  <r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02"/>
    <n v="318"/>
    <m/>
    <m/>
    <m/>
    <x v="0"/>
    <n v="97"/>
    <s v="Table1"/>
    <n v="20"/>
    <s v="251007_VerzekeraarsMasterClass"/>
    <n v="22"/>
    <n v="0"/>
    <x v="4"/>
  </r>
  <r>
    <n v="5"/>
    <n v="7"/>
    <n v="200000"/>
    <n v="0"/>
    <n v="0"/>
    <n v="0"/>
    <n v="125000"/>
    <n v="125000"/>
    <n v="112500"/>
    <m/>
    <m/>
    <n v="6"/>
    <n v="6"/>
    <n v="0"/>
    <n v="0"/>
    <n v="4"/>
    <n v="2"/>
    <s v="VIEW_SUMMARY"/>
    <n v="702"/>
    <n v="325"/>
    <m/>
    <n v="1622"/>
    <m/>
    <x v="1"/>
    <n v="97"/>
    <s v="Table1"/>
    <n v="20"/>
    <s v="251007_VerzekeraarsMasterClass"/>
    <n v="22"/>
    <n v="12"/>
    <x v="4"/>
  </r>
  <r>
    <n v="8"/>
    <n v="7"/>
    <n v="200000"/>
    <n v="125000"/>
    <n v="112500"/>
    <n v="0"/>
    <n v="0"/>
    <n v="125000"/>
    <n v="100000"/>
    <m/>
    <m/>
    <n v="6"/>
    <n v="6"/>
    <n v="0"/>
    <n v="0"/>
    <n v="5"/>
    <n v="3"/>
    <s v="VIEW_SUMMARY"/>
    <n v="702"/>
    <n v="328"/>
    <n v="1622"/>
    <n v="1622"/>
    <m/>
    <x v="2"/>
    <n v="97"/>
    <s v="Table1"/>
    <n v="20"/>
    <s v="251007_VerzekeraarsMasterClass"/>
    <n v="22"/>
    <n v="12"/>
    <x v="4"/>
  </r>
  <r>
    <n v="11"/>
    <n v="7"/>
    <n v="200000"/>
    <n v="125000"/>
    <n v="100000"/>
    <n v="0"/>
    <n v="0"/>
    <n v="125000"/>
    <n v="87500"/>
    <m/>
    <m/>
    <n v="6"/>
    <n v="6"/>
    <n v="-2"/>
    <n v="-1"/>
    <n v="5"/>
    <n v="3"/>
    <s v="VIEW_SUMMARY"/>
    <n v="702"/>
    <n v="332"/>
    <n v="1622"/>
    <n v="1622"/>
    <m/>
    <x v="3"/>
    <n v="97"/>
    <s v="Table1"/>
    <n v="20"/>
    <s v="251007_VerzekeraarsMasterClass"/>
    <n v="22"/>
    <n v="12"/>
    <x v="4"/>
  </r>
  <r>
    <n v="14"/>
    <n v="7"/>
    <n v="200000"/>
    <n v="125000"/>
    <n v="87500"/>
    <n v="0"/>
    <n v="0"/>
    <n v="125000"/>
    <n v="75000"/>
    <m/>
    <m/>
    <n v="6"/>
    <n v="6"/>
    <n v="-2"/>
    <n v="-1"/>
    <n v="5"/>
    <n v="3"/>
    <s v="VIEW_SUMMARY"/>
    <n v="702"/>
    <n v="336"/>
    <n v="1622"/>
    <n v="1622"/>
    <m/>
    <x v="4"/>
    <n v="97"/>
    <s v="Table1"/>
    <n v="20"/>
    <s v="251007_VerzekeraarsMasterClass"/>
    <n v="22"/>
    <n v="12"/>
    <x v="4"/>
  </r>
  <r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03"/>
    <n v="318"/>
    <m/>
    <m/>
    <m/>
    <x v="0"/>
    <n v="97"/>
    <s v="Table1"/>
    <n v="20"/>
    <s v="251007_VerzekeraarsMasterClass"/>
    <n v="22"/>
    <n v="0"/>
    <x v="5"/>
  </r>
  <r>
    <n v="7"/>
    <n v="8"/>
    <n v="300000"/>
    <n v="0"/>
    <n v="0"/>
    <n v="0"/>
    <n v="200000"/>
    <n v="200000"/>
    <n v="180000"/>
    <m/>
    <m/>
    <n v="6"/>
    <n v="9"/>
    <n v="0"/>
    <n v="0"/>
    <n v="1"/>
    <n v="1"/>
    <s v="VIEW_SUMMARY"/>
    <n v="703"/>
    <n v="325"/>
    <m/>
    <n v="1612"/>
    <m/>
    <x v="1"/>
    <n v="97"/>
    <s v="Table1"/>
    <n v="20"/>
    <s v="251007_VerzekeraarsMasterClass"/>
    <n v="22"/>
    <n v="15"/>
    <x v="5"/>
  </r>
  <r>
    <n v="14"/>
    <n v="8"/>
    <n v="300000"/>
    <n v="200000"/>
    <n v="180000"/>
    <n v="0"/>
    <n v="0"/>
    <n v="200000"/>
    <n v="160000"/>
    <m/>
    <m/>
    <n v="6"/>
    <n v="9"/>
    <n v="0"/>
    <n v="0"/>
    <n v="4"/>
    <n v="2"/>
    <s v="VIEW_SUMMARY"/>
    <n v="703"/>
    <n v="328"/>
    <n v="1612"/>
    <n v="1612"/>
    <m/>
    <x v="2"/>
    <n v="97"/>
    <s v="Table1"/>
    <n v="20"/>
    <s v="251007_VerzekeraarsMasterClass"/>
    <n v="22"/>
    <n v="15"/>
    <x v="5"/>
  </r>
  <r>
    <n v="18"/>
    <n v="8"/>
    <n v="300000"/>
    <n v="200000"/>
    <n v="160000"/>
    <n v="0"/>
    <n v="0"/>
    <n v="200000"/>
    <n v="140000"/>
    <m/>
    <m/>
    <n v="6"/>
    <n v="9"/>
    <n v="-2"/>
    <n v="-1"/>
    <n v="4"/>
    <n v="2"/>
    <s v="VIEW_SUMMARY"/>
    <n v="703"/>
    <n v="332"/>
    <n v="1612"/>
    <n v="1612"/>
    <m/>
    <x v="3"/>
    <n v="97"/>
    <s v="Table1"/>
    <n v="20"/>
    <s v="251007_VerzekeraarsMasterClass"/>
    <n v="22"/>
    <n v="15"/>
    <x v="5"/>
  </r>
  <r>
    <n v="25"/>
    <n v="8"/>
    <n v="300000"/>
    <n v="200000"/>
    <n v="140000"/>
    <n v="200000"/>
    <n v="425000"/>
    <n v="300000"/>
    <n v="270000"/>
    <n v="33"/>
    <m/>
    <n v="6"/>
    <n v="9"/>
    <n v="-2"/>
    <n v="-1"/>
    <n v="4"/>
    <n v="2"/>
    <s v="VIEW_DAMAGE"/>
    <n v="703"/>
    <n v="336"/>
    <n v="1612"/>
    <n v="1650"/>
    <m/>
    <x v="4"/>
    <n v="97"/>
    <s v="Table1"/>
    <n v="20"/>
    <s v="251007_VerzekeraarsMasterClass"/>
    <n v="22"/>
    <n v="15"/>
    <x v="5"/>
  </r>
  <r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06"/>
    <n v="321"/>
    <m/>
    <m/>
    <m/>
    <x v="0"/>
    <n v="98"/>
    <s v="Table2"/>
    <n v="20"/>
    <s v="251007_VerzekeraarsMasterClass"/>
    <n v="22"/>
    <n v="0"/>
    <x v="0"/>
  </r>
  <r>
    <n v="4"/>
    <n v="4"/>
    <n v="110000"/>
    <n v="0"/>
    <n v="0"/>
    <n v="0"/>
    <n v="80000"/>
    <n v="80000"/>
    <n v="72000"/>
    <m/>
    <m/>
    <n v="4"/>
    <n v="9"/>
    <n v="0"/>
    <n v="0"/>
    <n v="2"/>
    <n v="2"/>
    <s v="VIEW_SUMMARY"/>
    <n v="706"/>
    <n v="324"/>
    <m/>
    <n v="1604"/>
    <m/>
    <x v="1"/>
    <n v="98"/>
    <s v="Table2"/>
    <n v="20"/>
    <s v="251007_VerzekeraarsMasterClass"/>
    <n v="22"/>
    <n v="13"/>
    <x v="0"/>
  </r>
  <r>
    <n v="5"/>
    <n v="4"/>
    <n v="110000"/>
    <n v="80000"/>
    <n v="72000"/>
    <n v="0"/>
    <n v="0"/>
    <n v="80000"/>
    <n v="64000"/>
    <m/>
    <m/>
    <n v="4"/>
    <n v="9"/>
    <n v="0"/>
    <n v="0"/>
    <n v="4"/>
    <n v="2"/>
    <s v="VIEW_SUMMARY"/>
    <n v="706"/>
    <n v="329"/>
    <n v="1604"/>
    <n v="1604"/>
    <m/>
    <x v="2"/>
    <n v="98"/>
    <s v="Table2"/>
    <n v="20"/>
    <s v="251007_VerzekeraarsMasterClass"/>
    <n v="22"/>
    <n v="13"/>
    <x v="0"/>
  </r>
  <r>
    <n v="4"/>
    <n v="4"/>
    <n v="110000"/>
    <n v="80000"/>
    <n v="64000"/>
    <n v="0"/>
    <n v="0"/>
    <n v="80000"/>
    <n v="56000"/>
    <m/>
    <m/>
    <n v="4"/>
    <n v="9"/>
    <n v="-2"/>
    <n v="-1"/>
    <n v="5"/>
    <n v="3"/>
    <s v="VIEW_SUMMARY"/>
    <n v="706"/>
    <n v="334"/>
    <n v="1604"/>
    <n v="1604"/>
    <m/>
    <x v="3"/>
    <n v="98"/>
    <s v="Table2"/>
    <n v="20"/>
    <s v="251007_VerzekeraarsMasterClass"/>
    <n v="22"/>
    <n v="13"/>
    <x v="0"/>
  </r>
  <r>
    <n v="7"/>
    <n v="4"/>
    <n v="110000"/>
    <n v="80000"/>
    <n v="56000"/>
    <n v="0"/>
    <n v="0"/>
    <n v="80000"/>
    <n v="48000"/>
    <m/>
    <m/>
    <n v="4"/>
    <n v="9"/>
    <n v="-2"/>
    <n v="-1"/>
    <n v="4"/>
    <n v="3"/>
    <s v="VIEW_SUMMARY"/>
    <n v="706"/>
    <n v="337"/>
    <n v="1604"/>
    <n v="1604"/>
    <m/>
    <x v="4"/>
    <n v="98"/>
    <s v="Table2"/>
    <n v="20"/>
    <s v="251007_VerzekeraarsMasterClass"/>
    <n v="22"/>
    <n v="13"/>
    <x v="0"/>
  </r>
  <r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07"/>
    <n v="321"/>
    <m/>
    <m/>
    <m/>
    <x v="0"/>
    <n v="98"/>
    <s v="Table2"/>
    <n v="20"/>
    <s v="251007_VerzekeraarsMasterClass"/>
    <n v="22"/>
    <n v="0"/>
    <x v="1"/>
  </r>
  <r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707"/>
    <n v="324"/>
    <m/>
    <n v="1596"/>
    <m/>
    <x v="1"/>
    <n v="98"/>
    <s v="Table2"/>
    <n v="20"/>
    <s v="251007_VerzekeraarsMasterClass"/>
    <n v="22"/>
    <n v="15"/>
    <x v="1"/>
  </r>
  <r>
    <n v="6"/>
    <n v="6"/>
    <n v="170000"/>
    <n v="170000"/>
    <n v="153000"/>
    <n v="0"/>
    <n v="0"/>
    <n v="170000"/>
    <n v="136000"/>
    <m/>
    <m/>
    <n v="6"/>
    <n v="9"/>
    <n v="0"/>
    <n v="0"/>
    <n v="2"/>
    <n v="2"/>
    <s v="VIEW_SUMMARY"/>
    <n v="707"/>
    <n v="329"/>
    <n v="1596"/>
    <n v="1596"/>
    <m/>
    <x v="2"/>
    <n v="98"/>
    <s v="Table2"/>
    <n v="20"/>
    <s v="251007_VerzekeraarsMasterClass"/>
    <n v="22"/>
    <n v="15"/>
    <x v="1"/>
  </r>
  <r>
    <n v="7"/>
    <n v="6"/>
    <n v="170000"/>
    <n v="170000"/>
    <n v="136000"/>
    <n v="0"/>
    <n v="0"/>
    <n v="170000"/>
    <n v="119000"/>
    <m/>
    <m/>
    <n v="6"/>
    <n v="9"/>
    <n v="-2"/>
    <n v="-1"/>
    <n v="4"/>
    <n v="3"/>
    <s v="VIEW_SUMMARY"/>
    <n v="707"/>
    <n v="334"/>
    <n v="1596"/>
    <n v="1596"/>
    <m/>
    <x v="3"/>
    <n v="98"/>
    <s v="Table2"/>
    <n v="20"/>
    <s v="251007_VerzekeraarsMasterClass"/>
    <n v="22"/>
    <n v="15"/>
    <x v="1"/>
  </r>
  <r>
    <n v="12"/>
    <n v="6"/>
    <n v="170000"/>
    <n v="170000"/>
    <n v="119000"/>
    <n v="0"/>
    <n v="0"/>
    <n v="170000"/>
    <n v="102000"/>
    <m/>
    <m/>
    <n v="6"/>
    <n v="9"/>
    <n v="-2"/>
    <n v="-1"/>
    <n v="4"/>
    <n v="3"/>
    <s v="VIEW_SUMMARY"/>
    <n v="707"/>
    <n v="337"/>
    <n v="1596"/>
    <n v="1596"/>
    <m/>
    <x v="4"/>
    <n v="98"/>
    <s v="Table2"/>
    <n v="20"/>
    <s v="251007_VerzekeraarsMasterClass"/>
    <n v="22"/>
    <n v="15"/>
    <x v="1"/>
  </r>
  <r>
    <n v="5"/>
    <n v="3"/>
    <n v="80000"/>
    <n v="0"/>
    <n v="0"/>
    <n v="0"/>
    <n v="0"/>
    <n v="0"/>
    <n v="0"/>
    <m/>
    <m/>
    <n v="0"/>
    <n v="0"/>
    <n v="0"/>
    <n v="0"/>
    <n v="0"/>
    <n v="0"/>
    <s v="LOGIN"/>
    <n v="708"/>
    <n v="321"/>
    <m/>
    <m/>
    <m/>
    <x v="0"/>
    <n v="98"/>
    <s v="Table2"/>
    <n v="20"/>
    <s v="251007_VerzekeraarsMasterClass"/>
    <n v="22"/>
    <n v="0"/>
    <x v="2"/>
  </r>
  <r>
    <n v="5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708"/>
    <n v="324"/>
    <m/>
    <n v="1608"/>
    <m/>
    <x v="1"/>
    <n v="98"/>
    <s v="Table2"/>
    <n v="20"/>
    <s v="251007_VerzekeraarsMasterClass"/>
    <n v="22"/>
    <n v="12"/>
    <x v="2"/>
  </r>
  <r>
    <n v="2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708"/>
    <n v="329"/>
    <n v="1608"/>
    <n v="1608"/>
    <m/>
    <x v="2"/>
    <n v="98"/>
    <s v="Table2"/>
    <n v="20"/>
    <s v="251007_VerzekeraarsMasterClass"/>
    <n v="22"/>
    <n v="12"/>
    <x v="2"/>
  </r>
  <r>
    <n v="0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708"/>
    <n v="334"/>
    <n v="1608"/>
    <n v="1608"/>
    <m/>
    <x v="3"/>
    <n v="98"/>
    <s v="Table2"/>
    <n v="20"/>
    <s v="251007_VerzekeraarsMasterClass"/>
    <n v="22"/>
    <n v="12"/>
    <x v="2"/>
  </r>
  <r>
    <n v="-2"/>
    <n v="3"/>
    <n v="80000"/>
    <n v="70000"/>
    <n v="49000"/>
    <n v="0"/>
    <n v="0"/>
    <n v="70000"/>
    <n v="42000"/>
    <m/>
    <m/>
    <n v="6"/>
    <n v="6"/>
    <n v="-2"/>
    <n v="-1"/>
    <n v="0"/>
    <n v="0"/>
    <s v="VIEW_SUMMARY"/>
    <n v="708"/>
    <n v="337"/>
    <n v="1608"/>
    <n v="1608"/>
    <m/>
    <x v="4"/>
    <n v="98"/>
    <s v="Table2"/>
    <n v="20"/>
    <s v="251007_VerzekeraarsMasterClass"/>
    <n v="22"/>
    <n v="12"/>
    <x v="2"/>
  </r>
  <r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09"/>
    <n v="321"/>
    <m/>
    <m/>
    <m/>
    <x v="0"/>
    <n v="98"/>
    <s v="Table2"/>
    <n v="20"/>
    <s v="251007_VerzekeraarsMasterClass"/>
    <n v="22"/>
    <n v="0"/>
    <x v="3"/>
  </r>
  <r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709"/>
    <n v="324"/>
    <m/>
    <n v="1602"/>
    <m/>
    <x v="1"/>
    <n v="98"/>
    <s v="Table2"/>
    <n v="20"/>
    <s v="251007_VerzekeraarsMasterClass"/>
    <n v="22"/>
    <n v="13"/>
    <x v="3"/>
  </r>
  <r>
    <n v="4"/>
    <n v="5"/>
    <n v="130000"/>
    <n v="130000"/>
    <n v="117000"/>
    <n v="0"/>
    <n v="0"/>
    <n v="130000"/>
    <n v="104000"/>
    <m/>
    <m/>
    <n v="4"/>
    <n v="9"/>
    <n v="0"/>
    <n v="0"/>
    <n v="1"/>
    <n v="1"/>
    <s v="VIEW_SUMMARY"/>
    <n v="709"/>
    <n v="329"/>
    <n v="1602"/>
    <n v="1602"/>
    <m/>
    <x v="2"/>
    <n v="98"/>
    <s v="Table2"/>
    <n v="20"/>
    <s v="251007_VerzekeraarsMasterClass"/>
    <n v="22"/>
    <n v="13"/>
    <x v="3"/>
  </r>
  <r>
    <n v="2"/>
    <n v="5"/>
    <n v="130000"/>
    <n v="130000"/>
    <n v="104000"/>
    <n v="0"/>
    <n v="0"/>
    <n v="130000"/>
    <n v="91000"/>
    <m/>
    <m/>
    <n v="4"/>
    <n v="9"/>
    <n v="-2"/>
    <n v="-1"/>
    <n v="0"/>
    <n v="0"/>
    <s v="VIEW_SUMMARY"/>
    <n v="709"/>
    <n v="334"/>
    <n v="1602"/>
    <n v="1602"/>
    <m/>
    <x v="3"/>
    <n v="98"/>
    <s v="Table2"/>
    <n v="20"/>
    <s v="251007_VerzekeraarsMasterClass"/>
    <n v="22"/>
    <n v="13"/>
    <x v="3"/>
  </r>
  <r>
    <n v="10"/>
    <n v="5"/>
    <n v="130000"/>
    <n v="130000"/>
    <n v="91000"/>
    <n v="160000"/>
    <n v="100000"/>
    <n v="100000"/>
    <n v="90000"/>
    <n v="36"/>
    <m/>
    <n v="6"/>
    <n v="9"/>
    <n v="-2"/>
    <n v="-1"/>
    <n v="5"/>
    <n v="4"/>
    <s v="VIEW_SUMMARY"/>
    <n v="709"/>
    <n v="337"/>
    <n v="1602"/>
    <n v="1663"/>
    <m/>
    <x v="4"/>
    <n v="98"/>
    <s v="Table2"/>
    <n v="20"/>
    <s v="251007_VerzekeraarsMasterClass"/>
    <n v="22"/>
    <n v="15"/>
    <x v="3"/>
  </r>
  <r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10"/>
    <n v="321"/>
    <m/>
    <m/>
    <m/>
    <x v="0"/>
    <n v="98"/>
    <s v="Table2"/>
    <n v="20"/>
    <s v="251007_VerzekeraarsMasterClass"/>
    <n v="22"/>
    <n v="0"/>
    <x v="4"/>
  </r>
  <r>
    <n v="7"/>
    <n v="7"/>
    <n v="200000"/>
    <n v="0"/>
    <n v="0"/>
    <n v="0"/>
    <n v="200000"/>
    <n v="200000"/>
    <n v="180000"/>
    <m/>
    <m/>
    <n v="6"/>
    <n v="9"/>
    <n v="0"/>
    <n v="0"/>
    <n v="2"/>
    <n v="2"/>
    <s v="VIEW_SUMMARY"/>
    <n v="710"/>
    <n v="324"/>
    <m/>
    <n v="1597"/>
    <m/>
    <x v="1"/>
    <n v="98"/>
    <s v="Table2"/>
    <n v="20"/>
    <s v="251007_VerzekeraarsMasterClass"/>
    <n v="22"/>
    <n v="15"/>
    <x v="4"/>
  </r>
  <r>
    <n v="11"/>
    <n v="7"/>
    <n v="200000"/>
    <n v="200000"/>
    <n v="180000"/>
    <n v="0"/>
    <n v="0"/>
    <n v="200000"/>
    <n v="160000"/>
    <m/>
    <m/>
    <n v="6"/>
    <n v="9"/>
    <n v="0"/>
    <n v="0"/>
    <n v="5"/>
    <n v="4"/>
    <s v="VIEW_SUMMARY"/>
    <n v="710"/>
    <n v="329"/>
    <n v="1597"/>
    <n v="1597"/>
    <m/>
    <x v="2"/>
    <n v="98"/>
    <s v="Table2"/>
    <n v="20"/>
    <s v="251007_VerzekeraarsMasterClass"/>
    <n v="22"/>
    <n v="15"/>
    <x v="4"/>
  </r>
  <r>
    <n v="15"/>
    <n v="7"/>
    <n v="200000"/>
    <n v="200000"/>
    <n v="160000"/>
    <n v="0"/>
    <n v="0"/>
    <n v="200000"/>
    <n v="140000"/>
    <m/>
    <m/>
    <n v="6"/>
    <n v="9"/>
    <n v="-2"/>
    <n v="-1"/>
    <n v="5"/>
    <n v="4"/>
    <s v="VIEW_SUMMARY"/>
    <n v="710"/>
    <n v="334"/>
    <n v="1597"/>
    <n v="1597"/>
    <m/>
    <x v="3"/>
    <n v="98"/>
    <s v="Table2"/>
    <n v="20"/>
    <s v="251007_VerzekeraarsMasterClass"/>
    <n v="22"/>
    <n v="15"/>
    <x v="4"/>
  </r>
  <r>
    <n v="20"/>
    <n v="7"/>
    <n v="200000"/>
    <n v="200000"/>
    <n v="140000"/>
    <n v="0"/>
    <n v="0"/>
    <n v="200000"/>
    <n v="120000"/>
    <m/>
    <m/>
    <n v="6"/>
    <n v="9"/>
    <n v="-2"/>
    <n v="-1"/>
    <n v="5"/>
    <n v="4"/>
    <s v="VIEW_SUMMARY"/>
    <n v="710"/>
    <n v="337"/>
    <n v="1597"/>
    <n v="1597"/>
    <m/>
    <x v="4"/>
    <n v="98"/>
    <s v="Table2"/>
    <n v="20"/>
    <s v="251007_VerzekeraarsMasterClass"/>
    <n v="22"/>
    <n v="15"/>
    <x v="4"/>
  </r>
  <r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11"/>
    <n v="321"/>
    <m/>
    <m/>
    <m/>
    <x v="0"/>
    <n v="98"/>
    <s v="Table2"/>
    <n v="20"/>
    <s v="251007_VerzekeraarsMasterClass"/>
    <n v="22"/>
    <n v="0"/>
    <x v="5"/>
  </r>
  <r>
    <n v="10"/>
    <n v="8"/>
    <n v="300000"/>
    <n v="0"/>
    <n v="0"/>
    <n v="0"/>
    <n v="300000"/>
    <n v="300000"/>
    <n v="270000"/>
    <m/>
    <m/>
    <n v="4"/>
    <n v="9"/>
    <n v="0"/>
    <n v="0"/>
    <n v="3"/>
    <n v="1"/>
    <s v="VIEW_SUMMARY"/>
    <n v="711"/>
    <n v="324"/>
    <m/>
    <n v="1600"/>
    <m/>
    <x v="1"/>
    <n v="98"/>
    <s v="Table2"/>
    <n v="20"/>
    <s v="251007_VerzekeraarsMasterClass"/>
    <n v="22"/>
    <n v="13"/>
    <x v="5"/>
  </r>
  <r>
    <n v="10"/>
    <n v="8"/>
    <n v="300000"/>
    <n v="300000"/>
    <n v="270000"/>
    <n v="0"/>
    <n v="0"/>
    <n v="300000"/>
    <n v="240000"/>
    <m/>
    <m/>
    <n v="4"/>
    <n v="9"/>
    <n v="0"/>
    <n v="0"/>
    <n v="3"/>
    <n v="1"/>
    <s v="VIEW_SUMMARY"/>
    <n v="711"/>
    <n v="329"/>
    <n v="1600"/>
    <n v="1600"/>
    <m/>
    <x v="2"/>
    <n v="98"/>
    <s v="Table2"/>
    <n v="20"/>
    <s v="251007_VerzekeraarsMasterClass"/>
    <n v="22"/>
    <n v="13"/>
    <x v="5"/>
  </r>
  <r>
    <n v="14"/>
    <n v="8"/>
    <n v="300000"/>
    <n v="300000"/>
    <n v="240000"/>
    <n v="0"/>
    <n v="0"/>
    <n v="300000"/>
    <n v="210000"/>
    <m/>
    <m/>
    <n v="4"/>
    <n v="9"/>
    <n v="-2"/>
    <n v="-1"/>
    <n v="5"/>
    <n v="4"/>
    <s v="VIEW_SUMMARY"/>
    <n v="711"/>
    <n v="334"/>
    <n v="1600"/>
    <n v="1600"/>
    <m/>
    <x v="3"/>
    <n v="98"/>
    <s v="Table2"/>
    <n v="20"/>
    <s v="251007_VerzekeraarsMasterClass"/>
    <n v="22"/>
    <n v="13"/>
    <x v="5"/>
  </r>
  <r>
    <n v="18"/>
    <n v="8"/>
    <n v="300000"/>
    <n v="300000"/>
    <n v="210000"/>
    <n v="0"/>
    <n v="0"/>
    <n v="300000"/>
    <n v="180000"/>
    <m/>
    <m/>
    <n v="4"/>
    <n v="9"/>
    <n v="-2"/>
    <n v="-1"/>
    <n v="5"/>
    <n v="4"/>
    <s v="VIEW_SUMMARY"/>
    <n v="711"/>
    <n v="337"/>
    <n v="1600"/>
    <n v="1600"/>
    <m/>
    <x v="4"/>
    <n v="98"/>
    <s v="Table2"/>
    <n v="20"/>
    <s v="251007_VerzekeraarsMasterClass"/>
    <n v="22"/>
    <n v="13"/>
    <x v="5"/>
  </r>
  <r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14"/>
    <n v="319"/>
    <m/>
    <m/>
    <m/>
    <x v="0"/>
    <n v="99"/>
    <s v="Table3"/>
    <n v="20"/>
    <s v="251007_VerzekeraarsMasterClass"/>
    <n v="22"/>
    <n v="0"/>
    <x v="0"/>
  </r>
  <r>
    <n v="6"/>
    <n v="4"/>
    <n v="110000"/>
    <n v="0"/>
    <n v="0"/>
    <n v="0"/>
    <n v="100000"/>
    <n v="100000"/>
    <n v="90000"/>
    <m/>
    <m/>
    <n v="6"/>
    <n v="9"/>
    <n v="0"/>
    <n v="0"/>
    <n v="0"/>
    <n v="0"/>
    <s v="VIEW_SUMMARY"/>
    <n v="714"/>
    <n v="322"/>
    <m/>
    <n v="1568"/>
    <m/>
    <x v="1"/>
    <n v="99"/>
    <s v="Table3"/>
    <n v="20"/>
    <s v="251007_VerzekeraarsMasterClass"/>
    <n v="22"/>
    <n v="15"/>
    <x v="0"/>
  </r>
  <r>
    <n v="7"/>
    <n v="4"/>
    <n v="110000"/>
    <n v="100000"/>
    <n v="90000"/>
    <n v="0"/>
    <n v="0"/>
    <n v="100000"/>
    <n v="80000"/>
    <m/>
    <m/>
    <n v="6"/>
    <n v="9"/>
    <n v="0"/>
    <n v="0"/>
    <n v="1"/>
    <n v="1"/>
    <s v="VIEW_SUMMARY"/>
    <n v="714"/>
    <n v="326"/>
    <n v="1568"/>
    <n v="1568"/>
    <m/>
    <x v="2"/>
    <n v="99"/>
    <s v="Table3"/>
    <n v="20"/>
    <s v="251007_VerzekeraarsMasterClass"/>
    <n v="22"/>
    <n v="15"/>
    <x v="0"/>
  </r>
  <r>
    <n v="8"/>
    <n v="4"/>
    <n v="110000"/>
    <n v="100000"/>
    <n v="80000"/>
    <n v="0"/>
    <n v="0"/>
    <n v="100000"/>
    <n v="60000"/>
    <m/>
    <m/>
    <n v="6"/>
    <n v="9"/>
    <n v="-2"/>
    <n v="-1"/>
    <n v="3"/>
    <n v="3"/>
    <s v="VIEW_SUMMARY"/>
    <n v="714"/>
    <n v="331"/>
    <n v="1568"/>
    <n v="1568"/>
    <m/>
    <x v="3"/>
    <n v="99"/>
    <s v="Table3"/>
    <n v="20"/>
    <s v="251007_VerzekeraarsMasterClass"/>
    <n v="22"/>
    <n v="15"/>
    <x v="0"/>
  </r>
  <r>
    <n v="13"/>
    <n v="4"/>
    <n v="110000"/>
    <n v="100000"/>
    <n v="60000"/>
    <n v="0"/>
    <n v="0"/>
    <n v="100000"/>
    <n v="50000"/>
    <m/>
    <m/>
    <n v="6"/>
    <n v="9"/>
    <n v="-2"/>
    <n v="-1"/>
    <n v="3"/>
    <n v="3"/>
    <s v="VIEW_DAMAGE"/>
    <n v="714"/>
    <n v="335"/>
    <n v="1568"/>
    <n v="1568"/>
    <m/>
    <x v="4"/>
    <n v="99"/>
    <s v="Table3"/>
    <n v="20"/>
    <s v="251007_VerzekeraarsMasterClass"/>
    <n v="22"/>
    <n v="15"/>
    <x v="0"/>
  </r>
  <r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15"/>
    <n v="319"/>
    <m/>
    <m/>
    <m/>
    <x v="0"/>
    <n v="99"/>
    <s v="Table3"/>
    <n v="20"/>
    <s v="251007_VerzekeraarsMasterClass"/>
    <n v="22"/>
    <n v="0"/>
    <x v="1"/>
  </r>
  <r>
    <n v="9"/>
    <n v="6"/>
    <n v="170000"/>
    <n v="0"/>
    <n v="0"/>
    <n v="0"/>
    <n v="125000"/>
    <n v="125000"/>
    <n v="112500"/>
    <m/>
    <m/>
    <n v="6"/>
    <n v="6"/>
    <n v="0"/>
    <n v="0"/>
    <n v="3"/>
    <n v="1"/>
    <s v="VIEW_SUMMARY"/>
    <n v="715"/>
    <n v="322"/>
    <m/>
    <n v="1577"/>
    <m/>
    <x v="1"/>
    <n v="99"/>
    <s v="Table3"/>
    <n v="20"/>
    <s v="251007_VerzekeraarsMasterClass"/>
    <n v="22"/>
    <n v="12"/>
    <x v="1"/>
  </r>
  <r>
    <n v="10"/>
    <n v="6"/>
    <n v="170000"/>
    <n v="125000"/>
    <n v="112500"/>
    <n v="0"/>
    <n v="0"/>
    <n v="125000"/>
    <n v="100000"/>
    <m/>
    <m/>
    <n v="6"/>
    <n v="6"/>
    <n v="0"/>
    <n v="0"/>
    <n v="5"/>
    <n v="4"/>
    <s v="VIEW_SUMMARY"/>
    <n v="715"/>
    <n v="326"/>
    <n v="1577"/>
    <n v="1577"/>
    <m/>
    <x v="2"/>
    <n v="99"/>
    <s v="Table3"/>
    <n v="20"/>
    <s v="251007_VerzekeraarsMasterClass"/>
    <n v="22"/>
    <n v="12"/>
    <x v="1"/>
  </r>
  <r>
    <n v="14"/>
    <n v="6"/>
    <n v="170000"/>
    <n v="125000"/>
    <n v="100000"/>
    <n v="0"/>
    <n v="0"/>
    <n v="125000"/>
    <n v="75000"/>
    <m/>
    <m/>
    <n v="6"/>
    <n v="6"/>
    <n v="-2"/>
    <n v="-1"/>
    <n v="5"/>
    <n v="4"/>
    <s v="VIEW_SUMMARY"/>
    <n v="715"/>
    <n v="331"/>
    <n v="1577"/>
    <n v="1577"/>
    <m/>
    <x v="3"/>
    <n v="99"/>
    <s v="Table3"/>
    <n v="20"/>
    <s v="251007_VerzekeraarsMasterClass"/>
    <n v="22"/>
    <n v="12"/>
    <x v="1"/>
  </r>
  <r>
    <n v="17"/>
    <n v="6"/>
    <n v="170000"/>
    <n v="125000"/>
    <n v="75000"/>
    <n v="0"/>
    <n v="0"/>
    <n v="125000"/>
    <n v="62500"/>
    <m/>
    <m/>
    <n v="6"/>
    <n v="6"/>
    <n v="-2"/>
    <n v="-1"/>
    <n v="5"/>
    <n v="4"/>
    <s v="VIEW_SUMMARY"/>
    <n v="715"/>
    <n v="335"/>
    <n v="1577"/>
    <n v="1577"/>
    <m/>
    <x v="4"/>
    <n v="99"/>
    <s v="Table3"/>
    <n v="20"/>
    <s v="251007_VerzekeraarsMasterClass"/>
    <n v="22"/>
    <n v="12"/>
    <x v="1"/>
  </r>
  <r>
    <n v="5"/>
    <n v="3"/>
    <n v="80000"/>
    <n v="0"/>
    <n v="0"/>
    <n v="0"/>
    <n v="0"/>
    <n v="0"/>
    <n v="0"/>
    <m/>
    <m/>
    <n v="0"/>
    <n v="0"/>
    <n v="0"/>
    <n v="0"/>
    <n v="0"/>
    <n v="0"/>
    <s v="LOGIN"/>
    <n v="716"/>
    <n v="319"/>
    <m/>
    <m/>
    <m/>
    <x v="0"/>
    <n v="99"/>
    <s v="Table3"/>
    <n v="20"/>
    <s v="251007_VerzekeraarsMasterClass"/>
    <n v="22"/>
    <n v="0"/>
    <x v="2"/>
  </r>
  <r>
    <n v="4"/>
    <n v="3"/>
    <n v="80000"/>
    <n v="0"/>
    <n v="0"/>
    <n v="0"/>
    <n v="70000"/>
    <n v="70000"/>
    <n v="63000"/>
    <m/>
    <m/>
    <n v="6"/>
    <n v="6"/>
    <n v="0"/>
    <n v="0"/>
    <n v="1"/>
    <n v="2"/>
    <s v="VIEW_SUMMARY"/>
    <n v="716"/>
    <n v="322"/>
    <m/>
    <n v="1578"/>
    <m/>
    <x v="1"/>
    <n v="99"/>
    <s v="Table3"/>
    <n v="20"/>
    <s v="251007_VerzekeraarsMasterClass"/>
    <n v="22"/>
    <n v="12"/>
    <x v="2"/>
  </r>
  <r>
    <n v="4"/>
    <n v="3"/>
    <n v="80000"/>
    <n v="70000"/>
    <n v="63000"/>
    <n v="0"/>
    <n v="0"/>
    <n v="70000"/>
    <n v="56000"/>
    <m/>
    <m/>
    <n v="6"/>
    <n v="6"/>
    <n v="0"/>
    <n v="0"/>
    <n v="1"/>
    <n v="2"/>
    <s v="VIEW_SUMMARY"/>
    <n v="716"/>
    <n v="326"/>
    <n v="1578"/>
    <n v="1578"/>
    <m/>
    <x v="2"/>
    <n v="99"/>
    <s v="Table3"/>
    <n v="20"/>
    <s v="251007_VerzekeraarsMasterClass"/>
    <n v="22"/>
    <n v="12"/>
    <x v="2"/>
  </r>
  <r>
    <n v="4"/>
    <n v="3"/>
    <n v="80000"/>
    <n v="70000"/>
    <n v="56000"/>
    <n v="0"/>
    <n v="0"/>
    <n v="70000"/>
    <n v="42000"/>
    <m/>
    <m/>
    <n v="6"/>
    <n v="6"/>
    <n v="-2"/>
    <n v="-1"/>
    <n v="1"/>
    <n v="2"/>
    <s v="VIEW_SUMMARY"/>
    <n v="716"/>
    <n v="331"/>
    <n v="1578"/>
    <n v="1578"/>
    <m/>
    <x v="3"/>
    <n v="99"/>
    <s v="Table3"/>
    <n v="20"/>
    <s v="251007_VerzekeraarsMasterClass"/>
    <n v="22"/>
    <n v="12"/>
    <x v="2"/>
  </r>
  <r>
    <n v="5"/>
    <n v="3"/>
    <n v="80000"/>
    <n v="70000"/>
    <n v="42000"/>
    <n v="70000"/>
    <n v="80000"/>
    <n v="80000"/>
    <n v="72000"/>
    <n v="35"/>
    <m/>
    <n v="4"/>
    <n v="9"/>
    <n v="-2"/>
    <n v="-1"/>
    <n v="5"/>
    <n v="3"/>
    <s v="VIEW_SUMMARY"/>
    <n v="716"/>
    <n v="335"/>
    <n v="1578"/>
    <n v="1643"/>
    <m/>
    <x v="4"/>
    <n v="99"/>
    <s v="Table3"/>
    <n v="20"/>
    <s v="251007_VerzekeraarsMasterClass"/>
    <n v="22"/>
    <n v="13"/>
    <x v="2"/>
  </r>
  <r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17"/>
    <n v="319"/>
    <m/>
    <m/>
    <m/>
    <x v="0"/>
    <n v="99"/>
    <s v="Table3"/>
    <n v="20"/>
    <s v="251007_VerzekeraarsMasterClass"/>
    <n v="22"/>
    <n v="0"/>
    <x v="3"/>
  </r>
  <r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717"/>
    <n v="322"/>
    <m/>
    <n v="1571"/>
    <m/>
    <x v="1"/>
    <n v="99"/>
    <s v="Table3"/>
    <n v="20"/>
    <s v="251007_VerzekeraarsMasterClass"/>
    <n v="22"/>
    <n v="13"/>
    <x v="3"/>
  </r>
  <r>
    <n v="3"/>
    <n v="5"/>
    <n v="130000"/>
    <n v="130000"/>
    <n v="117000"/>
    <n v="0"/>
    <n v="0"/>
    <n v="130000"/>
    <n v="91000"/>
    <m/>
    <m/>
    <n v="4"/>
    <n v="9"/>
    <n v="0"/>
    <n v="0"/>
    <n v="0"/>
    <n v="0"/>
    <s v="VIEW_SUMMARY"/>
    <n v="717"/>
    <n v="326"/>
    <n v="1571"/>
    <n v="1571"/>
    <m/>
    <x v="2"/>
    <n v="99"/>
    <s v="Table3"/>
    <n v="20"/>
    <s v="251007_VerzekeraarsMasterClass"/>
    <n v="22"/>
    <n v="13"/>
    <x v="3"/>
  </r>
  <r>
    <n v="1"/>
    <n v="5"/>
    <n v="130000"/>
    <n v="130000"/>
    <n v="91000"/>
    <n v="0"/>
    <n v="0"/>
    <n v="130000"/>
    <n v="78000"/>
    <m/>
    <m/>
    <n v="4"/>
    <n v="9"/>
    <n v="-2"/>
    <n v="-1"/>
    <n v="0"/>
    <n v="0"/>
    <s v="VIEW_SUMMARY"/>
    <n v="717"/>
    <n v="331"/>
    <n v="1571"/>
    <n v="1571"/>
    <m/>
    <x v="3"/>
    <n v="99"/>
    <s v="Table3"/>
    <n v="20"/>
    <s v="251007_VerzekeraarsMasterClass"/>
    <n v="22"/>
    <n v="13"/>
    <x v="3"/>
  </r>
  <r>
    <n v="7"/>
    <n v="5"/>
    <n v="130000"/>
    <n v="130000"/>
    <n v="78000"/>
    <n v="160000"/>
    <n v="200000"/>
    <n v="130000"/>
    <n v="117000"/>
    <n v="35"/>
    <m/>
    <n v="6"/>
    <n v="9"/>
    <n v="-2"/>
    <n v="-1"/>
    <n v="2"/>
    <n v="1"/>
    <s v="VIEW_SUMMARY"/>
    <n v="717"/>
    <n v="335"/>
    <n v="1571"/>
    <n v="1637"/>
    <m/>
    <x v="4"/>
    <n v="99"/>
    <s v="Table3"/>
    <n v="20"/>
    <s v="251007_VerzekeraarsMasterClass"/>
    <n v="22"/>
    <n v="15"/>
    <x v="3"/>
  </r>
  <r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18"/>
    <n v="319"/>
    <m/>
    <m/>
    <m/>
    <x v="0"/>
    <n v="99"/>
    <s v="Table3"/>
    <n v="20"/>
    <s v="251007_VerzekeraarsMasterClass"/>
    <n v="22"/>
    <n v="0"/>
    <x v="4"/>
  </r>
  <r>
    <n v="7"/>
    <n v="7"/>
    <n v="200000"/>
    <n v="0"/>
    <n v="0"/>
    <n v="0"/>
    <n v="200000"/>
    <n v="200000"/>
    <n v="180000"/>
    <m/>
    <m/>
    <n v="6"/>
    <n v="9"/>
    <n v="0"/>
    <n v="0"/>
    <n v="3"/>
    <n v="3"/>
    <s v="VIEW_SUMMARY"/>
    <n v="718"/>
    <n v="322"/>
    <m/>
    <n v="1567"/>
    <m/>
    <x v="1"/>
    <n v="99"/>
    <s v="Table3"/>
    <n v="20"/>
    <s v="251007_VerzekeraarsMasterClass"/>
    <n v="22"/>
    <n v="15"/>
    <x v="4"/>
  </r>
  <r>
    <n v="11"/>
    <n v="7"/>
    <n v="200000"/>
    <n v="200000"/>
    <n v="180000"/>
    <n v="0"/>
    <n v="0"/>
    <n v="200000"/>
    <n v="160000"/>
    <m/>
    <m/>
    <n v="6"/>
    <n v="9"/>
    <n v="0"/>
    <n v="0"/>
    <n v="3"/>
    <n v="3"/>
    <s v="VIEW_SUMMARY"/>
    <n v="718"/>
    <n v="326"/>
    <n v="1567"/>
    <n v="1567"/>
    <m/>
    <x v="2"/>
    <n v="99"/>
    <s v="Table3"/>
    <n v="20"/>
    <s v="251007_VerzekeraarsMasterClass"/>
    <n v="22"/>
    <n v="15"/>
    <x v="4"/>
  </r>
  <r>
    <n v="16"/>
    <n v="7"/>
    <n v="200000"/>
    <n v="200000"/>
    <n v="160000"/>
    <n v="0"/>
    <n v="0"/>
    <n v="200000"/>
    <n v="140000"/>
    <m/>
    <m/>
    <n v="6"/>
    <n v="9"/>
    <n v="-2"/>
    <n v="-1"/>
    <n v="5"/>
    <n v="4"/>
    <s v="VIEW_SUMMARY"/>
    <n v="718"/>
    <n v="331"/>
    <n v="1567"/>
    <n v="1567"/>
    <m/>
    <x v="3"/>
    <n v="99"/>
    <s v="Table3"/>
    <n v="20"/>
    <s v="251007_VerzekeraarsMasterClass"/>
    <n v="22"/>
    <n v="15"/>
    <x v="4"/>
  </r>
  <r>
    <n v="22"/>
    <n v="7"/>
    <n v="200000"/>
    <n v="200000"/>
    <n v="140000"/>
    <n v="0"/>
    <n v="0"/>
    <n v="200000"/>
    <n v="120000"/>
    <m/>
    <m/>
    <n v="6"/>
    <n v="9"/>
    <n v="-2"/>
    <n v="-1"/>
    <n v="5"/>
    <n v="4"/>
    <s v="VIEW_SUMMARY"/>
    <n v="718"/>
    <n v="335"/>
    <n v="1567"/>
    <n v="1567"/>
    <m/>
    <x v="4"/>
    <n v="99"/>
    <s v="Table3"/>
    <n v="20"/>
    <s v="251007_VerzekeraarsMasterClass"/>
    <n v="22"/>
    <n v="15"/>
    <x v="4"/>
  </r>
  <r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19"/>
    <n v="319"/>
    <m/>
    <m/>
    <m/>
    <x v="0"/>
    <n v="99"/>
    <s v="Table3"/>
    <n v="20"/>
    <s v="251007_VerzekeraarsMasterClass"/>
    <n v="22"/>
    <n v="0"/>
    <x v="5"/>
  </r>
  <r>
    <n v="6"/>
    <n v="8"/>
    <n v="300000"/>
    <n v="0"/>
    <n v="0"/>
    <n v="0"/>
    <n v="200000"/>
    <n v="200000"/>
    <n v="180000"/>
    <m/>
    <m/>
    <n v="6"/>
    <n v="9"/>
    <n v="0"/>
    <n v="0"/>
    <n v="4"/>
    <n v="3"/>
    <s v="VIEW_SUMMARY"/>
    <n v="719"/>
    <n v="322"/>
    <m/>
    <n v="1566"/>
    <m/>
    <x v="1"/>
    <n v="99"/>
    <s v="Table3"/>
    <n v="20"/>
    <s v="251007_VerzekeraarsMasterClass"/>
    <n v="22"/>
    <n v="15"/>
    <x v="5"/>
  </r>
  <r>
    <n v="9"/>
    <n v="8"/>
    <n v="300000"/>
    <n v="200000"/>
    <n v="180000"/>
    <n v="0"/>
    <n v="0"/>
    <n v="200000"/>
    <n v="140000"/>
    <m/>
    <m/>
    <n v="6"/>
    <n v="9"/>
    <n v="0"/>
    <n v="0"/>
    <n v="5"/>
    <n v="4"/>
    <s v="VIEW_SUMMARY"/>
    <n v="719"/>
    <n v="326"/>
    <n v="1566"/>
    <n v="1566"/>
    <m/>
    <x v="2"/>
    <n v="99"/>
    <s v="Table3"/>
    <n v="20"/>
    <s v="251007_VerzekeraarsMasterClass"/>
    <n v="22"/>
    <n v="15"/>
    <x v="5"/>
  </r>
  <r>
    <n v="13"/>
    <n v="8"/>
    <n v="300000"/>
    <n v="200000"/>
    <n v="140000"/>
    <n v="0"/>
    <n v="0"/>
    <n v="200000"/>
    <n v="100000"/>
    <m/>
    <m/>
    <n v="6"/>
    <n v="9"/>
    <n v="-2"/>
    <n v="-1"/>
    <n v="5"/>
    <n v="4"/>
    <s v="VIEW_SUMMARY"/>
    <n v="719"/>
    <n v="331"/>
    <n v="1566"/>
    <n v="1566"/>
    <m/>
    <x v="3"/>
    <n v="99"/>
    <s v="Table3"/>
    <n v="20"/>
    <s v="251007_VerzekeraarsMasterClass"/>
    <n v="22"/>
    <n v="15"/>
    <x v="5"/>
  </r>
  <r>
    <n v="19"/>
    <n v="8"/>
    <n v="300000"/>
    <n v="200000"/>
    <n v="100000"/>
    <n v="0"/>
    <n v="0"/>
    <n v="200000"/>
    <n v="80000"/>
    <m/>
    <m/>
    <n v="6"/>
    <n v="9"/>
    <n v="-2"/>
    <n v="-1"/>
    <n v="5"/>
    <n v="4"/>
    <s v="VIEW_SUMMARY"/>
    <n v="719"/>
    <n v="335"/>
    <n v="1566"/>
    <n v="1566"/>
    <m/>
    <x v="4"/>
    <n v="99"/>
    <s v="Table3"/>
    <n v="20"/>
    <s v="251007_VerzekeraarsMasterClass"/>
    <n v="22"/>
    <n v="15"/>
    <x v="5"/>
  </r>
  <r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22"/>
    <n v="320"/>
    <m/>
    <m/>
    <m/>
    <x v="0"/>
    <n v="100"/>
    <s v="Table4"/>
    <n v="20"/>
    <s v="251007_VerzekeraarsMasterClass"/>
    <n v="22"/>
    <n v="0"/>
    <x v="0"/>
  </r>
  <r>
    <n v="2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722"/>
    <n v="323"/>
    <m/>
    <n v="1592"/>
    <m/>
    <x v="1"/>
    <n v="100"/>
    <s v="Table4"/>
    <n v="20"/>
    <s v="251007_VerzekeraarsMasterClass"/>
    <n v="22"/>
    <n v="12"/>
    <x v="0"/>
  </r>
  <r>
    <n v="-1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722"/>
    <n v="327"/>
    <n v="1592"/>
    <n v="1592"/>
    <m/>
    <x v="2"/>
    <n v="100"/>
    <s v="Table4"/>
    <n v="20"/>
    <s v="251007_VerzekeraarsMasterClass"/>
    <n v="22"/>
    <n v="12"/>
    <x v="0"/>
  </r>
  <r>
    <n v="-5"/>
    <n v="4"/>
    <n v="110000"/>
    <n v="110000"/>
    <n v="88000"/>
    <n v="0"/>
    <n v="0"/>
    <n v="110000"/>
    <n v="77000"/>
    <m/>
    <m/>
    <n v="6"/>
    <n v="6"/>
    <n v="-2"/>
    <n v="-1"/>
    <n v="0"/>
    <n v="0"/>
    <s v="VIEW_SUMMARY"/>
    <n v="722"/>
    <n v="330"/>
    <n v="1592"/>
    <n v="1592"/>
    <m/>
    <x v="3"/>
    <n v="100"/>
    <s v="Table4"/>
    <n v="20"/>
    <s v="251007_VerzekeraarsMasterClass"/>
    <n v="22"/>
    <n v="12"/>
    <x v="0"/>
  </r>
  <r>
    <n v="-6"/>
    <n v="4"/>
    <n v="110000"/>
    <n v="110000"/>
    <n v="77000"/>
    <n v="0"/>
    <n v="0"/>
    <n v="110000"/>
    <n v="66000"/>
    <m/>
    <m/>
    <n v="6"/>
    <n v="6"/>
    <n v="-2"/>
    <n v="-1"/>
    <n v="0"/>
    <n v="0"/>
    <s v="VIEW_SUMMARY"/>
    <n v="722"/>
    <n v="333"/>
    <n v="1592"/>
    <n v="1592"/>
    <m/>
    <x v="4"/>
    <n v="100"/>
    <s v="Table4"/>
    <n v="20"/>
    <s v="251007_VerzekeraarsMasterClass"/>
    <n v="22"/>
    <n v="12"/>
    <x v="0"/>
  </r>
  <r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23"/>
    <n v="320"/>
    <m/>
    <m/>
    <m/>
    <x v="0"/>
    <n v="100"/>
    <s v="Table4"/>
    <n v="20"/>
    <s v="251007_VerzekeraarsMasterClass"/>
    <n v="22"/>
    <n v="0"/>
    <x v="1"/>
  </r>
  <r>
    <n v="5"/>
    <n v="6"/>
    <n v="170000"/>
    <n v="0"/>
    <n v="0"/>
    <n v="0"/>
    <n v="160000"/>
    <n v="160000"/>
    <n v="144000"/>
    <m/>
    <m/>
    <n v="4"/>
    <n v="9"/>
    <n v="0"/>
    <n v="0"/>
    <n v="2"/>
    <n v="0"/>
    <s v="VIEW_SUMMARY"/>
    <n v="723"/>
    <n v="323"/>
    <m/>
    <n v="1586"/>
    <m/>
    <x v="1"/>
    <n v="100"/>
    <s v="Table4"/>
    <n v="20"/>
    <s v="251007_VerzekeraarsMasterClass"/>
    <n v="22"/>
    <n v="13"/>
    <x v="1"/>
  </r>
  <r>
    <n v="8"/>
    <n v="6"/>
    <n v="170000"/>
    <n v="160000"/>
    <n v="144000"/>
    <n v="0"/>
    <n v="0"/>
    <n v="160000"/>
    <n v="128000"/>
    <m/>
    <m/>
    <n v="4"/>
    <n v="9"/>
    <n v="0"/>
    <n v="0"/>
    <n v="3"/>
    <n v="2"/>
    <s v="VIEW_SUMMARY"/>
    <n v="723"/>
    <n v="327"/>
    <n v="1586"/>
    <n v="1586"/>
    <m/>
    <x v="2"/>
    <n v="100"/>
    <s v="Table4"/>
    <n v="20"/>
    <s v="251007_VerzekeraarsMasterClass"/>
    <n v="22"/>
    <n v="13"/>
    <x v="1"/>
  </r>
  <r>
    <n v="12"/>
    <n v="6"/>
    <n v="170000"/>
    <n v="160000"/>
    <n v="128000"/>
    <n v="0"/>
    <n v="0"/>
    <n v="160000"/>
    <n v="112000"/>
    <m/>
    <m/>
    <n v="4"/>
    <n v="9"/>
    <n v="-2"/>
    <n v="-1"/>
    <n v="4"/>
    <n v="3"/>
    <s v="VIEW_SUMMARY"/>
    <n v="723"/>
    <n v="330"/>
    <n v="1586"/>
    <n v="1586"/>
    <m/>
    <x v="3"/>
    <n v="100"/>
    <s v="Table4"/>
    <n v="20"/>
    <s v="251007_VerzekeraarsMasterClass"/>
    <n v="22"/>
    <n v="13"/>
    <x v="1"/>
  </r>
  <r>
    <n v="14"/>
    <n v="6"/>
    <n v="170000"/>
    <n v="160000"/>
    <n v="112000"/>
    <n v="0"/>
    <n v="0"/>
    <n v="160000"/>
    <n v="96000"/>
    <m/>
    <m/>
    <n v="4"/>
    <n v="9"/>
    <n v="-2"/>
    <n v="-1"/>
    <n v="4"/>
    <n v="3"/>
    <s v="VIEW_SUMMARY"/>
    <n v="723"/>
    <n v="333"/>
    <n v="1586"/>
    <n v="1586"/>
    <m/>
    <x v="4"/>
    <n v="100"/>
    <s v="Table4"/>
    <n v="20"/>
    <s v="251007_VerzekeraarsMasterClass"/>
    <n v="22"/>
    <n v="13"/>
    <x v="1"/>
  </r>
  <r>
    <n v="5"/>
    <n v="3"/>
    <n v="80000"/>
    <n v="0"/>
    <n v="0"/>
    <n v="0"/>
    <n v="0"/>
    <n v="0"/>
    <n v="0"/>
    <m/>
    <m/>
    <n v="0"/>
    <n v="0"/>
    <n v="0"/>
    <n v="0"/>
    <n v="0"/>
    <n v="0"/>
    <s v="LOGIN"/>
    <n v="724"/>
    <n v="320"/>
    <m/>
    <m/>
    <m/>
    <x v="0"/>
    <n v="100"/>
    <s v="Table4"/>
    <n v="20"/>
    <s v="251007_VerzekeraarsMasterClass"/>
    <n v="22"/>
    <n v="0"/>
    <x v="2"/>
  </r>
  <r>
    <n v="2"/>
    <n v="3"/>
    <n v="80000"/>
    <n v="0"/>
    <n v="0"/>
    <n v="0"/>
    <n v="70000"/>
    <n v="70000"/>
    <n v="63000"/>
    <m/>
    <m/>
    <n v="6"/>
    <n v="6"/>
    <n v="0"/>
    <n v="0"/>
    <n v="1"/>
    <n v="2"/>
    <s v="VIEW_SUMMARY"/>
    <n v="724"/>
    <n v="323"/>
    <m/>
    <n v="1593"/>
    <m/>
    <x v="1"/>
    <n v="100"/>
    <s v="Table4"/>
    <n v="20"/>
    <s v="251007_VerzekeraarsMasterClass"/>
    <n v="22"/>
    <n v="12"/>
    <x v="2"/>
  </r>
  <r>
    <n v="2"/>
    <n v="3"/>
    <n v="80000"/>
    <n v="70000"/>
    <n v="63000"/>
    <n v="0"/>
    <n v="0"/>
    <n v="70000"/>
    <n v="56000"/>
    <m/>
    <m/>
    <n v="6"/>
    <n v="6"/>
    <n v="0"/>
    <n v="0"/>
    <n v="2"/>
    <n v="3"/>
    <s v="VIEW_SUMMARY"/>
    <n v="724"/>
    <n v="327"/>
    <n v="1593"/>
    <n v="1593"/>
    <m/>
    <x v="2"/>
    <n v="100"/>
    <s v="Table4"/>
    <n v="20"/>
    <s v="251007_VerzekeraarsMasterClass"/>
    <n v="22"/>
    <n v="12"/>
    <x v="2"/>
  </r>
  <r>
    <n v="2"/>
    <n v="3"/>
    <n v="80000"/>
    <n v="70000"/>
    <n v="56000"/>
    <n v="0"/>
    <n v="0"/>
    <n v="70000"/>
    <n v="49000"/>
    <m/>
    <m/>
    <n v="6"/>
    <n v="6"/>
    <n v="-2"/>
    <n v="-1"/>
    <n v="3"/>
    <n v="3"/>
    <s v="VIEW_SUMMARY"/>
    <n v="724"/>
    <n v="330"/>
    <n v="1593"/>
    <n v="1593"/>
    <m/>
    <x v="3"/>
    <n v="100"/>
    <s v="Table4"/>
    <n v="20"/>
    <s v="251007_VerzekeraarsMasterClass"/>
    <n v="22"/>
    <n v="12"/>
    <x v="2"/>
  </r>
  <r>
    <n v="3"/>
    <n v="3"/>
    <n v="80000"/>
    <n v="70000"/>
    <n v="49000"/>
    <n v="0"/>
    <n v="0"/>
    <n v="70000"/>
    <n v="42000"/>
    <m/>
    <m/>
    <n v="6"/>
    <n v="6"/>
    <n v="-2"/>
    <n v="-1"/>
    <n v="3"/>
    <n v="2"/>
    <s v="VIEW_SUMMARY"/>
    <n v="724"/>
    <n v="333"/>
    <n v="1593"/>
    <n v="1593"/>
    <m/>
    <x v="4"/>
    <n v="100"/>
    <s v="Table4"/>
    <n v="20"/>
    <s v="251007_VerzekeraarsMasterClass"/>
    <n v="22"/>
    <n v="12"/>
    <x v="2"/>
  </r>
  <r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25"/>
    <n v="320"/>
    <m/>
    <m/>
    <m/>
    <x v="0"/>
    <n v="100"/>
    <s v="Table4"/>
    <n v="20"/>
    <s v="251007_VerzekeraarsMasterClass"/>
    <n v="22"/>
    <n v="0"/>
    <x v="3"/>
  </r>
  <r>
    <n v="1"/>
    <n v="5"/>
    <n v="130000"/>
    <n v="0"/>
    <n v="0"/>
    <n v="0"/>
    <n v="70000"/>
    <n v="70000"/>
    <n v="63000"/>
    <m/>
    <m/>
    <n v="6"/>
    <n v="6"/>
    <n v="0"/>
    <n v="0"/>
    <n v="2"/>
    <n v="3"/>
    <s v="VIEW_SUMMARY"/>
    <n v="725"/>
    <n v="323"/>
    <m/>
    <n v="1594"/>
    <m/>
    <x v="1"/>
    <n v="100"/>
    <s v="Table4"/>
    <n v="20"/>
    <s v="251007_VerzekeraarsMasterClass"/>
    <n v="22"/>
    <n v="12"/>
    <x v="3"/>
  </r>
  <r>
    <n v="6"/>
    <n v="5"/>
    <n v="130000"/>
    <n v="70000"/>
    <n v="63000"/>
    <n v="0"/>
    <n v="0"/>
    <n v="70000"/>
    <n v="56000"/>
    <m/>
    <m/>
    <n v="6"/>
    <n v="6"/>
    <n v="0"/>
    <n v="0"/>
    <n v="4"/>
    <n v="3"/>
    <s v="VIEW_SUMMARY"/>
    <n v="725"/>
    <n v="327"/>
    <n v="1594"/>
    <n v="1594"/>
    <m/>
    <x v="2"/>
    <n v="100"/>
    <s v="Table4"/>
    <n v="20"/>
    <s v="251007_VerzekeraarsMasterClass"/>
    <n v="22"/>
    <n v="12"/>
    <x v="3"/>
  </r>
  <r>
    <n v="9"/>
    <n v="5"/>
    <n v="130000"/>
    <n v="70000"/>
    <n v="56000"/>
    <n v="0"/>
    <n v="0"/>
    <n v="70000"/>
    <n v="49000"/>
    <m/>
    <m/>
    <n v="6"/>
    <n v="6"/>
    <n v="-2"/>
    <n v="-1"/>
    <n v="5"/>
    <n v="4"/>
    <s v="VIEW_SUMMARY"/>
    <n v="725"/>
    <n v="330"/>
    <n v="1594"/>
    <n v="1594"/>
    <m/>
    <x v="3"/>
    <n v="100"/>
    <s v="Table4"/>
    <n v="20"/>
    <s v="251007_VerzekeraarsMasterClass"/>
    <n v="22"/>
    <n v="12"/>
    <x v="3"/>
  </r>
  <r>
    <n v="13"/>
    <n v="5"/>
    <n v="130000"/>
    <n v="70000"/>
    <n v="49000"/>
    <n v="0"/>
    <n v="0"/>
    <n v="70000"/>
    <n v="42000"/>
    <m/>
    <m/>
    <n v="6"/>
    <n v="6"/>
    <n v="-2"/>
    <n v="-1"/>
    <n v="5"/>
    <n v="4"/>
    <s v="VIEW_SUMMARY"/>
    <n v="725"/>
    <n v="333"/>
    <n v="1594"/>
    <n v="1594"/>
    <m/>
    <x v="4"/>
    <n v="100"/>
    <s v="Table4"/>
    <n v="20"/>
    <s v="251007_VerzekeraarsMasterClass"/>
    <n v="22"/>
    <n v="12"/>
    <x v="3"/>
  </r>
  <r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26"/>
    <n v="320"/>
    <m/>
    <m/>
    <m/>
    <x v="0"/>
    <n v="100"/>
    <s v="Table4"/>
    <n v="20"/>
    <s v="251007_VerzekeraarsMasterClass"/>
    <n v="22"/>
    <n v="0"/>
    <x v="4"/>
  </r>
  <r>
    <n v="2"/>
    <n v="7"/>
    <n v="200000"/>
    <n v="0"/>
    <n v="0"/>
    <n v="0"/>
    <n v="100000"/>
    <n v="100000"/>
    <n v="90000"/>
    <m/>
    <m/>
    <n v="6"/>
    <n v="9"/>
    <n v="0"/>
    <n v="0"/>
    <n v="0"/>
    <n v="0"/>
    <s v="VIEW_SUMMARY"/>
    <n v="726"/>
    <n v="323"/>
    <m/>
    <n v="1583"/>
    <m/>
    <x v="1"/>
    <n v="100"/>
    <s v="Table4"/>
    <n v="20"/>
    <s v="251007_VerzekeraarsMasterClass"/>
    <n v="22"/>
    <n v="15"/>
    <x v="4"/>
  </r>
  <r>
    <n v="6"/>
    <n v="7"/>
    <n v="200000"/>
    <n v="100000"/>
    <n v="90000"/>
    <n v="0"/>
    <n v="0"/>
    <n v="100000"/>
    <n v="80000"/>
    <m/>
    <m/>
    <n v="6"/>
    <n v="9"/>
    <n v="0"/>
    <n v="0"/>
    <n v="2"/>
    <n v="2"/>
    <s v="VIEW_SUMMARY"/>
    <n v="726"/>
    <n v="327"/>
    <n v="1583"/>
    <n v="1583"/>
    <m/>
    <x v="2"/>
    <n v="100"/>
    <s v="Table4"/>
    <n v="20"/>
    <s v="251007_VerzekeraarsMasterClass"/>
    <n v="22"/>
    <n v="15"/>
    <x v="4"/>
  </r>
  <r>
    <n v="12"/>
    <n v="7"/>
    <n v="200000"/>
    <n v="100000"/>
    <n v="80000"/>
    <n v="0"/>
    <n v="0"/>
    <n v="100000"/>
    <n v="70000"/>
    <m/>
    <m/>
    <n v="6"/>
    <n v="9"/>
    <n v="-2"/>
    <n v="-1"/>
    <n v="5"/>
    <n v="4"/>
    <s v="VIEW_SUMMARY"/>
    <n v="726"/>
    <n v="330"/>
    <n v="1583"/>
    <n v="1583"/>
    <m/>
    <x v="3"/>
    <n v="100"/>
    <s v="Table4"/>
    <n v="20"/>
    <s v="251007_VerzekeraarsMasterClass"/>
    <n v="22"/>
    <n v="15"/>
    <x v="4"/>
  </r>
  <r>
    <n v="18"/>
    <n v="7"/>
    <n v="200000"/>
    <n v="100000"/>
    <n v="70000"/>
    <n v="0"/>
    <n v="0"/>
    <n v="100000"/>
    <n v="60000"/>
    <m/>
    <m/>
    <n v="6"/>
    <n v="9"/>
    <n v="-2"/>
    <n v="-1"/>
    <n v="5"/>
    <n v="4"/>
    <s v="VIEW_SUMMARY"/>
    <n v="726"/>
    <n v="333"/>
    <n v="1583"/>
    <n v="1583"/>
    <m/>
    <x v="4"/>
    <n v="100"/>
    <s v="Table4"/>
    <n v="20"/>
    <s v="251007_VerzekeraarsMasterClass"/>
    <n v="22"/>
    <n v="15"/>
    <x v="4"/>
  </r>
  <r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27"/>
    <n v="320"/>
    <m/>
    <m/>
    <m/>
    <x v="0"/>
    <n v="100"/>
    <s v="Table4"/>
    <n v="20"/>
    <s v="251007_VerzekeraarsMasterClass"/>
    <n v="22"/>
    <n v="0"/>
    <x v="5"/>
  </r>
  <r>
    <n v="3"/>
    <n v="8"/>
    <n v="300000"/>
    <n v="0"/>
    <n v="0"/>
    <n v="0"/>
    <n v="160000"/>
    <n v="160000"/>
    <n v="144000"/>
    <m/>
    <m/>
    <n v="4"/>
    <n v="9"/>
    <n v="0"/>
    <n v="0"/>
    <n v="3"/>
    <n v="2"/>
    <s v="VIEW_SUMMARY"/>
    <n v="727"/>
    <n v="323"/>
    <m/>
    <n v="1587"/>
    <m/>
    <x v="1"/>
    <n v="100"/>
    <s v="Table4"/>
    <n v="20"/>
    <s v="251007_VerzekeraarsMasterClass"/>
    <n v="22"/>
    <n v="13"/>
    <x v="5"/>
  </r>
  <r>
    <n v="7"/>
    <n v="8"/>
    <n v="300000"/>
    <n v="160000"/>
    <n v="144000"/>
    <n v="0"/>
    <n v="0"/>
    <n v="160000"/>
    <n v="128000"/>
    <m/>
    <m/>
    <n v="4"/>
    <n v="9"/>
    <n v="0"/>
    <n v="0"/>
    <n v="3"/>
    <n v="2"/>
    <s v="VIEW_SUMMARY"/>
    <n v="727"/>
    <n v="327"/>
    <n v="1587"/>
    <n v="1587"/>
    <m/>
    <x v="2"/>
    <n v="100"/>
    <s v="Table4"/>
    <n v="20"/>
    <s v="251007_VerzekeraarsMasterClass"/>
    <n v="22"/>
    <n v="13"/>
    <x v="5"/>
  </r>
  <r>
    <n v="8"/>
    <n v="8"/>
    <n v="300000"/>
    <n v="160000"/>
    <n v="128000"/>
    <n v="0"/>
    <n v="0"/>
    <n v="160000"/>
    <n v="112000"/>
    <m/>
    <m/>
    <n v="4"/>
    <n v="9"/>
    <n v="-2"/>
    <n v="-1"/>
    <n v="4"/>
    <n v="3"/>
    <s v="VIEW_SUMMARY"/>
    <n v="727"/>
    <n v="330"/>
    <n v="1587"/>
    <n v="1587"/>
    <m/>
    <x v="3"/>
    <n v="100"/>
    <s v="Table4"/>
    <n v="20"/>
    <s v="251007_VerzekeraarsMasterClass"/>
    <n v="22"/>
    <n v="13"/>
    <x v="5"/>
  </r>
  <r>
    <n v="13"/>
    <n v="8"/>
    <n v="300000"/>
    <n v="160000"/>
    <n v="112000"/>
    <n v="0"/>
    <n v="0"/>
    <n v="160000"/>
    <n v="96000"/>
    <m/>
    <m/>
    <n v="4"/>
    <n v="9"/>
    <n v="-2"/>
    <n v="-1"/>
    <n v="5"/>
    <n v="3"/>
    <s v="VIEW_SUMMARY"/>
    <n v="727"/>
    <n v="333"/>
    <n v="1587"/>
    <n v="1587"/>
    <m/>
    <x v="4"/>
    <n v="100"/>
    <s v="Table4"/>
    <n v="20"/>
    <s v="251007_VerzekeraarsMasterClass"/>
    <n v="22"/>
    <n v="13"/>
    <x v="5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</r>
  <r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n v="1321"/>
    <d v="2025-10-07T11:30:49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98"/>
    <n v="318"/>
    <m/>
    <m/>
    <m/>
    <x v="0"/>
    <n v="97"/>
    <s v="Table1"/>
    <n v="20"/>
    <s v="251007_VerzekeraarsMasterClass"/>
    <n v="22"/>
    <n v="0"/>
    <x v="0"/>
    <s v="(Natu-city)"/>
    <n v="0"/>
  </r>
  <r>
    <n v="1365"/>
    <d v="2025-10-07T11:30:49"/>
    <n v="75000"/>
    <n v="40000"/>
    <n v="0"/>
    <n v="10000"/>
    <n v="0"/>
    <n v="0"/>
    <n v="15000"/>
    <n v="6000"/>
    <n v="7000"/>
    <n v="0"/>
    <n v="0"/>
    <n v="2000"/>
    <n v="0"/>
    <n v="-1"/>
    <n v="1"/>
    <n v="2"/>
    <n v="0"/>
    <n v="0"/>
    <n v="0"/>
    <n v="7"/>
    <n v="4"/>
    <n v="110000"/>
    <n v="0"/>
    <n v="0"/>
    <n v="0"/>
    <n v="100000"/>
    <n v="100000"/>
    <n v="90000"/>
    <m/>
    <m/>
    <n v="6"/>
    <n v="9"/>
    <n v="0"/>
    <n v="0"/>
    <n v="2"/>
    <n v="1"/>
    <s v="VIEW_SUMMARY"/>
    <n v="698"/>
    <n v="325"/>
    <m/>
    <n v="1613"/>
    <m/>
    <x v="1"/>
    <n v="97"/>
    <s v="Table1"/>
    <n v="20"/>
    <s v="251007_VerzekeraarsMasterClass"/>
    <n v="22"/>
    <n v="15"/>
    <x v="0"/>
    <s v="(Natu-city)"/>
    <n v="3"/>
  </r>
  <r>
    <n v="1382"/>
    <d v="2025-10-07T11:30:49"/>
    <n v="75000"/>
    <n v="40000"/>
    <n v="0"/>
    <n v="10000"/>
    <n v="0"/>
    <n v="0"/>
    <n v="15000"/>
    <n v="0"/>
    <n v="9500"/>
    <n v="0"/>
    <n v="0"/>
    <n v="2500"/>
    <n v="0"/>
    <n v="0"/>
    <n v="0"/>
    <n v="3"/>
    <n v="0"/>
    <n v="0"/>
    <n v="0"/>
    <n v="10"/>
    <n v="4"/>
    <n v="110000"/>
    <n v="100000"/>
    <n v="90000"/>
    <n v="0"/>
    <n v="0"/>
    <n v="100000"/>
    <n v="80000"/>
    <m/>
    <m/>
    <n v="6"/>
    <n v="9"/>
    <n v="0"/>
    <n v="0"/>
    <n v="2"/>
    <n v="1"/>
    <s v="VIEW_SUMMARY"/>
    <n v="698"/>
    <n v="328"/>
    <n v="1613"/>
    <n v="1613"/>
    <m/>
    <x v="2"/>
    <n v="97"/>
    <s v="Table1"/>
    <n v="20"/>
    <s v="251007_VerzekeraarsMasterClass"/>
    <n v="22"/>
    <n v="15"/>
    <x v="0"/>
    <s v="(Natu-city)"/>
    <n v="3"/>
  </r>
  <r>
    <n v="1407"/>
    <d v="2025-10-07T11:30:49"/>
    <n v="75000"/>
    <n v="40000"/>
    <n v="0"/>
    <n v="10000"/>
    <n v="0"/>
    <n v="0"/>
    <n v="15000"/>
    <n v="0"/>
    <n v="10750"/>
    <n v="0"/>
    <n v="0"/>
    <n v="1750"/>
    <n v="0"/>
    <n v="0"/>
    <n v="0"/>
    <n v="3"/>
    <n v="0"/>
    <n v="0"/>
    <n v="0"/>
    <n v="13"/>
    <n v="4"/>
    <n v="110000"/>
    <n v="100000"/>
    <n v="80000"/>
    <n v="0"/>
    <n v="0"/>
    <n v="100000"/>
    <n v="70000"/>
    <m/>
    <m/>
    <n v="6"/>
    <n v="9"/>
    <n v="-2"/>
    <n v="-1"/>
    <n v="2"/>
    <n v="1"/>
    <s v="VIEW_SUMMARY"/>
    <n v="698"/>
    <n v="332"/>
    <n v="1613"/>
    <n v="1613"/>
    <m/>
    <x v="3"/>
    <n v="97"/>
    <s v="Table1"/>
    <n v="20"/>
    <s v="251007_VerzekeraarsMasterClass"/>
    <n v="22"/>
    <n v="15"/>
    <x v="0"/>
    <s v="(Natu-city)"/>
    <n v="3"/>
  </r>
  <r>
    <n v="1428"/>
    <d v="2025-10-07T11:30:49"/>
    <n v="75000"/>
    <n v="40000"/>
    <n v="0"/>
    <n v="10000"/>
    <n v="0"/>
    <n v="0"/>
    <n v="20000"/>
    <n v="1000"/>
    <n v="5000"/>
    <n v="0"/>
    <n v="4000"/>
    <n v="-3250"/>
    <n v="0"/>
    <n v="0"/>
    <n v="0"/>
    <n v="2"/>
    <n v="0"/>
    <n v="1"/>
    <n v="0"/>
    <n v="16"/>
    <n v="4"/>
    <n v="110000"/>
    <n v="100000"/>
    <n v="70000"/>
    <n v="0"/>
    <n v="0"/>
    <n v="100000"/>
    <n v="60000"/>
    <m/>
    <m/>
    <n v="6"/>
    <n v="9"/>
    <n v="-2"/>
    <n v="-1"/>
    <n v="1"/>
    <n v="1"/>
    <s v="VIEW_SUMMARY"/>
    <n v="698"/>
    <n v="336"/>
    <n v="1613"/>
    <n v="1613"/>
    <m/>
    <x v="4"/>
    <n v="97"/>
    <s v="Table1"/>
    <n v="20"/>
    <s v="251007_VerzekeraarsMasterClass"/>
    <n v="22"/>
    <n v="15"/>
    <x v="0"/>
    <s v=""/>
    <n v="2"/>
  </r>
  <r>
    <n v="1358"/>
    <d v="2025-10-07T14:20:02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9"/>
    <n v="318"/>
    <m/>
    <m/>
    <m/>
    <x v="0"/>
    <n v="97"/>
    <s v="Table1"/>
    <n v="20"/>
    <s v="251007_VerzekeraarsMasterClass"/>
    <n v="22"/>
    <n v="0"/>
    <x v="1"/>
    <s v="(Natu-city)"/>
    <n v="0"/>
  </r>
  <r>
    <n v="1366"/>
    <d v="2025-10-07T14:20:02"/>
    <n v="110000"/>
    <n v="60000"/>
    <n v="0"/>
    <n v="17000"/>
    <n v="0"/>
    <n v="30000"/>
    <n v="15000"/>
    <n v="6000"/>
    <n v="5000"/>
    <n v="0"/>
    <n v="0"/>
    <n v="7000"/>
    <n v="0"/>
    <n v="0"/>
    <n v="1"/>
    <n v="1"/>
    <n v="0"/>
    <n v="0"/>
    <n v="0"/>
    <n v="7"/>
    <n v="6"/>
    <n v="170000"/>
    <n v="0"/>
    <n v="0"/>
    <n v="0"/>
    <n v="200000"/>
    <n v="170000"/>
    <n v="153000"/>
    <m/>
    <m/>
    <n v="6"/>
    <n v="9"/>
    <n v="0"/>
    <n v="0"/>
    <n v="1"/>
    <n v="0"/>
    <s v="VIEW_SUMMARY"/>
    <n v="699"/>
    <n v="325"/>
    <m/>
    <n v="1611"/>
    <m/>
    <x v="1"/>
    <n v="97"/>
    <s v="Table1"/>
    <n v="20"/>
    <s v="251007_VerzekeraarsMasterClass"/>
    <n v="22"/>
    <n v="15"/>
    <x v="1"/>
    <s v="(Natu-city)"/>
    <n v="1"/>
  </r>
  <r>
    <n v="1381"/>
    <d v="2025-10-07T14:20:02"/>
    <n v="110000"/>
    <n v="60000"/>
    <n v="0"/>
    <n v="17000"/>
    <n v="0"/>
    <n v="0"/>
    <n v="15000"/>
    <n v="8000"/>
    <n v="15000"/>
    <n v="0"/>
    <n v="0"/>
    <n v="2000"/>
    <n v="0"/>
    <n v="0"/>
    <n v="1"/>
    <n v="3"/>
    <n v="0"/>
    <n v="0"/>
    <n v="0"/>
    <n v="11"/>
    <n v="6"/>
    <n v="170000"/>
    <n v="170000"/>
    <n v="153000"/>
    <n v="0"/>
    <n v="0"/>
    <n v="170000"/>
    <n v="136000"/>
    <m/>
    <m/>
    <n v="6"/>
    <n v="9"/>
    <n v="0"/>
    <n v="0"/>
    <n v="2"/>
    <n v="1"/>
    <s v="VIEW_SUMMARY"/>
    <n v="699"/>
    <n v="328"/>
    <n v="1611"/>
    <n v="1611"/>
    <m/>
    <x v="2"/>
    <n v="97"/>
    <s v="Table1"/>
    <n v="20"/>
    <s v="251007_VerzekeraarsMasterClass"/>
    <n v="22"/>
    <n v="15"/>
    <x v="1"/>
    <s v="(Natu-city)"/>
    <n v="3"/>
  </r>
  <r>
    <n v="1406"/>
    <d v="2025-10-07T14:20:02"/>
    <n v="110000"/>
    <n v="60000"/>
    <n v="0"/>
    <n v="17000"/>
    <n v="0"/>
    <n v="0"/>
    <n v="15000"/>
    <n v="9000"/>
    <n v="10000"/>
    <n v="0"/>
    <n v="0"/>
    <n v="1000"/>
    <n v="0"/>
    <n v="0"/>
    <n v="1"/>
    <n v="2"/>
    <n v="0"/>
    <n v="0"/>
    <n v="0"/>
    <n v="14"/>
    <n v="6"/>
    <n v="170000"/>
    <n v="170000"/>
    <n v="136000"/>
    <n v="0"/>
    <n v="0"/>
    <n v="170000"/>
    <n v="119000"/>
    <m/>
    <m/>
    <n v="6"/>
    <n v="9"/>
    <n v="-2"/>
    <n v="-1"/>
    <n v="3"/>
    <n v="2"/>
    <s v="VIEW_SUMMARY"/>
    <n v="699"/>
    <n v="332"/>
    <n v="1611"/>
    <n v="1611"/>
    <m/>
    <x v="3"/>
    <n v="97"/>
    <s v="Table1"/>
    <n v="20"/>
    <s v="251007_VerzekeraarsMasterClass"/>
    <n v="22"/>
    <n v="15"/>
    <x v="1"/>
    <s v="(Natu-city)"/>
    <n v="5"/>
  </r>
  <r>
    <n v="1429"/>
    <d v="2025-10-07T14:20:02"/>
    <n v="110000"/>
    <n v="60000"/>
    <n v="0"/>
    <n v="17000"/>
    <n v="0"/>
    <n v="0"/>
    <n v="20000"/>
    <n v="0"/>
    <n v="14000"/>
    <n v="0"/>
    <n v="0"/>
    <n v="0"/>
    <n v="0"/>
    <n v="0"/>
    <n v="0"/>
    <n v="2"/>
    <n v="0"/>
    <n v="0"/>
    <n v="0"/>
    <n v="18"/>
    <n v="6"/>
    <n v="170000"/>
    <n v="170000"/>
    <n v="119000"/>
    <n v="0"/>
    <n v="0"/>
    <n v="170000"/>
    <n v="102000"/>
    <m/>
    <m/>
    <n v="6"/>
    <n v="9"/>
    <n v="-2"/>
    <n v="-1"/>
    <n v="4"/>
    <n v="3"/>
    <s v="VIEW_SUMMARY"/>
    <n v="699"/>
    <n v="336"/>
    <n v="1611"/>
    <n v="1611"/>
    <m/>
    <x v="4"/>
    <n v="97"/>
    <s v="Table1"/>
    <n v="20"/>
    <s v="251007_VerzekeraarsMasterClass"/>
    <n v="22"/>
    <n v="15"/>
    <x v="1"/>
    <s v=""/>
    <n v="7"/>
  </r>
  <r>
    <n v="1362"/>
    <d v="2025-10-07T14:21:1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00"/>
    <n v="318"/>
    <m/>
    <m/>
    <m/>
    <x v="0"/>
    <n v="97"/>
    <s v="Table1"/>
    <n v="20"/>
    <s v="251007_VerzekeraarsMasterClass"/>
    <n v="22"/>
    <n v="0"/>
    <x v="2"/>
    <s v="(U-village)"/>
    <n v="0"/>
  </r>
  <r>
    <n v="1368"/>
    <d v="2025-10-07T14:21:17"/>
    <n v="60000"/>
    <n v="30000"/>
    <n v="0"/>
    <n v="7000"/>
    <n v="0"/>
    <n v="0"/>
    <n v="20000"/>
    <n v="1000"/>
    <n v="1400"/>
    <n v="8000"/>
    <n v="0"/>
    <n v="-7400"/>
    <n v="0"/>
    <n v="-1"/>
    <n v="0"/>
    <n v="0"/>
    <n v="3"/>
    <n v="0"/>
    <n v="0"/>
    <n v="1"/>
    <n v="3"/>
    <n v="80000"/>
    <n v="0"/>
    <n v="0"/>
    <n v="0"/>
    <n v="70000"/>
    <n v="70000"/>
    <n v="63000"/>
    <m/>
    <m/>
    <n v="6"/>
    <n v="6"/>
    <n v="0"/>
    <n v="0"/>
    <n v="1"/>
    <n v="1"/>
    <s v="VIEW_SUMMARY"/>
    <n v="700"/>
    <n v="325"/>
    <m/>
    <n v="1623"/>
    <m/>
    <x v="1"/>
    <n v="97"/>
    <s v="Table1"/>
    <n v="20"/>
    <s v="251007_VerzekeraarsMasterClass"/>
    <n v="22"/>
    <n v="12"/>
    <x v="2"/>
    <s v="(U-village)"/>
    <n v="2"/>
  </r>
  <r>
    <n v="1383"/>
    <d v="2025-10-07T14:21:17"/>
    <n v="60000"/>
    <n v="30000"/>
    <n v="7400"/>
    <n v="7000"/>
    <n v="0"/>
    <n v="0"/>
    <n v="20000"/>
    <n v="0"/>
    <n v="0"/>
    <n v="0"/>
    <n v="0"/>
    <n v="-4400"/>
    <n v="0"/>
    <n v="0"/>
    <n v="0"/>
    <n v="0"/>
    <n v="0"/>
    <n v="0"/>
    <n v="1"/>
    <n v="0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700"/>
    <n v="328"/>
    <n v="1623"/>
    <n v="1623"/>
    <m/>
    <x v="2"/>
    <n v="97"/>
    <s v="Table1"/>
    <n v="20"/>
    <s v="251007_VerzekeraarsMasterClass"/>
    <n v="22"/>
    <n v="12"/>
    <x v="2"/>
    <s v="(U-village)"/>
    <n v="0"/>
  </r>
  <r>
    <n v="1405"/>
    <d v="2025-10-07T14:21:17"/>
    <n v="60000"/>
    <n v="30000"/>
    <n v="4400"/>
    <n v="7000"/>
    <n v="0"/>
    <n v="0"/>
    <n v="20000"/>
    <n v="0"/>
    <n v="0"/>
    <n v="4000"/>
    <n v="0"/>
    <n v="-5400"/>
    <n v="0"/>
    <n v="0"/>
    <n v="0"/>
    <n v="0"/>
    <n v="2"/>
    <n v="0"/>
    <n v="1"/>
    <n v="-3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700"/>
    <n v="332"/>
    <n v="1623"/>
    <n v="1623"/>
    <m/>
    <x v="3"/>
    <n v="97"/>
    <s v="Table1"/>
    <n v="20"/>
    <s v="251007_VerzekeraarsMasterClass"/>
    <n v="22"/>
    <n v="12"/>
    <x v="2"/>
    <s v="(U-village)"/>
    <n v="0"/>
  </r>
  <r>
    <n v="1432"/>
    <d v="2025-10-07T14:21:17"/>
    <n v="60000"/>
    <n v="30000"/>
    <n v="5400"/>
    <n v="7000"/>
    <n v="51000"/>
    <n v="0"/>
    <n v="20000"/>
    <n v="10000"/>
    <n v="6500"/>
    <n v="0"/>
    <n v="4000"/>
    <n v="28100"/>
    <n v="1"/>
    <n v="-1"/>
    <n v="0"/>
    <n v="3"/>
    <n v="1"/>
    <n v="1"/>
    <n v="1"/>
    <n v="-5"/>
    <n v="3"/>
    <n v="80000"/>
    <n v="70000"/>
    <n v="49000"/>
    <n v="100000"/>
    <n v="70000"/>
    <n v="70000"/>
    <n v="63000"/>
    <n v="35"/>
    <m/>
    <n v="6"/>
    <n v="6"/>
    <n v="-2"/>
    <n v="-1"/>
    <n v="2"/>
    <n v="2"/>
    <s v="VIEW_SUMMARY"/>
    <n v="700"/>
    <n v="336"/>
    <n v="1623"/>
    <n v="1660"/>
    <m/>
    <x v="4"/>
    <n v="97"/>
    <s v="Table1"/>
    <n v="20"/>
    <s v="251007_VerzekeraarsMasterClass"/>
    <n v="22"/>
    <n v="12"/>
    <x v="2"/>
    <s v=""/>
    <n v="4"/>
  </r>
  <r>
    <n v="1360"/>
    <d v="2025-10-07T14:20:34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01"/>
    <n v="318"/>
    <m/>
    <m/>
    <m/>
    <x v="0"/>
    <n v="97"/>
    <s v="Table1"/>
    <n v="20"/>
    <s v="251007_VerzekeraarsMasterClass"/>
    <n v="22"/>
    <n v="0"/>
    <x v="3"/>
    <s v="(Dike-town)"/>
    <n v="0"/>
  </r>
  <r>
    <n v="1363"/>
    <d v="2025-10-07T14:20:34"/>
    <n v="90000"/>
    <n v="50000"/>
    <n v="0"/>
    <n v="8000"/>
    <n v="0"/>
    <n v="0"/>
    <n v="20000"/>
    <n v="14000"/>
    <n v="6000"/>
    <n v="0"/>
    <n v="0"/>
    <n v="7000"/>
    <n v="0"/>
    <n v="-3"/>
    <n v="2"/>
    <n v="3"/>
    <n v="0"/>
    <n v="0"/>
    <n v="0"/>
    <n v="7"/>
    <n v="5"/>
    <n v="130000"/>
    <n v="0"/>
    <n v="0"/>
    <n v="0"/>
    <n v="80000"/>
    <n v="80000"/>
    <n v="72000"/>
    <m/>
    <m/>
    <n v="4"/>
    <n v="9"/>
    <n v="0"/>
    <n v="0"/>
    <n v="2"/>
    <n v="0"/>
    <s v="VIEW_SUMMARY"/>
    <n v="701"/>
    <n v="325"/>
    <m/>
    <n v="1619"/>
    <m/>
    <x v="1"/>
    <n v="97"/>
    <s v="Table1"/>
    <n v="20"/>
    <s v="251007_VerzekeraarsMasterClass"/>
    <n v="22"/>
    <n v="13"/>
    <x v="3"/>
    <s v="(Dike-town)"/>
    <n v="2"/>
  </r>
  <r>
    <n v="1385"/>
    <d v="2025-10-07T14:20:34"/>
    <n v="90000"/>
    <n v="50000"/>
    <n v="0"/>
    <n v="8000"/>
    <n v="0"/>
    <n v="0"/>
    <n v="20000"/>
    <n v="0"/>
    <n v="8500"/>
    <n v="0"/>
    <n v="0"/>
    <n v="10500"/>
    <n v="0"/>
    <n v="0"/>
    <n v="0"/>
    <n v="3"/>
    <n v="0"/>
    <n v="0"/>
    <n v="0"/>
    <n v="10"/>
    <n v="5"/>
    <n v="130000"/>
    <n v="80000"/>
    <n v="72000"/>
    <n v="0"/>
    <n v="0"/>
    <n v="80000"/>
    <n v="64000"/>
    <m/>
    <m/>
    <n v="4"/>
    <n v="9"/>
    <n v="0"/>
    <n v="0"/>
    <n v="2"/>
    <n v="0"/>
    <s v="VIEW_SUMMARY"/>
    <n v="701"/>
    <n v="328"/>
    <n v="1619"/>
    <n v="1619"/>
    <m/>
    <x v="2"/>
    <n v="97"/>
    <s v="Table1"/>
    <n v="20"/>
    <s v="251007_VerzekeraarsMasterClass"/>
    <n v="22"/>
    <n v="13"/>
    <x v="3"/>
    <s v="(Dike-town)"/>
    <n v="2"/>
  </r>
  <r>
    <n v="1409"/>
    <d v="2025-10-07T14:20:34"/>
    <n v="90000"/>
    <n v="50000"/>
    <n v="0"/>
    <n v="8000"/>
    <n v="0"/>
    <n v="0"/>
    <n v="20000"/>
    <n v="0"/>
    <n v="6000"/>
    <n v="0"/>
    <n v="0"/>
    <n v="16500"/>
    <n v="0"/>
    <n v="0"/>
    <n v="0"/>
    <n v="3"/>
    <n v="0"/>
    <n v="0"/>
    <n v="0"/>
    <n v="13"/>
    <n v="5"/>
    <n v="130000"/>
    <n v="80000"/>
    <n v="64000"/>
    <n v="0"/>
    <n v="0"/>
    <n v="80000"/>
    <n v="56000"/>
    <m/>
    <m/>
    <n v="4"/>
    <n v="9"/>
    <n v="-2"/>
    <n v="-1"/>
    <n v="2"/>
    <n v="0"/>
    <s v="VIEW_SUMMARY"/>
    <n v="701"/>
    <n v="332"/>
    <n v="1619"/>
    <n v="1619"/>
    <m/>
    <x v="3"/>
    <n v="97"/>
    <s v="Table1"/>
    <n v="20"/>
    <s v="251007_VerzekeraarsMasterClass"/>
    <n v="22"/>
    <n v="13"/>
    <x v="3"/>
    <s v="(Dike-town)"/>
    <n v="2"/>
  </r>
  <r>
    <n v="1430"/>
    <d v="2025-10-07T14:20:34"/>
    <n v="90000"/>
    <n v="50000"/>
    <n v="0"/>
    <n v="8000"/>
    <n v="0"/>
    <n v="0"/>
    <n v="20000"/>
    <n v="0"/>
    <n v="6100"/>
    <n v="0"/>
    <n v="4000"/>
    <n v="18400"/>
    <n v="0"/>
    <n v="0"/>
    <n v="0"/>
    <n v="1"/>
    <n v="0"/>
    <n v="1"/>
    <n v="0"/>
    <n v="13"/>
    <n v="5"/>
    <n v="130000"/>
    <n v="80000"/>
    <n v="56000"/>
    <n v="0"/>
    <n v="0"/>
    <n v="80000"/>
    <n v="48000"/>
    <m/>
    <m/>
    <n v="4"/>
    <n v="9"/>
    <n v="-2"/>
    <n v="-1"/>
    <n v="3"/>
    <n v="1"/>
    <s v="VIEW_SUMMARY"/>
    <n v="701"/>
    <n v="336"/>
    <n v="1619"/>
    <n v="1619"/>
    <m/>
    <x v="4"/>
    <n v="97"/>
    <s v="Table1"/>
    <n v="20"/>
    <s v="251007_VerzekeraarsMasterClass"/>
    <n v="22"/>
    <n v="13"/>
    <x v="3"/>
    <s v=""/>
    <n v="4"/>
  </r>
  <r>
    <n v="1361"/>
    <d v="2025-10-07T14:20:53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02"/>
    <n v="318"/>
    <m/>
    <m/>
    <m/>
    <x v="0"/>
    <n v="97"/>
    <s v="Table1"/>
    <n v="20"/>
    <s v="251007_VerzekeraarsMasterClass"/>
    <n v="22"/>
    <n v="0"/>
    <x v="4"/>
    <s v="(U-village)"/>
    <n v="0"/>
  </r>
  <r>
    <n v="1364"/>
    <d v="2025-10-07T14:20:53"/>
    <n v="130000"/>
    <n v="75000"/>
    <n v="0"/>
    <n v="12500"/>
    <n v="0"/>
    <n v="0"/>
    <n v="20000"/>
    <n v="22000"/>
    <n v="8750"/>
    <n v="4000"/>
    <n v="0"/>
    <n v="37750"/>
    <n v="0"/>
    <n v="-3"/>
    <n v="3"/>
    <n v="2"/>
    <n v="2"/>
    <n v="0"/>
    <n v="0"/>
    <n v="5"/>
    <n v="7"/>
    <n v="200000"/>
    <n v="0"/>
    <n v="0"/>
    <n v="0"/>
    <n v="125000"/>
    <n v="125000"/>
    <n v="112500"/>
    <m/>
    <m/>
    <n v="6"/>
    <n v="6"/>
    <n v="0"/>
    <n v="0"/>
    <n v="4"/>
    <n v="2"/>
    <s v="VIEW_SUMMARY"/>
    <n v="702"/>
    <n v="325"/>
    <m/>
    <n v="1622"/>
    <m/>
    <x v="1"/>
    <n v="97"/>
    <s v="Table1"/>
    <n v="20"/>
    <s v="251007_VerzekeraarsMasterClass"/>
    <n v="22"/>
    <n v="12"/>
    <x v="4"/>
    <s v="(U-village)"/>
    <n v="6"/>
  </r>
  <r>
    <n v="1384"/>
    <d v="2025-10-07T14:20:53"/>
    <n v="130000"/>
    <n v="75000"/>
    <n v="0"/>
    <n v="12500"/>
    <n v="0"/>
    <n v="0"/>
    <n v="20000"/>
    <n v="10000"/>
    <n v="15250"/>
    <n v="0"/>
    <n v="0"/>
    <n v="35000"/>
    <n v="0"/>
    <n v="0"/>
    <n v="0"/>
    <n v="3"/>
    <n v="0"/>
    <n v="0"/>
    <n v="0"/>
    <n v="8"/>
    <n v="7"/>
    <n v="200000"/>
    <n v="125000"/>
    <n v="112500"/>
    <n v="0"/>
    <n v="0"/>
    <n v="125000"/>
    <n v="100000"/>
    <m/>
    <m/>
    <n v="6"/>
    <n v="6"/>
    <n v="0"/>
    <n v="0"/>
    <n v="5"/>
    <n v="3"/>
    <s v="VIEW_SUMMARY"/>
    <n v="702"/>
    <n v="328"/>
    <n v="1622"/>
    <n v="1622"/>
    <m/>
    <x v="2"/>
    <n v="97"/>
    <s v="Table1"/>
    <n v="20"/>
    <s v="251007_VerzekeraarsMasterClass"/>
    <n v="22"/>
    <n v="12"/>
    <x v="4"/>
    <s v="(U-village)"/>
    <n v="8"/>
  </r>
  <r>
    <n v="1408"/>
    <d v="2025-10-07T14:20:53"/>
    <n v="130000"/>
    <n v="75000"/>
    <n v="0"/>
    <n v="12500"/>
    <n v="0"/>
    <n v="0"/>
    <n v="20000"/>
    <n v="0"/>
    <n v="18375"/>
    <n v="0"/>
    <n v="0"/>
    <n v="39125"/>
    <n v="0"/>
    <n v="0"/>
    <n v="0"/>
    <n v="4"/>
    <n v="1"/>
    <n v="0"/>
    <n v="0"/>
    <n v="11"/>
    <n v="7"/>
    <n v="200000"/>
    <n v="125000"/>
    <n v="100000"/>
    <n v="0"/>
    <n v="0"/>
    <n v="125000"/>
    <n v="87500"/>
    <m/>
    <m/>
    <n v="6"/>
    <n v="6"/>
    <n v="-2"/>
    <n v="-1"/>
    <n v="5"/>
    <n v="3"/>
    <s v="VIEW_SUMMARY"/>
    <n v="702"/>
    <n v="332"/>
    <n v="1622"/>
    <n v="1622"/>
    <m/>
    <x v="3"/>
    <n v="97"/>
    <s v="Table1"/>
    <n v="20"/>
    <s v="251007_VerzekeraarsMasterClass"/>
    <n v="22"/>
    <n v="12"/>
    <x v="4"/>
    <s v="(U-village)"/>
    <n v="8"/>
  </r>
  <r>
    <n v="1431"/>
    <d v="2025-10-07T14:20:53"/>
    <n v="130000"/>
    <n v="75000"/>
    <n v="0"/>
    <n v="12500"/>
    <n v="0"/>
    <n v="0"/>
    <n v="20000"/>
    <n v="0"/>
    <n v="18375"/>
    <n v="0"/>
    <n v="0"/>
    <n v="43250"/>
    <n v="0"/>
    <n v="0"/>
    <n v="0"/>
    <n v="4"/>
    <n v="1"/>
    <n v="0"/>
    <n v="0"/>
    <n v="14"/>
    <n v="7"/>
    <n v="200000"/>
    <n v="125000"/>
    <n v="87500"/>
    <n v="0"/>
    <n v="0"/>
    <n v="125000"/>
    <n v="75000"/>
    <m/>
    <m/>
    <n v="6"/>
    <n v="6"/>
    <n v="-2"/>
    <n v="-1"/>
    <n v="5"/>
    <n v="3"/>
    <s v="VIEW_SUMMARY"/>
    <n v="702"/>
    <n v="336"/>
    <n v="1622"/>
    <n v="1622"/>
    <m/>
    <x v="4"/>
    <n v="97"/>
    <s v="Table1"/>
    <n v="20"/>
    <s v="251007_VerzekeraarsMasterClass"/>
    <n v="22"/>
    <n v="12"/>
    <x v="4"/>
    <s v=""/>
    <n v="8"/>
  </r>
  <r>
    <n v="1359"/>
    <d v="2025-10-07T14:20:17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03"/>
    <n v="318"/>
    <m/>
    <m/>
    <m/>
    <x v="0"/>
    <n v="97"/>
    <s v="Table1"/>
    <n v="20"/>
    <s v="251007_VerzekeraarsMasterClass"/>
    <n v="22"/>
    <n v="0"/>
    <x v="5"/>
    <s v="(Natu-city)"/>
    <n v="0"/>
  </r>
  <r>
    <n v="1367"/>
    <d v="2025-10-07T14:20:17"/>
    <n v="190000"/>
    <n v="115000"/>
    <n v="0"/>
    <n v="20000"/>
    <n v="0"/>
    <n v="0"/>
    <n v="15000"/>
    <n v="10000"/>
    <n v="24500"/>
    <n v="0"/>
    <n v="0"/>
    <n v="85500"/>
    <n v="0"/>
    <n v="-2"/>
    <n v="0"/>
    <n v="4"/>
    <n v="0"/>
    <n v="0"/>
    <n v="0"/>
    <n v="7"/>
    <n v="8"/>
    <n v="300000"/>
    <n v="0"/>
    <n v="0"/>
    <n v="0"/>
    <n v="200000"/>
    <n v="200000"/>
    <n v="180000"/>
    <m/>
    <m/>
    <n v="6"/>
    <n v="9"/>
    <n v="0"/>
    <n v="0"/>
    <n v="1"/>
    <n v="1"/>
    <s v="VIEW_SUMMARY"/>
    <n v="703"/>
    <n v="325"/>
    <m/>
    <n v="1612"/>
    <m/>
    <x v="1"/>
    <n v="97"/>
    <s v="Table1"/>
    <n v="20"/>
    <s v="251007_VerzekeraarsMasterClass"/>
    <n v="22"/>
    <n v="15"/>
    <x v="5"/>
    <s v="(Natu-city)"/>
    <n v="2"/>
  </r>
  <r>
    <n v="1386"/>
    <d v="2025-10-07T14:20:17"/>
    <n v="190000"/>
    <n v="115000"/>
    <n v="0"/>
    <n v="20000"/>
    <n v="0"/>
    <n v="0"/>
    <n v="15000"/>
    <n v="22000"/>
    <n v="24500"/>
    <n v="0"/>
    <n v="0"/>
    <n v="79000"/>
    <n v="0"/>
    <n v="0"/>
    <n v="3"/>
    <n v="4"/>
    <n v="0"/>
    <n v="0"/>
    <n v="0"/>
    <n v="14"/>
    <n v="8"/>
    <n v="300000"/>
    <n v="200000"/>
    <n v="180000"/>
    <n v="0"/>
    <n v="0"/>
    <n v="200000"/>
    <n v="160000"/>
    <m/>
    <m/>
    <n v="6"/>
    <n v="9"/>
    <n v="0"/>
    <n v="0"/>
    <n v="4"/>
    <n v="2"/>
    <s v="VIEW_SUMMARY"/>
    <n v="703"/>
    <n v="328"/>
    <n v="1612"/>
    <n v="1612"/>
    <m/>
    <x v="2"/>
    <n v="97"/>
    <s v="Table1"/>
    <n v="20"/>
    <s v="251007_VerzekeraarsMasterClass"/>
    <n v="22"/>
    <n v="15"/>
    <x v="5"/>
    <s v="(Natu-city)"/>
    <n v="6"/>
  </r>
  <r>
    <n v="1410"/>
    <d v="2025-10-07T14:20:17"/>
    <n v="190000"/>
    <n v="115000"/>
    <n v="0"/>
    <n v="20000"/>
    <n v="0"/>
    <n v="0"/>
    <n v="15000"/>
    <n v="0"/>
    <n v="24500"/>
    <n v="0"/>
    <n v="0"/>
    <n v="94500"/>
    <n v="0"/>
    <n v="0"/>
    <n v="0"/>
    <n v="4"/>
    <n v="0"/>
    <n v="0"/>
    <n v="0"/>
    <n v="18"/>
    <n v="8"/>
    <n v="300000"/>
    <n v="200000"/>
    <n v="160000"/>
    <n v="0"/>
    <n v="0"/>
    <n v="200000"/>
    <n v="140000"/>
    <m/>
    <m/>
    <n v="6"/>
    <n v="9"/>
    <n v="-2"/>
    <n v="-1"/>
    <n v="4"/>
    <n v="2"/>
    <s v="VIEW_SUMMARY"/>
    <n v="703"/>
    <n v="332"/>
    <n v="1612"/>
    <n v="1612"/>
    <m/>
    <x v="3"/>
    <n v="97"/>
    <s v="Table1"/>
    <n v="20"/>
    <s v="251007_VerzekeraarsMasterClass"/>
    <n v="22"/>
    <n v="15"/>
    <x v="5"/>
    <s v="(Natu-city)"/>
    <n v="6"/>
  </r>
  <r>
    <n v="1433"/>
    <d v="2025-10-07T14:20:17"/>
    <n v="190000"/>
    <n v="115000"/>
    <n v="0"/>
    <n v="30000"/>
    <n v="60000"/>
    <n v="125000"/>
    <n v="20000"/>
    <n v="14000"/>
    <n v="31875"/>
    <n v="0"/>
    <n v="0"/>
    <n v="8625"/>
    <n v="1"/>
    <n v="1"/>
    <n v="2"/>
    <n v="3"/>
    <n v="0"/>
    <n v="0"/>
    <n v="0"/>
    <n v="25"/>
    <n v="8"/>
    <n v="300000"/>
    <n v="200000"/>
    <n v="140000"/>
    <n v="200000"/>
    <n v="425000"/>
    <n v="300000"/>
    <n v="270000"/>
    <n v="33"/>
    <m/>
    <n v="6"/>
    <n v="9"/>
    <n v="-2"/>
    <n v="-1"/>
    <n v="4"/>
    <n v="2"/>
    <s v="VIEW_DAMAGE"/>
    <n v="703"/>
    <n v="336"/>
    <n v="1612"/>
    <n v="1650"/>
    <m/>
    <x v="4"/>
    <n v="97"/>
    <s v="Table1"/>
    <n v="20"/>
    <s v="251007_VerzekeraarsMasterClass"/>
    <n v="22"/>
    <n v="15"/>
    <x v="5"/>
    <s v=""/>
    <n v="6"/>
  </r>
  <r>
    <n v="1323"/>
    <d v="2025-10-07T13:53:02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06"/>
    <n v="321"/>
    <m/>
    <m/>
    <m/>
    <x v="0"/>
    <n v="98"/>
    <s v="Table2"/>
    <n v="20"/>
    <s v="251007_VerzekeraarsMasterClass"/>
    <n v="22"/>
    <n v="0"/>
    <x v="0"/>
    <s v="(Dike-town)"/>
    <n v="0"/>
  </r>
  <r>
    <n v="1352"/>
    <d v="2025-10-07T13:53:02"/>
    <n v="75000"/>
    <n v="40000"/>
    <n v="0"/>
    <n v="8000"/>
    <n v="0"/>
    <n v="0"/>
    <n v="15000"/>
    <n v="8000"/>
    <n v="1600"/>
    <n v="0"/>
    <n v="0"/>
    <n v="7400"/>
    <n v="0"/>
    <n v="-2"/>
    <n v="1"/>
    <n v="0"/>
    <n v="0"/>
    <n v="0"/>
    <n v="0"/>
    <n v="4"/>
    <n v="4"/>
    <n v="110000"/>
    <n v="0"/>
    <n v="0"/>
    <n v="0"/>
    <n v="80000"/>
    <n v="80000"/>
    <n v="72000"/>
    <m/>
    <m/>
    <n v="4"/>
    <n v="9"/>
    <n v="0"/>
    <n v="0"/>
    <n v="2"/>
    <n v="2"/>
    <s v="VIEW_SUMMARY"/>
    <n v="706"/>
    <n v="324"/>
    <m/>
    <n v="1604"/>
    <m/>
    <x v="1"/>
    <n v="98"/>
    <s v="Table2"/>
    <n v="20"/>
    <s v="251007_VerzekeraarsMasterClass"/>
    <n v="22"/>
    <n v="13"/>
    <x v="0"/>
    <s v="(Dike-town)"/>
    <n v="4"/>
  </r>
  <r>
    <n v="1392"/>
    <d v="2025-10-07T13:53:02"/>
    <n v="75000"/>
    <n v="40000"/>
    <n v="0"/>
    <n v="8000"/>
    <n v="0"/>
    <n v="0"/>
    <n v="15000"/>
    <n v="14000"/>
    <n v="1600"/>
    <n v="0"/>
    <n v="4000"/>
    <n v="-200"/>
    <n v="0"/>
    <n v="0"/>
    <n v="2"/>
    <n v="0"/>
    <n v="0"/>
    <n v="1"/>
    <n v="0"/>
    <n v="5"/>
    <n v="4"/>
    <n v="110000"/>
    <n v="80000"/>
    <n v="72000"/>
    <n v="0"/>
    <n v="0"/>
    <n v="80000"/>
    <n v="64000"/>
    <m/>
    <m/>
    <n v="4"/>
    <n v="9"/>
    <n v="0"/>
    <n v="0"/>
    <n v="4"/>
    <n v="2"/>
    <s v="VIEW_SUMMARY"/>
    <n v="706"/>
    <n v="329"/>
    <n v="1604"/>
    <n v="1604"/>
    <m/>
    <x v="2"/>
    <n v="98"/>
    <s v="Table2"/>
    <n v="20"/>
    <s v="251007_VerzekeraarsMasterClass"/>
    <n v="22"/>
    <n v="13"/>
    <x v="0"/>
    <s v="(Dike-town)"/>
    <n v="6"/>
  </r>
  <r>
    <n v="1420"/>
    <d v="2025-10-07T13:53:02"/>
    <n v="75000"/>
    <n v="40000"/>
    <n v="200"/>
    <n v="8000"/>
    <n v="0"/>
    <n v="0"/>
    <n v="15000"/>
    <n v="10000"/>
    <n v="1600"/>
    <n v="0"/>
    <n v="0"/>
    <n v="200"/>
    <n v="0"/>
    <n v="0"/>
    <n v="0"/>
    <n v="0"/>
    <n v="0"/>
    <n v="0"/>
    <n v="1"/>
    <n v="4"/>
    <n v="4"/>
    <n v="110000"/>
    <n v="80000"/>
    <n v="64000"/>
    <n v="0"/>
    <n v="0"/>
    <n v="80000"/>
    <n v="56000"/>
    <m/>
    <m/>
    <n v="4"/>
    <n v="9"/>
    <n v="-2"/>
    <n v="-1"/>
    <n v="5"/>
    <n v="3"/>
    <s v="VIEW_SUMMARY"/>
    <n v="706"/>
    <n v="334"/>
    <n v="1604"/>
    <n v="1604"/>
    <m/>
    <x v="3"/>
    <n v="98"/>
    <s v="Table2"/>
    <n v="20"/>
    <s v="251007_VerzekeraarsMasterClass"/>
    <n v="22"/>
    <n v="13"/>
    <x v="0"/>
    <s v="(Dike-town)"/>
    <n v="8"/>
  </r>
  <r>
    <n v="1440"/>
    <d v="2025-10-07T13:53:02"/>
    <n v="75000"/>
    <n v="40000"/>
    <n v="0"/>
    <n v="8000"/>
    <n v="0"/>
    <n v="0"/>
    <n v="20000"/>
    <n v="1000"/>
    <n v="6000"/>
    <n v="0"/>
    <n v="0"/>
    <n v="200"/>
    <n v="0"/>
    <n v="0"/>
    <n v="0"/>
    <n v="3"/>
    <n v="0"/>
    <n v="0"/>
    <n v="0"/>
    <n v="7"/>
    <n v="4"/>
    <n v="110000"/>
    <n v="80000"/>
    <n v="56000"/>
    <n v="0"/>
    <n v="0"/>
    <n v="80000"/>
    <n v="48000"/>
    <m/>
    <m/>
    <n v="4"/>
    <n v="9"/>
    <n v="-2"/>
    <n v="-1"/>
    <n v="4"/>
    <n v="3"/>
    <s v="VIEW_SUMMARY"/>
    <n v="706"/>
    <n v="337"/>
    <n v="1604"/>
    <n v="1604"/>
    <m/>
    <x v="4"/>
    <n v="98"/>
    <s v="Table2"/>
    <n v="20"/>
    <s v="251007_VerzekeraarsMasterClass"/>
    <n v="22"/>
    <n v="13"/>
    <x v="0"/>
    <s v=""/>
    <n v="7"/>
  </r>
  <r>
    <n v="1333"/>
    <d v="2025-10-07T13:58:56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07"/>
    <n v="321"/>
    <m/>
    <m/>
    <m/>
    <x v="0"/>
    <n v="98"/>
    <s v="Table2"/>
    <n v="20"/>
    <s v="251007_VerzekeraarsMasterClass"/>
    <n v="22"/>
    <n v="0"/>
    <x v="1"/>
    <s v="(Natu-city)"/>
    <n v="0"/>
  </r>
  <r>
    <n v="1355"/>
    <d v="2025-10-07T13:58:56"/>
    <n v="110000"/>
    <n v="60000"/>
    <n v="0"/>
    <n v="17000"/>
    <n v="0"/>
    <n v="30000"/>
    <n v="20000"/>
    <n v="7000"/>
    <n v="0"/>
    <n v="0"/>
    <n v="0"/>
    <n v="600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707"/>
    <n v="324"/>
    <m/>
    <n v="1596"/>
    <m/>
    <x v="1"/>
    <n v="98"/>
    <s v="Table2"/>
    <n v="20"/>
    <s v="251007_VerzekeraarsMasterClass"/>
    <n v="22"/>
    <n v="15"/>
    <x v="1"/>
    <s v="(Natu-city)"/>
    <n v="2"/>
  </r>
  <r>
    <n v="1389"/>
    <d v="2025-10-07T13:58:56"/>
    <n v="110000"/>
    <n v="60000"/>
    <n v="0"/>
    <n v="17000"/>
    <n v="0"/>
    <n v="0"/>
    <n v="20000"/>
    <n v="8000"/>
    <n v="0"/>
    <n v="0"/>
    <n v="4000"/>
    <n v="7000"/>
    <n v="0"/>
    <n v="0"/>
    <n v="1"/>
    <n v="0"/>
    <n v="0"/>
    <n v="1"/>
    <n v="0"/>
    <n v="6"/>
    <n v="6"/>
    <n v="170000"/>
    <n v="170000"/>
    <n v="153000"/>
    <n v="0"/>
    <n v="0"/>
    <n v="170000"/>
    <n v="136000"/>
    <m/>
    <m/>
    <n v="6"/>
    <n v="9"/>
    <n v="0"/>
    <n v="0"/>
    <n v="2"/>
    <n v="2"/>
    <s v="VIEW_SUMMARY"/>
    <n v="707"/>
    <n v="329"/>
    <n v="1596"/>
    <n v="1596"/>
    <m/>
    <x v="2"/>
    <n v="98"/>
    <s v="Table2"/>
    <n v="20"/>
    <s v="251007_VerzekeraarsMasterClass"/>
    <n v="22"/>
    <n v="15"/>
    <x v="1"/>
    <s v="(Natu-city)"/>
    <n v="4"/>
  </r>
  <r>
    <n v="1422"/>
    <d v="2025-10-07T13:58:56"/>
    <n v="110000"/>
    <n v="60000"/>
    <n v="0"/>
    <n v="17000"/>
    <n v="0"/>
    <n v="0"/>
    <n v="20000"/>
    <n v="18000"/>
    <n v="0"/>
    <n v="0"/>
    <n v="0"/>
    <n v="2000"/>
    <n v="0"/>
    <n v="0"/>
    <n v="1"/>
    <n v="0"/>
    <n v="0"/>
    <n v="0"/>
    <n v="0"/>
    <n v="7"/>
    <n v="6"/>
    <n v="170000"/>
    <n v="170000"/>
    <n v="136000"/>
    <n v="0"/>
    <n v="0"/>
    <n v="170000"/>
    <n v="119000"/>
    <m/>
    <m/>
    <n v="6"/>
    <n v="9"/>
    <n v="-2"/>
    <n v="-1"/>
    <n v="4"/>
    <n v="3"/>
    <s v="VIEW_SUMMARY"/>
    <n v="707"/>
    <n v="334"/>
    <n v="1596"/>
    <n v="1596"/>
    <m/>
    <x v="3"/>
    <n v="98"/>
    <s v="Table2"/>
    <n v="20"/>
    <s v="251007_VerzekeraarsMasterClass"/>
    <n v="22"/>
    <n v="15"/>
    <x v="1"/>
    <s v="(Natu-city)"/>
    <n v="7"/>
  </r>
  <r>
    <n v="1437"/>
    <d v="2025-10-07T13:58:56"/>
    <n v="110000"/>
    <n v="60000"/>
    <n v="0"/>
    <n v="17000"/>
    <n v="0"/>
    <n v="0"/>
    <n v="20000"/>
    <n v="0"/>
    <n v="15000"/>
    <n v="0"/>
    <n v="0"/>
    <n v="0"/>
    <n v="0"/>
    <n v="0"/>
    <n v="0"/>
    <n v="3"/>
    <n v="0"/>
    <n v="0"/>
    <n v="0"/>
    <n v="12"/>
    <n v="6"/>
    <n v="170000"/>
    <n v="170000"/>
    <n v="119000"/>
    <n v="0"/>
    <n v="0"/>
    <n v="170000"/>
    <n v="102000"/>
    <m/>
    <m/>
    <n v="6"/>
    <n v="9"/>
    <n v="-2"/>
    <n v="-1"/>
    <n v="4"/>
    <n v="3"/>
    <s v="VIEW_SUMMARY"/>
    <n v="707"/>
    <n v="337"/>
    <n v="1596"/>
    <n v="1596"/>
    <m/>
    <x v="4"/>
    <n v="98"/>
    <s v="Table2"/>
    <n v="20"/>
    <s v="251007_VerzekeraarsMasterClass"/>
    <n v="22"/>
    <n v="15"/>
    <x v="1"/>
    <s v=""/>
    <n v="7"/>
  </r>
  <r>
    <n v="1334"/>
    <d v="2025-10-07T13:59:16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08"/>
    <n v="321"/>
    <m/>
    <m/>
    <m/>
    <x v="0"/>
    <n v="98"/>
    <s v="Table2"/>
    <n v="20"/>
    <s v="251007_VerzekeraarsMasterClass"/>
    <n v="22"/>
    <n v="0"/>
    <x v="2"/>
    <s v="(U-village)"/>
    <n v="0"/>
  </r>
  <r>
    <n v="1356"/>
    <d v="2025-10-07T13:59:16"/>
    <n v="60000"/>
    <n v="30000"/>
    <n v="0"/>
    <n v="7000"/>
    <n v="0"/>
    <n v="0"/>
    <n v="20000"/>
    <n v="0"/>
    <n v="1750"/>
    <n v="0"/>
    <n v="0"/>
    <n v="1250"/>
    <n v="0"/>
    <n v="-1"/>
    <n v="0"/>
    <n v="1"/>
    <n v="0"/>
    <n v="0"/>
    <n v="0"/>
    <n v="5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708"/>
    <n v="324"/>
    <m/>
    <n v="1608"/>
    <m/>
    <x v="1"/>
    <n v="98"/>
    <s v="Table2"/>
    <n v="20"/>
    <s v="251007_VerzekeraarsMasterClass"/>
    <n v="22"/>
    <n v="12"/>
    <x v="2"/>
    <s v="(U-village)"/>
    <n v="0"/>
  </r>
  <r>
    <n v="1391"/>
    <d v="2025-10-07T13:59:16"/>
    <n v="60000"/>
    <n v="30000"/>
    <n v="0"/>
    <n v="7000"/>
    <n v="0"/>
    <n v="0"/>
    <n v="20000"/>
    <n v="0"/>
    <n v="3500"/>
    <n v="12000"/>
    <n v="4000"/>
    <n v="-15250"/>
    <n v="0"/>
    <n v="0"/>
    <n v="0"/>
    <n v="2"/>
    <n v="4"/>
    <n v="1"/>
    <n v="0"/>
    <n v="2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708"/>
    <n v="329"/>
    <n v="1608"/>
    <n v="1608"/>
    <m/>
    <x v="2"/>
    <n v="98"/>
    <s v="Table2"/>
    <n v="20"/>
    <s v="251007_VerzekeraarsMasterClass"/>
    <n v="22"/>
    <n v="12"/>
    <x v="2"/>
    <s v="(U-village)"/>
    <n v="0"/>
  </r>
  <r>
    <n v="1419"/>
    <d v="2025-10-07T13:59:16"/>
    <n v="60000"/>
    <n v="30000"/>
    <n v="15250"/>
    <n v="7000"/>
    <n v="0"/>
    <n v="0"/>
    <n v="20000"/>
    <n v="0"/>
    <n v="0"/>
    <n v="0"/>
    <n v="4000"/>
    <n v="-16250"/>
    <n v="0"/>
    <n v="0"/>
    <n v="0"/>
    <n v="0"/>
    <n v="0"/>
    <n v="1"/>
    <n v="1"/>
    <n v="0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708"/>
    <n v="334"/>
    <n v="1608"/>
    <n v="1608"/>
    <m/>
    <x v="3"/>
    <n v="98"/>
    <s v="Table2"/>
    <n v="20"/>
    <s v="251007_VerzekeraarsMasterClass"/>
    <n v="22"/>
    <n v="12"/>
    <x v="2"/>
    <s v="(U-village)"/>
    <n v="0"/>
  </r>
  <r>
    <n v="1436"/>
    <d v="2025-10-07T13:59:16"/>
    <n v="60000"/>
    <n v="30000"/>
    <n v="16250"/>
    <n v="7000"/>
    <n v="0"/>
    <n v="0"/>
    <n v="20000"/>
    <n v="0"/>
    <n v="0"/>
    <n v="0"/>
    <n v="4000"/>
    <n v="-17250"/>
    <n v="0"/>
    <n v="0"/>
    <n v="0"/>
    <n v="0"/>
    <n v="0"/>
    <n v="1"/>
    <n v="1"/>
    <n v="-2"/>
    <n v="3"/>
    <n v="80000"/>
    <n v="70000"/>
    <n v="49000"/>
    <n v="0"/>
    <n v="0"/>
    <n v="70000"/>
    <n v="42000"/>
    <m/>
    <m/>
    <n v="6"/>
    <n v="6"/>
    <n v="-2"/>
    <n v="-1"/>
    <n v="0"/>
    <n v="0"/>
    <s v="VIEW_SUMMARY"/>
    <n v="708"/>
    <n v="337"/>
    <n v="1608"/>
    <n v="1608"/>
    <m/>
    <x v="4"/>
    <n v="98"/>
    <s v="Table2"/>
    <n v="20"/>
    <s v="251007_VerzekeraarsMasterClass"/>
    <n v="22"/>
    <n v="12"/>
    <x v="2"/>
    <s v=""/>
    <n v="0"/>
  </r>
  <r>
    <n v="1336"/>
    <d v="2025-10-07T14:16:55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09"/>
    <n v="321"/>
    <m/>
    <m/>
    <m/>
    <x v="0"/>
    <n v="98"/>
    <s v="Table2"/>
    <n v="20"/>
    <s v="251007_VerzekeraarsMasterClass"/>
    <n v="22"/>
    <n v="0"/>
    <x v="3"/>
    <s v="(Dike-town)"/>
    <n v="0"/>
  </r>
  <r>
    <n v="1351"/>
    <d v="2025-10-07T14:16:55"/>
    <n v="90000"/>
    <n v="50000"/>
    <n v="0"/>
    <n v="13000"/>
    <n v="0"/>
    <n v="30000"/>
    <n v="15000"/>
    <n v="0"/>
    <n v="0"/>
    <n v="0"/>
    <n v="0"/>
    <n v="-3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709"/>
    <n v="324"/>
    <m/>
    <n v="1602"/>
    <m/>
    <x v="1"/>
    <n v="98"/>
    <s v="Table2"/>
    <n v="20"/>
    <s v="251007_VerzekeraarsMasterClass"/>
    <n v="22"/>
    <n v="13"/>
    <x v="3"/>
    <s v="(Dike-town)"/>
    <n v="0"/>
  </r>
  <r>
    <n v="1390"/>
    <d v="2025-10-07T14:16:55"/>
    <n v="90000"/>
    <n v="50000"/>
    <n v="3000"/>
    <n v="13000"/>
    <n v="0"/>
    <n v="0"/>
    <n v="15000"/>
    <n v="0"/>
    <n v="7700"/>
    <n v="0"/>
    <n v="4000"/>
    <n v="-2700"/>
    <n v="0"/>
    <n v="0"/>
    <n v="0"/>
    <n v="1"/>
    <n v="0"/>
    <n v="1"/>
    <n v="1"/>
    <n v="4"/>
    <n v="5"/>
    <n v="130000"/>
    <n v="130000"/>
    <n v="117000"/>
    <n v="0"/>
    <n v="0"/>
    <n v="130000"/>
    <n v="104000"/>
    <m/>
    <m/>
    <n v="4"/>
    <n v="9"/>
    <n v="0"/>
    <n v="0"/>
    <n v="1"/>
    <n v="1"/>
    <s v="VIEW_SUMMARY"/>
    <n v="709"/>
    <n v="329"/>
    <n v="1602"/>
    <n v="1602"/>
    <m/>
    <x v="2"/>
    <n v="98"/>
    <s v="Table2"/>
    <n v="20"/>
    <s v="251007_VerzekeraarsMasterClass"/>
    <n v="22"/>
    <n v="13"/>
    <x v="3"/>
    <s v="(Dike-town)"/>
    <n v="2"/>
  </r>
  <r>
    <n v="1421"/>
    <d v="2025-10-07T14:16:55"/>
    <n v="90000"/>
    <n v="50000"/>
    <n v="2700"/>
    <n v="13000"/>
    <n v="0"/>
    <n v="0"/>
    <n v="15000"/>
    <n v="0"/>
    <n v="0"/>
    <n v="0"/>
    <n v="4000"/>
    <n v="5300"/>
    <n v="0"/>
    <n v="0"/>
    <n v="0"/>
    <n v="0"/>
    <n v="0"/>
    <n v="1"/>
    <n v="1"/>
    <n v="2"/>
    <n v="5"/>
    <n v="130000"/>
    <n v="130000"/>
    <n v="104000"/>
    <n v="0"/>
    <n v="0"/>
    <n v="130000"/>
    <n v="91000"/>
    <m/>
    <m/>
    <n v="4"/>
    <n v="9"/>
    <n v="-2"/>
    <n v="-1"/>
    <n v="0"/>
    <n v="0"/>
    <s v="VIEW_SUMMARY"/>
    <n v="709"/>
    <n v="334"/>
    <n v="1602"/>
    <n v="1602"/>
    <m/>
    <x v="3"/>
    <n v="98"/>
    <s v="Table2"/>
    <n v="20"/>
    <s v="251007_VerzekeraarsMasterClass"/>
    <n v="22"/>
    <n v="13"/>
    <x v="3"/>
    <s v="(Natu-city)"/>
    <n v="0"/>
  </r>
  <r>
    <n v="1439"/>
    <d v="2025-10-07T14:16:55"/>
    <n v="90000"/>
    <n v="50000"/>
    <n v="0"/>
    <n v="10000"/>
    <n v="69000"/>
    <n v="0"/>
    <n v="20000"/>
    <n v="32000"/>
    <n v="14000"/>
    <n v="0"/>
    <n v="0"/>
    <n v="38300"/>
    <n v="1"/>
    <n v="-2"/>
    <n v="3"/>
    <n v="4"/>
    <n v="0"/>
    <n v="0"/>
    <n v="0"/>
    <n v="10"/>
    <n v="5"/>
    <n v="130000"/>
    <n v="130000"/>
    <n v="91000"/>
    <n v="160000"/>
    <n v="100000"/>
    <n v="100000"/>
    <n v="90000"/>
    <n v="36"/>
    <m/>
    <n v="6"/>
    <n v="9"/>
    <n v="-2"/>
    <n v="-1"/>
    <n v="5"/>
    <n v="4"/>
    <s v="VIEW_SUMMARY"/>
    <n v="709"/>
    <n v="337"/>
    <n v="1602"/>
    <n v="1663"/>
    <m/>
    <x v="4"/>
    <n v="98"/>
    <s v="Table2"/>
    <n v="20"/>
    <s v="251007_VerzekeraarsMasterClass"/>
    <n v="22"/>
    <n v="15"/>
    <x v="3"/>
    <s v=""/>
    <n v="9"/>
  </r>
  <r>
    <n v="1346"/>
    <d v="2025-10-07T14:18:0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10"/>
    <n v="321"/>
    <m/>
    <m/>
    <m/>
    <x v="0"/>
    <n v="98"/>
    <s v="Table2"/>
    <n v="20"/>
    <s v="251007_VerzekeraarsMasterClass"/>
    <n v="22"/>
    <n v="0"/>
    <x v="4"/>
    <s v="(Natu-city)"/>
    <n v="0"/>
  </r>
  <r>
    <n v="1353"/>
    <d v="2025-10-07T14:18:05"/>
    <n v="130000"/>
    <n v="75000"/>
    <n v="0"/>
    <n v="20000"/>
    <n v="0"/>
    <n v="0"/>
    <n v="20000"/>
    <n v="9000"/>
    <n v="14000"/>
    <n v="0"/>
    <n v="0"/>
    <n v="42000"/>
    <n v="0"/>
    <n v="-1"/>
    <n v="1"/>
    <n v="2"/>
    <n v="0"/>
    <n v="0"/>
    <n v="0"/>
    <n v="7"/>
    <n v="7"/>
    <n v="200000"/>
    <n v="0"/>
    <n v="0"/>
    <n v="0"/>
    <n v="200000"/>
    <n v="200000"/>
    <n v="180000"/>
    <m/>
    <m/>
    <n v="6"/>
    <n v="9"/>
    <n v="0"/>
    <n v="0"/>
    <n v="2"/>
    <n v="2"/>
    <s v="VIEW_SUMMARY"/>
    <n v="710"/>
    <n v="324"/>
    <m/>
    <n v="1597"/>
    <m/>
    <x v="1"/>
    <n v="98"/>
    <s v="Table2"/>
    <n v="20"/>
    <s v="251007_VerzekeraarsMasterClass"/>
    <n v="22"/>
    <n v="15"/>
    <x v="4"/>
    <s v="(Natu-city)"/>
    <n v="4"/>
  </r>
  <r>
    <n v="1388"/>
    <d v="2025-10-07T14:18:05"/>
    <n v="130000"/>
    <n v="75000"/>
    <n v="0"/>
    <n v="20000"/>
    <n v="0"/>
    <n v="0"/>
    <n v="20000"/>
    <n v="24000"/>
    <n v="14000"/>
    <n v="0"/>
    <n v="0"/>
    <n v="19000"/>
    <n v="0"/>
    <n v="0"/>
    <n v="2"/>
    <n v="2"/>
    <n v="0"/>
    <n v="0"/>
    <n v="0"/>
    <n v="11"/>
    <n v="7"/>
    <n v="200000"/>
    <n v="200000"/>
    <n v="180000"/>
    <n v="0"/>
    <n v="0"/>
    <n v="200000"/>
    <n v="160000"/>
    <m/>
    <m/>
    <n v="6"/>
    <n v="9"/>
    <n v="0"/>
    <n v="0"/>
    <n v="5"/>
    <n v="4"/>
    <s v="VIEW_SUMMARY"/>
    <n v="710"/>
    <n v="329"/>
    <n v="1597"/>
    <n v="1597"/>
    <m/>
    <x v="2"/>
    <n v="98"/>
    <s v="Table2"/>
    <n v="20"/>
    <s v="251007_VerzekeraarsMasterClass"/>
    <n v="22"/>
    <n v="15"/>
    <x v="4"/>
    <s v="(Natu-city)"/>
    <n v="9"/>
  </r>
  <r>
    <n v="1417"/>
    <d v="2025-10-07T14:18:05"/>
    <n v="130000"/>
    <n v="75000"/>
    <n v="0"/>
    <n v="20000"/>
    <n v="0"/>
    <n v="0"/>
    <n v="20000"/>
    <n v="0"/>
    <n v="25500"/>
    <n v="0"/>
    <n v="0"/>
    <n v="8500"/>
    <n v="0"/>
    <n v="0"/>
    <n v="0"/>
    <n v="4"/>
    <n v="0"/>
    <n v="0"/>
    <n v="0"/>
    <n v="15"/>
    <n v="7"/>
    <n v="200000"/>
    <n v="200000"/>
    <n v="160000"/>
    <n v="0"/>
    <n v="0"/>
    <n v="200000"/>
    <n v="140000"/>
    <m/>
    <m/>
    <n v="6"/>
    <n v="9"/>
    <n v="-2"/>
    <n v="-1"/>
    <n v="5"/>
    <n v="4"/>
    <s v="VIEW_SUMMARY"/>
    <n v="710"/>
    <n v="334"/>
    <n v="1597"/>
    <n v="1597"/>
    <m/>
    <x v="3"/>
    <n v="98"/>
    <s v="Table2"/>
    <n v="20"/>
    <s v="251007_VerzekeraarsMasterClass"/>
    <n v="22"/>
    <n v="15"/>
    <x v="4"/>
    <s v="(Natu-city)"/>
    <n v="9"/>
  </r>
  <r>
    <n v="1438"/>
    <d v="2025-10-07T14:18:05"/>
    <n v="130000"/>
    <n v="75000"/>
    <n v="0"/>
    <n v="20000"/>
    <n v="0"/>
    <n v="0"/>
    <n v="20000"/>
    <n v="0"/>
    <n v="19000"/>
    <n v="0"/>
    <n v="0"/>
    <n v="4500"/>
    <n v="0"/>
    <n v="0"/>
    <n v="0"/>
    <n v="3"/>
    <n v="0"/>
    <n v="0"/>
    <n v="0"/>
    <n v="20"/>
    <n v="7"/>
    <n v="200000"/>
    <n v="200000"/>
    <n v="140000"/>
    <n v="0"/>
    <n v="0"/>
    <n v="200000"/>
    <n v="120000"/>
    <m/>
    <m/>
    <n v="6"/>
    <n v="9"/>
    <n v="-2"/>
    <n v="-1"/>
    <n v="5"/>
    <n v="4"/>
    <s v="VIEW_SUMMARY"/>
    <n v="710"/>
    <n v="337"/>
    <n v="1597"/>
    <n v="1597"/>
    <m/>
    <x v="4"/>
    <n v="98"/>
    <s v="Table2"/>
    <n v="20"/>
    <s v="251007_VerzekeraarsMasterClass"/>
    <n v="22"/>
    <n v="15"/>
    <x v="4"/>
    <s v=""/>
    <n v="9"/>
  </r>
  <r>
    <n v="1322"/>
    <d v="2025-10-07T13:52:09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11"/>
    <n v="321"/>
    <m/>
    <m/>
    <m/>
    <x v="0"/>
    <n v="98"/>
    <s v="Table2"/>
    <n v="20"/>
    <s v="251007_VerzekeraarsMasterClass"/>
    <n v="22"/>
    <n v="0"/>
    <x v="5"/>
    <s v="(Dike-town)"/>
    <n v="0"/>
  </r>
  <r>
    <n v="1354"/>
    <d v="2025-10-07T13:52:09"/>
    <n v="190000"/>
    <n v="115000"/>
    <n v="0"/>
    <n v="30000"/>
    <n v="0"/>
    <n v="0"/>
    <n v="15000"/>
    <n v="14000"/>
    <n v="30500"/>
    <n v="0"/>
    <n v="0"/>
    <n v="65500"/>
    <n v="0"/>
    <n v="0"/>
    <n v="2"/>
    <n v="3"/>
    <n v="0"/>
    <n v="0"/>
    <n v="0"/>
    <n v="10"/>
    <n v="8"/>
    <n v="300000"/>
    <n v="0"/>
    <n v="0"/>
    <n v="0"/>
    <n v="300000"/>
    <n v="300000"/>
    <n v="270000"/>
    <m/>
    <m/>
    <n v="4"/>
    <n v="9"/>
    <n v="0"/>
    <n v="0"/>
    <n v="3"/>
    <n v="1"/>
    <s v="VIEW_SUMMARY"/>
    <n v="711"/>
    <n v="324"/>
    <m/>
    <n v="1600"/>
    <m/>
    <x v="1"/>
    <n v="98"/>
    <s v="Table2"/>
    <n v="20"/>
    <s v="251007_VerzekeraarsMasterClass"/>
    <n v="22"/>
    <n v="13"/>
    <x v="5"/>
    <s v="(Dike-town)"/>
    <n v="4"/>
  </r>
  <r>
    <n v="1387"/>
    <d v="2025-10-07T13:52:09"/>
    <n v="190000"/>
    <n v="115000"/>
    <n v="0"/>
    <n v="30000"/>
    <n v="0"/>
    <n v="0"/>
    <n v="15000"/>
    <n v="0"/>
    <n v="15500"/>
    <n v="0"/>
    <n v="4000"/>
    <n v="76000"/>
    <n v="0"/>
    <n v="0"/>
    <n v="0"/>
    <n v="1"/>
    <n v="0"/>
    <n v="1"/>
    <n v="0"/>
    <n v="10"/>
    <n v="8"/>
    <n v="300000"/>
    <n v="300000"/>
    <n v="270000"/>
    <n v="0"/>
    <n v="0"/>
    <n v="300000"/>
    <n v="240000"/>
    <m/>
    <m/>
    <n v="4"/>
    <n v="9"/>
    <n v="0"/>
    <n v="0"/>
    <n v="3"/>
    <n v="1"/>
    <s v="VIEW_SUMMARY"/>
    <n v="711"/>
    <n v="329"/>
    <n v="1600"/>
    <n v="1600"/>
    <m/>
    <x v="2"/>
    <n v="98"/>
    <s v="Table2"/>
    <n v="20"/>
    <s v="251007_VerzekeraarsMasterClass"/>
    <n v="22"/>
    <n v="13"/>
    <x v="5"/>
    <s v="(Dike-town)"/>
    <n v="4"/>
  </r>
  <r>
    <n v="1418"/>
    <d v="2025-10-07T13:52:09"/>
    <n v="190000"/>
    <n v="115000"/>
    <n v="0"/>
    <n v="30000"/>
    <n v="0"/>
    <n v="0"/>
    <n v="15000"/>
    <n v="19000"/>
    <n v="30500"/>
    <n v="0"/>
    <n v="0"/>
    <n v="56500"/>
    <n v="0"/>
    <n v="0"/>
    <n v="1"/>
    <n v="3"/>
    <n v="0"/>
    <n v="0"/>
    <n v="0"/>
    <n v="14"/>
    <n v="8"/>
    <n v="300000"/>
    <n v="300000"/>
    <n v="240000"/>
    <n v="0"/>
    <n v="0"/>
    <n v="300000"/>
    <n v="210000"/>
    <m/>
    <m/>
    <n v="4"/>
    <n v="9"/>
    <n v="-2"/>
    <n v="-1"/>
    <n v="5"/>
    <n v="4"/>
    <s v="VIEW_SUMMARY"/>
    <n v="711"/>
    <n v="334"/>
    <n v="1600"/>
    <n v="1600"/>
    <m/>
    <x v="3"/>
    <n v="98"/>
    <s v="Table2"/>
    <n v="20"/>
    <s v="251007_VerzekeraarsMasterClass"/>
    <n v="22"/>
    <n v="13"/>
    <x v="5"/>
    <s v="(Dike-town)"/>
    <n v="9"/>
  </r>
  <r>
    <n v="1435"/>
    <d v="2025-10-07T13:52:09"/>
    <n v="190000"/>
    <n v="115000"/>
    <n v="0"/>
    <n v="30000"/>
    <n v="0"/>
    <n v="0"/>
    <n v="20000"/>
    <n v="0"/>
    <n v="38000"/>
    <n v="0"/>
    <n v="0"/>
    <n v="43500"/>
    <n v="0"/>
    <n v="0"/>
    <n v="0"/>
    <n v="4"/>
    <n v="0"/>
    <n v="0"/>
    <n v="0"/>
    <n v="18"/>
    <n v="8"/>
    <n v="300000"/>
    <n v="300000"/>
    <n v="210000"/>
    <n v="0"/>
    <n v="0"/>
    <n v="300000"/>
    <n v="180000"/>
    <m/>
    <m/>
    <n v="4"/>
    <n v="9"/>
    <n v="-2"/>
    <n v="-1"/>
    <n v="5"/>
    <n v="4"/>
    <s v="VIEW_SUMMARY"/>
    <n v="711"/>
    <n v="337"/>
    <n v="1600"/>
    <n v="1600"/>
    <m/>
    <x v="4"/>
    <n v="98"/>
    <s v="Table2"/>
    <n v="20"/>
    <s v="251007_VerzekeraarsMasterClass"/>
    <n v="22"/>
    <n v="13"/>
    <x v="5"/>
    <s v=""/>
    <n v="9"/>
  </r>
  <r>
    <n v="1332"/>
    <d v="2025-10-07T13:56:39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14"/>
    <n v="319"/>
    <m/>
    <m/>
    <m/>
    <x v="0"/>
    <n v="99"/>
    <s v="Table3"/>
    <n v="20"/>
    <s v="251007_VerzekeraarsMasterClass"/>
    <n v="22"/>
    <n v="0"/>
    <x v="0"/>
    <s v="(Natu-city)"/>
    <n v="0"/>
  </r>
  <r>
    <n v="1339"/>
    <d v="2025-10-07T13:56:39"/>
    <n v="75000"/>
    <n v="40000"/>
    <n v="0"/>
    <n v="10000"/>
    <n v="0"/>
    <n v="0"/>
    <n v="15000"/>
    <n v="0"/>
    <n v="5000"/>
    <n v="0"/>
    <n v="0"/>
    <n v="10000"/>
    <n v="0"/>
    <n v="-1"/>
    <n v="0"/>
    <n v="2"/>
    <n v="0"/>
    <n v="0"/>
    <n v="0"/>
    <n v="6"/>
    <n v="4"/>
    <n v="110000"/>
    <n v="0"/>
    <n v="0"/>
    <n v="0"/>
    <n v="100000"/>
    <n v="100000"/>
    <n v="90000"/>
    <m/>
    <m/>
    <n v="6"/>
    <n v="9"/>
    <n v="0"/>
    <n v="0"/>
    <n v="0"/>
    <n v="0"/>
    <s v="VIEW_SUMMARY"/>
    <n v="714"/>
    <n v="322"/>
    <m/>
    <n v="1568"/>
    <m/>
    <x v="1"/>
    <n v="99"/>
    <s v="Table3"/>
    <n v="20"/>
    <s v="251007_VerzekeraarsMasterClass"/>
    <n v="22"/>
    <n v="15"/>
    <x v="0"/>
    <s v="(Natu-city)"/>
    <n v="0"/>
  </r>
  <r>
    <n v="1376"/>
    <d v="2025-10-07T13:56:39"/>
    <n v="75000"/>
    <n v="40000"/>
    <n v="0"/>
    <n v="10000"/>
    <n v="0"/>
    <n v="0"/>
    <n v="15000"/>
    <n v="9000"/>
    <n v="0"/>
    <n v="0"/>
    <n v="0"/>
    <n v="11000"/>
    <n v="0"/>
    <n v="0"/>
    <n v="1"/>
    <n v="0"/>
    <n v="0"/>
    <n v="0"/>
    <n v="0"/>
    <n v="7"/>
    <n v="4"/>
    <n v="110000"/>
    <n v="100000"/>
    <n v="90000"/>
    <n v="0"/>
    <n v="0"/>
    <n v="100000"/>
    <n v="80000"/>
    <m/>
    <m/>
    <n v="6"/>
    <n v="9"/>
    <n v="0"/>
    <n v="0"/>
    <n v="1"/>
    <n v="1"/>
    <s v="VIEW_SUMMARY"/>
    <n v="714"/>
    <n v="326"/>
    <n v="1568"/>
    <n v="1568"/>
    <m/>
    <x v="2"/>
    <n v="99"/>
    <s v="Table3"/>
    <n v="20"/>
    <s v="251007_VerzekeraarsMasterClass"/>
    <n v="22"/>
    <n v="15"/>
    <x v="0"/>
    <s v="(Natu-city)"/>
    <n v="2"/>
  </r>
  <r>
    <n v="1402"/>
    <d v="2025-10-07T13:56:39"/>
    <n v="75000"/>
    <n v="40000"/>
    <n v="0"/>
    <n v="10000"/>
    <n v="0"/>
    <n v="0"/>
    <n v="15000"/>
    <n v="18000"/>
    <n v="0"/>
    <n v="0"/>
    <n v="0"/>
    <n v="3000"/>
    <n v="0"/>
    <n v="0"/>
    <n v="1"/>
    <n v="0"/>
    <n v="0"/>
    <n v="0"/>
    <n v="0"/>
    <n v="8"/>
    <n v="4"/>
    <n v="110000"/>
    <n v="100000"/>
    <n v="80000"/>
    <n v="0"/>
    <n v="0"/>
    <n v="100000"/>
    <n v="60000"/>
    <m/>
    <m/>
    <n v="6"/>
    <n v="9"/>
    <n v="-2"/>
    <n v="-1"/>
    <n v="3"/>
    <n v="3"/>
    <s v="VIEW_SUMMARY"/>
    <n v="714"/>
    <n v="331"/>
    <n v="1568"/>
    <n v="1568"/>
    <m/>
    <x v="3"/>
    <n v="99"/>
    <s v="Table3"/>
    <n v="20"/>
    <s v="251007_VerzekeraarsMasterClass"/>
    <n v="22"/>
    <n v="15"/>
    <x v="0"/>
    <s v="(Natu-city)"/>
    <n v="6"/>
  </r>
  <r>
    <n v="1425"/>
    <d v="2025-10-07T13:56:39"/>
    <n v="75000"/>
    <n v="40000"/>
    <n v="0"/>
    <n v="10000"/>
    <n v="0"/>
    <n v="0"/>
    <n v="20000"/>
    <n v="0"/>
    <n v="7500"/>
    <n v="0"/>
    <n v="0"/>
    <n v="500"/>
    <n v="0"/>
    <n v="0"/>
    <n v="0"/>
    <n v="3"/>
    <n v="0"/>
    <n v="0"/>
    <n v="0"/>
    <n v="13"/>
    <n v="4"/>
    <n v="110000"/>
    <n v="100000"/>
    <n v="60000"/>
    <n v="0"/>
    <n v="0"/>
    <n v="100000"/>
    <n v="50000"/>
    <m/>
    <m/>
    <n v="6"/>
    <n v="9"/>
    <n v="-2"/>
    <n v="-1"/>
    <n v="3"/>
    <n v="3"/>
    <s v="VIEW_DAMAGE"/>
    <n v="714"/>
    <n v="335"/>
    <n v="1568"/>
    <n v="1568"/>
    <m/>
    <x v="4"/>
    <n v="99"/>
    <s v="Table3"/>
    <n v="20"/>
    <s v="251007_VerzekeraarsMasterClass"/>
    <n v="22"/>
    <n v="15"/>
    <x v="0"/>
    <s v=""/>
    <n v="6"/>
  </r>
  <r>
    <n v="1325"/>
    <d v="2025-10-07T13:53:52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15"/>
    <n v="319"/>
    <m/>
    <m/>
    <m/>
    <x v="0"/>
    <n v="99"/>
    <s v="Table3"/>
    <n v="20"/>
    <s v="251007_VerzekeraarsMasterClass"/>
    <n v="22"/>
    <n v="0"/>
    <x v="1"/>
    <s v="(U-village)"/>
    <n v="0"/>
  </r>
  <r>
    <n v="1342"/>
    <d v="2025-10-07T13:53:52"/>
    <n v="110000"/>
    <n v="60000"/>
    <n v="0"/>
    <n v="12500"/>
    <n v="0"/>
    <n v="0"/>
    <n v="20000"/>
    <n v="22000"/>
    <n v="9375"/>
    <n v="0"/>
    <n v="0"/>
    <n v="16125"/>
    <n v="0"/>
    <n v="-2"/>
    <n v="3"/>
    <n v="3"/>
    <n v="0"/>
    <n v="0"/>
    <n v="0"/>
    <n v="9"/>
    <n v="6"/>
    <n v="170000"/>
    <n v="0"/>
    <n v="0"/>
    <n v="0"/>
    <n v="125000"/>
    <n v="125000"/>
    <n v="112500"/>
    <m/>
    <m/>
    <n v="6"/>
    <n v="6"/>
    <n v="0"/>
    <n v="0"/>
    <n v="3"/>
    <n v="1"/>
    <s v="VIEW_SUMMARY"/>
    <n v="715"/>
    <n v="322"/>
    <m/>
    <n v="1577"/>
    <m/>
    <x v="1"/>
    <n v="99"/>
    <s v="Table3"/>
    <n v="20"/>
    <s v="251007_VerzekeraarsMasterClass"/>
    <n v="22"/>
    <n v="12"/>
    <x v="1"/>
    <s v="(U-village)"/>
    <n v="4"/>
  </r>
  <r>
    <n v="1370"/>
    <d v="2025-10-07T13:53:52"/>
    <n v="110000"/>
    <n v="60000"/>
    <n v="0"/>
    <n v="12500"/>
    <n v="0"/>
    <n v="0"/>
    <n v="20000"/>
    <n v="11000"/>
    <n v="8750"/>
    <n v="0"/>
    <n v="0"/>
    <n v="13875"/>
    <n v="0"/>
    <n v="0"/>
    <n v="0"/>
    <n v="2"/>
    <n v="1"/>
    <n v="0"/>
    <n v="0"/>
    <n v="10"/>
    <n v="6"/>
    <n v="170000"/>
    <n v="125000"/>
    <n v="112500"/>
    <n v="0"/>
    <n v="0"/>
    <n v="125000"/>
    <n v="100000"/>
    <m/>
    <m/>
    <n v="6"/>
    <n v="6"/>
    <n v="0"/>
    <n v="0"/>
    <n v="5"/>
    <n v="4"/>
    <s v="VIEW_SUMMARY"/>
    <n v="715"/>
    <n v="326"/>
    <n v="1577"/>
    <n v="1577"/>
    <m/>
    <x v="2"/>
    <n v="99"/>
    <s v="Table3"/>
    <n v="20"/>
    <s v="251007_VerzekeraarsMasterClass"/>
    <n v="22"/>
    <n v="12"/>
    <x v="1"/>
    <s v="(U-village)"/>
    <n v="9"/>
  </r>
  <r>
    <n v="1404"/>
    <d v="2025-10-07T13:53:52"/>
    <n v="110000"/>
    <n v="60000"/>
    <n v="0"/>
    <n v="12500"/>
    <n v="0"/>
    <n v="0"/>
    <n v="20000"/>
    <n v="0"/>
    <n v="17375"/>
    <n v="0"/>
    <n v="0"/>
    <n v="14000"/>
    <n v="0"/>
    <n v="0"/>
    <n v="0"/>
    <n v="4"/>
    <n v="0"/>
    <n v="0"/>
    <n v="0"/>
    <n v="14"/>
    <n v="6"/>
    <n v="170000"/>
    <n v="125000"/>
    <n v="100000"/>
    <n v="0"/>
    <n v="0"/>
    <n v="125000"/>
    <n v="75000"/>
    <m/>
    <m/>
    <n v="6"/>
    <n v="6"/>
    <n v="-2"/>
    <n v="-1"/>
    <n v="5"/>
    <n v="4"/>
    <s v="VIEW_SUMMARY"/>
    <n v="715"/>
    <n v="331"/>
    <n v="1577"/>
    <n v="1577"/>
    <m/>
    <x v="3"/>
    <n v="99"/>
    <s v="Table3"/>
    <n v="20"/>
    <s v="251007_VerzekeraarsMasterClass"/>
    <n v="22"/>
    <n v="12"/>
    <x v="1"/>
    <s v="(U-village)"/>
    <n v="9"/>
  </r>
  <r>
    <n v="1424"/>
    <d v="2025-10-07T13:53:52"/>
    <n v="110000"/>
    <n v="60000"/>
    <n v="0"/>
    <n v="12500"/>
    <n v="0"/>
    <n v="0"/>
    <n v="20000"/>
    <n v="0"/>
    <n v="17375"/>
    <n v="0"/>
    <n v="0"/>
    <n v="14125"/>
    <n v="0"/>
    <n v="0"/>
    <n v="0"/>
    <n v="4"/>
    <n v="1"/>
    <n v="0"/>
    <n v="0"/>
    <n v="17"/>
    <n v="6"/>
    <n v="170000"/>
    <n v="125000"/>
    <n v="75000"/>
    <n v="0"/>
    <n v="0"/>
    <n v="125000"/>
    <n v="62500"/>
    <m/>
    <m/>
    <n v="6"/>
    <n v="6"/>
    <n v="-2"/>
    <n v="-1"/>
    <n v="5"/>
    <n v="4"/>
    <s v="VIEW_SUMMARY"/>
    <n v="715"/>
    <n v="335"/>
    <n v="1577"/>
    <n v="1577"/>
    <m/>
    <x v="4"/>
    <n v="99"/>
    <s v="Table3"/>
    <n v="20"/>
    <s v="251007_VerzekeraarsMasterClass"/>
    <n v="22"/>
    <n v="12"/>
    <x v="1"/>
    <s v=""/>
    <n v="9"/>
  </r>
  <r>
    <n v="1337"/>
    <d v="2025-10-07T14:17:01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16"/>
    <n v="319"/>
    <m/>
    <m/>
    <m/>
    <x v="0"/>
    <n v="99"/>
    <s v="Table3"/>
    <n v="20"/>
    <s v="251007_VerzekeraarsMasterClass"/>
    <n v="22"/>
    <n v="0"/>
    <x v="2"/>
    <s v="(U-village)"/>
    <n v="0"/>
  </r>
  <r>
    <n v="1341"/>
    <d v="2025-10-07T14:17:01"/>
    <n v="60000"/>
    <n v="30000"/>
    <n v="0"/>
    <n v="7000"/>
    <n v="0"/>
    <n v="0"/>
    <n v="20000"/>
    <n v="1000"/>
    <n v="1400"/>
    <n v="0"/>
    <n v="0"/>
    <n v="600"/>
    <n v="0"/>
    <n v="-1"/>
    <n v="0"/>
    <n v="0"/>
    <n v="0"/>
    <n v="0"/>
    <n v="0"/>
    <n v="4"/>
    <n v="3"/>
    <n v="80000"/>
    <n v="0"/>
    <n v="0"/>
    <n v="0"/>
    <n v="70000"/>
    <n v="70000"/>
    <n v="63000"/>
    <m/>
    <m/>
    <n v="6"/>
    <n v="6"/>
    <n v="0"/>
    <n v="0"/>
    <n v="1"/>
    <n v="2"/>
    <s v="VIEW_SUMMARY"/>
    <n v="716"/>
    <n v="322"/>
    <m/>
    <n v="1578"/>
    <m/>
    <x v="1"/>
    <n v="99"/>
    <s v="Table3"/>
    <n v="20"/>
    <s v="251007_VerzekeraarsMasterClass"/>
    <n v="22"/>
    <n v="12"/>
    <x v="2"/>
    <s v="(U-village)"/>
    <n v="3"/>
  </r>
  <r>
    <n v="1372"/>
    <d v="2025-10-07T14:17:01"/>
    <n v="60000"/>
    <n v="30000"/>
    <n v="0"/>
    <n v="7000"/>
    <n v="0"/>
    <n v="0"/>
    <n v="20000"/>
    <n v="0"/>
    <n v="3150"/>
    <n v="0"/>
    <n v="0"/>
    <n v="450"/>
    <n v="0"/>
    <n v="0"/>
    <n v="0"/>
    <n v="1"/>
    <n v="1"/>
    <n v="0"/>
    <n v="0"/>
    <n v="4"/>
    <n v="3"/>
    <n v="80000"/>
    <n v="70000"/>
    <n v="63000"/>
    <n v="0"/>
    <n v="0"/>
    <n v="70000"/>
    <n v="56000"/>
    <m/>
    <m/>
    <n v="6"/>
    <n v="6"/>
    <n v="0"/>
    <n v="0"/>
    <n v="1"/>
    <n v="2"/>
    <s v="VIEW_SUMMARY"/>
    <n v="716"/>
    <n v="326"/>
    <n v="1578"/>
    <n v="1578"/>
    <m/>
    <x v="2"/>
    <n v="99"/>
    <s v="Table3"/>
    <n v="20"/>
    <s v="251007_VerzekeraarsMasterClass"/>
    <n v="22"/>
    <n v="12"/>
    <x v="2"/>
    <s v="(U-village)"/>
    <n v="3"/>
  </r>
  <r>
    <n v="1400"/>
    <d v="2025-10-07T14:17:01"/>
    <n v="60000"/>
    <n v="30000"/>
    <n v="0"/>
    <n v="7000"/>
    <n v="0"/>
    <n v="0"/>
    <n v="20000"/>
    <n v="0"/>
    <n v="3150"/>
    <n v="0"/>
    <n v="4000"/>
    <n v="-3700"/>
    <n v="0"/>
    <n v="0"/>
    <n v="0"/>
    <n v="1"/>
    <n v="0"/>
    <n v="1"/>
    <n v="0"/>
    <n v="4"/>
    <n v="3"/>
    <n v="80000"/>
    <n v="70000"/>
    <n v="56000"/>
    <n v="0"/>
    <n v="0"/>
    <n v="70000"/>
    <n v="42000"/>
    <m/>
    <m/>
    <n v="6"/>
    <n v="6"/>
    <n v="-2"/>
    <n v="-1"/>
    <n v="1"/>
    <n v="2"/>
    <s v="VIEW_SUMMARY"/>
    <n v="716"/>
    <n v="331"/>
    <n v="1578"/>
    <n v="1578"/>
    <m/>
    <x v="3"/>
    <n v="99"/>
    <s v="Table3"/>
    <n v="20"/>
    <s v="251007_VerzekeraarsMasterClass"/>
    <n v="22"/>
    <n v="12"/>
    <x v="2"/>
    <s v="(Dike-town)"/>
    <n v="3"/>
  </r>
  <r>
    <n v="1427"/>
    <d v="2025-10-07T14:17:01"/>
    <n v="60000"/>
    <n v="30000"/>
    <n v="3700"/>
    <n v="8000"/>
    <n v="28000"/>
    <n v="0"/>
    <n v="20000"/>
    <n v="18000"/>
    <n v="7600"/>
    <n v="0"/>
    <n v="0"/>
    <n v="700"/>
    <n v="1"/>
    <n v="-1"/>
    <n v="1"/>
    <n v="3"/>
    <n v="0"/>
    <n v="0"/>
    <n v="1"/>
    <n v="5"/>
    <n v="3"/>
    <n v="80000"/>
    <n v="70000"/>
    <n v="42000"/>
    <n v="70000"/>
    <n v="80000"/>
    <n v="80000"/>
    <n v="72000"/>
    <n v="35"/>
    <m/>
    <n v="4"/>
    <n v="9"/>
    <n v="-2"/>
    <n v="-1"/>
    <n v="5"/>
    <n v="3"/>
    <s v="VIEW_SUMMARY"/>
    <n v="716"/>
    <n v="335"/>
    <n v="1578"/>
    <n v="1643"/>
    <m/>
    <x v="4"/>
    <n v="99"/>
    <s v="Table3"/>
    <n v="20"/>
    <s v="251007_VerzekeraarsMasterClass"/>
    <n v="22"/>
    <n v="13"/>
    <x v="2"/>
    <s v=""/>
    <n v="8"/>
  </r>
  <r>
    <n v="1326"/>
    <d v="2025-10-07T13:54:16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17"/>
    <n v="319"/>
    <m/>
    <m/>
    <m/>
    <x v="0"/>
    <n v="99"/>
    <s v="Table3"/>
    <n v="20"/>
    <s v="251007_VerzekeraarsMasterClass"/>
    <n v="22"/>
    <n v="0"/>
    <x v="3"/>
    <s v="(Dike-town)"/>
    <n v="0"/>
  </r>
  <r>
    <n v="1357"/>
    <d v="2025-10-07T13:54:16"/>
    <n v="90000"/>
    <n v="50000"/>
    <n v="0"/>
    <n v="13000"/>
    <n v="0"/>
    <n v="30000"/>
    <n v="20000"/>
    <n v="0"/>
    <n v="0"/>
    <n v="0"/>
    <n v="0"/>
    <n v="-8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717"/>
    <n v="322"/>
    <m/>
    <n v="1571"/>
    <m/>
    <x v="1"/>
    <n v="99"/>
    <s v="Table3"/>
    <n v="20"/>
    <s v="251007_VerzekeraarsMasterClass"/>
    <n v="22"/>
    <n v="13"/>
    <x v="3"/>
    <s v="(Dike-town)"/>
    <n v="0"/>
  </r>
  <r>
    <n v="1369"/>
    <d v="2025-10-07T13:54:16"/>
    <n v="90000"/>
    <n v="50000"/>
    <n v="8000"/>
    <n v="13000"/>
    <n v="0"/>
    <n v="0"/>
    <n v="20000"/>
    <n v="0"/>
    <n v="0"/>
    <n v="0"/>
    <n v="4000"/>
    <n v="-5000"/>
    <n v="0"/>
    <n v="0"/>
    <n v="0"/>
    <n v="0"/>
    <n v="0"/>
    <n v="1"/>
    <n v="1"/>
    <n v="3"/>
    <n v="5"/>
    <n v="130000"/>
    <n v="130000"/>
    <n v="117000"/>
    <n v="0"/>
    <n v="0"/>
    <n v="130000"/>
    <n v="91000"/>
    <m/>
    <m/>
    <n v="4"/>
    <n v="9"/>
    <n v="0"/>
    <n v="0"/>
    <n v="0"/>
    <n v="0"/>
    <s v="VIEW_SUMMARY"/>
    <n v="717"/>
    <n v="326"/>
    <n v="1571"/>
    <n v="1571"/>
    <m/>
    <x v="2"/>
    <n v="99"/>
    <s v="Table3"/>
    <n v="20"/>
    <s v="251007_VerzekeraarsMasterClass"/>
    <n v="22"/>
    <n v="13"/>
    <x v="3"/>
    <s v="(Dike-town)"/>
    <n v="0"/>
  </r>
  <r>
    <n v="1401"/>
    <d v="2025-10-07T13:54:16"/>
    <n v="90000"/>
    <n v="50000"/>
    <n v="5000"/>
    <n v="13000"/>
    <n v="0"/>
    <n v="0"/>
    <n v="20000"/>
    <n v="0"/>
    <n v="0"/>
    <n v="0"/>
    <n v="4000"/>
    <n v="-2000"/>
    <n v="0"/>
    <n v="0"/>
    <n v="0"/>
    <n v="0"/>
    <n v="0"/>
    <n v="1"/>
    <n v="1"/>
    <n v="1"/>
    <n v="5"/>
    <n v="130000"/>
    <n v="130000"/>
    <n v="91000"/>
    <n v="0"/>
    <n v="0"/>
    <n v="130000"/>
    <n v="78000"/>
    <m/>
    <m/>
    <n v="4"/>
    <n v="9"/>
    <n v="-2"/>
    <n v="-1"/>
    <n v="0"/>
    <n v="0"/>
    <s v="VIEW_SUMMARY"/>
    <n v="717"/>
    <n v="331"/>
    <n v="1571"/>
    <n v="1571"/>
    <m/>
    <x v="3"/>
    <n v="99"/>
    <s v="Table3"/>
    <n v="20"/>
    <s v="251007_VerzekeraarsMasterClass"/>
    <n v="22"/>
    <n v="13"/>
    <x v="3"/>
    <s v="(Natu-city)"/>
    <n v="0"/>
  </r>
  <r>
    <n v="1434"/>
    <d v="2025-10-07T13:54:16"/>
    <n v="90000"/>
    <n v="50000"/>
    <n v="2000"/>
    <n v="13000"/>
    <n v="82000"/>
    <n v="70000"/>
    <n v="20000"/>
    <n v="6000"/>
    <n v="10000"/>
    <n v="0"/>
    <n v="0"/>
    <n v="1000"/>
    <n v="1"/>
    <n v="1"/>
    <n v="1"/>
    <n v="2"/>
    <n v="0"/>
    <n v="0"/>
    <n v="1"/>
    <n v="7"/>
    <n v="5"/>
    <n v="130000"/>
    <n v="130000"/>
    <n v="78000"/>
    <n v="160000"/>
    <n v="200000"/>
    <n v="130000"/>
    <n v="117000"/>
    <n v="35"/>
    <m/>
    <n v="6"/>
    <n v="9"/>
    <n v="-2"/>
    <n v="-1"/>
    <n v="2"/>
    <n v="1"/>
    <s v="VIEW_SUMMARY"/>
    <n v="717"/>
    <n v="335"/>
    <n v="1571"/>
    <n v="1637"/>
    <m/>
    <x v="4"/>
    <n v="99"/>
    <s v="Table3"/>
    <n v="20"/>
    <s v="251007_VerzekeraarsMasterClass"/>
    <n v="22"/>
    <n v="15"/>
    <x v="3"/>
    <s v=""/>
    <n v="3"/>
  </r>
  <r>
    <n v="1338"/>
    <d v="2025-10-07T14:17:33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18"/>
    <n v="319"/>
    <m/>
    <m/>
    <m/>
    <x v="0"/>
    <n v="99"/>
    <s v="Table3"/>
    <n v="20"/>
    <s v="251007_VerzekeraarsMasterClass"/>
    <n v="22"/>
    <n v="0"/>
    <x v="4"/>
    <s v="(Natu-city)"/>
    <n v="0"/>
  </r>
  <r>
    <n v="1344"/>
    <d v="2025-10-07T14:17:33"/>
    <n v="130000"/>
    <n v="75000"/>
    <n v="0"/>
    <n v="20000"/>
    <n v="0"/>
    <n v="0"/>
    <n v="15000"/>
    <n v="17000"/>
    <n v="10500"/>
    <n v="0"/>
    <n v="0"/>
    <n v="42500"/>
    <n v="0"/>
    <n v="-1"/>
    <n v="2"/>
    <n v="1"/>
    <n v="0"/>
    <n v="0"/>
    <n v="0"/>
    <n v="7"/>
    <n v="7"/>
    <n v="200000"/>
    <n v="0"/>
    <n v="0"/>
    <n v="0"/>
    <n v="200000"/>
    <n v="200000"/>
    <n v="180000"/>
    <m/>
    <m/>
    <n v="6"/>
    <n v="9"/>
    <n v="0"/>
    <n v="0"/>
    <n v="3"/>
    <n v="3"/>
    <s v="VIEW_SUMMARY"/>
    <n v="718"/>
    <n v="322"/>
    <m/>
    <n v="1567"/>
    <m/>
    <x v="1"/>
    <n v="99"/>
    <s v="Table3"/>
    <n v="20"/>
    <s v="251007_VerzekeraarsMasterClass"/>
    <n v="22"/>
    <n v="15"/>
    <x v="4"/>
    <s v="(Natu-city)"/>
    <n v="6"/>
  </r>
  <r>
    <n v="1371"/>
    <d v="2025-10-07T14:17:33"/>
    <n v="130000"/>
    <n v="75000"/>
    <n v="0"/>
    <n v="20000"/>
    <n v="0"/>
    <n v="0"/>
    <n v="15000"/>
    <n v="0"/>
    <n v="25500"/>
    <n v="0"/>
    <n v="0"/>
    <n v="37000"/>
    <n v="0"/>
    <n v="0"/>
    <n v="0"/>
    <n v="4"/>
    <n v="0"/>
    <n v="0"/>
    <n v="0"/>
    <n v="11"/>
    <n v="7"/>
    <n v="200000"/>
    <n v="200000"/>
    <n v="180000"/>
    <n v="0"/>
    <n v="0"/>
    <n v="200000"/>
    <n v="160000"/>
    <m/>
    <m/>
    <n v="6"/>
    <n v="9"/>
    <n v="0"/>
    <n v="0"/>
    <n v="3"/>
    <n v="3"/>
    <s v="VIEW_SUMMARY"/>
    <n v="718"/>
    <n v="326"/>
    <n v="1567"/>
    <n v="1567"/>
    <m/>
    <x v="2"/>
    <n v="99"/>
    <s v="Table3"/>
    <n v="20"/>
    <s v="251007_VerzekeraarsMasterClass"/>
    <n v="22"/>
    <n v="15"/>
    <x v="4"/>
    <s v="(Natu-city)"/>
    <n v="6"/>
  </r>
  <r>
    <n v="1399"/>
    <d v="2025-10-07T14:17:33"/>
    <n v="130000"/>
    <n v="75000"/>
    <n v="0"/>
    <n v="20000"/>
    <n v="0"/>
    <n v="0"/>
    <n v="15000"/>
    <n v="16000"/>
    <n v="25500"/>
    <n v="0"/>
    <n v="0"/>
    <n v="15500"/>
    <n v="0"/>
    <n v="0"/>
    <n v="1"/>
    <n v="4"/>
    <n v="0"/>
    <n v="0"/>
    <n v="0"/>
    <n v="16"/>
    <n v="7"/>
    <n v="200000"/>
    <n v="200000"/>
    <n v="160000"/>
    <n v="0"/>
    <n v="0"/>
    <n v="200000"/>
    <n v="140000"/>
    <m/>
    <m/>
    <n v="6"/>
    <n v="9"/>
    <n v="-2"/>
    <n v="-1"/>
    <n v="5"/>
    <n v="4"/>
    <s v="VIEW_SUMMARY"/>
    <n v="718"/>
    <n v="331"/>
    <n v="1567"/>
    <n v="1567"/>
    <m/>
    <x v="3"/>
    <n v="99"/>
    <s v="Table3"/>
    <n v="20"/>
    <s v="251007_VerzekeraarsMasterClass"/>
    <n v="22"/>
    <n v="15"/>
    <x v="4"/>
    <s v="(Natu-city)"/>
    <n v="9"/>
  </r>
  <r>
    <n v="1426"/>
    <d v="2025-10-07T14:17:33"/>
    <n v="130000"/>
    <n v="75000"/>
    <n v="0"/>
    <n v="20000"/>
    <n v="0"/>
    <n v="0"/>
    <n v="20000"/>
    <n v="0"/>
    <n v="25500"/>
    <n v="0"/>
    <n v="0"/>
    <n v="5000"/>
    <n v="0"/>
    <n v="0"/>
    <n v="0"/>
    <n v="4"/>
    <n v="0"/>
    <n v="0"/>
    <n v="0"/>
    <n v="22"/>
    <n v="7"/>
    <n v="200000"/>
    <n v="200000"/>
    <n v="140000"/>
    <n v="0"/>
    <n v="0"/>
    <n v="200000"/>
    <n v="120000"/>
    <m/>
    <m/>
    <n v="6"/>
    <n v="9"/>
    <n v="-2"/>
    <n v="-1"/>
    <n v="5"/>
    <n v="4"/>
    <s v="VIEW_SUMMARY"/>
    <n v="718"/>
    <n v="335"/>
    <n v="1567"/>
    <n v="1567"/>
    <m/>
    <x v="4"/>
    <n v="99"/>
    <s v="Table3"/>
    <n v="20"/>
    <s v="251007_VerzekeraarsMasterClass"/>
    <n v="22"/>
    <n v="15"/>
    <x v="4"/>
    <s v=""/>
    <n v="9"/>
  </r>
  <r>
    <n v="1330"/>
    <d v="2025-10-07T13:55:09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19"/>
    <n v="319"/>
    <m/>
    <m/>
    <m/>
    <x v="0"/>
    <n v="99"/>
    <s v="Table3"/>
    <n v="20"/>
    <s v="251007_VerzekeraarsMasterClass"/>
    <n v="22"/>
    <n v="0"/>
    <x v="5"/>
    <s v="(Natu-city)"/>
    <n v="0"/>
  </r>
  <r>
    <n v="1340"/>
    <d v="2025-10-07T13:55:09"/>
    <n v="190000"/>
    <n v="115000"/>
    <n v="0"/>
    <n v="20000"/>
    <n v="0"/>
    <n v="0"/>
    <n v="15000"/>
    <n v="23000"/>
    <n v="4000"/>
    <n v="0"/>
    <n v="0"/>
    <n v="93000"/>
    <n v="0"/>
    <n v="-2"/>
    <n v="3"/>
    <n v="0"/>
    <n v="0"/>
    <n v="0"/>
    <n v="0"/>
    <n v="6"/>
    <n v="8"/>
    <n v="300000"/>
    <n v="0"/>
    <n v="0"/>
    <n v="0"/>
    <n v="200000"/>
    <n v="200000"/>
    <n v="180000"/>
    <m/>
    <m/>
    <n v="6"/>
    <n v="9"/>
    <n v="0"/>
    <n v="0"/>
    <n v="4"/>
    <n v="3"/>
    <s v="VIEW_SUMMARY"/>
    <n v="719"/>
    <n v="322"/>
    <m/>
    <n v="1566"/>
    <m/>
    <x v="1"/>
    <n v="99"/>
    <s v="Table3"/>
    <n v="20"/>
    <s v="251007_VerzekeraarsMasterClass"/>
    <n v="22"/>
    <n v="15"/>
    <x v="5"/>
    <s v="(Natu-city)"/>
    <n v="7"/>
  </r>
  <r>
    <n v="1375"/>
    <d v="2025-10-07T13:55:09"/>
    <n v="190000"/>
    <n v="115000"/>
    <n v="0"/>
    <n v="20000"/>
    <n v="0"/>
    <n v="0"/>
    <n v="15000"/>
    <n v="10000"/>
    <n v="19000"/>
    <n v="0"/>
    <n v="0"/>
    <n v="104000"/>
    <n v="0"/>
    <n v="0"/>
    <n v="0"/>
    <n v="3"/>
    <n v="0"/>
    <n v="0"/>
    <n v="0"/>
    <n v="9"/>
    <n v="8"/>
    <n v="300000"/>
    <n v="200000"/>
    <n v="180000"/>
    <n v="0"/>
    <n v="0"/>
    <n v="200000"/>
    <n v="140000"/>
    <m/>
    <m/>
    <n v="6"/>
    <n v="9"/>
    <n v="0"/>
    <n v="0"/>
    <n v="5"/>
    <n v="4"/>
    <s v="VIEW_SUMMARY"/>
    <n v="719"/>
    <n v="326"/>
    <n v="1566"/>
    <n v="1566"/>
    <m/>
    <x v="2"/>
    <n v="99"/>
    <s v="Table3"/>
    <n v="20"/>
    <s v="251007_VerzekeraarsMasterClass"/>
    <n v="22"/>
    <n v="15"/>
    <x v="5"/>
    <s v="(Natu-city)"/>
    <n v="9"/>
  </r>
  <r>
    <n v="1403"/>
    <d v="2025-10-07T13:55:09"/>
    <n v="190000"/>
    <n v="115000"/>
    <n v="0"/>
    <n v="20000"/>
    <n v="0"/>
    <n v="0"/>
    <n v="15000"/>
    <n v="0"/>
    <n v="28500"/>
    <n v="0"/>
    <n v="0"/>
    <n v="115500"/>
    <n v="0"/>
    <n v="0"/>
    <n v="0"/>
    <n v="4"/>
    <n v="0"/>
    <n v="0"/>
    <n v="0"/>
    <n v="13"/>
    <n v="8"/>
    <n v="300000"/>
    <n v="200000"/>
    <n v="140000"/>
    <n v="0"/>
    <n v="0"/>
    <n v="200000"/>
    <n v="100000"/>
    <m/>
    <m/>
    <n v="6"/>
    <n v="9"/>
    <n v="-2"/>
    <n v="-1"/>
    <n v="5"/>
    <n v="4"/>
    <s v="VIEW_SUMMARY"/>
    <n v="719"/>
    <n v="331"/>
    <n v="1566"/>
    <n v="1566"/>
    <m/>
    <x v="3"/>
    <n v="99"/>
    <s v="Table3"/>
    <n v="20"/>
    <s v="251007_VerzekeraarsMasterClass"/>
    <n v="22"/>
    <n v="15"/>
    <x v="5"/>
    <s v="(Natu-city)"/>
    <n v="9"/>
  </r>
  <r>
    <n v="1423"/>
    <d v="2025-10-07T13:55:09"/>
    <n v="190000"/>
    <n v="115000"/>
    <n v="0"/>
    <n v="20000"/>
    <n v="0"/>
    <n v="0"/>
    <n v="20000"/>
    <n v="0"/>
    <n v="28500"/>
    <n v="0"/>
    <n v="0"/>
    <n v="122000"/>
    <n v="0"/>
    <n v="0"/>
    <n v="0"/>
    <n v="4"/>
    <n v="0"/>
    <n v="0"/>
    <n v="0"/>
    <n v="19"/>
    <n v="8"/>
    <n v="300000"/>
    <n v="200000"/>
    <n v="100000"/>
    <n v="0"/>
    <n v="0"/>
    <n v="200000"/>
    <n v="80000"/>
    <m/>
    <m/>
    <n v="6"/>
    <n v="9"/>
    <n v="-2"/>
    <n v="-1"/>
    <n v="5"/>
    <n v="4"/>
    <s v="VIEW_SUMMARY"/>
    <n v="719"/>
    <n v="335"/>
    <n v="1566"/>
    <n v="1566"/>
    <m/>
    <x v="4"/>
    <n v="99"/>
    <s v="Table3"/>
    <n v="20"/>
    <s v="251007_VerzekeraarsMasterClass"/>
    <n v="22"/>
    <n v="15"/>
    <x v="5"/>
    <s v=""/>
    <n v="9"/>
  </r>
  <r>
    <n v="1335"/>
    <d v="2025-10-07T14:01:44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22"/>
    <n v="320"/>
    <m/>
    <m/>
    <m/>
    <x v="0"/>
    <n v="100"/>
    <s v="Table4"/>
    <n v="20"/>
    <s v="251007_VerzekeraarsMasterClass"/>
    <n v="22"/>
    <n v="0"/>
    <x v="0"/>
    <s v="(U-village)"/>
    <n v="0"/>
  </r>
  <r>
    <n v="1348"/>
    <d v="2025-10-07T14:01:44"/>
    <n v="75000"/>
    <n v="40000"/>
    <n v="0"/>
    <n v="11000"/>
    <n v="0"/>
    <n v="15000"/>
    <n v="15000"/>
    <n v="0"/>
    <n v="0"/>
    <n v="4000"/>
    <n v="4000"/>
    <n v="-9000"/>
    <n v="0"/>
    <n v="0"/>
    <n v="0"/>
    <n v="0"/>
    <n v="2"/>
    <n v="1"/>
    <n v="0"/>
    <n v="2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722"/>
    <n v="323"/>
    <m/>
    <n v="1592"/>
    <m/>
    <x v="1"/>
    <n v="100"/>
    <s v="Table4"/>
    <n v="20"/>
    <s v="251007_VerzekeraarsMasterClass"/>
    <n v="22"/>
    <n v="12"/>
    <x v="0"/>
    <s v="(U-village)"/>
    <n v="0"/>
  </r>
  <r>
    <n v="1373"/>
    <d v="2025-10-07T14:01:44"/>
    <n v="75000"/>
    <n v="40000"/>
    <n v="9000"/>
    <n v="11000"/>
    <n v="0"/>
    <n v="0"/>
    <n v="15000"/>
    <n v="0"/>
    <n v="0"/>
    <n v="4000"/>
    <n v="0"/>
    <n v="-4000"/>
    <n v="0"/>
    <n v="0"/>
    <n v="0"/>
    <n v="0"/>
    <n v="2"/>
    <n v="0"/>
    <n v="1"/>
    <n v="-1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722"/>
    <n v="327"/>
    <n v="1592"/>
    <n v="1592"/>
    <m/>
    <x v="2"/>
    <n v="100"/>
    <s v="Table4"/>
    <n v="20"/>
    <s v="251007_VerzekeraarsMasterClass"/>
    <n v="22"/>
    <n v="12"/>
    <x v="0"/>
    <s v="(U-village)"/>
    <n v="0"/>
  </r>
  <r>
    <n v="1394"/>
    <d v="2025-10-07T14:01:44"/>
    <n v="75000"/>
    <n v="40000"/>
    <n v="4000"/>
    <n v="11000"/>
    <n v="0"/>
    <n v="0"/>
    <n v="15000"/>
    <n v="0"/>
    <n v="3125"/>
    <n v="8000"/>
    <n v="4000"/>
    <n v="-10125"/>
    <n v="0"/>
    <n v="0"/>
    <n v="0"/>
    <n v="1"/>
    <n v="3"/>
    <n v="1"/>
    <n v="1"/>
    <n v="-5"/>
    <n v="4"/>
    <n v="110000"/>
    <n v="110000"/>
    <n v="88000"/>
    <n v="0"/>
    <n v="0"/>
    <n v="110000"/>
    <n v="77000"/>
    <m/>
    <m/>
    <n v="6"/>
    <n v="6"/>
    <n v="-2"/>
    <n v="-1"/>
    <n v="0"/>
    <n v="0"/>
    <s v="VIEW_SUMMARY"/>
    <n v="722"/>
    <n v="330"/>
    <n v="1592"/>
    <n v="1592"/>
    <m/>
    <x v="3"/>
    <n v="100"/>
    <s v="Table4"/>
    <n v="20"/>
    <s v="251007_VerzekeraarsMasterClass"/>
    <n v="22"/>
    <n v="12"/>
    <x v="0"/>
    <s v="(U-village)"/>
    <n v="0"/>
  </r>
  <r>
    <n v="1413"/>
    <d v="2025-10-07T14:01:44"/>
    <n v="75000"/>
    <n v="40000"/>
    <n v="10125"/>
    <n v="11000"/>
    <n v="0"/>
    <n v="0"/>
    <n v="15000"/>
    <n v="0"/>
    <n v="0"/>
    <n v="0"/>
    <n v="0"/>
    <n v="-1125"/>
    <n v="0"/>
    <n v="0"/>
    <n v="0"/>
    <n v="0"/>
    <n v="0"/>
    <n v="0"/>
    <n v="1"/>
    <n v="-6"/>
    <n v="4"/>
    <n v="110000"/>
    <n v="110000"/>
    <n v="77000"/>
    <n v="0"/>
    <n v="0"/>
    <n v="110000"/>
    <n v="66000"/>
    <m/>
    <m/>
    <n v="6"/>
    <n v="6"/>
    <n v="-2"/>
    <n v="-1"/>
    <n v="0"/>
    <n v="0"/>
    <s v="VIEW_SUMMARY"/>
    <n v="722"/>
    <n v="333"/>
    <n v="1592"/>
    <n v="1592"/>
    <m/>
    <x v="4"/>
    <n v="100"/>
    <s v="Table4"/>
    <n v="20"/>
    <s v="251007_VerzekeraarsMasterClass"/>
    <n v="22"/>
    <n v="12"/>
    <x v="0"/>
    <s v=""/>
    <n v="0"/>
  </r>
  <r>
    <n v="1324"/>
    <d v="2025-10-07T13:53:15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23"/>
    <n v="320"/>
    <m/>
    <m/>
    <m/>
    <x v="0"/>
    <n v="100"/>
    <s v="Table4"/>
    <n v="20"/>
    <s v="251007_VerzekeraarsMasterClass"/>
    <n v="22"/>
    <n v="0"/>
    <x v="1"/>
    <s v="(Dike-town)"/>
    <n v="0"/>
  </r>
  <r>
    <n v="1347"/>
    <d v="2025-10-07T13:53:15"/>
    <n v="110000"/>
    <n v="60000"/>
    <n v="0"/>
    <n v="16000"/>
    <n v="0"/>
    <n v="0"/>
    <n v="20000"/>
    <n v="14000"/>
    <n v="0"/>
    <n v="0"/>
    <n v="4000"/>
    <n v="26000"/>
    <n v="0"/>
    <n v="-1"/>
    <n v="2"/>
    <n v="0"/>
    <n v="0"/>
    <n v="1"/>
    <n v="0"/>
    <n v="5"/>
    <n v="6"/>
    <n v="170000"/>
    <n v="0"/>
    <n v="0"/>
    <n v="0"/>
    <n v="160000"/>
    <n v="160000"/>
    <n v="144000"/>
    <m/>
    <m/>
    <n v="4"/>
    <n v="9"/>
    <n v="0"/>
    <n v="0"/>
    <n v="2"/>
    <n v="0"/>
    <s v="VIEW_SUMMARY"/>
    <n v="723"/>
    <n v="323"/>
    <m/>
    <n v="1586"/>
    <m/>
    <x v="1"/>
    <n v="100"/>
    <s v="Table4"/>
    <n v="20"/>
    <s v="251007_VerzekeraarsMasterClass"/>
    <n v="22"/>
    <n v="13"/>
    <x v="1"/>
    <s v="(Dike-town)"/>
    <n v="2"/>
  </r>
  <r>
    <n v="1380"/>
    <d v="2025-10-07T13:53:15"/>
    <n v="110000"/>
    <n v="60000"/>
    <n v="0"/>
    <n v="16000"/>
    <n v="0"/>
    <n v="0"/>
    <n v="20000"/>
    <n v="1000"/>
    <n v="16700"/>
    <n v="0"/>
    <n v="0"/>
    <n v="22300"/>
    <n v="0"/>
    <n v="0"/>
    <n v="0"/>
    <n v="3"/>
    <n v="0"/>
    <n v="0"/>
    <n v="0"/>
    <n v="8"/>
    <n v="6"/>
    <n v="170000"/>
    <n v="160000"/>
    <n v="144000"/>
    <n v="0"/>
    <n v="0"/>
    <n v="160000"/>
    <n v="128000"/>
    <m/>
    <m/>
    <n v="4"/>
    <n v="9"/>
    <n v="0"/>
    <n v="0"/>
    <n v="3"/>
    <n v="2"/>
    <s v="VIEW_SUMMARY"/>
    <n v="723"/>
    <n v="327"/>
    <n v="1586"/>
    <n v="1586"/>
    <m/>
    <x v="2"/>
    <n v="100"/>
    <s v="Table4"/>
    <n v="20"/>
    <s v="251007_VerzekeraarsMasterClass"/>
    <n v="22"/>
    <n v="13"/>
    <x v="1"/>
    <s v="(Dike-town)"/>
    <n v="5"/>
  </r>
  <r>
    <n v="1397"/>
    <d v="2025-10-07T13:53:15"/>
    <n v="110000"/>
    <n v="60000"/>
    <n v="0"/>
    <n v="16000"/>
    <n v="0"/>
    <n v="0"/>
    <n v="20000"/>
    <n v="8000"/>
    <n v="20700"/>
    <n v="0"/>
    <n v="4000"/>
    <n v="3600"/>
    <n v="0"/>
    <n v="0"/>
    <n v="1"/>
    <n v="4"/>
    <n v="0"/>
    <n v="1"/>
    <n v="0"/>
    <n v="12"/>
    <n v="6"/>
    <n v="170000"/>
    <n v="160000"/>
    <n v="128000"/>
    <n v="0"/>
    <n v="0"/>
    <n v="160000"/>
    <n v="112000"/>
    <m/>
    <m/>
    <n v="4"/>
    <n v="9"/>
    <n v="-2"/>
    <n v="-1"/>
    <n v="4"/>
    <n v="3"/>
    <s v="VIEW_SUMMARY"/>
    <n v="723"/>
    <n v="330"/>
    <n v="1586"/>
    <n v="1586"/>
    <m/>
    <x v="3"/>
    <n v="100"/>
    <s v="Table4"/>
    <n v="20"/>
    <s v="251007_VerzekeraarsMasterClass"/>
    <n v="22"/>
    <n v="13"/>
    <x v="1"/>
    <s v="(Dike-town)"/>
    <n v="7"/>
  </r>
  <r>
    <n v="1415"/>
    <d v="2025-10-07T13:53:15"/>
    <n v="110000"/>
    <n v="60000"/>
    <n v="0"/>
    <n v="16000"/>
    <n v="0"/>
    <n v="0"/>
    <n v="20000"/>
    <n v="0"/>
    <n v="11200"/>
    <n v="0"/>
    <n v="0"/>
    <n v="6400"/>
    <n v="0"/>
    <n v="0"/>
    <n v="0"/>
    <n v="2"/>
    <n v="0"/>
    <n v="0"/>
    <n v="0"/>
    <n v="14"/>
    <n v="6"/>
    <n v="170000"/>
    <n v="160000"/>
    <n v="112000"/>
    <n v="0"/>
    <n v="0"/>
    <n v="160000"/>
    <n v="96000"/>
    <m/>
    <m/>
    <n v="4"/>
    <n v="9"/>
    <n v="-2"/>
    <n v="-1"/>
    <n v="4"/>
    <n v="3"/>
    <s v="VIEW_SUMMARY"/>
    <n v="723"/>
    <n v="333"/>
    <n v="1586"/>
    <n v="1586"/>
    <m/>
    <x v="4"/>
    <n v="100"/>
    <s v="Table4"/>
    <n v="20"/>
    <s v="251007_VerzekeraarsMasterClass"/>
    <n v="22"/>
    <n v="13"/>
    <x v="1"/>
    <s v=""/>
    <n v="7"/>
  </r>
  <r>
    <n v="1329"/>
    <d v="2025-10-07T13:54:4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24"/>
    <n v="320"/>
    <m/>
    <m/>
    <m/>
    <x v="0"/>
    <n v="100"/>
    <s v="Table4"/>
    <n v="20"/>
    <s v="251007_VerzekeraarsMasterClass"/>
    <n v="22"/>
    <n v="0"/>
    <x v="2"/>
    <s v="(U-village)"/>
    <n v="0"/>
  </r>
  <r>
    <n v="1345"/>
    <d v="2025-10-07T13:54:47"/>
    <n v="60000"/>
    <n v="30000"/>
    <n v="0"/>
    <n v="7000"/>
    <n v="0"/>
    <n v="0"/>
    <n v="15000"/>
    <n v="1000"/>
    <n v="1400"/>
    <n v="0"/>
    <n v="4000"/>
    <n v="1600"/>
    <n v="0"/>
    <n v="-1"/>
    <n v="0"/>
    <n v="0"/>
    <n v="1"/>
    <n v="1"/>
    <n v="0"/>
    <n v="2"/>
    <n v="3"/>
    <n v="80000"/>
    <n v="0"/>
    <n v="0"/>
    <n v="0"/>
    <n v="70000"/>
    <n v="70000"/>
    <n v="63000"/>
    <m/>
    <m/>
    <n v="6"/>
    <n v="6"/>
    <n v="0"/>
    <n v="0"/>
    <n v="1"/>
    <n v="2"/>
    <s v="VIEW_SUMMARY"/>
    <n v="724"/>
    <n v="323"/>
    <m/>
    <n v="1593"/>
    <m/>
    <x v="1"/>
    <n v="100"/>
    <s v="Table4"/>
    <n v="20"/>
    <s v="251007_VerzekeraarsMasterClass"/>
    <n v="22"/>
    <n v="12"/>
    <x v="2"/>
    <s v="(U-village)"/>
    <n v="3"/>
  </r>
  <r>
    <n v="1378"/>
    <d v="2025-10-07T13:54:47"/>
    <n v="60000"/>
    <n v="30000"/>
    <n v="0"/>
    <n v="7000"/>
    <n v="0"/>
    <n v="0"/>
    <n v="15000"/>
    <n v="8000"/>
    <n v="1400"/>
    <n v="0"/>
    <n v="0"/>
    <n v="200"/>
    <n v="0"/>
    <n v="0"/>
    <n v="1"/>
    <n v="0"/>
    <n v="1"/>
    <n v="0"/>
    <n v="0"/>
    <n v="2"/>
    <n v="3"/>
    <n v="80000"/>
    <n v="70000"/>
    <n v="63000"/>
    <n v="0"/>
    <n v="0"/>
    <n v="70000"/>
    <n v="56000"/>
    <m/>
    <m/>
    <n v="6"/>
    <n v="6"/>
    <n v="0"/>
    <n v="0"/>
    <n v="2"/>
    <n v="3"/>
    <s v="VIEW_SUMMARY"/>
    <n v="724"/>
    <n v="327"/>
    <n v="1593"/>
    <n v="1593"/>
    <m/>
    <x v="2"/>
    <n v="100"/>
    <s v="Table4"/>
    <n v="20"/>
    <s v="251007_VerzekeraarsMasterClass"/>
    <n v="22"/>
    <n v="12"/>
    <x v="2"/>
    <s v="(U-village)"/>
    <n v="5"/>
  </r>
  <r>
    <n v="1398"/>
    <d v="2025-10-07T13:54:47"/>
    <n v="60000"/>
    <n v="30000"/>
    <n v="0"/>
    <n v="7000"/>
    <n v="0"/>
    <n v="0"/>
    <n v="15000"/>
    <n v="6000"/>
    <n v="1400"/>
    <n v="0"/>
    <n v="0"/>
    <n v="800"/>
    <n v="0"/>
    <n v="0"/>
    <n v="1"/>
    <n v="0"/>
    <n v="1"/>
    <n v="0"/>
    <n v="0"/>
    <n v="2"/>
    <n v="3"/>
    <n v="80000"/>
    <n v="70000"/>
    <n v="56000"/>
    <n v="0"/>
    <n v="0"/>
    <n v="70000"/>
    <n v="49000"/>
    <m/>
    <m/>
    <n v="6"/>
    <n v="6"/>
    <n v="-2"/>
    <n v="-1"/>
    <n v="3"/>
    <n v="3"/>
    <s v="VIEW_SUMMARY"/>
    <n v="724"/>
    <n v="330"/>
    <n v="1593"/>
    <n v="1593"/>
    <m/>
    <x v="3"/>
    <n v="100"/>
    <s v="Table4"/>
    <n v="20"/>
    <s v="251007_VerzekeraarsMasterClass"/>
    <n v="22"/>
    <n v="12"/>
    <x v="2"/>
    <s v="(U-village)"/>
    <n v="6"/>
  </r>
  <r>
    <n v="1411"/>
    <d v="2025-10-07T13:54:47"/>
    <n v="60000"/>
    <n v="30000"/>
    <n v="0"/>
    <n v="7000"/>
    <n v="0"/>
    <n v="0"/>
    <n v="15000"/>
    <n v="8000"/>
    <n v="0"/>
    <n v="0"/>
    <n v="0"/>
    <n v="800"/>
    <n v="0"/>
    <n v="0"/>
    <n v="1"/>
    <n v="0"/>
    <n v="0"/>
    <n v="0"/>
    <n v="0"/>
    <n v="3"/>
    <n v="3"/>
    <n v="80000"/>
    <n v="70000"/>
    <n v="49000"/>
    <n v="0"/>
    <n v="0"/>
    <n v="70000"/>
    <n v="42000"/>
    <m/>
    <m/>
    <n v="6"/>
    <n v="6"/>
    <n v="-2"/>
    <n v="-1"/>
    <n v="3"/>
    <n v="2"/>
    <s v="VIEW_SUMMARY"/>
    <n v="724"/>
    <n v="333"/>
    <n v="1593"/>
    <n v="1593"/>
    <m/>
    <x v="4"/>
    <n v="100"/>
    <s v="Table4"/>
    <n v="20"/>
    <s v="251007_VerzekeraarsMasterClass"/>
    <n v="22"/>
    <n v="12"/>
    <x v="2"/>
    <s v=""/>
    <n v="5"/>
  </r>
  <r>
    <n v="1327"/>
    <d v="2025-10-07T13:54:19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25"/>
    <n v="320"/>
    <m/>
    <m/>
    <m/>
    <x v="0"/>
    <n v="100"/>
    <s v="Table4"/>
    <n v="20"/>
    <s v="251007_VerzekeraarsMasterClass"/>
    <n v="22"/>
    <n v="0"/>
    <x v="3"/>
    <s v="(U-village)"/>
    <n v="0"/>
  </r>
  <r>
    <n v="1343"/>
    <d v="2025-10-07T13:54:19"/>
    <n v="90000"/>
    <n v="50000"/>
    <n v="0"/>
    <n v="7000"/>
    <n v="0"/>
    <n v="0"/>
    <n v="15000"/>
    <n v="19000"/>
    <n v="0"/>
    <n v="0"/>
    <n v="4000"/>
    <n v="10000"/>
    <n v="0"/>
    <n v="-3"/>
    <n v="1"/>
    <n v="0"/>
    <n v="1"/>
    <n v="1"/>
    <n v="0"/>
    <n v="1"/>
    <n v="5"/>
    <n v="130000"/>
    <n v="0"/>
    <n v="0"/>
    <n v="0"/>
    <n v="70000"/>
    <n v="70000"/>
    <n v="63000"/>
    <m/>
    <m/>
    <n v="6"/>
    <n v="6"/>
    <n v="0"/>
    <n v="0"/>
    <n v="2"/>
    <n v="3"/>
    <s v="VIEW_SUMMARY"/>
    <n v="725"/>
    <n v="323"/>
    <m/>
    <n v="1594"/>
    <m/>
    <x v="1"/>
    <n v="100"/>
    <s v="Table4"/>
    <n v="20"/>
    <s v="251007_VerzekeraarsMasterClass"/>
    <n v="22"/>
    <n v="12"/>
    <x v="3"/>
    <s v="(U-village)"/>
    <n v="5"/>
  </r>
  <r>
    <n v="1377"/>
    <d v="2025-10-07T13:54:19"/>
    <n v="90000"/>
    <n v="50000"/>
    <n v="0"/>
    <n v="7000"/>
    <n v="0"/>
    <n v="0"/>
    <n v="15000"/>
    <n v="14000"/>
    <n v="9750"/>
    <n v="0"/>
    <n v="0"/>
    <n v="4250"/>
    <n v="0"/>
    <n v="0"/>
    <n v="2"/>
    <n v="4"/>
    <n v="1"/>
    <n v="0"/>
    <n v="0"/>
    <n v="6"/>
    <n v="5"/>
    <n v="130000"/>
    <n v="70000"/>
    <n v="63000"/>
    <n v="0"/>
    <n v="0"/>
    <n v="70000"/>
    <n v="56000"/>
    <m/>
    <m/>
    <n v="6"/>
    <n v="6"/>
    <n v="0"/>
    <n v="0"/>
    <n v="4"/>
    <n v="3"/>
    <s v="VIEW_SUMMARY"/>
    <n v="725"/>
    <n v="327"/>
    <n v="1594"/>
    <n v="1594"/>
    <m/>
    <x v="2"/>
    <n v="100"/>
    <s v="Table4"/>
    <n v="20"/>
    <s v="251007_VerzekeraarsMasterClass"/>
    <n v="22"/>
    <n v="12"/>
    <x v="3"/>
    <s v="(U-village)"/>
    <n v="7"/>
  </r>
  <r>
    <n v="1396"/>
    <d v="2025-10-07T13:54:19"/>
    <n v="90000"/>
    <n v="50000"/>
    <n v="0"/>
    <n v="7000"/>
    <n v="0"/>
    <n v="0"/>
    <n v="15000"/>
    <n v="0"/>
    <n v="11150"/>
    <n v="0"/>
    <n v="0"/>
    <n v="11100"/>
    <n v="0"/>
    <n v="0"/>
    <n v="0"/>
    <n v="4"/>
    <n v="1"/>
    <n v="0"/>
    <n v="0"/>
    <n v="9"/>
    <n v="5"/>
    <n v="130000"/>
    <n v="70000"/>
    <n v="56000"/>
    <n v="0"/>
    <n v="0"/>
    <n v="70000"/>
    <n v="49000"/>
    <m/>
    <m/>
    <n v="6"/>
    <n v="6"/>
    <n v="-2"/>
    <n v="-1"/>
    <n v="5"/>
    <n v="4"/>
    <s v="VIEW_SUMMARY"/>
    <n v="725"/>
    <n v="330"/>
    <n v="1594"/>
    <n v="1594"/>
    <m/>
    <x v="3"/>
    <n v="100"/>
    <s v="Table4"/>
    <n v="20"/>
    <s v="251007_VerzekeraarsMasterClass"/>
    <n v="22"/>
    <n v="12"/>
    <x v="3"/>
    <s v="(U-village)"/>
    <n v="9"/>
  </r>
  <r>
    <n v="1416"/>
    <d v="2025-10-07T13:54:19"/>
    <n v="90000"/>
    <n v="50000"/>
    <n v="0"/>
    <n v="7000"/>
    <n v="0"/>
    <n v="0"/>
    <n v="15000"/>
    <n v="0"/>
    <n v="11150"/>
    <n v="0"/>
    <n v="0"/>
    <n v="17950"/>
    <n v="0"/>
    <n v="0"/>
    <n v="0"/>
    <n v="4"/>
    <n v="0"/>
    <n v="0"/>
    <n v="0"/>
    <n v="13"/>
    <n v="5"/>
    <n v="130000"/>
    <n v="70000"/>
    <n v="49000"/>
    <n v="0"/>
    <n v="0"/>
    <n v="70000"/>
    <n v="42000"/>
    <m/>
    <m/>
    <n v="6"/>
    <n v="6"/>
    <n v="-2"/>
    <n v="-1"/>
    <n v="5"/>
    <n v="4"/>
    <s v="VIEW_SUMMARY"/>
    <n v="725"/>
    <n v="333"/>
    <n v="1594"/>
    <n v="1594"/>
    <m/>
    <x v="4"/>
    <n v="100"/>
    <s v="Table4"/>
    <n v="20"/>
    <s v="251007_VerzekeraarsMasterClass"/>
    <n v="22"/>
    <n v="12"/>
    <x v="3"/>
    <s v=""/>
    <n v="9"/>
  </r>
  <r>
    <n v="1328"/>
    <d v="2025-10-07T13:54:24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26"/>
    <n v="320"/>
    <m/>
    <m/>
    <m/>
    <x v="0"/>
    <n v="100"/>
    <s v="Table4"/>
    <n v="20"/>
    <s v="251007_VerzekeraarsMasterClass"/>
    <n v="22"/>
    <n v="0"/>
    <x v="4"/>
    <s v="(Natu-city)"/>
    <n v="0"/>
  </r>
  <r>
    <n v="1349"/>
    <d v="2025-10-07T13:54:24"/>
    <n v="130000"/>
    <n v="75000"/>
    <n v="0"/>
    <n v="10000"/>
    <n v="0"/>
    <n v="0"/>
    <n v="20000"/>
    <n v="0"/>
    <n v="5000"/>
    <n v="0"/>
    <n v="4000"/>
    <n v="66000"/>
    <n v="0"/>
    <n v="-4"/>
    <n v="0"/>
    <n v="2"/>
    <n v="0"/>
    <n v="1"/>
    <n v="0"/>
    <n v="2"/>
    <n v="7"/>
    <n v="200000"/>
    <n v="0"/>
    <n v="0"/>
    <n v="0"/>
    <n v="100000"/>
    <n v="100000"/>
    <n v="90000"/>
    <m/>
    <m/>
    <n v="6"/>
    <n v="9"/>
    <n v="0"/>
    <n v="0"/>
    <n v="0"/>
    <n v="0"/>
    <s v="VIEW_SUMMARY"/>
    <n v="726"/>
    <n v="323"/>
    <m/>
    <n v="1583"/>
    <m/>
    <x v="1"/>
    <n v="100"/>
    <s v="Table4"/>
    <n v="20"/>
    <s v="251007_VerzekeraarsMasterClass"/>
    <n v="22"/>
    <n v="15"/>
    <x v="4"/>
    <s v="(Natu-city)"/>
    <n v="0"/>
  </r>
  <r>
    <n v="1379"/>
    <d v="2025-10-07T13:54:24"/>
    <n v="130000"/>
    <n v="75000"/>
    <n v="0"/>
    <n v="10000"/>
    <n v="0"/>
    <n v="0"/>
    <n v="20000"/>
    <n v="18000"/>
    <n v="7500"/>
    <n v="0"/>
    <n v="0"/>
    <n v="65500"/>
    <n v="0"/>
    <n v="0"/>
    <n v="1"/>
    <n v="3"/>
    <n v="0"/>
    <n v="0"/>
    <n v="0"/>
    <n v="6"/>
    <n v="7"/>
    <n v="200000"/>
    <n v="100000"/>
    <n v="90000"/>
    <n v="0"/>
    <n v="0"/>
    <n v="100000"/>
    <n v="80000"/>
    <m/>
    <m/>
    <n v="6"/>
    <n v="9"/>
    <n v="0"/>
    <n v="0"/>
    <n v="2"/>
    <n v="2"/>
    <s v="VIEW_SUMMARY"/>
    <n v="726"/>
    <n v="327"/>
    <n v="1583"/>
    <n v="1583"/>
    <m/>
    <x v="2"/>
    <n v="100"/>
    <s v="Table4"/>
    <n v="20"/>
    <s v="251007_VerzekeraarsMasterClass"/>
    <n v="22"/>
    <n v="15"/>
    <x v="4"/>
    <s v="(Natu-city)"/>
    <n v="4"/>
  </r>
  <r>
    <n v="1393"/>
    <d v="2025-10-07T13:54:24"/>
    <n v="130000"/>
    <n v="75000"/>
    <n v="0"/>
    <n v="10000"/>
    <n v="0"/>
    <n v="0"/>
    <n v="20000"/>
    <n v="15000"/>
    <n v="16000"/>
    <n v="0"/>
    <n v="0"/>
    <n v="59500"/>
    <n v="0"/>
    <n v="0"/>
    <n v="2"/>
    <n v="4"/>
    <n v="0"/>
    <n v="0"/>
    <n v="0"/>
    <n v="12"/>
    <n v="7"/>
    <n v="200000"/>
    <n v="100000"/>
    <n v="80000"/>
    <n v="0"/>
    <n v="0"/>
    <n v="100000"/>
    <n v="70000"/>
    <m/>
    <m/>
    <n v="6"/>
    <n v="9"/>
    <n v="-2"/>
    <n v="-1"/>
    <n v="5"/>
    <n v="4"/>
    <s v="VIEW_SUMMARY"/>
    <n v="726"/>
    <n v="330"/>
    <n v="1583"/>
    <n v="1583"/>
    <m/>
    <x v="3"/>
    <n v="100"/>
    <s v="Table4"/>
    <n v="20"/>
    <s v="251007_VerzekeraarsMasterClass"/>
    <n v="22"/>
    <n v="15"/>
    <x v="4"/>
    <s v="(Natu-city)"/>
    <n v="9"/>
  </r>
  <r>
    <n v="1412"/>
    <d v="2025-10-07T13:54:24"/>
    <n v="130000"/>
    <n v="75000"/>
    <n v="0"/>
    <n v="10000"/>
    <n v="0"/>
    <n v="0"/>
    <n v="25000"/>
    <n v="0"/>
    <n v="16000"/>
    <n v="0"/>
    <n v="0"/>
    <n v="63500"/>
    <n v="0"/>
    <n v="0"/>
    <n v="0"/>
    <n v="4"/>
    <n v="0"/>
    <n v="0"/>
    <n v="0"/>
    <n v="18"/>
    <n v="7"/>
    <n v="200000"/>
    <n v="100000"/>
    <n v="70000"/>
    <n v="0"/>
    <n v="0"/>
    <n v="100000"/>
    <n v="60000"/>
    <m/>
    <m/>
    <n v="6"/>
    <n v="9"/>
    <n v="-2"/>
    <n v="-1"/>
    <n v="5"/>
    <n v="4"/>
    <s v="VIEW_SUMMARY"/>
    <n v="726"/>
    <n v="333"/>
    <n v="1583"/>
    <n v="1583"/>
    <m/>
    <x v="4"/>
    <n v="100"/>
    <s v="Table4"/>
    <n v="20"/>
    <s v="251007_VerzekeraarsMasterClass"/>
    <n v="22"/>
    <n v="15"/>
    <x v="4"/>
    <s v=""/>
    <n v="9"/>
  </r>
  <r>
    <n v="1331"/>
    <d v="2025-10-07T13:55:22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27"/>
    <n v="320"/>
    <m/>
    <m/>
    <m/>
    <x v="0"/>
    <n v="100"/>
    <s v="Table4"/>
    <n v="20"/>
    <s v="251007_VerzekeraarsMasterClass"/>
    <n v="22"/>
    <n v="0"/>
    <x v="5"/>
    <s v="(Dike-town)"/>
    <n v="0"/>
  </r>
  <r>
    <n v="1350"/>
    <d v="2025-10-07T13:55:22"/>
    <n v="190000"/>
    <n v="115000"/>
    <n v="0"/>
    <n v="16000"/>
    <n v="0"/>
    <n v="0"/>
    <n v="20000"/>
    <n v="14000"/>
    <n v="3200"/>
    <n v="0"/>
    <n v="4000"/>
    <n v="97800"/>
    <n v="0"/>
    <n v="-3"/>
    <n v="2"/>
    <n v="0"/>
    <n v="0"/>
    <n v="1"/>
    <n v="0"/>
    <n v="3"/>
    <n v="8"/>
    <n v="300000"/>
    <n v="0"/>
    <n v="0"/>
    <n v="0"/>
    <n v="160000"/>
    <n v="160000"/>
    <n v="144000"/>
    <m/>
    <m/>
    <n v="4"/>
    <n v="9"/>
    <n v="0"/>
    <n v="0"/>
    <n v="3"/>
    <n v="2"/>
    <s v="VIEW_SUMMARY"/>
    <n v="727"/>
    <n v="323"/>
    <m/>
    <n v="1587"/>
    <m/>
    <x v="1"/>
    <n v="100"/>
    <s v="Table4"/>
    <n v="20"/>
    <s v="251007_VerzekeraarsMasterClass"/>
    <n v="22"/>
    <n v="13"/>
    <x v="5"/>
    <s v="(Dike-town)"/>
    <n v="5"/>
  </r>
  <r>
    <n v="1374"/>
    <d v="2025-10-07T13:55:22"/>
    <n v="190000"/>
    <n v="115000"/>
    <n v="0"/>
    <n v="16000"/>
    <n v="0"/>
    <n v="0"/>
    <n v="20000"/>
    <n v="0"/>
    <n v="24700"/>
    <n v="0"/>
    <n v="0"/>
    <n v="112100"/>
    <n v="0"/>
    <n v="0"/>
    <n v="0"/>
    <n v="4"/>
    <n v="0"/>
    <n v="0"/>
    <n v="0"/>
    <n v="7"/>
    <n v="8"/>
    <n v="300000"/>
    <n v="160000"/>
    <n v="144000"/>
    <n v="0"/>
    <n v="0"/>
    <n v="160000"/>
    <n v="128000"/>
    <m/>
    <m/>
    <n v="4"/>
    <n v="9"/>
    <n v="0"/>
    <n v="0"/>
    <n v="3"/>
    <n v="2"/>
    <s v="VIEW_SUMMARY"/>
    <n v="727"/>
    <n v="327"/>
    <n v="1587"/>
    <n v="1587"/>
    <m/>
    <x v="2"/>
    <n v="100"/>
    <s v="Table4"/>
    <n v="20"/>
    <s v="251007_VerzekeraarsMasterClass"/>
    <n v="22"/>
    <n v="13"/>
    <x v="5"/>
    <s v="(Dike-town)"/>
    <n v="5"/>
  </r>
  <r>
    <n v="1395"/>
    <d v="2025-10-07T13:55:22"/>
    <n v="190000"/>
    <n v="115000"/>
    <n v="0"/>
    <n v="16000"/>
    <n v="0"/>
    <n v="0"/>
    <n v="20000"/>
    <n v="10000"/>
    <n v="11200"/>
    <n v="0"/>
    <n v="4000"/>
    <n v="125900"/>
    <n v="0"/>
    <n v="0"/>
    <n v="0"/>
    <n v="2"/>
    <n v="0"/>
    <n v="1"/>
    <n v="0"/>
    <n v="8"/>
    <n v="8"/>
    <n v="300000"/>
    <n v="160000"/>
    <n v="128000"/>
    <n v="0"/>
    <n v="0"/>
    <n v="160000"/>
    <n v="112000"/>
    <m/>
    <m/>
    <n v="4"/>
    <n v="9"/>
    <n v="-2"/>
    <n v="-1"/>
    <n v="4"/>
    <n v="3"/>
    <s v="VIEW_SUMMARY"/>
    <n v="727"/>
    <n v="330"/>
    <n v="1587"/>
    <n v="1587"/>
    <m/>
    <x v="3"/>
    <n v="100"/>
    <s v="Table4"/>
    <n v="20"/>
    <s v="251007_VerzekeraarsMasterClass"/>
    <n v="22"/>
    <n v="13"/>
    <x v="5"/>
    <s v="(Dike-town)"/>
    <n v="7"/>
  </r>
  <r>
    <n v="1414"/>
    <d v="2025-10-07T13:55:22"/>
    <n v="190000"/>
    <n v="115000"/>
    <n v="0"/>
    <n v="16000"/>
    <n v="0"/>
    <n v="0"/>
    <n v="20000"/>
    <n v="8000"/>
    <n v="24700"/>
    <n v="0"/>
    <n v="0"/>
    <n v="132200"/>
    <n v="0"/>
    <n v="0"/>
    <n v="1"/>
    <n v="4"/>
    <n v="0"/>
    <n v="0"/>
    <n v="0"/>
    <n v="13"/>
    <n v="8"/>
    <n v="300000"/>
    <n v="160000"/>
    <n v="112000"/>
    <n v="0"/>
    <n v="0"/>
    <n v="160000"/>
    <n v="96000"/>
    <m/>
    <m/>
    <n v="4"/>
    <n v="9"/>
    <n v="-2"/>
    <n v="-1"/>
    <n v="5"/>
    <n v="3"/>
    <s v="VIEW_SUMMARY"/>
    <n v="727"/>
    <n v="333"/>
    <n v="1587"/>
    <n v="1587"/>
    <m/>
    <x v="4"/>
    <n v="100"/>
    <s v="Table4"/>
    <n v="20"/>
    <s v="251007_VerzekeraarsMasterClass"/>
    <n v="22"/>
    <n v="13"/>
    <x v="5"/>
    <s v=""/>
    <n v="8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n v="1321"/>
    <d v="2025-10-07T11:30:49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698"/>
    <n v="318"/>
    <m/>
    <m/>
    <m/>
    <x v="0"/>
    <n v="97"/>
    <s v="Table1"/>
    <n v="20"/>
    <s v="251007_VerzekeraarsMasterClass"/>
    <n v="22"/>
    <n v="0"/>
    <x v="0"/>
    <x v="0"/>
    <n v="0"/>
    <x v="0"/>
  </r>
  <r>
    <n v="1365"/>
    <d v="2025-10-07T11:30:49"/>
    <n v="75000"/>
    <n v="40000"/>
    <n v="0"/>
    <n v="10000"/>
    <n v="0"/>
    <n v="0"/>
    <n v="15000"/>
    <n v="6000"/>
    <n v="7000"/>
    <n v="0"/>
    <n v="0"/>
    <n v="2000"/>
    <n v="0"/>
    <n v="-1"/>
    <n v="1"/>
    <n v="2"/>
    <n v="0"/>
    <n v="0"/>
    <n v="0"/>
    <n v="7"/>
    <n v="4"/>
    <n v="110000"/>
    <n v="0"/>
    <n v="0"/>
    <n v="0"/>
    <n v="100000"/>
    <n v="100000"/>
    <n v="90000"/>
    <m/>
    <m/>
    <n v="6"/>
    <n v="9"/>
    <n v="0"/>
    <n v="0"/>
    <n v="2"/>
    <n v="1"/>
    <s v="VIEW_SUMMARY"/>
    <n v="698"/>
    <n v="325"/>
    <m/>
    <n v="1613"/>
    <m/>
    <x v="1"/>
    <n v="97"/>
    <s v="Table1"/>
    <n v="20"/>
    <s v="251007_VerzekeraarsMasterClass"/>
    <n v="22"/>
    <n v="15"/>
    <x v="0"/>
    <x v="0"/>
    <n v="3"/>
    <x v="0"/>
  </r>
  <r>
    <n v="1382"/>
    <d v="2025-10-07T11:30:49"/>
    <n v="75000"/>
    <n v="40000"/>
    <n v="0"/>
    <n v="10000"/>
    <n v="0"/>
    <n v="0"/>
    <n v="15000"/>
    <n v="0"/>
    <n v="9500"/>
    <n v="0"/>
    <n v="0"/>
    <n v="2500"/>
    <n v="0"/>
    <n v="0"/>
    <n v="0"/>
    <n v="3"/>
    <n v="0"/>
    <n v="0"/>
    <n v="0"/>
    <n v="10"/>
    <n v="4"/>
    <n v="110000"/>
    <n v="100000"/>
    <n v="90000"/>
    <n v="0"/>
    <n v="0"/>
    <n v="100000"/>
    <n v="80000"/>
    <m/>
    <m/>
    <n v="6"/>
    <n v="9"/>
    <n v="0"/>
    <n v="0"/>
    <n v="2"/>
    <n v="1"/>
    <s v="VIEW_SUMMARY"/>
    <n v="698"/>
    <n v="328"/>
    <n v="1613"/>
    <n v="1613"/>
    <m/>
    <x v="2"/>
    <n v="97"/>
    <s v="Table1"/>
    <n v="20"/>
    <s v="251007_VerzekeraarsMasterClass"/>
    <n v="22"/>
    <n v="15"/>
    <x v="0"/>
    <x v="0"/>
    <n v="3"/>
    <x v="0"/>
  </r>
  <r>
    <n v="1407"/>
    <d v="2025-10-07T11:30:49"/>
    <n v="75000"/>
    <n v="40000"/>
    <n v="0"/>
    <n v="10000"/>
    <n v="0"/>
    <n v="0"/>
    <n v="15000"/>
    <n v="0"/>
    <n v="10750"/>
    <n v="0"/>
    <n v="0"/>
    <n v="1750"/>
    <n v="0"/>
    <n v="0"/>
    <n v="0"/>
    <n v="3"/>
    <n v="0"/>
    <n v="0"/>
    <n v="0"/>
    <n v="13"/>
    <n v="4"/>
    <n v="110000"/>
    <n v="100000"/>
    <n v="80000"/>
    <n v="0"/>
    <n v="0"/>
    <n v="100000"/>
    <n v="70000"/>
    <m/>
    <m/>
    <n v="6"/>
    <n v="9"/>
    <n v="-2"/>
    <n v="-1"/>
    <n v="2"/>
    <n v="1"/>
    <s v="VIEW_SUMMARY"/>
    <n v="698"/>
    <n v="332"/>
    <n v="1613"/>
    <n v="1613"/>
    <m/>
    <x v="3"/>
    <n v="97"/>
    <s v="Table1"/>
    <n v="20"/>
    <s v="251007_VerzekeraarsMasterClass"/>
    <n v="22"/>
    <n v="15"/>
    <x v="0"/>
    <x v="0"/>
    <n v="3"/>
    <x v="0"/>
  </r>
  <r>
    <n v="1428"/>
    <d v="2025-10-07T11:30:49"/>
    <n v="75000"/>
    <n v="40000"/>
    <n v="0"/>
    <n v="10000"/>
    <n v="0"/>
    <n v="0"/>
    <n v="20000"/>
    <n v="1000"/>
    <n v="5000"/>
    <n v="0"/>
    <n v="4000"/>
    <n v="-3250"/>
    <n v="0"/>
    <n v="0"/>
    <n v="0"/>
    <n v="2"/>
    <n v="0"/>
    <n v="1"/>
    <n v="0"/>
    <n v="16"/>
    <n v="4"/>
    <n v="110000"/>
    <n v="100000"/>
    <n v="70000"/>
    <n v="0"/>
    <n v="0"/>
    <n v="100000"/>
    <n v="60000"/>
    <m/>
    <m/>
    <n v="6"/>
    <n v="9"/>
    <n v="-2"/>
    <n v="-1"/>
    <n v="1"/>
    <n v="1"/>
    <s v="VIEW_SUMMARY"/>
    <n v="698"/>
    <n v="336"/>
    <n v="1613"/>
    <n v="1613"/>
    <m/>
    <x v="4"/>
    <n v="97"/>
    <s v="Table1"/>
    <n v="20"/>
    <s v="251007_VerzekeraarsMasterClass"/>
    <n v="22"/>
    <n v="15"/>
    <x v="0"/>
    <x v="1"/>
    <n v="2"/>
    <x v="1"/>
  </r>
  <r>
    <n v="1358"/>
    <d v="2025-10-07T14:20:02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699"/>
    <n v="318"/>
    <m/>
    <m/>
    <m/>
    <x v="0"/>
    <n v="97"/>
    <s v="Table1"/>
    <n v="20"/>
    <s v="251007_VerzekeraarsMasterClass"/>
    <n v="22"/>
    <n v="0"/>
    <x v="1"/>
    <x v="0"/>
    <n v="0"/>
    <x v="0"/>
  </r>
  <r>
    <n v="1366"/>
    <d v="2025-10-07T14:20:02"/>
    <n v="110000"/>
    <n v="60000"/>
    <n v="0"/>
    <n v="17000"/>
    <n v="0"/>
    <n v="30000"/>
    <n v="15000"/>
    <n v="6000"/>
    <n v="5000"/>
    <n v="0"/>
    <n v="0"/>
    <n v="7000"/>
    <n v="0"/>
    <n v="0"/>
    <n v="1"/>
    <n v="1"/>
    <n v="0"/>
    <n v="0"/>
    <n v="0"/>
    <n v="7"/>
    <n v="6"/>
    <n v="170000"/>
    <n v="0"/>
    <n v="0"/>
    <n v="0"/>
    <n v="200000"/>
    <n v="170000"/>
    <n v="153000"/>
    <m/>
    <m/>
    <n v="6"/>
    <n v="9"/>
    <n v="0"/>
    <n v="0"/>
    <n v="1"/>
    <n v="0"/>
    <s v="VIEW_SUMMARY"/>
    <n v="699"/>
    <n v="325"/>
    <m/>
    <n v="1611"/>
    <m/>
    <x v="1"/>
    <n v="97"/>
    <s v="Table1"/>
    <n v="20"/>
    <s v="251007_VerzekeraarsMasterClass"/>
    <n v="22"/>
    <n v="15"/>
    <x v="1"/>
    <x v="0"/>
    <n v="1"/>
    <x v="0"/>
  </r>
  <r>
    <n v="1381"/>
    <d v="2025-10-07T14:20:02"/>
    <n v="110000"/>
    <n v="60000"/>
    <n v="0"/>
    <n v="17000"/>
    <n v="0"/>
    <n v="0"/>
    <n v="15000"/>
    <n v="8000"/>
    <n v="15000"/>
    <n v="0"/>
    <n v="0"/>
    <n v="2000"/>
    <n v="0"/>
    <n v="0"/>
    <n v="1"/>
    <n v="3"/>
    <n v="0"/>
    <n v="0"/>
    <n v="0"/>
    <n v="11"/>
    <n v="6"/>
    <n v="170000"/>
    <n v="170000"/>
    <n v="153000"/>
    <n v="0"/>
    <n v="0"/>
    <n v="170000"/>
    <n v="136000"/>
    <m/>
    <m/>
    <n v="6"/>
    <n v="9"/>
    <n v="0"/>
    <n v="0"/>
    <n v="2"/>
    <n v="1"/>
    <s v="VIEW_SUMMARY"/>
    <n v="699"/>
    <n v="328"/>
    <n v="1611"/>
    <n v="1611"/>
    <m/>
    <x v="2"/>
    <n v="97"/>
    <s v="Table1"/>
    <n v="20"/>
    <s v="251007_VerzekeraarsMasterClass"/>
    <n v="22"/>
    <n v="15"/>
    <x v="1"/>
    <x v="0"/>
    <n v="3"/>
    <x v="0"/>
  </r>
  <r>
    <n v="1406"/>
    <d v="2025-10-07T14:20:02"/>
    <n v="110000"/>
    <n v="60000"/>
    <n v="0"/>
    <n v="17000"/>
    <n v="0"/>
    <n v="0"/>
    <n v="15000"/>
    <n v="9000"/>
    <n v="10000"/>
    <n v="0"/>
    <n v="0"/>
    <n v="1000"/>
    <n v="0"/>
    <n v="0"/>
    <n v="1"/>
    <n v="2"/>
    <n v="0"/>
    <n v="0"/>
    <n v="0"/>
    <n v="14"/>
    <n v="6"/>
    <n v="170000"/>
    <n v="170000"/>
    <n v="136000"/>
    <n v="0"/>
    <n v="0"/>
    <n v="170000"/>
    <n v="119000"/>
    <m/>
    <m/>
    <n v="6"/>
    <n v="9"/>
    <n v="-2"/>
    <n v="-1"/>
    <n v="3"/>
    <n v="2"/>
    <s v="VIEW_SUMMARY"/>
    <n v="699"/>
    <n v="332"/>
    <n v="1611"/>
    <n v="1611"/>
    <m/>
    <x v="3"/>
    <n v="97"/>
    <s v="Table1"/>
    <n v="20"/>
    <s v="251007_VerzekeraarsMasterClass"/>
    <n v="22"/>
    <n v="15"/>
    <x v="1"/>
    <x v="0"/>
    <n v="5"/>
    <x v="0"/>
  </r>
  <r>
    <n v="1429"/>
    <d v="2025-10-07T14:20:02"/>
    <n v="110000"/>
    <n v="60000"/>
    <n v="0"/>
    <n v="17000"/>
    <n v="0"/>
    <n v="0"/>
    <n v="20000"/>
    <n v="0"/>
    <n v="14000"/>
    <n v="0"/>
    <n v="0"/>
    <n v="0"/>
    <n v="0"/>
    <n v="0"/>
    <n v="0"/>
    <n v="2"/>
    <n v="0"/>
    <n v="0"/>
    <n v="0"/>
    <n v="18"/>
    <n v="6"/>
    <n v="170000"/>
    <n v="170000"/>
    <n v="119000"/>
    <n v="0"/>
    <n v="0"/>
    <n v="170000"/>
    <n v="102000"/>
    <m/>
    <m/>
    <n v="6"/>
    <n v="9"/>
    <n v="-2"/>
    <n v="-1"/>
    <n v="4"/>
    <n v="3"/>
    <s v="VIEW_SUMMARY"/>
    <n v="699"/>
    <n v="336"/>
    <n v="1611"/>
    <n v="1611"/>
    <m/>
    <x v="4"/>
    <n v="97"/>
    <s v="Table1"/>
    <n v="20"/>
    <s v="251007_VerzekeraarsMasterClass"/>
    <n v="22"/>
    <n v="15"/>
    <x v="1"/>
    <x v="1"/>
    <n v="7"/>
    <x v="0"/>
  </r>
  <r>
    <n v="1362"/>
    <d v="2025-10-07T14:21:1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00"/>
    <n v="318"/>
    <m/>
    <m/>
    <m/>
    <x v="0"/>
    <n v="97"/>
    <s v="Table1"/>
    <n v="20"/>
    <s v="251007_VerzekeraarsMasterClass"/>
    <n v="22"/>
    <n v="0"/>
    <x v="2"/>
    <x v="2"/>
    <n v="0"/>
    <x v="0"/>
  </r>
  <r>
    <n v="1368"/>
    <d v="2025-10-07T14:21:17"/>
    <n v="60000"/>
    <n v="30000"/>
    <n v="0"/>
    <n v="7000"/>
    <n v="0"/>
    <n v="0"/>
    <n v="20000"/>
    <n v="1000"/>
    <n v="1400"/>
    <n v="8000"/>
    <n v="0"/>
    <n v="-7400"/>
    <n v="0"/>
    <n v="-1"/>
    <n v="0"/>
    <n v="0"/>
    <n v="3"/>
    <n v="0"/>
    <n v="0"/>
    <n v="1"/>
    <n v="3"/>
    <n v="80000"/>
    <n v="0"/>
    <n v="0"/>
    <n v="0"/>
    <n v="70000"/>
    <n v="70000"/>
    <n v="63000"/>
    <m/>
    <m/>
    <n v="6"/>
    <n v="6"/>
    <n v="0"/>
    <n v="0"/>
    <n v="1"/>
    <n v="1"/>
    <s v="VIEW_SUMMARY"/>
    <n v="700"/>
    <n v="325"/>
    <m/>
    <n v="1623"/>
    <m/>
    <x v="1"/>
    <n v="97"/>
    <s v="Table1"/>
    <n v="20"/>
    <s v="251007_VerzekeraarsMasterClass"/>
    <n v="22"/>
    <n v="12"/>
    <x v="2"/>
    <x v="2"/>
    <n v="2"/>
    <x v="2"/>
  </r>
  <r>
    <n v="1383"/>
    <d v="2025-10-07T14:21:17"/>
    <n v="60000"/>
    <n v="30000"/>
    <n v="7400"/>
    <n v="7000"/>
    <n v="0"/>
    <n v="0"/>
    <n v="20000"/>
    <n v="0"/>
    <n v="0"/>
    <n v="0"/>
    <n v="0"/>
    <n v="-4400"/>
    <n v="0"/>
    <n v="0"/>
    <n v="0"/>
    <n v="0"/>
    <n v="0"/>
    <n v="0"/>
    <n v="1"/>
    <n v="0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700"/>
    <n v="328"/>
    <n v="1623"/>
    <n v="1623"/>
    <m/>
    <x v="2"/>
    <n v="97"/>
    <s v="Table1"/>
    <n v="20"/>
    <s v="251007_VerzekeraarsMasterClass"/>
    <n v="22"/>
    <n v="12"/>
    <x v="2"/>
    <x v="2"/>
    <n v="0"/>
    <x v="0"/>
  </r>
  <r>
    <n v="1405"/>
    <d v="2025-10-07T14:21:17"/>
    <n v="60000"/>
    <n v="30000"/>
    <n v="4400"/>
    <n v="7000"/>
    <n v="0"/>
    <n v="0"/>
    <n v="20000"/>
    <n v="0"/>
    <n v="0"/>
    <n v="4000"/>
    <n v="0"/>
    <n v="-5400"/>
    <n v="0"/>
    <n v="0"/>
    <n v="0"/>
    <n v="0"/>
    <n v="2"/>
    <n v="0"/>
    <n v="1"/>
    <n v="-3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700"/>
    <n v="332"/>
    <n v="1623"/>
    <n v="1623"/>
    <m/>
    <x v="3"/>
    <n v="97"/>
    <s v="Table1"/>
    <n v="20"/>
    <s v="251007_VerzekeraarsMasterClass"/>
    <n v="22"/>
    <n v="12"/>
    <x v="2"/>
    <x v="2"/>
    <n v="0"/>
    <x v="1"/>
  </r>
  <r>
    <n v="1432"/>
    <d v="2025-10-07T14:21:17"/>
    <n v="60000"/>
    <n v="30000"/>
    <n v="5400"/>
    <n v="7000"/>
    <n v="51000"/>
    <n v="0"/>
    <n v="20000"/>
    <n v="10000"/>
    <n v="6500"/>
    <n v="0"/>
    <n v="4000"/>
    <n v="28100"/>
    <n v="1"/>
    <n v="-1"/>
    <n v="0"/>
    <n v="3"/>
    <n v="1"/>
    <n v="1"/>
    <n v="1"/>
    <n v="-5"/>
    <n v="3"/>
    <n v="80000"/>
    <n v="70000"/>
    <n v="49000"/>
    <n v="100000"/>
    <n v="70000"/>
    <n v="70000"/>
    <n v="63000"/>
    <n v="35"/>
    <m/>
    <n v="6"/>
    <n v="6"/>
    <n v="-2"/>
    <n v="-1"/>
    <n v="2"/>
    <n v="2"/>
    <s v="VIEW_SUMMARY"/>
    <n v="700"/>
    <n v="336"/>
    <n v="1623"/>
    <n v="1660"/>
    <m/>
    <x v="4"/>
    <n v="97"/>
    <s v="Table1"/>
    <n v="20"/>
    <s v="251007_VerzekeraarsMasterClass"/>
    <n v="22"/>
    <n v="12"/>
    <x v="2"/>
    <x v="1"/>
    <n v="4"/>
    <x v="1"/>
  </r>
  <r>
    <n v="1360"/>
    <d v="2025-10-07T14:20:34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01"/>
    <n v="318"/>
    <m/>
    <m/>
    <m/>
    <x v="0"/>
    <n v="97"/>
    <s v="Table1"/>
    <n v="20"/>
    <s v="251007_VerzekeraarsMasterClass"/>
    <n v="22"/>
    <n v="0"/>
    <x v="3"/>
    <x v="3"/>
    <n v="0"/>
    <x v="0"/>
  </r>
  <r>
    <n v="1363"/>
    <d v="2025-10-07T14:20:34"/>
    <n v="90000"/>
    <n v="50000"/>
    <n v="0"/>
    <n v="8000"/>
    <n v="0"/>
    <n v="0"/>
    <n v="20000"/>
    <n v="14000"/>
    <n v="6000"/>
    <n v="0"/>
    <n v="0"/>
    <n v="7000"/>
    <n v="0"/>
    <n v="-3"/>
    <n v="2"/>
    <n v="3"/>
    <n v="0"/>
    <n v="0"/>
    <n v="0"/>
    <n v="7"/>
    <n v="5"/>
    <n v="130000"/>
    <n v="0"/>
    <n v="0"/>
    <n v="0"/>
    <n v="80000"/>
    <n v="80000"/>
    <n v="72000"/>
    <m/>
    <m/>
    <n v="4"/>
    <n v="9"/>
    <n v="0"/>
    <n v="0"/>
    <n v="2"/>
    <n v="0"/>
    <s v="VIEW_SUMMARY"/>
    <n v="701"/>
    <n v="325"/>
    <m/>
    <n v="1619"/>
    <m/>
    <x v="1"/>
    <n v="97"/>
    <s v="Table1"/>
    <n v="20"/>
    <s v="251007_VerzekeraarsMasterClass"/>
    <n v="22"/>
    <n v="13"/>
    <x v="3"/>
    <x v="3"/>
    <n v="2"/>
    <x v="0"/>
  </r>
  <r>
    <n v="1385"/>
    <d v="2025-10-07T14:20:34"/>
    <n v="90000"/>
    <n v="50000"/>
    <n v="0"/>
    <n v="8000"/>
    <n v="0"/>
    <n v="0"/>
    <n v="20000"/>
    <n v="0"/>
    <n v="8500"/>
    <n v="0"/>
    <n v="0"/>
    <n v="10500"/>
    <n v="0"/>
    <n v="0"/>
    <n v="0"/>
    <n v="3"/>
    <n v="0"/>
    <n v="0"/>
    <n v="0"/>
    <n v="10"/>
    <n v="5"/>
    <n v="130000"/>
    <n v="80000"/>
    <n v="72000"/>
    <n v="0"/>
    <n v="0"/>
    <n v="80000"/>
    <n v="64000"/>
    <m/>
    <m/>
    <n v="4"/>
    <n v="9"/>
    <n v="0"/>
    <n v="0"/>
    <n v="2"/>
    <n v="0"/>
    <s v="VIEW_SUMMARY"/>
    <n v="701"/>
    <n v="328"/>
    <n v="1619"/>
    <n v="1619"/>
    <m/>
    <x v="2"/>
    <n v="97"/>
    <s v="Table1"/>
    <n v="20"/>
    <s v="251007_VerzekeraarsMasterClass"/>
    <n v="22"/>
    <n v="13"/>
    <x v="3"/>
    <x v="3"/>
    <n v="2"/>
    <x v="0"/>
  </r>
  <r>
    <n v="1409"/>
    <d v="2025-10-07T14:20:34"/>
    <n v="90000"/>
    <n v="50000"/>
    <n v="0"/>
    <n v="8000"/>
    <n v="0"/>
    <n v="0"/>
    <n v="20000"/>
    <n v="0"/>
    <n v="6000"/>
    <n v="0"/>
    <n v="0"/>
    <n v="16500"/>
    <n v="0"/>
    <n v="0"/>
    <n v="0"/>
    <n v="3"/>
    <n v="0"/>
    <n v="0"/>
    <n v="0"/>
    <n v="13"/>
    <n v="5"/>
    <n v="130000"/>
    <n v="80000"/>
    <n v="64000"/>
    <n v="0"/>
    <n v="0"/>
    <n v="80000"/>
    <n v="56000"/>
    <m/>
    <m/>
    <n v="4"/>
    <n v="9"/>
    <n v="-2"/>
    <n v="-1"/>
    <n v="2"/>
    <n v="0"/>
    <s v="VIEW_SUMMARY"/>
    <n v="701"/>
    <n v="332"/>
    <n v="1619"/>
    <n v="1619"/>
    <m/>
    <x v="3"/>
    <n v="97"/>
    <s v="Table1"/>
    <n v="20"/>
    <s v="251007_VerzekeraarsMasterClass"/>
    <n v="22"/>
    <n v="13"/>
    <x v="3"/>
    <x v="3"/>
    <n v="2"/>
    <x v="0"/>
  </r>
  <r>
    <n v="1430"/>
    <d v="2025-10-07T14:20:34"/>
    <n v="90000"/>
    <n v="50000"/>
    <n v="0"/>
    <n v="8000"/>
    <n v="0"/>
    <n v="0"/>
    <n v="20000"/>
    <n v="0"/>
    <n v="6100"/>
    <n v="0"/>
    <n v="4000"/>
    <n v="18400"/>
    <n v="0"/>
    <n v="0"/>
    <n v="0"/>
    <n v="1"/>
    <n v="0"/>
    <n v="1"/>
    <n v="0"/>
    <n v="13"/>
    <n v="5"/>
    <n v="130000"/>
    <n v="80000"/>
    <n v="56000"/>
    <n v="0"/>
    <n v="0"/>
    <n v="80000"/>
    <n v="48000"/>
    <m/>
    <m/>
    <n v="4"/>
    <n v="9"/>
    <n v="-2"/>
    <n v="-1"/>
    <n v="3"/>
    <n v="1"/>
    <s v="VIEW_SUMMARY"/>
    <n v="701"/>
    <n v="336"/>
    <n v="1619"/>
    <n v="1619"/>
    <m/>
    <x v="4"/>
    <n v="97"/>
    <s v="Table1"/>
    <n v="20"/>
    <s v="251007_VerzekeraarsMasterClass"/>
    <n v="22"/>
    <n v="13"/>
    <x v="3"/>
    <x v="1"/>
    <n v="4"/>
    <x v="1"/>
  </r>
  <r>
    <n v="1361"/>
    <d v="2025-10-07T14:20:53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02"/>
    <n v="318"/>
    <m/>
    <m/>
    <m/>
    <x v="0"/>
    <n v="97"/>
    <s v="Table1"/>
    <n v="20"/>
    <s v="251007_VerzekeraarsMasterClass"/>
    <n v="22"/>
    <n v="0"/>
    <x v="4"/>
    <x v="2"/>
    <n v="0"/>
    <x v="0"/>
  </r>
  <r>
    <n v="1364"/>
    <d v="2025-10-07T14:20:53"/>
    <n v="130000"/>
    <n v="75000"/>
    <n v="0"/>
    <n v="12500"/>
    <n v="0"/>
    <n v="0"/>
    <n v="20000"/>
    <n v="22000"/>
    <n v="8750"/>
    <n v="4000"/>
    <n v="0"/>
    <n v="37750"/>
    <n v="0"/>
    <n v="-3"/>
    <n v="3"/>
    <n v="2"/>
    <n v="2"/>
    <n v="0"/>
    <n v="0"/>
    <n v="5"/>
    <n v="7"/>
    <n v="200000"/>
    <n v="0"/>
    <n v="0"/>
    <n v="0"/>
    <n v="125000"/>
    <n v="125000"/>
    <n v="112500"/>
    <m/>
    <m/>
    <n v="6"/>
    <n v="6"/>
    <n v="0"/>
    <n v="0"/>
    <n v="4"/>
    <n v="2"/>
    <s v="VIEW_SUMMARY"/>
    <n v="702"/>
    <n v="325"/>
    <m/>
    <n v="1622"/>
    <m/>
    <x v="1"/>
    <n v="97"/>
    <s v="Table1"/>
    <n v="20"/>
    <s v="251007_VerzekeraarsMasterClass"/>
    <n v="22"/>
    <n v="12"/>
    <x v="4"/>
    <x v="2"/>
    <n v="6"/>
    <x v="1"/>
  </r>
  <r>
    <n v="1384"/>
    <d v="2025-10-07T14:20:53"/>
    <n v="130000"/>
    <n v="75000"/>
    <n v="0"/>
    <n v="12500"/>
    <n v="0"/>
    <n v="0"/>
    <n v="20000"/>
    <n v="10000"/>
    <n v="15250"/>
    <n v="0"/>
    <n v="0"/>
    <n v="35000"/>
    <n v="0"/>
    <n v="0"/>
    <n v="0"/>
    <n v="3"/>
    <n v="0"/>
    <n v="0"/>
    <n v="0"/>
    <n v="8"/>
    <n v="7"/>
    <n v="200000"/>
    <n v="125000"/>
    <n v="112500"/>
    <n v="0"/>
    <n v="0"/>
    <n v="125000"/>
    <n v="100000"/>
    <m/>
    <m/>
    <n v="6"/>
    <n v="6"/>
    <n v="0"/>
    <n v="0"/>
    <n v="5"/>
    <n v="3"/>
    <s v="VIEW_SUMMARY"/>
    <n v="702"/>
    <n v="328"/>
    <n v="1622"/>
    <n v="1622"/>
    <m/>
    <x v="2"/>
    <n v="97"/>
    <s v="Table1"/>
    <n v="20"/>
    <s v="251007_VerzekeraarsMasterClass"/>
    <n v="22"/>
    <n v="12"/>
    <x v="4"/>
    <x v="2"/>
    <n v="8"/>
    <x v="0"/>
  </r>
  <r>
    <n v="1408"/>
    <d v="2025-10-07T14:20:53"/>
    <n v="130000"/>
    <n v="75000"/>
    <n v="0"/>
    <n v="12500"/>
    <n v="0"/>
    <n v="0"/>
    <n v="20000"/>
    <n v="0"/>
    <n v="18375"/>
    <n v="0"/>
    <n v="0"/>
    <n v="39125"/>
    <n v="0"/>
    <n v="0"/>
    <n v="0"/>
    <n v="4"/>
    <n v="1"/>
    <n v="0"/>
    <n v="0"/>
    <n v="11"/>
    <n v="7"/>
    <n v="200000"/>
    <n v="125000"/>
    <n v="100000"/>
    <n v="0"/>
    <n v="0"/>
    <n v="125000"/>
    <n v="87500"/>
    <m/>
    <m/>
    <n v="6"/>
    <n v="6"/>
    <n v="-2"/>
    <n v="-1"/>
    <n v="5"/>
    <n v="3"/>
    <s v="VIEW_SUMMARY"/>
    <n v="702"/>
    <n v="332"/>
    <n v="1622"/>
    <n v="1622"/>
    <m/>
    <x v="3"/>
    <n v="97"/>
    <s v="Table1"/>
    <n v="20"/>
    <s v="251007_VerzekeraarsMasterClass"/>
    <n v="22"/>
    <n v="12"/>
    <x v="4"/>
    <x v="2"/>
    <n v="8"/>
    <x v="0"/>
  </r>
  <r>
    <n v="1431"/>
    <d v="2025-10-07T14:20:53"/>
    <n v="130000"/>
    <n v="75000"/>
    <n v="0"/>
    <n v="12500"/>
    <n v="0"/>
    <n v="0"/>
    <n v="20000"/>
    <n v="0"/>
    <n v="18375"/>
    <n v="0"/>
    <n v="0"/>
    <n v="43250"/>
    <n v="0"/>
    <n v="0"/>
    <n v="0"/>
    <n v="4"/>
    <n v="1"/>
    <n v="0"/>
    <n v="0"/>
    <n v="14"/>
    <n v="7"/>
    <n v="200000"/>
    <n v="125000"/>
    <n v="87500"/>
    <n v="0"/>
    <n v="0"/>
    <n v="125000"/>
    <n v="75000"/>
    <m/>
    <m/>
    <n v="6"/>
    <n v="6"/>
    <n v="-2"/>
    <n v="-1"/>
    <n v="5"/>
    <n v="3"/>
    <s v="VIEW_SUMMARY"/>
    <n v="702"/>
    <n v="336"/>
    <n v="1622"/>
    <n v="1622"/>
    <m/>
    <x v="4"/>
    <n v="97"/>
    <s v="Table1"/>
    <n v="20"/>
    <s v="251007_VerzekeraarsMasterClass"/>
    <n v="22"/>
    <n v="12"/>
    <x v="4"/>
    <x v="1"/>
    <n v="8"/>
    <x v="0"/>
  </r>
  <r>
    <n v="1359"/>
    <d v="2025-10-07T14:20:17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03"/>
    <n v="318"/>
    <m/>
    <m/>
    <m/>
    <x v="0"/>
    <n v="97"/>
    <s v="Table1"/>
    <n v="20"/>
    <s v="251007_VerzekeraarsMasterClass"/>
    <n v="22"/>
    <n v="0"/>
    <x v="5"/>
    <x v="0"/>
    <n v="0"/>
    <x v="0"/>
  </r>
  <r>
    <n v="1367"/>
    <d v="2025-10-07T14:20:17"/>
    <n v="190000"/>
    <n v="115000"/>
    <n v="0"/>
    <n v="20000"/>
    <n v="0"/>
    <n v="0"/>
    <n v="15000"/>
    <n v="10000"/>
    <n v="24500"/>
    <n v="0"/>
    <n v="0"/>
    <n v="85500"/>
    <n v="0"/>
    <n v="-2"/>
    <n v="0"/>
    <n v="4"/>
    <n v="0"/>
    <n v="0"/>
    <n v="0"/>
    <n v="7"/>
    <n v="8"/>
    <n v="300000"/>
    <n v="0"/>
    <n v="0"/>
    <n v="0"/>
    <n v="200000"/>
    <n v="200000"/>
    <n v="180000"/>
    <m/>
    <m/>
    <n v="6"/>
    <n v="9"/>
    <n v="0"/>
    <n v="0"/>
    <n v="1"/>
    <n v="1"/>
    <s v="VIEW_SUMMARY"/>
    <n v="703"/>
    <n v="325"/>
    <m/>
    <n v="1612"/>
    <m/>
    <x v="1"/>
    <n v="97"/>
    <s v="Table1"/>
    <n v="20"/>
    <s v="251007_VerzekeraarsMasterClass"/>
    <n v="22"/>
    <n v="15"/>
    <x v="5"/>
    <x v="0"/>
    <n v="2"/>
    <x v="0"/>
  </r>
  <r>
    <n v="1386"/>
    <d v="2025-10-07T14:20:17"/>
    <n v="190000"/>
    <n v="115000"/>
    <n v="0"/>
    <n v="20000"/>
    <n v="0"/>
    <n v="0"/>
    <n v="15000"/>
    <n v="22000"/>
    <n v="24500"/>
    <n v="0"/>
    <n v="0"/>
    <n v="79000"/>
    <n v="0"/>
    <n v="0"/>
    <n v="3"/>
    <n v="4"/>
    <n v="0"/>
    <n v="0"/>
    <n v="0"/>
    <n v="14"/>
    <n v="8"/>
    <n v="300000"/>
    <n v="200000"/>
    <n v="180000"/>
    <n v="0"/>
    <n v="0"/>
    <n v="200000"/>
    <n v="160000"/>
    <m/>
    <m/>
    <n v="6"/>
    <n v="9"/>
    <n v="0"/>
    <n v="0"/>
    <n v="4"/>
    <n v="2"/>
    <s v="VIEW_SUMMARY"/>
    <n v="703"/>
    <n v="328"/>
    <n v="1612"/>
    <n v="1612"/>
    <m/>
    <x v="2"/>
    <n v="97"/>
    <s v="Table1"/>
    <n v="20"/>
    <s v="251007_VerzekeraarsMasterClass"/>
    <n v="22"/>
    <n v="15"/>
    <x v="5"/>
    <x v="0"/>
    <n v="6"/>
    <x v="0"/>
  </r>
  <r>
    <n v="1410"/>
    <d v="2025-10-07T14:20:17"/>
    <n v="190000"/>
    <n v="115000"/>
    <n v="0"/>
    <n v="20000"/>
    <n v="0"/>
    <n v="0"/>
    <n v="15000"/>
    <n v="0"/>
    <n v="24500"/>
    <n v="0"/>
    <n v="0"/>
    <n v="94500"/>
    <n v="0"/>
    <n v="0"/>
    <n v="0"/>
    <n v="4"/>
    <n v="0"/>
    <n v="0"/>
    <n v="0"/>
    <n v="18"/>
    <n v="8"/>
    <n v="300000"/>
    <n v="200000"/>
    <n v="160000"/>
    <n v="0"/>
    <n v="0"/>
    <n v="200000"/>
    <n v="140000"/>
    <m/>
    <m/>
    <n v="6"/>
    <n v="9"/>
    <n v="-2"/>
    <n v="-1"/>
    <n v="4"/>
    <n v="2"/>
    <s v="VIEW_SUMMARY"/>
    <n v="703"/>
    <n v="332"/>
    <n v="1612"/>
    <n v="1612"/>
    <m/>
    <x v="3"/>
    <n v="97"/>
    <s v="Table1"/>
    <n v="20"/>
    <s v="251007_VerzekeraarsMasterClass"/>
    <n v="22"/>
    <n v="15"/>
    <x v="5"/>
    <x v="0"/>
    <n v="6"/>
    <x v="0"/>
  </r>
  <r>
    <n v="1433"/>
    <d v="2025-10-07T14:20:17"/>
    <n v="190000"/>
    <n v="115000"/>
    <n v="0"/>
    <n v="30000"/>
    <n v="60000"/>
    <n v="125000"/>
    <n v="20000"/>
    <n v="14000"/>
    <n v="31875"/>
    <n v="0"/>
    <n v="0"/>
    <n v="8625"/>
    <n v="1"/>
    <n v="1"/>
    <n v="2"/>
    <n v="3"/>
    <n v="0"/>
    <n v="0"/>
    <n v="0"/>
    <n v="25"/>
    <n v="8"/>
    <n v="300000"/>
    <n v="200000"/>
    <n v="140000"/>
    <n v="200000"/>
    <n v="425000"/>
    <n v="300000"/>
    <n v="270000"/>
    <n v="33"/>
    <m/>
    <n v="6"/>
    <n v="9"/>
    <n v="-2"/>
    <n v="-1"/>
    <n v="4"/>
    <n v="2"/>
    <s v="VIEW_DAMAGE"/>
    <n v="703"/>
    <n v="336"/>
    <n v="1612"/>
    <n v="1650"/>
    <m/>
    <x v="4"/>
    <n v="97"/>
    <s v="Table1"/>
    <n v="20"/>
    <s v="251007_VerzekeraarsMasterClass"/>
    <n v="22"/>
    <n v="15"/>
    <x v="5"/>
    <x v="1"/>
    <n v="6"/>
    <x v="0"/>
  </r>
  <r>
    <n v="1323"/>
    <d v="2025-10-07T13:53:02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06"/>
    <n v="321"/>
    <m/>
    <m/>
    <m/>
    <x v="0"/>
    <n v="98"/>
    <s v="Table2"/>
    <n v="20"/>
    <s v="251007_VerzekeraarsMasterClass"/>
    <n v="22"/>
    <n v="0"/>
    <x v="0"/>
    <x v="3"/>
    <n v="0"/>
    <x v="0"/>
  </r>
  <r>
    <n v="1352"/>
    <d v="2025-10-07T13:53:02"/>
    <n v="75000"/>
    <n v="40000"/>
    <n v="0"/>
    <n v="8000"/>
    <n v="0"/>
    <n v="0"/>
    <n v="15000"/>
    <n v="8000"/>
    <n v="1600"/>
    <n v="0"/>
    <n v="0"/>
    <n v="7400"/>
    <n v="0"/>
    <n v="-2"/>
    <n v="1"/>
    <n v="0"/>
    <n v="0"/>
    <n v="0"/>
    <n v="0"/>
    <n v="4"/>
    <n v="4"/>
    <n v="110000"/>
    <n v="0"/>
    <n v="0"/>
    <n v="0"/>
    <n v="80000"/>
    <n v="80000"/>
    <n v="72000"/>
    <m/>
    <m/>
    <n v="4"/>
    <n v="9"/>
    <n v="0"/>
    <n v="0"/>
    <n v="2"/>
    <n v="2"/>
    <s v="VIEW_SUMMARY"/>
    <n v="706"/>
    <n v="324"/>
    <m/>
    <n v="1604"/>
    <m/>
    <x v="1"/>
    <n v="98"/>
    <s v="Table2"/>
    <n v="20"/>
    <s v="251007_VerzekeraarsMasterClass"/>
    <n v="22"/>
    <n v="13"/>
    <x v="0"/>
    <x v="3"/>
    <n v="4"/>
    <x v="0"/>
  </r>
  <r>
    <n v="1392"/>
    <d v="2025-10-07T13:53:02"/>
    <n v="75000"/>
    <n v="40000"/>
    <n v="0"/>
    <n v="8000"/>
    <n v="0"/>
    <n v="0"/>
    <n v="15000"/>
    <n v="14000"/>
    <n v="1600"/>
    <n v="0"/>
    <n v="4000"/>
    <n v="-200"/>
    <n v="0"/>
    <n v="0"/>
    <n v="2"/>
    <n v="0"/>
    <n v="0"/>
    <n v="1"/>
    <n v="0"/>
    <n v="5"/>
    <n v="4"/>
    <n v="110000"/>
    <n v="80000"/>
    <n v="72000"/>
    <n v="0"/>
    <n v="0"/>
    <n v="80000"/>
    <n v="64000"/>
    <m/>
    <m/>
    <n v="4"/>
    <n v="9"/>
    <n v="0"/>
    <n v="0"/>
    <n v="4"/>
    <n v="2"/>
    <s v="VIEW_SUMMARY"/>
    <n v="706"/>
    <n v="329"/>
    <n v="1604"/>
    <n v="1604"/>
    <m/>
    <x v="2"/>
    <n v="98"/>
    <s v="Table2"/>
    <n v="20"/>
    <s v="251007_VerzekeraarsMasterClass"/>
    <n v="22"/>
    <n v="13"/>
    <x v="0"/>
    <x v="3"/>
    <n v="6"/>
    <x v="1"/>
  </r>
  <r>
    <n v="1420"/>
    <d v="2025-10-07T13:53:02"/>
    <n v="75000"/>
    <n v="40000"/>
    <n v="200"/>
    <n v="8000"/>
    <n v="0"/>
    <n v="0"/>
    <n v="15000"/>
    <n v="10000"/>
    <n v="1600"/>
    <n v="0"/>
    <n v="0"/>
    <n v="200"/>
    <n v="0"/>
    <n v="0"/>
    <n v="0"/>
    <n v="0"/>
    <n v="0"/>
    <n v="0"/>
    <n v="1"/>
    <n v="4"/>
    <n v="4"/>
    <n v="110000"/>
    <n v="80000"/>
    <n v="64000"/>
    <n v="0"/>
    <n v="0"/>
    <n v="80000"/>
    <n v="56000"/>
    <m/>
    <m/>
    <n v="4"/>
    <n v="9"/>
    <n v="-2"/>
    <n v="-1"/>
    <n v="5"/>
    <n v="3"/>
    <s v="VIEW_SUMMARY"/>
    <n v="706"/>
    <n v="334"/>
    <n v="1604"/>
    <n v="1604"/>
    <m/>
    <x v="3"/>
    <n v="98"/>
    <s v="Table2"/>
    <n v="20"/>
    <s v="251007_VerzekeraarsMasterClass"/>
    <n v="22"/>
    <n v="13"/>
    <x v="0"/>
    <x v="3"/>
    <n v="8"/>
    <x v="0"/>
  </r>
  <r>
    <n v="1440"/>
    <d v="2025-10-07T13:53:02"/>
    <n v="75000"/>
    <n v="40000"/>
    <n v="0"/>
    <n v="8000"/>
    <n v="0"/>
    <n v="0"/>
    <n v="20000"/>
    <n v="1000"/>
    <n v="6000"/>
    <n v="0"/>
    <n v="0"/>
    <n v="200"/>
    <n v="0"/>
    <n v="0"/>
    <n v="0"/>
    <n v="3"/>
    <n v="0"/>
    <n v="0"/>
    <n v="0"/>
    <n v="7"/>
    <n v="4"/>
    <n v="110000"/>
    <n v="80000"/>
    <n v="56000"/>
    <n v="0"/>
    <n v="0"/>
    <n v="80000"/>
    <n v="48000"/>
    <m/>
    <m/>
    <n v="4"/>
    <n v="9"/>
    <n v="-2"/>
    <n v="-1"/>
    <n v="4"/>
    <n v="3"/>
    <s v="VIEW_SUMMARY"/>
    <n v="706"/>
    <n v="337"/>
    <n v="1604"/>
    <n v="1604"/>
    <m/>
    <x v="4"/>
    <n v="98"/>
    <s v="Table2"/>
    <n v="20"/>
    <s v="251007_VerzekeraarsMasterClass"/>
    <n v="22"/>
    <n v="13"/>
    <x v="0"/>
    <x v="1"/>
    <n v="7"/>
    <x v="0"/>
  </r>
  <r>
    <n v="1333"/>
    <d v="2025-10-07T13:58:56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07"/>
    <n v="321"/>
    <m/>
    <m/>
    <m/>
    <x v="0"/>
    <n v="98"/>
    <s v="Table2"/>
    <n v="20"/>
    <s v="251007_VerzekeraarsMasterClass"/>
    <n v="22"/>
    <n v="0"/>
    <x v="1"/>
    <x v="0"/>
    <n v="0"/>
    <x v="0"/>
  </r>
  <r>
    <n v="1355"/>
    <d v="2025-10-07T13:58:56"/>
    <n v="110000"/>
    <n v="60000"/>
    <n v="0"/>
    <n v="17000"/>
    <n v="0"/>
    <n v="30000"/>
    <n v="20000"/>
    <n v="7000"/>
    <n v="0"/>
    <n v="0"/>
    <n v="0"/>
    <n v="600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6"/>
    <n v="9"/>
    <n v="0"/>
    <n v="0"/>
    <n v="1"/>
    <n v="1"/>
    <s v="VIEW_SUMMARY"/>
    <n v="707"/>
    <n v="324"/>
    <m/>
    <n v="1596"/>
    <m/>
    <x v="1"/>
    <n v="98"/>
    <s v="Table2"/>
    <n v="20"/>
    <s v="251007_VerzekeraarsMasterClass"/>
    <n v="22"/>
    <n v="15"/>
    <x v="1"/>
    <x v="0"/>
    <n v="2"/>
    <x v="0"/>
  </r>
  <r>
    <n v="1389"/>
    <d v="2025-10-07T13:58:56"/>
    <n v="110000"/>
    <n v="60000"/>
    <n v="0"/>
    <n v="17000"/>
    <n v="0"/>
    <n v="0"/>
    <n v="20000"/>
    <n v="8000"/>
    <n v="0"/>
    <n v="0"/>
    <n v="4000"/>
    <n v="7000"/>
    <n v="0"/>
    <n v="0"/>
    <n v="1"/>
    <n v="0"/>
    <n v="0"/>
    <n v="1"/>
    <n v="0"/>
    <n v="6"/>
    <n v="6"/>
    <n v="170000"/>
    <n v="170000"/>
    <n v="153000"/>
    <n v="0"/>
    <n v="0"/>
    <n v="170000"/>
    <n v="136000"/>
    <m/>
    <m/>
    <n v="6"/>
    <n v="9"/>
    <n v="0"/>
    <n v="0"/>
    <n v="2"/>
    <n v="2"/>
    <s v="VIEW_SUMMARY"/>
    <n v="707"/>
    <n v="329"/>
    <n v="1596"/>
    <n v="1596"/>
    <m/>
    <x v="2"/>
    <n v="98"/>
    <s v="Table2"/>
    <n v="20"/>
    <s v="251007_VerzekeraarsMasterClass"/>
    <n v="22"/>
    <n v="15"/>
    <x v="1"/>
    <x v="0"/>
    <n v="4"/>
    <x v="1"/>
  </r>
  <r>
    <n v="1422"/>
    <d v="2025-10-07T13:58:56"/>
    <n v="110000"/>
    <n v="60000"/>
    <n v="0"/>
    <n v="17000"/>
    <n v="0"/>
    <n v="0"/>
    <n v="20000"/>
    <n v="18000"/>
    <n v="0"/>
    <n v="0"/>
    <n v="0"/>
    <n v="2000"/>
    <n v="0"/>
    <n v="0"/>
    <n v="1"/>
    <n v="0"/>
    <n v="0"/>
    <n v="0"/>
    <n v="0"/>
    <n v="7"/>
    <n v="6"/>
    <n v="170000"/>
    <n v="170000"/>
    <n v="136000"/>
    <n v="0"/>
    <n v="0"/>
    <n v="170000"/>
    <n v="119000"/>
    <m/>
    <m/>
    <n v="6"/>
    <n v="9"/>
    <n v="-2"/>
    <n v="-1"/>
    <n v="4"/>
    <n v="3"/>
    <s v="VIEW_SUMMARY"/>
    <n v="707"/>
    <n v="334"/>
    <n v="1596"/>
    <n v="1596"/>
    <m/>
    <x v="3"/>
    <n v="98"/>
    <s v="Table2"/>
    <n v="20"/>
    <s v="251007_VerzekeraarsMasterClass"/>
    <n v="22"/>
    <n v="15"/>
    <x v="1"/>
    <x v="0"/>
    <n v="7"/>
    <x v="0"/>
  </r>
  <r>
    <n v="1437"/>
    <d v="2025-10-07T13:58:56"/>
    <n v="110000"/>
    <n v="60000"/>
    <n v="0"/>
    <n v="17000"/>
    <n v="0"/>
    <n v="0"/>
    <n v="20000"/>
    <n v="0"/>
    <n v="15000"/>
    <n v="0"/>
    <n v="0"/>
    <n v="0"/>
    <n v="0"/>
    <n v="0"/>
    <n v="0"/>
    <n v="3"/>
    <n v="0"/>
    <n v="0"/>
    <n v="0"/>
    <n v="12"/>
    <n v="6"/>
    <n v="170000"/>
    <n v="170000"/>
    <n v="119000"/>
    <n v="0"/>
    <n v="0"/>
    <n v="170000"/>
    <n v="102000"/>
    <m/>
    <m/>
    <n v="6"/>
    <n v="9"/>
    <n v="-2"/>
    <n v="-1"/>
    <n v="4"/>
    <n v="3"/>
    <s v="VIEW_SUMMARY"/>
    <n v="707"/>
    <n v="337"/>
    <n v="1596"/>
    <n v="1596"/>
    <m/>
    <x v="4"/>
    <n v="98"/>
    <s v="Table2"/>
    <n v="20"/>
    <s v="251007_VerzekeraarsMasterClass"/>
    <n v="22"/>
    <n v="15"/>
    <x v="1"/>
    <x v="1"/>
    <n v="7"/>
    <x v="0"/>
  </r>
  <r>
    <n v="1334"/>
    <d v="2025-10-07T13:59:16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08"/>
    <n v="321"/>
    <m/>
    <m/>
    <m/>
    <x v="0"/>
    <n v="98"/>
    <s v="Table2"/>
    <n v="20"/>
    <s v="251007_VerzekeraarsMasterClass"/>
    <n v="22"/>
    <n v="0"/>
    <x v="2"/>
    <x v="2"/>
    <n v="0"/>
    <x v="0"/>
  </r>
  <r>
    <n v="1356"/>
    <d v="2025-10-07T13:59:16"/>
    <n v="60000"/>
    <n v="30000"/>
    <n v="0"/>
    <n v="7000"/>
    <n v="0"/>
    <n v="0"/>
    <n v="20000"/>
    <n v="0"/>
    <n v="1750"/>
    <n v="0"/>
    <n v="0"/>
    <n v="1250"/>
    <n v="0"/>
    <n v="-1"/>
    <n v="0"/>
    <n v="1"/>
    <n v="0"/>
    <n v="0"/>
    <n v="0"/>
    <n v="5"/>
    <n v="3"/>
    <n v="80000"/>
    <n v="0"/>
    <n v="0"/>
    <n v="0"/>
    <n v="70000"/>
    <n v="70000"/>
    <n v="63000"/>
    <m/>
    <m/>
    <n v="6"/>
    <n v="6"/>
    <n v="0"/>
    <n v="0"/>
    <n v="0"/>
    <n v="0"/>
    <s v="VIEW_SUMMARY"/>
    <n v="708"/>
    <n v="324"/>
    <m/>
    <n v="1608"/>
    <m/>
    <x v="1"/>
    <n v="98"/>
    <s v="Table2"/>
    <n v="20"/>
    <s v="251007_VerzekeraarsMasterClass"/>
    <n v="22"/>
    <n v="12"/>
    <x v="2"/>
    <x v="2"/>
    <n v="0"/>
    <x v="0"/>
  </r>
  <r>
    <n v="1391"/>
    <d v="2025-10-07T13:59:16"/>
    <n v="60000"/>
    <n v="30000"/>
    <n v="0"/>
    <n v="7000"/>
    <n v="0"/>
    <n v="0"/>
    <n v="20000"/>
    <n v="0"/>
    <n v="3500"/>
    <n v="12000"/>
    <n v="4000"/>
    <n v="-15250"/>
    <n v="0"/>
    <n v="0"/>
    <n v="0"/>
    <n v="2"/>
    <n v="4"/>
    <n v="1"/>
    <n v="0"/>
    <n v="2"/>
    <n v="3"/>
    <n v="80000"/>
    <n v="70000"/>
    <n v="63000"/>
    <n v="0"/>
    <n v="0"/>
    <n v="70000"/>
    <n v="56000"/>
    <m/>
    <m/>
    <n v="6"/>
    <n v="6"/>
    <n v="0"/>
    <n v="0"/>
    <n v="0"/>
    <n v="0"/>
    <s v="VIEW_SUMMARY"/>
    <n v="708"/>
    <n v="329"/>
    <n v="1608"/>
    <n v="1608"/>
    <m/>
    <x v="2"/>
    <n v="98"/>
    <s v="Table2"/>
    <n v="20"/>
    <s v="251007_VerzekeraarsMasterClass"/>
    <n v="22"/>
    <n v="12"/>
    <x v="2"/>
    <x v="2"/>
    <n v="0"/>
    <x v="3"/>
  </r>
  <r>
    <n v="1419"/>
    <d v="2025-10-07T13:59:16"/>
    <n v="60000"/>
    <n v="30000"/>
    <n v="15250"/>
    <n v="7000"/>
    <n v="0"/>
    <n v="0"/>
    <n v="20000"/>
    <n v="0"/>
    <n v="0"/>
    <n v="0"/>
    <n v="4000"/>
    <n v="-16250"/>
    <n v="0"/>
    <n v="0"/>
    <n v="0"/>
    <n v="0"/>
    <n v="0"/>
    <n v="1"/>
    <n v="1"/>
    <n v="0"/>
    <n v="3"/>
    <n v="80000"/>
    <n v="70000"/>
    <n v="56000"/>
    <n v="0"/>
    <n v="0"/>
    <n v="70000"/>
    <n v="49000"/>
    <m/>
    <m/>
    <n v="6"/>
    <n v="6"/>
    <n v="-2"/>
    <n v="-1"/>
    <n v="0"/>
    <n v="0"/>
    <s v="VIEW_SUMMARY"/>
    <n v="708"/>
    <n v="334"/>
    <n v="1608"/>
    <n v="1608"/>
    <m/>
    <x v="3"/>
    <n v="98"/>
    <s v="Table2"/>
    <n v="20"/>
    <s v="251007_VerzekeraarsMasterClass"/>
    <n v="22"/>
    <n v="12"/>
    <x v="2"/>
    <x v="2"/>
    <n v="0"/>
    <x v="1"/>
  </r>
  <r>
    <n v="1436"/>
    <d v="2025-10-07T13:59:16"/>
    <n v="60000"/>
    <n v="30000"/>
    <n v="16250"/>
    <n v="7000"/>
    <n v="0"/>
    <n v="0"/>
    <n v="20000"/>
    <n v="0"/>
    <n v="0"/>
    <n v="0"/>
    <n v="4000"/>
    <n v="-17250"/>
    <n v="0"/>
    <n v="0"/>
    <n v="0"/>
    <n v="0"/>
    <n v="0"/>
    <n v="1"/>
    <n v="1"/>
    <n v="-2"/>
    <n v="3"/>
    <n v="80000"/>
    <n v="70000"/>
    <n v="49000"/>
    <n v="0"/>
    <n v="0"/>
    <n v="70000"/>
    <n v="42000"/>
    <m/>
    <m/>
    <n v="6"/>
    <n v="6"/>
    <n v="-2"/>
    <n v="-1"/>
    <n v="0"/>
    <n v="0"/>
    <s v="VIEW_SUMMARY"/>
    <n v="708"/>
    <n v="337"/>
    <n v="1608"/>
    <n v="1608"/>
    <m/>
    <x v="4"/>
    <n v="98"/>
    <s v="Table2"/>
    <n v="20"/>
    <s v="251007_VerzekeraarsMasterClass"/>
    <n v="22"/>
    <n v="12"/>
    <x v="2"/>
    <x v="1"/>
    <n v="0"/>
    <x v="1"/>
  </r>
  <r>
    <n v="1336"/>
    <d v="2025-10-07T14:16:55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09"/>
    <n v="321"/>
    <m/>
    <m/>
    <m/>
    <x v="0"/>
    <n v="98"/>
    <s v="Table2"/>
    <n v="20"/>
    <s v="251007_VerzekeraarsMasterClass"/>
    <n v="22"/>
    <n v="0"/>
    <x v="3"/>
    <x v="3"/>
    <n v="0"/>
    <x v="0"/>
  </r>
  <r>
    <n v="1351"/>
    <d v="2025-10-07T14:16:55"/>
    <n v="90000"/>
    <n v="50000"/>
    <n v="0"/>
    <n v="13000"/>
    <n v="0"/>
    <n v="30000"/>
    <n v="15000"/>
    <n v="0"/>
    <n v="0"/>
    <n v="0"/>
    <n v="0"/>
    <n v="-3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709"/>
    <n v="324"/>
    <m/>
    <n v="1602"/>
    <m/>
    <x v="1"/>
    <n v="98"/>
    <s v="Table2"/>
    <n v="20"/>
    <s v="251007_VerzekeraarsMasterClass"/>
    <n v="22"/>
    <n v="13"/>
    <x v="3"/>
    <x v="3"/>
    <n v="0"/>
    <x v="0"/>
  </r>
  <r>
    <n v="1390"/>
    <d v="2025-10-07T14:16:55"/>
    <n v="90000"/>
    <n v="50000"/>
    <n v="3000"/>
    <n v="13000"/>
    <n v="0"/>
    <n v="0"/>
    <n v="15000"/>
    <n v="0"/>
    <n v="7700"/>
    <n v="0"/>
    <n v="4000"/>
    <n v="-2700"/>
    <n v="0"/>
    <n v="0"/>
    <n v="0"/>
    <n v="1"/>
    <n v="0"/>
    <n v="1"/>
    <n v="1"/>
    <n v="4"/>
    <n v="5"/>
    <n v="130000"/>
    <n v="130000"/>
    <n v="117000"/>
    <n v="0"/>
    <n v="0"/>
    <n v="130000"/>
    <n v="104000"/>
    <m/>
    <m/>
    <n v="4"/>
    <n v="9"/>
    <n v="0"/>
    <n v="0"/>
    <n v="1"/>
    <n v="1"/>
    <s v="VIEW_SUMMARY"/>
    <n v="709"/>
    <n v="329"/>
    <n v="1602"/>
    <n v="1602"/>
    <m/>
    <x v="2"/>
    <n v="98"/>
    <s v="Table2"/>
    <n v="20"/>
    <s v="251007_VerzekeraarsMasterClass"/>
    <n v="22"/>
    <n v="13"/>
    <x v="3"/>
    <x v="3"/>
    <n v="2"/>
    <x v="1"/>
  </r>
  <r>
    <n v="1421"/>
    <d v="2025-10-07T14:16:55"/>
    <n v="90000"/>
    <n v="50000"/>
    <n v="2700"/>
    <n v="13000"/>
    <n v="0"/>
    <n v="0"/>
    <n v="15000"/>
    <n v="0"/>
    <n v="0"/>
    <n v="0"/>
    <n v="4000"/>
    <n v="5300"/>
    <n v="0"/>
    <n v="0"/>
    <n v="0"/>
    <n v="0"/>
    <n v="0"/>
    <n v="1"/>
    <n v="1"/>
    <n v="2"/>
    <n v="5"/>
    <n v="130000"/>
    <n v="130000"/>
    <n v="104000"/>
    <n v="0"/>
    <n v="0"/>
    <n v="130000"/>
    <n v="91000"/>
    <m/>
    <m/>
    <n v="4"/>
    <n v="9"/>
    <n v="-2"/>
    <n v="-1"/>
    <n v="0"/>
    <n v="0"/>
    <s v="VIEW_SUMMARY"/>
    <n v="709"/>
    <n v="334"/>
    <n v="1602"/>
    <n v="1602"/>
    <m/>
    <x v="3"/>
    <n v="98"/>
    <s v="Table2"/>
    <n v="20"/>
    <s v="251007_VerzekeraarsMasterClass"/>
    <n v="22"/>
    <n v="13"/>
    <x v="3"/>
    <x v="0"/>
    <n v="0"/>
    <x v="1"/>
  </r>
  <r>
    <n v="1439"/>
    <d v="2025-10-07T14:16:55"/>
    <n v="90000"/>
    <n v="50000"/>
    <n v="0"/>
    <n v="10000"/>
    <n v="69000"/>
    <n v="0"/>
    <n v="20000"/>
    <n v="32000"/>
    <n v="14000"/>
    <n v="0"/>
    <n v="0"/>
    <n v="38300"/>
    <n v="1"/>
    <n v="-2"/>
    <n v="3"/>
    <n v="4"/>
    <n v="0"/>
    <n v="0"/>
    <n v="0"/>
    <n v="10"/>
    <n v="5"/>
    <n v="130000"/>
    <n v="130000"/>
    <n v="91000"/>
    <n v="160000"/>
    <n v="100000"/>
    <n v="100000"/>
    <n v="90000"/>
    <n v="36"/>
    <m/>
    <n v="6"/>
    <n v="9"/>
    <n v="-2"/>
    <n v="-1"/>
    <n v="5"/>
    <n v="4"/>
    <s v="VIEW_SUMMARY"/>
    <n v="709"/>
    <n v="337"/>
    <n v="1602"/>
    <n v="1663"/>
    <m/>
    <x v="4"/>
    <n v="98"/>
    <s v="Table2"/>
    <n v="20"/>
    <s v="251007_VerzekeraarsMasterClass"/>
    <n v="22"/>
    <n v="15"/>
    <x v="3"/>
    <x v="1"/>
    <n v="9"/>
    <x v="0"/>
  </r>
  <r>
    <n v="1346"/>
    <d v="2025-10-07T14:18:05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10"/>
    <n v="321"/>
    <m/>
    <m/>
    <m/>
    <x v="0"/>
    <n v="98"/>
    <s v="Table2"/>
    <n v="20"/>
    <s v="251007_VerzekeraarsMasterClass"/>
    <n v="22"/>
    <n v="0"/>
    <x v="4"/>
    <x v="0"/>
    <n v="0"/>
    <x v="0"/>
  </r>
  <r>
    <n v="1353"/>
    <d v="2025-10-07T14:18:05"/>
    <n v="130000"/>
    <n v="75000"/>
    <n v="0"/>
    <n v="20000"/>
    <n v="0"/>
    <n v="0"/>
    <n v="20000"/>
    <n v="9000"/>
    <n v="14000"/>
    <n v="0"/>
    <n v="0"/>
    <n v="42000"/>
    <n v="0"/>
    <n v="-1"/>
    <n v="1"/>
    <n v="2"/>
    <n v="0"/>
    <n v="0"/>
    <n v="0"/>
    <n v="7"/>
    <n v="7"/>
    <n v="200000"/>
    <n v="0"/>
    <n v="0"/>
    <n v="0"/>
    <n v="200000"/>
    <n v="200000"/>
    <n v="180000"/>
    <m/>
    <m/>
    <n v="6"/>
    <n v="9"/>
    <n v="0"/>
    <n v="0"/>
    <n v="2"/>
    <n v="2"/>
    <s v="VIEW_SUMMARY"/>
    <n v="710"/>
    <n v="324"/>
    <m/>
    <n v="1597"/>
    <m/>
    <x v="1"/>
    <n v="98"/>
    <s v="Table2"/>
    <n v="20"/>
    <s v="251007_VerzekeraarsMasterClass"/>
    <n v="22"/>
    <n v="15"/>
    <x v="4"/>
    <x v="0"/>
    <n v="4"/>
    <x v="0"/>
  </r>
  <r>
    <n v="1388"/>
    <d v="2025-10-07T14:18:05"/>
    <n v="130000"/>
    <n v="75000"/>
    <n v="0"/>
    <n v="20000"/>
    <n v="0"/>
    <n v="0"/>
    <n v="20000"/>
    <n v="24000"/>
    <n v="14000"/>
    <n v="0"/>
    <n v="0"/>
    <n v="19000"/>
    <n v="0"/>
    <n v="0"/>
    <n v="2"/>
    <n v="2"/>
    <n v="0"/>
    <n v="0"/>
    <n v="0"/>
    <n v="11"/>
    <n v="7"/>
    <n v="200000"/>
    <n v="200000"/>
    <n v="180000"/>
    <n v="0"/>
    <n v="0"/>
    <n v="200000"/>
    <n v="160000"/>
    <m/>
    <m/>
    <n v="6"/>
    <n v="9"/>
    <n v="0"/>
    <n v="0"/>
    <n v="5"/>
    <n v="4"/>
    <s v="VIEW_SUMMARY"/>
    <n v="710"/>
    <n v="329"/>
    <n v="1597"/>
    <n v="1597"/>
    <m/>
    <x v="2"/>
    <n v="98"/>
    <s v="Table2"/>
    <n v="20"/>
    <s v="251007_VerzekeraarsMasterClass"/>
    <n v="22"/>
    <n v="15"/>
    <x v="4"/>
    <x v="0"/>
    <n v="9"/>
    <x v="0"/>
  </r>
  <r>
    <n v="1417"/>
    <d v="2025-10-07T14:18:05"/>
    <n v="130000"/>
    <n v="75000"/>
    <n v="0"/>
    <n v="20000"/>
    <n v="0"/>
    <n v="0"/>
    <n v="20000"/>
    <n v="0"/>
    <n v="25500"/>
    <n v="0"/>
    <n v="0"/>
    <n v="8500"/>
    <n v="0"/>
    <n v="0"/>
    <n v="0"/>
    <n v="4"/>
    <n v="0"/>
    <n v="0"/>
    <n v="0"/>
    <n v="15"/>
    <n v="7"/>
    <n v="200000"/>
    <n v="200000"/>
    <n v="160000"/>
    <n v="0"/>
    <n v="0"/>
    <n v="200000"/>
    <n v="140000"/>
    <m/>
    <m/>
    <n v="6"/>
    <n v="9"/>
    <n v="-2"/>
    <n v="-1"/>
    <n v="5"/>
    <n v="4"/>
    <s v="VIEW_SUMMARY"/>
    <n v="710"/>
    <n v="334"/>
    <n v="1597"/>
    <n v="1597"/>
    <m/>
    <x v="3"/>
    <n v="98"/>
    <s v="Table2"/>
    <n v="20"/>
    <s v="251007_VerzekeraarsMasterClass"/>
    <n v="22"/>
    <n v="15"/>
    <x v="4"/>
    <x v="0"/>
    <n v="9"/>
    <x v="0"/>
  </r>
  <r>
    <n v="1438"/>
    <d v="2025-10-07T14:18:05"/>
    <n v="130000"/>
    <n v="75000"/>
    <n v="0"/>
    <n v="20000"/>
    <n v="0"/>
    <n v="0"/>
    <n v="20000"/>
    <n v="0"/>
    <n v="19000"/>
    <n v="0"/>
    <n v="0"/>
    <n v="4500"/>
    <n v="0"/>
    <n v="0"/>
    <n v="0"/>
    <n v="3"/>
    <n v="0"/>
    <n v="0"/>
    <n v="0"/>
    <n v="20"/>
    <n v="7"/>
    <n v="200000"/>
    <n v="200000"/>
    <n v="140000"/>
    <n v="0"/>
    <n v="0"/>
    <n v="200000"/>
    <n v="120000"/>
    <m/>
    <m/>
    <n v="6"/>
    <n v="9"/>
    <n v="-2"/>
    <n v="-1"/>
    <n v="5"/>
    <n v="4"/>
    <s v="VIEW_SUMMARY"/>
    <n v="710"/>
    <n v="337"/>
    <n v="1597"/>
    <n v="1597"/>
    <m/>
    <x v="4"/>
    <n v="98"/>
    <s v="Table2"/>
    <n v="20"/>
    <s v="251007_VerzekeraarsMasterClass"/>
    <n v="22"/>
    <n v="15"/>
    <x v="4"/>
    <x v="1"/>
    <n v="9"/>
    <x v="0"/>
  </r>
  <r>
    <n v="1322"/>
    <d v="2025-10-07T13:52:09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11"/>
    <n v="321"/>
    <m/>
    <m/>
    <m/>
    <x v="0"/>
    <n v="98"/>
    <s v="Table2"/>
    <n v="20"/>
    <s v="251007_VerzekeraarsMasterClass"/>
    <n v="22"/>
    <n v="0"/>
    <x v="5"/>
    <x v="3"/>
    <n v="0"/>
    <x v="0"/>
  </r>
  <r>
    <n v="1354"/>
    <d v="2025-10-07T13:52:09"/>
    <n v="190000"/>
    <n v="115000"/>
    <n v="0"/>
    <n v="30000"/>
    <n v="0"/>
    <n v="0"/>
    <n v="15000"/>
    <n v="14000"/>
    <n v="30500"/>
    <n v="0"/>
    <n v="0"/>
    <n v="65500"/>
    <n v="0"/>
    <n v="0"/>
    <n v="2"/>
    <n v="3"/>
    <n v="0"/>
    <n v="0"/>
    <n v="0"/>
    <n v="10"/>
    <n v="8"/>
    <n v="300000"/>
    <n v="0"/>
    <n v="0"/>
    <n v="0"/>
    <n v="300000"/>
    <n v="300000"/>
    <n v="270000"/>
    <m/>
    <m/>
    <n v="4"/>
    <n v="9"/>
    <n v="0"/>
    <n v="0"/>
    <n v="3"/>
    <n v="1"/>
    <s v="VIEW_SUMMARY"/>
    <n v="711"/>
    <n v="324"/>
    <m/>
    <n v="1600"/>
    <m/>
    <x v="1"/>
    <n v="98"/>
    <s v="Table2"/>
    <n v="20"/>
    <s v="251007_VerzekeraarsMasterClass"/>
    <n v="22"/>
    <n v="13"/>
    <x v="5"/>
    <x v="3"/>
    <n v="4"/>
    <x v="0"/>
  </r>
  <r>
    <n v="1387"/>
    <d v="2025-10-07T13:52:09"/>
    <n v="190000"/>
    <n v="115000"/>
    <n v="0"/>
    <n v="30000"/>
    <n v="0"/>
    <n v="0"/>
    <n v="15000"/>
    <n v="0"/>
    <n v="15500"/>
    <n v="0"/>
    <n v="4000"/>
    <n v="76000"/>
    <n v="0"/>
    <n v="0"/>
    <n v="0"/>
    <n v="1"/>
    <n v="0"/>
    <n v="1"/>
    <n v="0"/>
    <n v="10"/>
    <n v="8"/>
    <n v="300000"/>
    <n v="300000"/>
    <n v="270000"/>
    <n v="0"/>
    <n v="0"/>
    <n v="300000"/>
    <n v="240000"/>
    <m/>
    <m/>
    <n v="4"/>
    <n v="9"/>
    <n v="0"/>
    <n v="0"/>
    <n v="3"/>
    <n v="1"/>
    <s v="VIEW_SUMMARY"/>
    <n v="711"/>
    <n v="329"/>
    <n v="1600"/>
    <n v="1600"/>
    <m/>
    <x v="2"/>
    <n v="98"/>
    <s v="Table2"/>
    <n v="20"/>
    <s v="251007_VerzekeraarsMasterClass"/>
    <n v="22"/>
    <n v="13"/>
    <x v="5"/>
    <x v="3"/>
    <n v="4"/>
    <x v="1"/>
  </r>
  <r>
    <n v="1418"/>
    <d v="2025-10-07T13:52:09"/>
    <n v="190000"/>
    <n v="115000"/>
    <n v="0"/>
    <n v="30000"/>
    <n v="0"/>
    <n v="0"/>
    <n v="15000"/>
    <n v="19000"/>
    <n v="30500"/>
    <n v="0"/>
    <n v="0"/>
    <n v="56500"/>
    <n v="0"/>
    <n v="0"/>
    <n v="1"/>
    <n v="3"/>
    <n v="0"/>
    <n v="0"/>
    <n v="0"/>
    <n v="14"/>
    <n v="8"/>
    <n v="300000"/>
    <n v="300000"/>
    <n v="240000"/>
    <n v="0"/>
    <n v="0"/>
    <n v="300000"/>
    <n v="210000"/>
    <m/>
    <m/>
    <n v="4"/>
    <n v="9"/>
    <n v="-2"/>
    <n v="-1"/>
    <n v="5"/>
    <n v="4"/>
    <s v="VIEW_SUMMARY"/>
    <n v="711"/>
    <n v="334"/>
    <n v="1600"/>
    <n v="1600"/>
    <m/>
    <x v="3"/>
    <n v="98"/>
    <s v="Table2"/>
    <n v="20"/>
    <s v="251007_VerzekeraarsMasterClass"/>
    <n v="22"/>
    <n v="13"/>
    <x v="5"/>
    <x v="3"/>
    <n v="9"/>
    <x v="0"/>
  </r>
  <r>
    <n v="1435"/>
    <d v="2025-10-07T13:52:09"/>
    <n v="190000"/>
    <n v="115000"/>
    <n v="0"/>
    <n v="30000"/>
    <n v="0"/>
    <n v="0"/>
    <n v="20000"/>
    <n v="0"/>
    <n v="38000"/>
    <n v="0"/>
    <n v="0"/>
    <n v="43500"/>
    <n v="0"/>
    <n v="0"/>
    <n v="0"/>
    <n v="4"/>
    <n v="0"/>
    <n v="0"/>
    <n v="0"/>
    <n v="18"/>
    <n v="8"/>
    <n v="300000"/>
    <n v="300000"/>
    <n v="210000"/>
    <n v="0"/>
    <n v="0"/>
    <n v="300000"/>
    <n v="180000"/>
    <m/>
    <m/>
    <n v="4"/>
    <n v="9"/>
    <n v="-2"/>
    <n v="-1"/>
    <n v="5"/>
    <n v="4"/>
    <s v="VIEW_SUMMARY"/>
    <n v="711"/>
    <n v="337"/>
    <n v="1600"/>
    <n v="1600"/>
    <m/>
    <x v="4"/>
    <n v="98"/>
    <s v="Table2"/>
    <n v="20"/>
    <s v="251007_VerzekeraarsMasterClass"/>
    <n v="22"/>
    <n v="13"/>
    <x v="5"/>
    <x v="1"/>
    <n v="9"/>
    <x v="0"/>
  </r>
  <r>
    <n v="1332"/>
    <d v="2025-10-07T13:56:39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14"/>
    <n v="319"/>
    <m/>
    <m/>
    <m/>
    <x v="0"/>
    <n v="99"/>
    <s v="Table3"/>
    <n v="20"/>
    <s v="251007_VerzekeraarsMasterClass"/>
    <n v="22"/>
    <n v="0"/>
    <x v="0"/>
    <x v="0"/>
    <n v="0"/>
    <x v="0"/>
  </r>
  <r>
    <n v="1339"/>
    <d v="2025-10-07T13:56:39"/>
    <n v="75000"/>
    <n v="40000"/>
    <n v="0"/>
    <n v="10000"/>
    <n v="0"/>
    <n v="0"/>
    <n v="15000"/>
    <n v="0"/>
    <n v="5000"/>
    <n v="0"/>
    <n v="0"/>
    <n v="10000"/>
    <n v="0"/>
    <n v="-1"/>
    <n v="0"/>
    <n v="2"/>
    <n v="0"/>
    <n v="0"/>
    <n v="0"/>
    <n v="6"/>
    <n v="4"/>
    <n v="110000"/>
    <n v="0"/>
    <n v="0"/>
    <n v="0"/>
    <n v="100000"/>
    <n v="100000"/>
    <n v="90000"/>
    <m/>
    <m/>
    <n v="6"/>
    <n v="9"/>
    <n v="0"/>
    <n v="0"/>
    <n v="0"/>
    <n v="0"/>
    <s v="VIEW_SUMMARY"/>
    <n v="714"/>
    <n v="322"/>
    <m/>
    <n v="1568"/>
    <m/>
    <x v="1"/>
    <n v="99"/>
    <s v="Table3"/>
    <n v="20"/>
    <s v="251007_VerzekeraarsMasterClass"/>
    <n v="22"/>
    <n v="15"/>
    <x v="0"/>
    <x v="0"/>
    <n v="0"/>
    <x v="0"/>
  </r>
  <r>
    <n v="1376"/>
    <d v="2025-10-07T13:56:39"/>
    <n v="75000"/>
    <n v="40000"/>
    <n v="0"/>
    <n v="10000"/>
    <n v="0"/>
    <n v="0"/>
    <n v="15000"/>
    <n v="9000"/>
    <n v="0"/>
    <n v="0"/>
    <n v="0"/>
    <n v="11000"/>
    <n v="0"/>
    <n v="0"/>
    <n v="1"/>
    <n v="0"/>
    <n v="0"/>
    <n v="0"/>
    <n v="0"/>
    <n v="7"/>
    <n v="4"/>
    <n v="110000"/>
    <n v="100000"/>
    <n v="90000"/>
    <n v="0"/>
    <n v="0"/>
    <n v="100000"/>
    <n v="80000"/>
    <m/>
    <m/>
    <n v="6"/>
    <n v="9"/>
    <n v="0"/>
    <n v="0"/>
    <n v="1"/>
    <n v="1"/>
    <s v="VIEW_SUMMARY"/>
    <n v="714"/>
    <n v="326"/>
    <n v="1568"/>
    <n v="1568"/>
    <m/>
    <x v="2"/>
    <n v="99"/>
    <s v="Table3"/>
    <n v="20"/>
    <s v="251007_VerzekeraarsMasterClass"/>
    <n v="22"/>
    <n v="15"/>
    <x v="0"/>
    <x v="0"/>
    <n v="2"/>
    <x v="0"/>
  </r>
  <r>
    <n v="1402"/>
    <d v="2025-10-07T13:56:39"/>
    <n v="75000"/>
    <n v="40000"/>
    <n v="0"/>
    <n v="10000"/>
    <n v="0"/>
    <n v="0"/>
    <n v="15000"/>
    <n v="18000"/>
    <n v="0"/>
    <n v="0"/>
    <n v="0"/>
    <n v="3000"/>
    <n v="0"/>
    <n v="0"/>
    <n v="1"/>
    <n v="0"/>
    <n v="0"/>
    <n v="0"/>
    <n v="0"/>
    <n v="8"/>
    <n v="4"/>
    <n v="110000"/>
    <n v="100000"/>
    <n v="80000"/>
    <n v="0"/>
    <n v="0"/>
    <n v="100000"/>
    <n v="60000"/>
    <m/>
    <m/>
    <n v="6"/>
    <n v="9"/>
    <n v="-2"/>
    <n v="-1"/>
    <n v="3"/>
    <n v="3"/>
    <s v="VIEW_SUMMARY"/>
    <n v="714"/>
    <n v="331"/>
    <n v="1568"/>
    <n v="1568"/>
    <m/>
    <x v="3"/>
    <n v="99"/>
    <s v="Table3"/>
    <n v="20"/>
    <s v="251007_VerzekeraarsMasterClass"/>
    <n v="22"/>
    <n v="15"/>
    <x v="0"/>
    <x v="0"/>
    <n v="6"/>
    <x v="0"/>
  </r>
  <r>
    <n v="1425"/>
    <d v="2025-10-07T13:56:39"/>
    <n v="75000"/>
    <n v="40000"/>
    <n v="0"/>
    <n v="10000"/>
    <n v="0"/>
    <n v="0"/>
    <n v="20000"/>
    <n v="0"/>
    <n v="7500"/>
    <n v="0"/>
    <n v="0"/>
    <n v="500"/>
    <n v="0"/>
    <n v="0"/>
    <n v="0"/>
    <n v="3"/>
    <n v="0"/>
    <n v="0"/>
    <n v="0"/>
    <n v="13"/>
    <n v="4"/>
    <n v="110000"/>
    <n v="100000"/>
    <n v="60000"/>
    <n v="0"/>
    <n v="0"/>
    <n v="100000"/>
    <n v="50000"/>
    <m/>
    <m/>
    <n v="6"/>
    <n v="9"/>
    <n v="-2"/>
    <n v="-1"/>
    <n v="3"/>
    <n v="3"/>
    <s v="VIEW_DAMAGE"/>
    <n v="714"/>
    <n v="335"/>
    <n v="1568"/>
    <n v="1568"/>
    <m/>
    <x v="4"/>
    <n v="99"/>
    <s v="Table3"/>
    <n v="20"/>
    <s v="251007_VerzekeraarsMasterClass"/>
    <n v="22"/>
    <n v="15"/>
    <x v="0"/>
    <x v="1"/>
    <n v="6"/>
    <x v="0"/>
  </r>
  <r>
    <n v="1325"/>
    <d v="2025-10-07T13:53:52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15"/>
    <n v="319"/>
    <m/>
    <m/>
    <m/>
    <x v="0"/>
    <n v="99"/>
    <s v="Table3"/>
    <n v="20"/>
    <s v="251007_VerzekeraarsMasterClass"/>
    <n v="22"/>
    <n v="0"/>
    <x v="1"/>
    <x v="2"/>
    <n v="0"/>
    <x v="0"/>
  </r>
  <r>
    <n v="1342"/>
    <d v="2025-10-07T13:53:52"/>
    <n v="110000"/>
    <n v="60000"/>
    <n v="0"/>
    <n v="12500"/>
    <n v="0"/>
    <n v="0"/>
    <n v="20000"/>
    <n v="22000"/>
    <n v="9375"/>
    <n v="0"/>
    <n v="0"/>
    <n v="16125"/>
    <n v="0"/>
    <n v="-2"/>
    <n v="3"/>
    <n v="3"/>
    <n v="0"/>
    <n v="0"/>
    <n v="0"/>
    <n v="9"/>
    <n v="6"/>
    <n v="170000"/>
    <n v="0"/>
    <n v="0"/>
    <n v="0"/>
    <n v="125000"/>
    <n v="125000"/>
    <n v="112500"/>
    <m/>
    <m/>
    <n v="6"/>
    <n v="6"/>
    <n v="0"/>
    <n v="0"/>
    <n v="3"/>
    <n v="1"/>
    <s v="VIEW_SUMMARY"/>
    <n v="715"/>
    <n v="322"/>
    <m/>
    <n v="1577"/>
    <m/>
    <x v="1"/>
    <n v="99"/>
    <s v="Table3"/>
    <n v="20"/>
    <s v="251007_VerzekeraarsMasterClass"/>
    <n v="22"/>
    <n v="12"/>
    <x v="1"/>
    <x v="2"/>
    <n v="4"/>
    <x v="0"/>
  </r>
  <r>
    <n v="1370"/>
    <d v="2025-10-07T13:53:52"/>
    <n v="110000"/>
    <n v="60000"/>
    <n v="0"/>
    <n v="12500"/>
    <n v="0"/>
    <n v="0"/>
    <n v="20000"/>
    <n v="11000"/>
    <n v="8750"/>
    <n v="0"/>
    <n v="0"/>
    <n v="13875"/>
    <n v="0"/>
    <n v="0"/>
    <n v="0"/>
    <n v="2"/>
    <n v="1"/>
    <n v="0"/>
    <n v="0"/>
    <n v="10"/>
    <n v="6"/>
    <n v="170000"/>
    <n v="125000"/>
    <n v="112500"/>
    <n v="0"/>
    <n v="0"/>
    <n v="125000"/>
    <n v="100000"/>
    <m/>
    <m/>
    <n v="6"/>
    <n v="6"/>
    <n v="0"/>
    <n v="0"/>
    <n v="5"/>
    <n v="4"/>
    <s v="VIEW_SUMMARY"/>
    <n v="715"/>
    <n v="326"/>
    <n v="1577"/>
    <n v="1577"/>
    <m/>
    <x v="2"/>
    <n v="99"/>
    <s v="Table3"/>
    <n v="20"/>
    <s v="251007_VerzekeraarsMasterClass"/>
    <n v="22"/>
    <n v="12"/>
    <x v="1"/>
    <x v="2"/>
    <n v="9"/>
    <x v="0"/>
  </r>
  <r>
    <n v="1404"/>
    <d v="2025-10-07T13:53:52"/>
    <n v="110000"/>
    <n v="60000"/>
    <n v="0"/>
    <n v="12500"/>
    <n v="0"/>
    <n v="0"/>
    <n v="20000"/>
    <n v="0"/>
    <n v="17375"/>
    <n v="0"/>
    <n v="0"/>
    <n v="14000"/>
    <n v="0"/>
    <n v="0"/>
    <n v="0"/>
    <n v="4"/>
    <n v="0"/>
    <n v="0"/>
    <n v="0"/>
    <n v="14"/>
    <n v="6"/>
    <n v="170000"/>
    <n v="125000"/>
    <n v="100000"/>
    <n v="0"/>
    <n v="0"/>
    <n v="125000"/>
    <n v="75000"/>
    <m/>
    <m/>
    <n v="6"/>
    <n v="6"/>
    <n v="-2"/>
    <n v="-1"/>
    <n v="5"/>
    <n v="4"/>
    <s v="VIEW_SUMMARY"/>
    <n v="715"/>
    <n v="331"/>
    <n v="1577"/>
    <n v="1577"/>
    <m/>
    <x v="3"/>
    <n v="99"/>
    <s v="Table3"/>
    <n v="20"/>
    <s v="251007_VerzekeraarsMasterClass"/>
    <n v="22"/>
    <n v="12"/>
    <x v="1"/>
    <x v="2"/>
    <n v="9"/>
    <x v="0"/>
  </r>
  <r>
    <n v="1424"/>
    <d v="2025-10-07T13:53:52"/>
    <n v="110000"/>
    <n v="60000"/>
    <n v="0"/>
    <n v="12500"/>
    <n v="0"/>
    <n v="0"/>
    <n v="20000"/>
    <n v="0"/>
    <n v="17375"/>
    <n v="0"/>
    <n v="0"/>
    <n v="14125"/>
    <n v="0"/>
    <n v="0"/>
    <n v="0"/>
    <n v="4"/>
    <n v="1"/>
    <n v="0"/>
    <n v="0"/>
    <n v="17"/>
    <n v="6"/>
    <n v="170000"/>
    <n v="125000"/>
    <n v="75000"/>
    <n v="0"/>
    <n v="0"/>
    <n v="125000"/>
    <n v="62500"/>
    <m/>
    <m/>
    <n v="6"/>
    <n v="6"/>
    <n v="-2"/>
    <n v="-1"/>
    <n v="5"/>
    <n v="4"/>
    <s v="VIEW_SUMMARY"/>
    <n v="715"/>
    <n v="335"/>
    <n v="1577"/>
    <n v="1577"/>
    <m/>
    <x v="4"/>
    <n v="99"/>
    <s v="Table3"/>
    <n v="20"/>
    <s v="251007_VerzekeraarsMasterClass"/>
    <n v="22"/>
    <n v="12"/>
    <x v="1"/>
    <x v="1"/>
    <n v="9"/>
    <x v="0"/>
  </r>
  <r>
    <n v="1337"/>
    <d v="2025-10-07T14:17:01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16"/>
    <n v="319"/>
    <m/>
    <m/>
    <m/>
    <x v="0"/>
    <n v="99"/>
    <s v="Table3"/>
    <n v="20"/>
    <s v="251007_VerzekeraarsMasterClass"/>
    <n v="22"/>
    <n v="0"/>
    <x v="2"/>
    <x v="2"/>
    <n v="0"/>
    <x v="0"/>
  </r>
  <r>
    <n v="1341"/>
    <d v="2025-10-07T14:17:01"/>
    <n v="60000"/>
    <n v="30000"/>
    <n v="0"/>
    <n v="7000"/>
    <n v="0"/>
    <n v="0"/>
    <n v="20000"/>
    <n v="1000"/>
    <n v="1400"/>
    <n v="0"/>
    <n v="0"/>
    <n v="600"/>
    <n v="0"/>
    <n v="-1"/>
    <n v="0"/>
    <n v="0"/>
    <n v="0"/>
    <n v="0"/>
    <n v="0"/>
    <n v="4"/>
    <n v="3"/>
    <n v="80000"/>
    <n v="0"/>
    <n v="0"/>
    <n v="0"/>
    <n v="70000"/>
    <n v="70000"/>
    <n v="63000"/>
    <m/>
    <m/>
    <n v="6"/>
    <n v="6"/>
    <n v="0"/>
    <n v="0"/>
    <n v="1"/>
    <n v="2"/>
    <s v="VIEW_SUMMARY"/>
    <n v="716"/>
    <n v="322"/>
    <m/>
    <n v="1578"/>
    <m/>
    <x v="1"/>
    <n v="99"/>
    <s v="Table3"/>
    <n v="20"/>
    <s v="251007_VerzekeraarsMasterClass"/>
    <n v="22"/>
    <n v="12"/>
    <x v="2"/>
    <x v="2"/>
    <n v="3"/>
    <x v="0"/>
  </r>
  <r>
    <n v="1372"/>
    <d v="2025-10-07T14:17:01"/>
    <n v="60000"/>
    <n v="30000"/>
    <n v="0"/>
    <n v="7000"/>
    <n v="0"/>
    <n v="0"/>
    <n v="20000"/>
    <n v="0"/>
    <n v="3150"/>
    <n v="0"/>
    <n v="0"/>
    <n v="450"/>
    <n v="0"/>
    <n v="0"/>
    <n v="0"/>
    <n v="1"/>
    <n v="1"/>
    <n v="0"/>
    <n v="0"/>
    <n v="4"/>
    <n v="3"/>
    <n v="80000"/>
    <n v="70000"/>
    <n v="63000"/>
    <n v="0"/>
    <n v="0"/>
    <n v="70000"/>
    <n v="56000"/>
    <m/>
    <m/>
    <n v="6"/>
    <n v="6"/>
    <n v="0"/>
    <n v="0"/>
    <n v="1"/>
    <n v="2"/>
    <s v="VIEW_SUMMARY"/>
    <n v="716"/>
    <n v="326"/>
    <n v="1578"/>
    <n v="1578"/>
    <m/>
    <x v="2"/>
    <n v="99"/>
    <s v="Table3"/>
    <n v="20"/>
    <s v="251007_VerzekeraarsMasterClass"/>
    <n v="22"/>
    <n v="12"/>
    <x v="2"/>
    <x v="2"/>
    <n v="3"/>
    <x v="0"/>
  </r>
  <r>
    <n v="1400"/>
    <d v="2025-10-07T14:17:01"/>
    <n v="60000"/>
    <n v="30000"/>
    <n v="0"/>
    <n v="7000"/>
    <n v="0"/>
    <n v="0"/>
    <n v="20000"/>
    <n v="0"/>
    <n v="3150"/>
    <n v="0"/>
    <n v="4000"/>
    <n v="-3700"/>
    <n v="0"/>
    <n v="0"/>
    <n v="0"/>
    <n v="1"/>
    <n v="0"/>
    <n v="1"/>
    <n v="0"/>
    <n v="4"/>
    <n v="3"/>
    <n v="80000"/>
    <n v="70000"/>
    <n v="56000"/>
    <n v="0"/>
    <n v="0"/>
    <n v="70000"/>
    <n v="42000"/>
    <m/>
    <m/>
    <n v="6"/>
    <n v="6"/>
    <n v="-2"/>
    <n v="-1"/>
    <n v="1"/>
    <n v="2"/>
    <s v="VIEW_SUMMARY"/>
    <n v="716"/>
    <n v="331"/>
    <n v="1578"/>
    <n v="1578"/>
    <m/>
    <x v="3"/>
    <n v="99"/>
    <s v="Table3"/>
    <n v="20"/>
    <s v="251007_VerzekeraarsMasterClass"/>
    <n v="22"/>
    <n v="12"/>
    <x v="2"/>
    <x v="3"/>
    <n v="3"/>
    <x v="1"/>
  </r>
  <r>
    <n v="1427"/>
    <d v="2025-10-07T14:17:01"/>
    <n v="60000"/>
    <n v="30000"/>
    <n v="3700"/>
    <n v="8000"/>
    <n v="28000"/>
    <n v="0"/>
    <n v="20000"/>
    <n v="18000"/>
    <n v="7600"/>
    <n v="0"/>
    <n v="0"/>
    <n v="700"/>
    <n v="1"/>
    <n v="-1"/>
    <n v="1"/>
    <n v="3"/>
    <n v="0"/>
    <n v="0"/>
    <n v="1"/>
    <n v="5"/>
    <n v="3"/>
    <n v="80000"/>
    <n v="70000"/>
    <n v="42000"/>
    <n v="70000"/>
    <n v="80000"/>
    <n v="80000"/>
    <n v="72000"/>
    <n v="35"/>
    <m/>
    <n v="4"/>
    <n v="9"/>
    <n v="-2"/>
    <n v="-1"/>
    <n v="5"/>
    <n v="3"/>
    <s v="VIEW_SUMMARY"/>
    <n v="716"/>
    <n v="335"/>
    <n v="1578"/>
    <n v="1643"/>
    <m/>
    <x v="4"/>
    <n v="99"/>
    <s v="Table3"/>
    <n v="20"/>
    <s v="251007_VerzekeraarsMasterClass"/>
    <n v="22"/>
    <n v="13"/>
    <x v="2"/>
    <x v="1"/>
    <n v="8"/>
    <x v="0"/>
  </r>
  <r>
    <n v="1326"/>
    <d v="2025-10-07T13:54:16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17"/>
    <n v="319"/>
    <m/>
    <m/>
    <m/>
    <x v="0"/>
    <n v="99"/>
    <s v="Table3"/>
    <n v="20"/>
    <s v="251007_VerzekeraarsMasterClass"/>
    <n v="22"/>
    <n v="0"/>
    <x v="3"/>
    <x v="3"/>
    <n v="0"/>
    <x v="0"/>
  </r>
  <r>
    <n v="1357"/>
    <d v="2025-10-07T13:54:16"/>
    <n v="90000"/>
    <n v="50000"/>
    <n v="0"/>
    <n v="13000"/>
    <n v="0"/>
    <n v="30000"/>
    <n v="20000"/>
    <n v="0"/>
    <n v="0"/>
    <n v="0"/>
    <n v="0"/>
    <n v="-8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4"/>
    <n v="9"/>
    <n v="0"/>
    <n v="0"/>
    <n v="0"/>
    <n v="0"/>
    <s v="VIEW_SUMMARY"/>
    <n v="717"/>
    <n v="322"/>
    <m/>
    <n v="1571"/>
    <m/>
    <x v="1"/>
    <n v="99"/>
    <s v="Table3"/>
    <n v="20"/>
    <s v="251007_VerzekeraarsMasterClass"/>
    <n v="22"/>
    <n v="13"/>
    <x v="3"/>
    <x v="3"/>
    <n v="0"/>
    <x v="0"/>
  </r>
  <r>
    <n v="1369"/>
    <d v="2025-10-07T13:54:16"/>
    <n v="90000"/>
    <n v="50000"/>
    <n v="8000"/>
    <n v="13000"/>
    <n v="0"/>
    <n v="0"/>
    <n v="20000"/>
    <n v="0"/>
    <n v="0"/>
    <n v="0"/>
    <n v="4000"/>
    <n v="-5000"/>
    <n v="0"/>
    <n v="0"/>
    <n v="0"/>
    <n v="0"/>
    <n v="0"/>
    <n v="1"/>
    <n v="1"/>
    <n v="3"/>
    <n v="5"/>
    <n v="130000"/>
    <n v="130000"/>
    <n v="117000"/>
    <n v="0"/>
    <n v="0"/>
    <n v="130000"/>
    <n v="91000"/>
    <m/>
    <m/>
    <n v="4"/>
    <n v="9"/>
    <n v="0"/>
    <n v="0"/>
    <n v="0"/>
    <n v="0"/>
    <s v="VIEW_SUMMARY"/>
    <n v="717"/>
    <n v="326"/>
    <n v="1571"/>
    <n v="1571"/>
    <m/>
    <x v="2"/>
    <n v="99"/>
    <s v="Table3"/>
    <n v="20"/>
    <s v="251007_VerzekeraarsMasterClass"/>
    <n v="22"/>
    <n v="13"/>
    <x v="3"/>
    <x v="3"/>
    <n v="0"/>
    <x v="1"/>
  </r>
  <r>
    <n v="1401"/>
    <d v="2025-10-07T13:54:16"/>
    <n v="90000"/>
    <n v="50000"/>
    <n v="5000"/>
    <n v="13000"/>
    <n v="0"/>
    <n v="0"/>
    <n v="20000"/>
    <n v="0"/>
    <n v="0"/>
    <n v="0"/>
    <n v="4000"/>
    <n v="-2000"/>
    <n v="0"/>
    <n v="0"/>
    <n v="0"/>
    <n v="0"/>
    <n v="0"/>
    <n v="1"/>
    <n v="1"/>
    <n v="1"/>
    <n v="5"/>
    <n v="130000"/>
    <n v="130000"/>
    <n v="91000"/>
    <n v="0"/>
    <n v="0"/>
    <n v="130000"/>
    <n v="78000"/>
    <m/>
    <m/>
    <n v="4"/>
    <n v="9"/>
    <n v="-2"/>
    <n v="-1"/>
    <n v="0"/>
    <n v="0"/>
    <s v="VIEW_SUMMARY"/>
    <n v="717"/>
    <n v="331"/>
    <n v="1571"/>
    <n v="1571"/>
    <m/>
    <x v="3"/>
    <n v="99"/>
    <s v="Table3"/>
    <n v="20"/>
    <s v="251007_VerzekeraarsMasterClass"/>
    <n v="22"/>
    <n v="13"/>
    <x v="3"/>
    <x v="0"/>
    <n v="0"/>
    <x v="1"/>
  </r>
  <r>
    <n v="1434"/>
    <d v="2025-10-07T13:54:16"/>
    <n v="90000"/>
    <n v="50000"/>
    <n v="2000"/>
    <n v="13000"/>
    <n v="82000"/>
    <n v="70000"/>
    <n v="20000"/>
    <n v="6000"/>
    <n v="10000"/>
    <n v="0"/>
    <n v="0"/>
    <n v="1000"/>
    <n v="1"/>
    <n v="1"/>
    <n v="1"/>
    <n v="2"/>
    <n v="0"/>
    <n v="0"/>
    <n v="1"/>
    <n v="7"/>
    <n v="5"/>
    <n v="130000"/>
    <n v="130000"/>
    <n v="78000"/>
    <n v="160000"/>
    <n v="200000"/>
    <n v="130000"/>
    <n v="117000"/>
    <n v="35"/>
    <m/>
    <n v="6"/>
    <n v="9"/>
    <n v="-2"/>
    <n v="-1"/>
    <n v="2"/>
    <n v="1"/>
    <s v="VIEW_SUMMARY"/>
    <n v="717"/>
    <n v="335"/>
    <n v="1571"/>
    <n v="1637"/>
    <m/>
    <x v="4"/>
    <n v="99"/>
    <s v="Table3"/>
    <n v="20"/>
    <s v="251007_VerzekeraarsMasterClass"/>
    <n v="22"/>
    <n v="15"/>
    <x v="3"/>
    <x v="1"/>
    <n v="3"/>
    <x v="0"/>
  </r>
  <r>
    <n v="1338"/>
    <d v="2025-10-07T14:17:33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18"/>
    <n v="319"/>
    <m/>
    <m/>
    <m/>
    <x v="0"/>
    <n v="99"/>
    <s v="Table3"/>
    <n v="20"/>
    <s v="251007_VerzekeraarsMasterClass"/>
    <n v="22"/>
    <n v="0"/>
    <x v="4"/>
    <x v="0"/>
    <n v="0"/>
    <x v="0"/>
  </r>
  <r>
    <n v="1344"/>
    <d v="2025-10-07T14:17:33"/>
    <n v="130000"/>
    <n v="75000"/>
    <n v="0"/>
    <n v="20000"/>
    <n v="0"/>
    <n v="0"/>
    <n v="15000"/>
    <n v="17000"/>
    <n v="10500"/>
    <n v="0"/>
    <n v="0"/>
    <n v="42500"/>
    <n v="0"/>
    <n v="-1"/>
    <n v="2"/>
    <n v="1"/>
    <n v="0"/>
    <n v="0"/>
    <n v="0"/>
    <n v="7"/>
    <n v="7"/>
    <n v="200000"/>
    <n v="0"/>
    <n v="0"/>
    <n v="0"/>
    <n v="200000"/>
    <n v="200000"/>
    <n v="180000"/>
    <m/>
    <m/>
    <n v="6"/>
    <n v="9"/>
    <n v="0"/>
    <n v="0"/>
    <n v="3"/>
    <n v="3"/>
    <s v="VIEW_SUMMARY"/>
    <n v="718"/>
    <n v="322"/>
    <m/>
    <n v="1567"/>
    <m/>
    <x v="1"/>
    <n v="99"/>
    <s v="Table3"/>
    <n v="20"/>
    <s v="251007_VerzekeraarsMasterClass"/>
    <n v="22"/>
    <n v="15"/>
    <x v="4"/>
    <x v="0"/>
    <n v="6"/>
    <x v="0"/>
  </r>
  <r>
    <n v="1371"/>
    <d v="2025-10-07T14:17:33"/>
    <n v="130000"/>
    <n v="75000"/>
    <n v="0"/>
    <n v="20000"/>
    <n v="0"/>
    <n v="0"/>
    <n v="15000"/>
    <n v="0"/>
    <n v="25500"/>
    <n v="0"/>
    <n v="0"/>
    <n v="37000"/>
    <n v="0"/>
    <n v="0"/>
    <n v="0"/>
    <n v="4"/>
    <n v="0"/>
    <n v="0"/>
    <n v="0"/>
    <n v="11"/>
    <n v="7"/>
    <n v="200000"/>
    <n v="200000"/>
    <n v="180000"/>
    <n v="0"/>
    <n v="0"/>
    <n v="200000"/>
    <n v="160000"/>
    <m/>
    <m/>
    <n v="6"/>
    <n v="9"/>
    <n v="0"/>
    <n v="0"/>
    <n v="3"/>
    <n v="3"/>
    <s v="VIEW_SUMMARY"/>
    <n v="718"/>
    <n v="326"/>
    <n v="1567"/>
    <n v="1567"/>
    <m/>
    <x v="2"/>
    <n v="99"/>
    <s v="Table3"/>
    <n v="20"/>
    <s v="251007_VerzekeraarsMasterClass"/>
    <n v="22"/>
    <n v="15"/>
    <x v="4"/>
    <x v="0"/>
    <n v="6"/>
    <x v="0"/>
  </r>
  <r>
    <n v="1399"/>
    <d v="2025-10-07T14:17:33"/>
    <n v="130000"/>
    <n v="75000"/>
    <n v="0"/>
    <n v="20000"/>
    <n v="0"/>
    <n v="0"/>
    <n v="15000"/>
    <n v="16000"/>
    <n v="25500"/>
    <n v="0"/>
    <n v="0"/>
    <n v="15500"/>
    <n v="0"/>
    <n v="0"/>
    <n v="1"/>
    <n v="4"/>
    <n v="0"/>
    <n v="0"/>
    <n v="0"/>
    <n v="16"/>
    <n v="7"/>
    <n v="200000"/>
    <n v="200000"/>
    <n v="160000"/>
    <n v="0"/>
    <n v="0"/>
    <n v="200000"/>
    <n v="140000"/>
    <m/>
    <m/>
    <n v="6"/>
    <n v="9"/>
    <n v="-2"/>
    <n v="-1"/>
    <n v="5"/>
    <n v="4"/>
    <s v="VIEW_SUMMARY"/>
    <n v="718"/>
    <n v="331"/>
    <n v="1567"/>
    <n v="1567"/>
    <m/>
    <x v="3"/>
    <n v="99"/>
    <s v="Table3"/>
    <n v="20"/>
    <s v="251007_VerzekeraarsMasterClass"/>
    <n v="22"/>
    <n v="15"/>
    <x v="4"/>
    <x v="0"/>
    <n v="9"/>
    <x v="0"/>
  </r>
  <r>
    <n v="1426"/>
    <d v="2025-10-07T14:17:33"/>
    <n v="130000"/>
    <n v="75000"/>
    <n v="0"/>
    <n v="20000"/>
    <n v="0"/>
    <n v="0"/>
    <n v="20000"/>
    <n v="0"/>
    <n v="25500"/>
    <n v="0"/>
    <n v="0"/>
    <n v="5000"/>
    <n v="0"/>
    <n v="0"/>
    <n v="0"/>
    <n v="4"/>
    <n v="0"/>
    <n v="0"/>
    <n v="0"/>
    <n v="22"/>
    <n v="7"/>
    <n v="200000"/>
    <n v="200000"/>
    <n v="140000"/>
    <n v="0"/>
    <n v="0"/>
    <n v="200000"/>
    <n v="120000"/>
    <m/>
    <m/>
    <n v="6"/>
    <n v="9"/>
    <n v="-2"/>
    <n v="-1"/>
    <n v="5"/>
    <n v="4"/>
    <s v="VIEW_SUMMARY"/>
    <n v="718"/>
    <n v="335"/>
    <n v="1567"/>
    <n v="1567"/>
    <m/>
    <x v="4"/>
    <n v="99"/>
    <s v="Table3"/>
    <n v="20"/>
    <s v="251007_VerzekeraarsMasterClass"/>
    <n v="22"/>
    <n v="15"/>
    <x v="4"/>
    <x v="1"/>
    <n v="9"/>
    <x v="0"/>
  </r>
  <r>
    <n v="1330"/>
    <d v="2025-10-07T13:55:09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19"/>
    <n v="319"/>
    <m/>
    <m/>
    <m/>
    <x v="0"/>
    <n v="99"/>
    <s v="Table3"/>
    <n v="20"/>
    <s v="251007_VerzekeraarsMasterClass"/>
    <n v="22"/>
    <n v="0"/>
    <x v="5"/>
    <x v="0"/>
    <n v="0"/>
    <x v="0"/>
  </r>
  <r>
    <n v="1340"/>
    <d v="2025-10-07T13:55:09"/>
    <n v="190000"/>
    <n v="115000"/>
    <n v="0"/>
    <n v="20000"/>
    <n v="0"/>
    <n v="0"/>
    <n v="15000"/>
    <n v="23000"/>
    <n v="4000"/>
    <n v="0"/>
    <n v="0"/>
    <n v="93000"/>
    <n v="0"/>
    <n v="-2"/>
    <n v="3"/>
    <n v="0"/>
    <n v="0"/>
    <n v="0"/>
    <n v="0"/>
    <n v="6"/>
    <n v="8"/>
    <n v="300000"/>
    <n v="0"/>
    <n v="0"/>
    <n v="0"/>
    <n v="200000"/>
    <n v="200000"/>
    <n v="180000"/>
    <m/>
    <m/>
    <n v="6"/>
    <n v="9"/>
    <n v="0"/>
    <n v="0"/>
    <n v="4"/>
    <n v="3"/>
    <s v="VIEW_SUMMARY"/>
    <n v="719"/>
    <n v="322"/>
    <m/>
    <n v="1566"/>
    <m/>
    <x v="1"/>
    <n v="99"/>
    <s v="Table3"/>
    <n v="20"/>
    <s v="251007_VerzekeraarsMasterClass"/>
    <n v="22"/>
    <n v="15"/>
    <x v="5"/>
    <x v="0"/>
    <n v="7"/>
    <x v="0"/>
  </r>
  <r>
    <n v="1375"/>
    <d v="2025-10-07T13:55:09"/>
    <n v="190000"/>
    <n v="115000"/>
    <n v="0"/>
    <n v="20000"/>
    <n v="0"/>
    <n v="0"/>
    <n v="15000"/>
    <n v="10000"/>
    <n v="19000"/>
    <n v="0"/>
    <n v="0"/>
    <n v="104000"/>
    <n v="0"/>
    <n v="0"/>
    <n v="0"/>
    <n v="3"/>
    <n v="0"/>
    <n v="0"/>
    <n v="0"/>
    <n v="9"/>
    <n v="8"/>
    <n v="300000"/>
    <n v="200000"/>
    <n v="180000"/>
    <n v="0"/>
    <n v="0"/>
    <n v="200000"/>
    <n v="140000"/>
    <m/>
    <m/>
    <n v="6"/>
    <n v="9"/>
    <n v="0"/>
    <n v="0"/>
    <n v="5"/>
    <n v="4"/>
    <s v="VIEW_SUMMARY"/>
    <n v="719"/>
    <n v="326"/>
    <n v="1566"/>
    <n v="1566"/>
    <m/>
    <x v="2"/>
    <n v="99"/>
    <s v="Table3"/>
    <n v="20"/>
    <s v="251007_VerzekeraarsMasterClass"/>
    <n v="22"/>
    <n v="15"/>
    <x v="5"/>
    <x v="0"/>
    <n v="9"/>
    <x v="0"/>
  </r>
  <r>
    <n v="1403"/>
    <d v="2025-10-07T13:55:09"/>
    <n v="190000"/>
    <n v="115000"/>
    <n v="0"/>
    <n v="20000"/>
    <n v="0"/>
    <n v="0"/>
    <n v="15000"/>
    <n v="0"/>
    <n v="28500"/>
    <n v="0"/>
    <n v="0"/>
    <n v="115500"/>
    <n v="0"/>
    <n v="0"/>
    <n v="0"/>
    <n v="4"/>
    <n v="0"/>
    <n v="0"/>
    <n v="0"/>
    <n v="13"/>
    <n v="8"/>
    <n v="300000"/>
    <n v="200000"/>
    <n v="140000"/>
    <n v="0"/>
    <n v="0"/>
    <n v="200000"/>
    <n v="100000"/>
    <m/>
    <m/>
    <n v="6"/>
    <n v="9"/>
    <n v="-2"/>
    <n v="-1"/>
    <n v="5"/>
    <n v="4"/>
    <s v="VIEW_SUMMARY"/>
    <n v="719"/>
    <n v="331"/>
    <n v="1566"/>
    <n v="1566"/>
    <m/>
    <x v="3"/>
    <n v="99"/>
    <s v="Table3"/>
    <n v="20"/>
    <s v="251007_VerzekeraarsMasterClass"/>
    <n v="22"/>
    <n v="15"/>
    <x v="5"/>
    <x v="0"/>
    <n v="9"/>
    <x v="0"/>
  </r>
  <r>
    <n v="1423"/>
    <d v="2025-10-07T13:55:09"/>
    <n v="190000"/>
    <n v="115000"/>
    <n v="0"/>
    <n v="20000"/>
    <n v="0"/>
    <n v="0"/>
    <n v="20000"/>
    <n v="0"/>
    <n v="28500"/>
    <n v="0"/>
    <n v="0"/>
    <n v="122000"/>
    <n v="0"/>
    <n v="0"/>
    <n v="0"/>
    <n v="4"/>
    <n v="0"/>
    <n v="0"/>
    <n v="0"/>
    <n v="19"/>
    <n v="8"/>
    <n v="300000"/>
    <n v="200000"/>
    <n v="100000"/>
    <n v="0"/>
    <n v="0"/>
    <n v="200000"/>
    <n v="80000"/>
    <m/>
    <m/>
    <n v="6"/>
    <n v="9"/>
    <n v="-2"/>
    <n v="-1"/>
    <n v="5"/>
    <n v="4"/>
    <s v="VIEW_SUMMARY"/>
    <n v="719"/>
    <n v="335"/>
    <n v="1566"/>
    <n v="1566"/>
    <m/>
    <x v="4"/>
    <n v="99"/>
    <s v="Table3"/>
    <n v="20"/>
    <s v="251007_VerzekeraarsMasterClass"/>
    <n v="22"/>
    <n v="15"/>
    <x v="5"/>
    <x v="1"/>
    <n v="9"/>
    <x v="0"/>
  </r>
  <r>
    <n v="1335"/>
    <d v="2025-10-07T14:01:44"/>
    <n v="75000"/>
    <n v="4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722"/>
    <n v="320"/>
    <m/>
    <m/>
    <m/>
    <x v="0"/>
    <n v="100"/>
    <s v="Table4"/>
    <n v="20"/>
    <s v="251007_VerzekeraarsMasterClass"/>
    <n v="22"/>
    <n v="0"/>
    <x v="0"/>
    <x v="2"/>
    <n v="0"/>
    <x v="0"/>
  </r>
  <r>
    <n v="1348"/>
    <d v="2025-10-07T14:01:44"/>
    <n v="75000"/>
    <n v="40000"/>
    <n v="0"/>
    <n v="11000"/>
    <n v="0"/>
    <n v="15000"/>
    <n v="15000"/>
    <n v="0"/>
    <n v="0"/>
    <n v="4000"/>
    <n v="4000"/>
    <n v="-9000"/>
    <n v="0"/>
    <n v="0"/>
    <n v="0"/>
    <n v="0"/>
    <n v="2"/>
    <n v="1"/>
    <n v="0"/>
    <n v="2"/>
    <n v="4"/>
    <n v="110000"/>
    <n v="0"/>
    <n v="0"/>
    <n v="0"/>
    <n v="125000"/>
    <n v="110000"/>
    <n v="99000"/>
    <m/>
    <m/>
    <n v="6"/>
    <n v="6"/>
    <n v="0"/>
    <n v="0"/>
    <n v="0"/>
    <n v="0"/>
    <s v="VIEW_SUMMARY"/>
    <n v="722"/>
    <n v="323"/>
    <m/>
    <n v="1592"/>
    <m/>
    <x v="1"/>
    <n v="100"/>
    <s v="Table4"/>
    <n v="20"/>
    <s v="251007_VerzekeraarsMasterClass"/>
    <n v="22"/>
    <n v="12"/>
    <x v="0"/>
    <x v="2"/>
    <n v="0"/>
    <x v="2"/>
  </r>
  <r>
    <n v="1373"/>
    <d v="2025-10-07T14:01:44"/>
    <n v="75000"/>
    <n v="40000"/>
    <n v="9000"/>
    <n v="11000"/>
    <n v="0"/>
    <n v="0"/>
    <n v="15000"/>
    <n v="0"/>
    <n v="0"/>
    <n v="4000"/>
    <n v="0"/>
    <n v="-4000"/>
    <n v="0"/>
    <n v="0"/>
    <n v="0"/>
    <n v="0"/>
    <n v="2"/>
    <n v="0"/>
    <n v="1"/>
    <n v="-1"/>
    <n v="4"/>
    <n v="110000"/>
    <n v="110000"/>
    <n v="99000"/>
    <n v="0"/>
    <n v="0"/>
    <n v="110000"/>
    <n v="88000"/>
    <m/>
    <m/>
    <n v="6"/>
    <n v="6"/>
    <n v="0"/>
    <n v="0"/>
    <n v="0"/>
    <n v="0"/>
    <s v="VIEW_SUMMARY"/>
    <n v="722"/>
    <n v="327"/>
    <n v="1592"/>
    <n v="1592"/>
    <m/>
    <x v="2"/>
    <n v="100"/>
    <s v="Table4"/>
    <n v="20"/>
    <s v="251007_VerzekeraarsMasterClass"/>
    <n v="22"/>
    <n v="12"/>
    <x v="0"/>
    <x v="2"/>
    <n v="0"/>
    <x v="1"/>
  </r>
  <r>
    <n v="1394"/>
    <d v="2025-10-07T14:01:44"/>
    <n v="75000"/>
    <n v="40000"/>
    <n v="4000"/>
    <n v="11000"/>
    <n v="0"/>
    <n v="0"/>
    <n v="15000"/>
    <n v="0"/>
    <n v="3125"/>
    <n v="8000"/>
    <n v="4000"/>
    <n v="-10125"/>
    <n v="0"/>
    <n v="0"/>
    <n v="0"/>
    <n v="1"/>
    <n v="3"/>
    <n v="1"/>
    <n v="1"/>
    <n v="-5"/>
    <n v="4"/>
    <n v="110000"/>
    <n v="110000"/>
    <n v="88000"/>
    <n v="0"/>
    <n v="0"/>
    <n v="110000"/>
    <n v="77000"/>
    <m/>
    <m/>
    <n v="6"/>
    <n v="6"/>
    <n v="-2"/>
    <n v="-1"/>
    <n v="0"/>
    <n v="0"/>
    <s v="VIEW_SUMMARY"/>
    <n v="722"/>
    <n v="330"/>
    <n v="1592"/>
    <n v="1592"/>
    <m/>
    <x v="3"/>
    <n v="100"/>
    <s v="Table4"/>
    <n v="20"/>
    <s v="251007_VerzekeraarsMasterClass"/>
    <n v="22"/>
    <n v="12"/>
    <x v="0"/>
    <x v="2"/>
    <n v="0"/>
    <x v="4"/>
  </r>
  <r>
    <n v="1413"/>
    <d v="2025-10-07T14:01:44"/>
    <n v="75000"/>
    <n v="40000"/>
    <n v="10125"/>
    <n v="11000"/>
    <n v="0"/>
    <n v="0"/>
    <n v="15000"/>
    <n v="0"/>
    <n v="0"/>
    <n v="0"/>
    <n v="0"/>
    <n v="-1125"/>
    <n v="0"/>
    <n v="0"/>
    <n v="0"/>
    <n v="0"/>
    <n v="0"/>
    <n v="0"/>
    <n v="1"/>
    <n v="-6"/>
    <n v="4"/>
    <n v="110000"/>
    <n v="110000"/>
    <n v="77000"/>
    <n v="0"/>
    <n v="0"/>
    <n v="110000"/>
    <n v="66000"/>
    <m/>
    <m/>
    <n v="6"/>
    <n v="6"/>
    <n v="-2"/>
    <n v="-1"/>
    <n v="0"/>
    <n v="0"/>
    <s v="VIEW_SUMMARY"/>
    <n v="722"/>
    <n v="333"/>
    <n v="1592"/>
    <n v="1592"/>
    <m/>
    <x v="4"/>
    <n v="100"/>
    <s v="Table4"/>
    <n v="20"/>
    <s v="251007_VerzekeraarsMasterClass"/>
    <n v="22"/>
    <n v="12"/>
    <x v="0"/>
    <x v="1"/>
    <n v="0"/>
    <x v="0"/>
  </r>
  <r>
    <n v="1324"/>
    <d v="2025-10-07T13:53:15"/>
    <n v="110000"/>
    <n v="6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723"/>
    <n v="320"/>
    <m/>
    <m/>
    <m/>
    <x v="0"/>
    <n v="100"/>
    <s v="Table4"/>
    <n v="20"/>
    <s v="251007_VerzekeraarsMasterClass"/>
    <n v="22"/>
    <n v="0"/>
    <x v="1"/>
    <x v="3"/>
    <n v="0"/>
    <x v="0"/>
  </r>
  <r>
    <n v="1347"/>
    <d v="2025-10-07T13:53:15"/>
    <n v="110000"/>
    <n v="60000"/>
    <n v="0"/>
    <n v="16000"/>
    <n v="0"/>
    <n v="0"/>
    <n v="20000"/>
    <n v="14000"/>
    <n v="0"/>
    <n v="0"/>
    <n v="4000"/>
    <n v="26000"/>
    <n v="0"/>
    <n v="-1"/>
    <n v="2"/>
    <n v="0"/>
    <n v="0"/>
    <n v="1"/>
    <n v="0"/>
    <n v="5"/>
    <n v="6"/>
    <n v="170000"/>
    <n v="0"/>
    <n v="0"/>
    <n v="0"/>
    <n v="160000"/>
    <n v="160000"/>
    <n v="144000"/>
    <m/>
    <m/>
    <n v="4"/>
    <n v="9"/>
    <n v="0"/>
    <n v="0"/>
    <n v="2"/>
    <n v="0"/>
    <s v="VIEW_SUMMARY"/>
    <n v="723"/>
    <n v="323"/>
    <m/>
    <n v="1586"/>
    <m/>
    <x v="1"/>
    <n v="100"/>
    <s v="Table4"/>
    <n v="20"/>
    <s v="251007_VerzekeraarsMasterClass"/>
    <n v="22"/>
    <n v="13"/>
    <x v="1"/>
    <x v="3"/>
    <n v="2"/>
    <x v="1"/>
  </r>
  <r>
    <n v="1380"/>
    <d v="2025-10-07T13:53:15"/>
    <n v="110000"/>
    <n v="60000"/>
    <n v="0"/>
    <n v="16000"/>
    <n v="0"/>
    <n v="0"/>
    <n v="20000"/>
    <n v="1000"/>
    <n v="16700"/>
    <n v="0"/>
    <n v="0"/>
    <n v="22300"/>
    <n v="0"/>
    <n v="0"/>
    <n v="0"/>
    <n v="3"/>
    <n v="0"/>
    <n v="0"/>
    <n v="0"/>
    <n v="8"/>
    <n v="6"/>
    <n v="170000"/>
    <n v="160000"/>
    <n v="144000"/>
    <n v="0"/>
    <n v="0"/>
    <n v="160000"/>
    <n v="128000"/>
    <m/>
    <m/>
    <n v="4"/>
    <n v="9"/>
    <n v="0"/>
    <n v="0"/>
    <n v="3"/>
    <n v="2"/>
    <s v="VIEW_SUMMARY"/>
    <n v="723"/>
    <n v="327"/>
    <n v="1586"/>
    <n v="1586"/>
    <m/>
    <x v="2"/>
    <n v="100"/>
    <s v="Table4"/>
    <n v="20"/>
    <s v="251007_VerzekeraarsMasterClass"/>
    <n v="22"/>
    <n v="13"/>
    <x v="1"/>
    <x v="3"/>
    <n v="5"/>
    <x v="0"/>
  </r>
  <r>
    <n v="1397"/>
    <d v="2025-10-07T13:53:15"/>
    <n v="110000"/>
    <n v="60000"/>
    <n v="0"/>
    <n v="16000"/>
    <n v="0"/>
    <n v="0"/>
    <n v="20000"/>
    <n v="8000"/>
    <n v="20700"/>
    <n v="0"/>
    <n v="4000"/>
    <n v="3600"/>
    <n v="0"/>
    <n v="0"/>
    <n v="1"/>
    <n v="4"/>
    <n v="0"/>
    <n v="1"/>
    <n v="0"/>
    <n v="12"/>
    <n v="6"/>
    <n v="170000"/>
    <n v="160000"/>
    <n v="128000"/>
    <n v="0"/>
    <n v="0"/>
    <n v="160000"/>
    <n v="112000"/>
    <m/>
    <m/>
    <n v="4"/>
    <n v="9"/>
    <n v="-2"/>
    <n v="-1"/>
    <n v="4"/>
    <n v="3"/>
    <s v="VIEW_SUMMARY"/>
    <n v="723"/>
    <n v="330"/>
    <n v="1586"/>
    <n v="1586"/>
    <m/>
    <x v="3"/>
    <n v="100"/>
    <s v="Table4"/>
    <n v="20"/>
    <s v="251007_VerzekeraarsMasterClass"/>
    <n v="22"/>
    <n v="13"/>
    <x v="1"/>
    <x v="3"/>
    <n v="7"/>
    <x v="1"/>
  </r>
  <r>
    <n v="1415"/>
    <d v="2025-10-07T13:53:15"/>
    <n v="110000"/>
    <n v="60000"/>
    <n v="0"/>
    <n v="16000"/>
    <n v="0"/>
    <n v="0"/>
    <n v="20000"/>
    <n v="0"/>
    <n v="11200"/>
    <n v="0"/>
    <n v="0"/>
    <n v="6400"/>
    <n v="0"/>
    <n v="0"/>
    <n v="0"/>
    <n v="2"/>
    <n v="0"/>
    <n v="0"/>
    <n v="0"/>
    <n v="14"/>
    <n v="6"/>
    <n v="170000"/>
    <n v="160000"/>
    <n v="112000"/>
    <n v="0"/>
    <n v="0"/>
    <n v="160000"/>
    <n v="96000"/>
    <m/>
    <m/>
    <n v="4"/>
    <n v="9"/>
    <n v="-2"/>
    <n v="-1"/>
    <n v="4"/>
    <n v="3"/>
    <s v="VIEW_SUMMARY"/>
    <n v="723"/>
    <n v="333"/>
    <n v="1586"/>
    <n v="1586"/>
    <m/>
    <x v="4"/>
    <n v="100"/>
    <s v="Table4"/>
    <n v="20"/>
    <s v="251007_VerzekeraarsMasterClass"/>
    <n v="22"/>
    <n v="13"/>
    <x v="1"/>
    <x v="1"/>
    <n v="7"/>
    <x v="0"/>
  </r>
  <r>
    <n v="1329"/>
    <d v="2025-10-07T13:54:47"/>
    <n v="6000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724"/>
    <n v="320"/>
    <m/>
    <m/>
    <m/>
    <x v="0"/>
    <n v="100"/>
    <s v="Table4"/>
    <n v="20"/>
    <s v="251007_VerzekeraarsMasterClass"/>
    <n v="22"/>
    <n v="0"/>
    <x v="2"/>
    <x v="2"/>
    <n v="0"/>
    <x v="0"/>
  </r>
  <r>
    <n v="1345"/>
    <d v="2025-10-07T13:54:47"/>
    <n v="60000"/>
    <n v="30000"/>
    <n v="0"/>
    <n v="7000"/>
    <n v="0"/>
    <n v="0"/>
    <n v="15000"/>
    <n v="1000"/>
    <n v="1400"/>
    <n v="0"/>
    <n v="4000"/>
    <n v="1600"/>
    <n v="0"/>
    <n v="-1"/>
    <n v="0"/>
    <n v="0"/>
    <n v="1"/>
    <n v="1"/>
    <n v="0"/>
    <n v="2"/>
    <n v="3"/>
    <n v="80000"/>
    <n v="0"/>
    <n v="0"/>
    <n v="0"/>
    <n v="70000"/>
    <n v="70000"/>
    <n v="63000"/>
    <m/>
    <m/>
    <n v="6"/>
    <n v="6"/>
    <n v="0"/>
    <n v="0"/>
    <n v="1"/>
    <n v="2"/>
    <s v="VIEW_SUMMARY"/>
    <n v="724"/>
    <n v="323"/>
    <m/>
    <n v="1593"/>
    <m/>
    <x v="1"/>
    <n v="100"/>
    <s v="Table4"/>
    <n v="20"/>
    <s v="251007_VerzekeraarsMasterClass"/>
    <n v="22"/>
    <n v="12"/>
    <x v="2"/>
    <x v="2"/>
    <n v="3"/>
    <x v="1"/>
  </r>
  <r>
    <n v="1378"/>
    <d v="2025-10-07T13:54:47"/>
    <n v="60000"/>
    <n v="30000"/>
    <n v="0"/>
    <n v="7000"/>
    <n v="0"/>
    <n v="0"/>
    <n v="15000"/>
    <n v="8000"/>
    <n v="1400"/>
    <n v="0"/>
    <n v="0"/>
    <n v="200"/>
    <n v="0"/>
    <n v="0"/>
    <n v="1"/>
    <n v="0"/>
    <n v="1"/>
    <n v="0"/>
    <n v="0"/>
    <n v="2"/>
    <n v="3"/>
    <n v="80000"/>
    <n v="70000"/>
    <n v="63000"/>
    <n v="0"/>
    <n v="0"/>
    <n v="70000"/>
    <n v="56000"/>
    <m/>
    <m/>
    <n v="6"/>
    <n v="6"/>
    <n v="0"/>
    <n v="0"/>
    <n v="2"/>
    <n v="3"/>
    <s v="VIEW_SUMMARY"/>
    <n v="724"/>
    <n v="327"/>
    <n v="1593"/>
    <n v="1593"/>
    <m/>
    <x v="2"/>
    <n v="100"/>
    <s v="Table4"/>
    <n v="20"/>
    <s v="251007_VerzekeraarsMasterClass"/>
    <n v="22"/>
    <n v="12"/>
    <x v="2"/>
    <x v="2"/>
    <n v="5"/>
    <x v="0"/>
  </r>
  <r>
    <n v="1398"/>
    <d v="2025-10-07T13:54:47"/>
    <n v="60000"/>
    <n v="30000"/>
    <n v="0"/>
    <n v="7000"/>
    <n v="0"/>
    <n v="0"/>
    <n v="15000"/>
    <n v="6000"/>
    <n v="1400"/>
    <n v="0"/>
    <n v="0"/>
    <n v="800"/>
    <n v="0"/>
    <n v="0"/>
    <n v="1"/>
    <n v="0"/>
    <n v="1"/>
    <n v="0"/>
    <n v="0"/>
    <n v="2"/>
    <n v="3"/>
    <n v="80000"/>
    <n v="70000"/>
    <n v="56000"/>
    <n v="0"/>
    <n v="0"/>
    <n v="70000"/>
    <n v="49000"/>
    <m/>
    <m/>
    <n v="6"/>
    <n v="6"/>
    <n v="-2"/>
    <n v="-1"/>
    <n v="3"/>
    <n v="3"/>
    <s v="VIEW_SUMMARY"/>
    <n v="724"/>
    <n v="330"/>
    <n v="1593"/>
    <n v="1593"/>
    <m/>
    <x v="3"/>
    <n v="100"/>
    <s v="Table4"/>
    <n v="20"/>
    <s v="251007_VerzekeraarsMasterClass"/>
    <n v="22"/>
    <n v="12"/>
    <x v="2"/>
    <x v="2"/>
    <n v="6"/>
    <x v="0"/>
  </r>
  <r>
    <n v="1411"/>
    <d v="2025-10-07T13:54:47"/>
    <n v="60000"/>
    <n v="30000"/>
    <n v="0"/>
    <n v="7000"/>
    <n v="0"/>
    <n v="0"/>
    <n v="15000"/>
    <n v="8000"/>
    <n v="0"/>
    <n v="0"/>
    <n v="0"/>
    <n v="800"/>
    <n v="0"/>
    <n v="0"/>
    <n v="1"/>
    <n v="0"/>
    <n v="0"/>
    <n v="0"/>
    <n v="0"/>
    <n v="3"/>
    <n v="3"/>
    <n v="80000"/>
    <n v="70000"/>
    <n v="49000"/>
    <n v="0"/>
    <n v="0"/>
    <n v="70000"/>
    <n v="42000"/>
    <m/>
    <m/>
    <n v="6"/>
    <n v="6"/>
    <n v="-2"/>
    <n v="-1"/>
    <n v="3"/>
    <n v="2"/>
    <s v="VIEW_SUMMARY"/>
    <n v="724"/>
    <n v="333"/>
    <n v="1593"/>
    <n v="1593"/>
    <m/>
    <x v="4"/>
    <n v="100"/>
    <s v="Table4"/>
    <n v="20"/>
    <s v="251007_VerzekeraarsMasterClass"/>
    <n v="22"/>
    <n v="12"/>
    <x v="2"/>
    <x v="1"/>
    <n v="5"/>
    <x v="0"/>
  </r>
  <r>
    <n v="1327"/>
    <d v="2025-10-07T13:54:19"/>
    <n v="90000"/>
    <n v="5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725"/>
    <n v="320"/>
    <m/>
    <m/>
    <m/>
    <x v="0"/>
    <n v="100"/>
    <s v="Table4"/>
    <n v="20"/>
    <s v="251007_VerzekeraarsMasterClass"/>
    <n v="22"/>
    <n v="0"/>
    <x v="3"/>
    <x v="2"/>
    <n v="0"/>
    <x v="0"/>
  </r>
  <r>
    <n v="1343"/>
    <d v="2025-10-07T13:54:19"/>
    <n v="90000"/>
    <n v="50000"/>
    <n v="0"/>
    <n v="7000"/>
    <n v="0"/>
    <n v="0"/>
    <n v="15000"/>
    <n v="19000"/>
    <n v="0"/>
    <n v="0"/>
    <n v="4000"/>
    <n v="10000"/>
    <n v="0"/>
    <n v="-3"/>
    <n v="1"/>
    <n v="0"/>
    <n v="1"/>
    <n v="1"/>
    <n v="0"/>
    <n v="1"/>
    <n v="5"/>
    <n v="130000"/>
    <n v="0"/>
    <n v="0"/>
    <n v="0"/>
    <n v="70000"/>
    <n v="70000"/>
    <n v="63000"/>
    <m/>
    <m/>
    <n v="6"/>
    <n v="6"/>
    <n v="0"/>
    <n v="0"/>
    <n v="2"/>
    <n v="3"/>
    <s v="VIEW_SUMMARY"/>
    <n v="725"/>
    <n v="323"/>
    <m/>
    <n v="1594"/>
    <m/>
    <x v="1"/>
    <n v="100"/>
    <s v="Table4"/>
    <n v="20"/>
    <s v="251007_VerzekeraarsMasterClass"/>
    <n v="22"/>
    <n v="12"/>
    <x v="3"/>
    <x v="2"/>
    <n v="5"/>
    <x v="1"/>
  </r>
  <r>
    <n v="1377"/>
    <d v="2025-10-07T13:54:19"/>
    <n v="90000"/>
    <n v="50000"/>
    <n v="0"/>
    <n v="7000"/>
    <n v="0"/>
    <n v="0"/>
    <n v="15000"/>
    <n v="14000"/>
    <n v="9750"/>
    <n v="0"/>
    <n v="0"/>
    <n v="4250"/>
    <n v="0"/>
    <n v="0"/>
    <n v="2"/>
    <n v="4"/>
    <n v="1"/>
    <n v="0"/>
    <n v="0"/>
    <n v="6"/>
    <n v="5"/>
    <n v="130000"/>
    <n v="70000"/>
    <n v="63000"/>
    <n v="0"/>
    <n v="0"/>
    <n v="70000"/>
    <n v="56000"/>
    <m/>
    <m/>
    <n v="6"/>
    <n v="6"/>
    <n v="0"/>
    <n v="0"/>
    <n v="4"/>
    <n v="3"/>
    <s v="VIEW_SUMMARY"/>
    <n v="725"/>
    <n v="327"/>
    <n v="1594"/>
    <n v="1594"/>
    <m/>
    <x v="2"/>
    <n v="100"/>
    <s v="Table4"/>
    <n v="20"/>
    <s v="251007_VerzekeraarsMasterClass"/>
    <n v="22"/>
    <n v="12"/>
    <x v="3"/>
    <x v="2"/>
    <n v="7"/>
    <x v="0"/>
  </r>
  <r>
    <n v="1396"/>
    <d v="2025-10-07T13:54:19"/>
    <n v="90000"/>
    <n v="50000"/>
    <n v="0"/>
    <n v="7000"/>
    <n v="0"/>
    <n v="0"/>
    <n v="15000"/>
    <n v="0"/>
    <n v="11150"/>
    <n v="0"/>
    <n v="0"/>
    <n v="11100"/>
    <n v="0"/>
    <n v="0"/>
    <n v="0"/>
    <n v="4"/>
    <n v="1"/>
    <n v="0"/>
    <n v="0"/>
    <n v="9"/>
    <n v="5"/>
    <n v="130000"/>
    <n v="70000"/>
    <n v="56000"/>
    <n v="0"/>
    <n v="0"/>
    <n v="70000"/>
    <n v="49000"/>
    <m/>
    <m/>
    <n v="6"/>
    <n v="6"/>
    <n v="-2"/>
    <n v="-1"/>
    <n v="5"/>
    <n v="4"/>
    <s v="VIEW_SUMMARY"/>
    <n v="725"/>
    <n v="330"/>
    <n v="1594"/>
    <n v="1594"/>
    <m/>
    <x v="3"/>
    <n v="100"/>
    <s v="Table4"/>
    <n v="20"/>
    <s v="251007_VerzekeraarsMasterClass"/>
    <n v="22"/>
    <n v="12"/>
    <x v="3"/>
    <x v="2"/>
    <n v="9"/>
    <x v="0"/>
  </r>
  <r>
    <n v="1416"/>
    <d v="2025-10-07T13:54:19"/>
    <n v="90000"/>
    <n v="50000"/>
    <n v="0"/>
    <n v="7000"/>
    <n v="0"/>
    <n v="0"/>
    <n v="15000"/>
    <n v="0"/>
    <n v="11150"/>
    <n v="0"/>
    <n v="0"/>
    <n v="17950"/>
    <n v="0"/>
    <n v="0"/>
    <n v="0"/>
    <n v="4"/>
    <n v="0"/>
    <n v="0"/>
    <n v="0"/>
    <n v="13"/>
    <n v="5"/>
    <n v="130000"/>
    <n v="70000"/>
    <n v="49000"/>
    <n v="0"/>
    <n v="0"/>
    <n v="70000"/>
    <n v="42000"/>
    <m/>
    <m/>
    <n v="6"/>
    <n v="6"/>
    <n v="-2"/>
    <n v="-1"/>
    <n v="5"/>
    <n v="4"/>
    <s v="VIEW_SUMMARY"/>
    <n v="725"/>
    <n v="333"/>
    <n v="1594"/>
    <n v="1594"/>
    <m/>
    <x v="4"/>
    <n v="100"/>
    <s v="Table4"/>
    <n v="20"/>
    <s v="251007_VerzekeraarsMasterClass"/>
    <n v="22"/>
    <n v="12"/>
    <x v="3"/>
    <x v="1"/>
    <n v="9"/>
    <x v="0"/>
  </r>
  <r>
    <n v="1328"/>
    <d v="2025-10-07T13:54:24"/>
    <n v="130000"/>
    <n v="7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726"/>
    <n v="320"/>
    <m/>
    <m/>
    <m/>
    <x v="0"/>
    <n v="100"/>
    <s v="Table4"/>
    <n v="20"/>
    <s v="251007_VerzekeraarsMasterClass"/>
    <n v="22"/>
    <n v="0"/>
    <x v="4"/>
    <x v="0"/>
    <n v="0"/>
    <x v="0"/>
  </r>
  <r>
    <n v="1349"/>
    <d v="2025-10-07T13:54:24"/>
    <n v="130000"/>
    <n v="75000"/>
    <n v="0"/>
    <n v="10000"/>
    <n v="0"/>
    <n v="0"/>
    <n v="20000"/>
    <n v="0"/>
    <n v="5000"/>
    <n v="0"/>
    <n v="4000"/>
    <n v="66000"/>
    <n v="0"/>
    <n v="-4"/>
    <n v="0"/>
    <n v="2"/>
    <n v="0"/>
    <n v="1"/>
    <n v="0"/>
    <n v="2"/>
    <n v="7"/>
    <n v="200000"/>
    <n v="0"/>
    <n v="0"/>
    <n v="0"/>
    <n v="100000"/>
    <n v="100000"/>
    <n v="90000"/>
    <m/>
    <m/>
    <n v="6"/>
    <n v="9"/>
    <n v="0"/>
    <n v="0"/>
    <n v="0"/>
    <n v="0"/>
    <s v="VIEW_SUMMARY"/>
    <n v="726"/>
    <n v="323"/>
    <m/>
    <n v="1583"/>
    <m/>
    <x v="1"/>
    <n v="100"/>
    <s v="Table4"/>
    <n v="20"/>
    <s v="251007_VerzekeraarsMasterClass"/>
    <n v="22"/>
    <n v="15"/>
    <x v="4"/>
    <x v="0"/>
    <n v="0"/>
    <x v="1"/>
  </r>
  <r>
    <n v="1379"/>
    <d v="2025-10-07T13:54:24"/>
    <n v="130000"/>
    <n v="75000"/>
    <n v="0"/>
    <n v="10000"/>
    <n v="0"/>
    <n v="0"/>
    <n v="20000"/>
    <n v="18000"/>
    <n v="7500"/>
    <n v="0"/>
    <n v="0"/>
    <n v="65500"/>
    <n v="0"/>
    <n v="0"/>
    <n v="1"/>
    <n v="3"/>
    <n v="0"/>
    <n v="0"/>
    <n v="0"/>
    <n v="6"/>
    <n v="7"/>
    <n v="200000"/>
    <n v="100000"/>
    <n v="90000"/>
    <n v="0"/>
    <n v="0"/>
    <n v="100000"/>
    <n v="80000"/>
    <m/>
    <m/>
    <n v="6"/>
    <n v="9"/>
    <n v="0"/>
    <n v="0"/>
    <n v="2"/>
    <n v="2"/>
    <s v="VIEW_SUMMARY"/>
    <n v="726"/>
    <n v="327"/>
    <n v="1583"/>
    <n v="1583"/>
    <m/>
    <x v="2"/>
    <n v="100"/>
    <s v="Table4"/>
    <n v="20"/>
    <s v="251007_VerzekeraarsMasterClass"/>
    <n v="22"/>
    <n v="15"/>
    <x v="4"/>
    <x v="0"/>
    <n v="4"/>
    <x v="0"/>
  </r>
  <r>
    <n v="1393"/>
    <d v="2025-10-07T13:54:24"/>
    <n v="130000"/>
    <n v="75000"/>
    <n v="0"/>
    <n v="10000"/>
    <n v="0"/>
    <n v="0"/>
    <n v="20000"/>
    <n v="15000"/>
    <n v="16000"/>
    <n v="0"/>
    <n v="0"/>
    <n v="59500"/>
    <n v="0"/>
    <n v="0"/>
    <n v="2"/>
    <n v="4"/>
    <n v="0"/>
    <n v="0"/>
    <n v="0"/>
    <n v="12"/>
    <n v="7"/>
    <n v="200000"/>
    <n v="100000"/>
    <n v="80000"/>
    <n v="0"/>
    <n v="0"/>
    <n v="100000"/>
    <n v="70000"/>
    <m/>
    <m/>
    <n v="6"/>
    <n v="9"/>
    <n v="-2"/>
    <n v="-1"/>
    <n v="5"/>
    <n v="4"/>
    <s v="VIEW_SUMMARY"/>
    <n v="726"/>
    <n v="330"/>
    <n v="1583"/>
    <n v="1583"/>
    <m/>
    <x v="3"/>
    <n v="100"/>
    <s v="Table4"/>
    <n v="20"/>
    <s v="251007_VerzekeraarsMasterClass"/>
    <n v="22"/>
    <n v="15"/>
    <x v="4"/>
    <x v="0"/>
    <n v="9"/>
    <x v="0"/>
  </r>
  <r>
    <n v="1412"/>
    <d v="2025-10-07T13:54:24"/>
    <n v="130000"/>
    <n v="75000"/>
    <n v="0"/>
    <n v="10000"/>
    <n v="0"/>
    <n v="0"/>
    <n v="25000"/>
    <n v="0"/>
    <n v="16000"/>
    <n v="0"/>
    <n v="0"/>
    <n v="63500"/>
    <n v="0"/>
    <n v="0"/>
    <n v="0"/>
    <n v="4"/>
    <n v="0"/>
    <n v="0"/>
    <n v="0"/>
    <n v="18"/>
    <n v="7"/>
    <n v="200000"/>
    <n v="100000"/>
    <n v="70000"/>
    <n v="0"/>
    <n v="0"/>
    <n v="100000"/>
    <n v="60000"/>
    <m/>
    <m/>
    <n v="6"/>
    <n v="9"/>
    <n v="-2"/>
    <n v="-1"/>
    <n v="5"/>
    <n v="4"/>
    <s v="VIEW_SUMMARY"/>
    <n v="726"/>
    <n v="333"/>
    <n v="1583"/>
    <n v="1583"/>
    <m/>
    <x v="4"/>
    <n v="100"/>
    <s v="Table4"/>
    <n v="20"/>
    <s v="251007_VerzekeraarsMasterClass"/>
    <n v="22"/>
    <n v="15"/>
    <x v="4"/>
    <x v="1"/>
    <n v="9"/>
    <x v="0"/>
  </r>
  <r>
    <n v="1331"/>
    <d v="2025-10-07T13:55:22"/>
    <n v="190000"/>
    <n v="11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727"/>
    <n v="320"/>
    <m/>
    <m/>
    <m/>
    <x v="0"/>
    <n v="100"/>
    <s v="Table4"/>
    <n v="20"/>
    <s v="251007_VerzekeraarsMasterClass"/>
    <n v="22"/>
    <n v="0"/>
    <x v="5"/>
    <x v="3"/>
    <n v="0"/>
    <x v="0"/>
  </r>
  <r>
    <n v="1350"/>
    <d v="2025-10-07T13:55:22"/>
    <n v="190000"/>
    <n v="115000"/>
    <n v="0"/>
    <n v="16000"/>
    <n v="0"/>
    <n v="0"/>
    <n v="20000"/>
    <n v="14000"/>
    <n v="3200"/>
    <n v="0"/>
    <n v="4000"/>
    <n v="97800"/>
    <n v="0"/>
    <n v="-3"/>
    <n v="2"/>
    <n v="0"/>
    <n v="0"/>
    <n v="1"/>
    <n v="0"/>
    <n v="3"/>
    <n v="8"/>
    <n v="300000"/>
    <n v="0"/>
    <n v="0"/>
    <n v="0"/>
    <n v="160000"/>
    <n v="160000"/>
    <n v="144000"/>
    <m/>
    <m/>
    <n v="4"/>
    <n v="9"/>
    <n v="0"/>
    <n v="0"/>
    <n v="3"/>
    <n v="2"/>
    <s v="VIEW_SUMMARY"/>
    <n v="727"/>
    <n v="323"/>
    <m/>
    <n v="1587"/>
    <m/>
    <x v="1"/>
    <n v="100"/>
    <s v="Table4"/>
    <n v="20"/>
    <s v="251007_VerzekeraarsMasterClass"/>
    <n v="22"/>
    <n v="13"/>
    <x v="5"/>
    <x v="3"/>
    <n v="5"/>
    <x v="1"/>
  </r>
  <r>
    <n v="1374"/>
    <d v="2025-10-07T13:55:22"/>
    <n v="190000"/>
    <n v="115000"/>
    <n v="0"/>
    <n v="16000"/>
    <n v="0"/>
    <n v="0"/>
    <n v="20000"/>
    <n v="0"/>
    <n v="24700"/>
    <n v="0"/>
    <n v="0"/>
    <n v="112100"/>
    <n v="0"/>
    <n v="0"/>
    <n v="0"/>
    <n v="4"/>
    <n v="0"/>
    <n v="0"/>
    <n v="0"/>
    <n v="7"/>
    <n v="8"/>
    <n v="300000"/>
    <n v="160000"/>
    <n v="144000"/>
    <n v="0"/>
    <n v="0"/>
    <n v="160000"/>
    <n v="128000"/>
    <m/>
    <m/>
    <n v="4"/>
    <n v="9"/>
    <n v="0"/>
    <n v="0"/>
    <n v="3"/>
    <n v="2"/>
    <s v="VIEW_SUMMARY"/>
    <n v="727"/>
    <n v="327"/>
    <n v="1587"/>
    <n v="1587"/>
    <m/>
    <x v="2"/>
    <n v="100"/>
    <s v="Table4"/>
    <n v="20"/>
    <s v="251007_VerzekeraarsMasterClass"/>
    <n v="22"/>
    <n v="13"/>
    <x v="5"/>
    <x v="3"/>
    <n v="5"/>
    <x v="0"/>
  </r>
  <r>
    <n v="1395"/>
    <d v="2025-10-07T13:55:22"/>
    <n v="190000"/>
    <n v="115000"/>
    <n v="0"/>
    <n v="16000"/>
    <n v="0"/>
    <n v="0"/>
    <n v="20000"/>
    <n v="10000"/>
    <n v="11200"/>
    <n v="0"/>
    <n v="4000"/>
    <n v="125900"/>
    <n v="0"/>
    <n v="0"/>
    <n v="0"/>
    <n v="2"/>
    <n v="0"/>
    <n v="1"/>
    <n v="0"/>
    <n v="8"/>
    <n v="8"/>
    <n v="300000"/>
    <n v="160000"/>
    <n v="128000"/>
    <n v="0"/>
    <n v="0"/>
    <n v="160000"/>
    <n v="112000"/>
    <m/>
    <m/>
    <n v="4"/>
    <n v="9"/>
    <n v="-2"/>
    <n v="-1"/>
    <n v="4"/>
    <n v="3"/>
    <s v="VIEW_SUMMARY"/>
    <n v="727"/>
    <n v="330"/>
    <n v="1587"/>
    <n v="1587"/>
    <m/>
    <x v="3"/>
    <n v="100"/>
    <s v="Table4"/>
    <n v="20"/>
    <s v="251007_VerzekeraarsMasterClass"/>
    <n v="22"/>
    <n v="13"/>
    <x v="5"/>
    <x v="3"/>
    <n v="7"/>
    <x v="1"/>
  </r>
  <r>
    <n v="1414"/>
    <d v="2025-10-07T13:55:22"/>
    <n v="190000"/>
    <n v="115000"/>
    <n v="0"/>
    <n v="16000"/>
    <n v="0"/>
    <n v="0"/>
    <n v="20000"/>
    <n v="8000"/>
    <n v="24700"/>
    <n v="0"/>
    <n v="0"/>
    <n v="132200"/>
    <n v="0"/>
    <n v="0"/>
    <n v="1"/>
    <n v="4"/>
    <n v="0"/>
    <n v="0"/>
    <n v="0"/>
    <n v="13"/>
    <n v="8"/>
    <n v="300000"/>
    <n v="160000"/>
    <n v="112000"/>
    <n v="0"/>
    <n v="0"/>
    <n v="160000"/>
    <n v="96000"/>
    <m/>
    <m/>
    <n v="4"/>
    <n v="9"/>
    <n v="-2"/>
    <n v="-1"/>
    <n v="5"/>
    <n v="3"/>
    <s v="VIEW_SUMMARY"/>
    <n v="727"/>
    <n v="333"/>
    <n v="1587"/>
    <n v="1587"/>
    <m/>
    <x v="4"/>
    <n v="100"/>
    <s v="Table4"/>
    <n v="20"/>
    <s v="251007_VerzekeraarsMasterClass"/>
    <n v="22"/>
    <n v="13"/>
    <x v="5"/>
    <x v="1"/>
    <n v="8"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6"/>
    <x v="4"/>
    <m/>
    <x v="5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  <m/>
    <m/>
    <m/>
    <m/>
    <m/>
    <m/>
    <x v="7"/>
    <x v="4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FC6A6-2085-4B2B-91B4-5DAB3F981487}" name="Draaitabel5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5">
  <location ref="A3:H8" firstHeaderRow="1" firstDataRow="2" firstDataCol="1"/>
  <pivotFields count="3">
    <pivotField axis="axisCol" showAll="0">
      <items count="7">
        <item x="2"/>
        <item x="0"/>
        <item x="3"/>
        <item x="1"/>
        <item x="4"/>
        <item x="5"/>
        <item t="default"/>
      </items>
    </pivotField>
    <pivotField axis="axisRow" showAll="0">
      <items count="5">
        <item h="1" x="1"/>
        <item x="3"/>
        <item x="0"/>
        <item x="2"/>
        <item t="default"/>
      </items>
    </pivotField>
    <pivotField dataField="1" showAll="0"/>
  </pivotFields>
  <rowFields count="1">
    <field x="1"/>
  </rowFields>
  <rowItems count="4">
    <i>
      <x v="1"/>
    </i>
    <i>
      <x v="2"/>
    </i>
    <i>
      <x v="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 van Added_delta_protection" fld="2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DC0F4-5597-4145-9B41-B93D95B9AB1A}" name="Draaitabel1" cacheId="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4">
  <location ref="A3:H10" firstHeaderRow="1" firstDataRow="2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9">
        <item x="2"/>
        <item x="0"/>
        <item x="3"/>
        <item x="1"/>
        <item x="4"/>
        <item x="5"/>
        <item x="6"/>
        <item x="7"/>
        <item t="default"/>
      </items>
    </pivotField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 van satisfaction_total" fld="0" baseField="23" baseItem="0"/>
  </dataFields>
  <chartFormats count="1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6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7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5EEEB-EE43-4EC8-A064-B81480BB1276}" name="Draaitabel2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0">
  <location ref="A3:D10" firstHeaderRow="0" firstDataRow="1" firstDataCol="1" rowPageCount="1" colPageCount="1"/>
  <pivotFields count="5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3"/>
        <item x="1"/>
        <item x="4"/>
        <item x="5"/>
        <item h="1" x="6"/>
        <item t="default"/>
      </items>
    </pivotField>
    <pivotField showAll="0"/>
    <pivotField showAll="0"/>
  </pivotFields>
  <rowFields count="1">
    <field x="5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4" hier="-1"/>
  </pageFields>
  <dataFields count="3">
    <dataField name="Gemiddelde van cost_house_measures_bought" fld="9" subtotal="average" baseField="51" baseItem="0"/>
    <dataField name="Gemiddelde van cost_personal_measures_bought" fld="10" subtotal="average" baseField="51" baseItem="0"/>
    <dataField name="Gemiddelde van satisfaction_total" fld="21" subtotal="average" baseField="51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4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4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44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44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44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44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2"/>
          </reference>
          <reference field="4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2"/>
          </reference>
          <reference field="44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2"/>
          </reference>
          <reference field="44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2"/>
          </reference>
          <reference field="44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2"/>
          </reference>
          <reference field="44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2"/>
          </reference>
          <reference field="4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C762E-AE67-4EBE-AF75-9A6259A790D8}" name="Draaitabel5" cacheId="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9">
  <location ref="A3:H10" firstHeaderRow="0" firstDataRow="1" firstDataCol="1" rowPageCount="1" colPageCount="1"/>
  <pivotFields count="55"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3"/>
        <item x="1"/>
        <item x="4"/>
        <item x="5"/>
        <item h="1" x="6"/>
        <item h="1" x="7"/>
        <item t="default"/>
      </items>
    </pivotField>
    <pivotField showAll="0"/>
    <pivotField showAll="0"/>
    <pivotField dataField="1" showAll="0">
      <items count="7">
        <item x="0"/>
        <item x="1"/>
        <item x="2"/>
        <item x="4"/>
        <item x="3"/>
        <item x="5"/>
        <item t="default"/>
      </items>
    </pivotField>
  </pivotFields>
  <rowFields count="1">
    <field x="5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44" hier="-1"/>
  </pageFields>
  <dataFields count="7">
    <dataField name="Gemiddelde van paid_debt" fld="4" subtotal="average" baseField="51" baseItem="4"/>
    <dataField name="Gemiddelde van mortgage_payment" fld="5" subtotal="average" baseField="51" baseItem="4"/>
    <dataField name="Gemiddelde van spent_savings_for_buying_house" fld="7" subtotal="average" baseField="51" baseItem="4"/>
    <dataField name="Gemiddelde van Added_total_damage " fld="54" subtotal="average" baseField="51" baseItem="4"/>
    <dataField name="Gemiddelde van cost_house_measures_bought" fld="9" subtotal="average" baseField="51" baseItem="4"/>
    <dataField name="Gemiddelde van cost_personal_measures_bought" fld="10" subtotal="average" baseField="51" baseItem="4"/>
    <dataField name="Gemiddelde van satisfaction_total" fld="21" subtotal="average" baseField="51" baseItem="3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C3C5D-1EBA-43B1-B5AE-A7EE39838B5D}" name="Draaitabel13" cacheId="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3">
  <location ref="A3:D10" firstHeaderRow="0" firstDataRow="1" firstDataCol="1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3"/>
        <item x="1"/>
        <item x="4"/>
        <item x="5"/>
        <item h="1" x="6"/>
        <item h="1" x="7"/>
        <item t="default"/>
      </items>
    </pivotField>
    <pivotField showAll="0"/>
    <pivotField showAll="0"/>
    <pivotField dataField="1" showAll="0"/>
  </pivotFields>
  <rowFields count="1">
    <field x="5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4" hier="-1"/>
  </pageFields>
  <dataFields count="3">
    <dataField name="Gemiddelde van cost_house_measures_bought" fld="9" subtotal="average" baseField="51" baseItem="0"/>
    <dataField name="Gemiddelde van Added_total_damage " fld="54" subtotal="average" baseField="51" baseItem="0"/>
    <dataField name="Gemiddelde van satisfaction_total" fld="21" subtotal="average" baseField="5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workbookViewId="0">
      <selection activeCell="R2" sqref="R2"/>
    </sheetView>
  </sheetViews>
  <sheetFormatPr defaultRowHeight="14.4" x14ac:dyDescent="0.3"/>
  <cols>
    <col min="3" max="3" width="13.77734375" bestFit="1" customWidth="1"/>
    <col min="4" max="4" width="25.21875" bestFit="1" customWidth="1"/>
    <col min="5" max="5" width="13.44140625" bestFit="1" customWidth="1"/>
    <col min="6" max="6" width="10.6640625" bestFit="1" customWidth="1"/>
    <col min="7" max="7" width="9.5546875" bestFit="1" customWidth="1"/>
    <col min="8" max="8" width="16.33203125" bestFit="1" customWidth="1"/>
    <col min="9" max="9" width="29.6640625" bestFit="1" customWidth="1"/>
    <col min="10" max="10" width="9.77734375" bestFit="1" customWidth="1"/>
    <col min="11" max="11" width="17.88671875" bestFit="1" customWidth="1"/>
    <col min="12" max="12" width="27.109375" bestFit="1" customWidth="1"/>
    <col min="13" max="13" width="29.21875" bestFit="1" customWidth="1"/>
    <col min="14" max="14" width="18.5546875" bestFit="1" customWidth="1"/>
    <col min="15" max="15" width="19" bestFit="1" customWidth="1"/>
    <col min="16" max="16" width="17" bestFit="1" customWidth="1"/>
    <col min="17" max="17" width="7.21875" bestFit="1" customWidth="1"/>
    <col min="18" max="18" width="14.88671875" bestFit="1" customWidth="1"/>
    <col min="19" max="19" width="19.4414062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1321</v>
      </c>
      <c r="B2">
        <v>698</v>
      </c>
      <c r="C2">
        <v>318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s">
        <v>19</v>
      </c>
      <c r="R2">
        <v>40000</v>
      </c>
      <c r="S2">
        <v>5000</v>
      </c>
    </row>
    <row r="3" spans="1:19" x14ac:dyDescent="0.3">
      <c r="A3">
        <v>1365</v>
      </c>
      <c r="B3">
        <v>698</v>
      </c>
      <c r="C3">
        <v>325</v>
      </c>
      <c r="D3">
        <v>1</v>
      </c>
      <c r="E3">
        <v>75000</v>
      </c>
      <c r="F3">
        <v>40000</v>
      </c>
      <c r="G3">
        <v>0</v>
      </c>
      <c r="H3">
        <v>0</v>
      </c>
      <c r="I3">
        <v>0</v>
      </c>
      <c r="J3">
        <v>15000</v>
      </c>
      <c r="K3">
        <v>10000</v>
      </c>
      <c r="L3">
        <v>6000</v>
      </c>
      <c r="M3">
        <v>7000</v>
      </c>
      <c r="N3">
        <v>0</v>
      </c>
      <c r="O3">
        <v>0</v>
      </c>
      <c r="P3">
        <v>2000</v>
      </c>
      <c r="Q3" t="s">
        <v>19</v>
      </c>
      <c r="R3">
        <v>78000</v>
      </c>
      <c r="S3">
        <v>2000</v>
      </c>
    </row>
    <row r="4" spans="1:19" x14ac:dyDescent="0.3">
      <c r="A4">
        <v>1382</v>
      </c>
      <c r="B4">
        <v>698</v>
      </c>
      <c r="C4">
        <v>328</v>
      </c>
      <c r="D4">
        <v>2</v>
      </c>
      <c r="E4">
        <v>75000</v>
      </c>
      <c r="F4">
        <v>40000</v>
      </c>
      <c r="G4">
        <v>0</v>
      </c>
      <c r="H4">
        <v>0</v>
      </c>
      <c r="I4">
        <v>0</v>
      </c>
      <c r="J4">
        <v>15000</v>
      </c>
      <c r="K4">
        <v>10000</v>
      </c>
      <c r="L4">
        <v>0</v>
      </c>
      <c r="M4">
        <v>9500</v>
      </c>
      <c r="N4">
        <v>0</v>
      </c>
      <c r="O4">
        <v>0</v>
      </c>
      <c r="P4">
        <v>2500</v>
      </c>
      <c r="Q4" t="s">
        <v>19</v>
      </c>
      <c r="R4">
        <v>74500</v>
      </c>
      <c r="S4">
        <v>2500</v>
      </c>
    </row>
    <row r="5" spans="1:19" x14ac:dyDescent="0.3">
      <c r="A5">
        <v>1407</v>
      </c>
      <c r="B5">
        <v>698</v>
      </c>
      <c r="C5">
        <v>332</v>
      </c>
      <c r="D5">
        <v>3</v>
      </c>
      <c r="E5">
        <v>75000</v>
      </c>
      <c r="F5">
        <v>40000</v>
      </c>
      <c r="G5">
        <v>0</v>
      </c>
      <c r="H5">
        <v>0</v>
      </c>
      <c r="I5">
        <v>0</v>
      </c>
      <c r="J5">
        <v>15000</v>
      </c>
      <c r="K5">
        <v>10000</v>
      </c>
      <c r="L5">
        <v>0</v>
      </c>
      <c r="M5">
        <v>10750</v>
      </c>
      <c r="N5">
        <v>0</v>
      </c>
      <c r="O5">
        <v>0</v>
      </c>
      <c r="P5">
        <v>1750</v>
      </c>
      <c r="Q5" t="s">
        <v>19</v>
      </c>
      <c r="R5">
        <v>75750</v>
      </c>
      <c r="S5">
        <v>1750</v>
      </c>
    </row>
    <row r="6" spans="1:19" x14ac:dyDescent="0.3">
      <c r="A6">
        <v>1428</v>
      </c>
      <c r="B6">
        <v>698</v>
      </c>
      <c r="C6">
        <v>336</v>
      </c>
      <c r="D6">
        <v>4</v>
      </c>
      <c r="E6">
        <v>75000</v>
      </c>
      <c r="F6">
        <v>40000</v>
      </c>
      <c r="G6">
        <v>0</v>
      </c>
      <c r="H6">
        <v>0</v>
      </c>
      <c r="I6">
        <v>0</v>
      </c>
      <c r="J6">
        <v>20000</v>
      </c>
      <c r="K6">
        <v>10000</v>
      </c>
      <c r="L6">
        <v>1000</v>
      </c>
      <c r="M6">
        <v>5000</v>
      </c>
      <c r="N6">
        <v>0</v>
      </c>
      <c r="O6">
        <v>4000</v>
      </c>
      <c r="P6">
        <v>-3250</v>
      </c>
      <c r="Q6" t="s">
        <v>19</v>
      </c>
      <c r="R6">
        <v>80000</v>
      </c>
      <c r="S6">
        <v>-3250</v>
      </c>
    </row>
    <row r="7" spans="1:19" x14ac:dyDescent="0.3">
      <c r="A7">
        <v>1358</v>
      </c>
      <c r="B7">
        <v>699</v>
      </c>
      <c r="C7">
        <v>318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s">
        <v>20</v>
      </c>
      <c r="R7">
        <v>60000</v>
      </c>
      <c r="S7">
        <v>30000</v>
      </c>
    </row>
    <row r="8" spans="1:19" x14ac:dyDescent="0.3">
      <c r="A8">
        <v>1366</v>
      </c>
      <c r="B8">
        <v>699</v>
      </c>
      <c r="C8">
        <v>325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6000</v>
      </c>
      <c r="M8">
        <v>5000</v>
      </c>
      <c r="N8">
        <v>0</v>
      </c>
      <c r="O8">
        <v>0</v>
      </c>
      <c r="P8">
        <v>7000</v>
      </c>
      <c r="Q8" t="s">
        <v>20</v>
      </c>
      <c r="R8">
        <v>133000</v>
      </c>
      <c r="S8">
        <v>7000</v>
      </c>
    </row>
    <row r="9" spans="1:19" x14ac:dyDescent="0.3">
      <c r="A9">
        <v>1381</v>
      </c>
      <c r="B9">
        <v>699</v>
      </c>
      <c r="C9">
        <v>328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8000</v>
      </c>
      <c r="M9">
        <v>15000</v>
      </c>
      <c r="N9">
        <v>0</v>
      </c>
      <c r="O9">
        <v>0</v>
      </c>
      <c r="P9">
        <v>2000</v>
      </c>
      <c r="Q9" t="s">
        <v>20</v>
      </c>
      <c r="R9">
        <v>115000</v>
      </c>
      <c r="S9">
        <v>2000</v>
      </c>
    </row>
    <row r="10" spans="1:19" x14ac:dyDescent="0.3">
      <c r="A10">
        <v>1406</v>
      </c>
      <c r="B10">
        <v>699</v>
      </c>
      <c r="C10">
        <v>332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9000</v>
      </c>
      <c r="M10">
        <v>10000</v>
      </c>
      <c r="N10">
        <v>0</v>
      </c>
      <c r="O10">
        <v>0</v>
      </c>
      <c r="P10">
        <v>1000</v>
      </c>
      <c r="Q10" t="s">
        <v>20</v>
      </c>
      <c r="R10">
        <v>111000</v>
      </c>
      <c r="S10">
        <v>1000</v>
      </c>
    </row>
    <row r="11" spans="1:19" x14ac:dyDescent="0.3">
      <c r="A11">
        <v>1429</v>
      </c>
      <c r="B11">
        <v>699</v>
      </c>
      <c r="C11">
        <v>336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20000</v>
      </c>
      <c r="K11">
        <v>17000</v>
      </c>
      <c r="L11">
        <v>0</v>
      </c>
      <c r="M11">
        <v>14000</v>
      </c>
      <c r="N11">
        <v>0</v>
      </c>
      <c r="O11">
        <v>0</v>
      </c>
      <c r="P11">
        <v>0</v>
      </c>
      <c r="Q11" t="s">
        <v>20</v>
      </c>
      <c r="R11">
        <v>111000</v>
      </c>
      <c r="S11">
        <v>0</v>
      </c>
    </row>
    <row r="12" spans="1:19" x14ac:dyDescent="0.3">
      <c r="A12">
        <v>1362</v>
      </c>
      <c r="B12">
        <v>700</v>
      </c>
      <c r="C12">
        <v>318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21</v>
      </c>
      <c r="R12">
        <v>30000</v>
      </c>
      <c r="S12">
        <v>0</v>
      </c>
    </row>
    <row r="13" spans="1:19" x14ac:dyDescent="0.3">
      <c r="A13">
        <v>1368</v>
      </c>
      <c r="B13">
        <v>700</v>
      </c>
      <c r="C13">
        <v>325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1000</v>
      </c>
      <c r="M13">
        <v>1400</v>
      </c>
      <c r="N13">
        <v>8000</v>
      </c>
      <c r="O13">
        <v>0</v>
      </c>
      <c r="P13">
        <v>-7400</v>
      </c>
      <c r="Q13" t="s">
        <v>21</v>
      </c>
      <c r="R13">
        <v>67400</v>
      </c>
      <c r="S13">
        <v>-7400</v>
      </c>
    </row>
    <row r="14" spans="1:19" x14ac:dyDescent="0.3">
      <c r="A14">
        <v>1383</v>
      </c>
      <c r="B14">
        <v>700</v>
      </c>
      <c r="C14">
        <v>328</v>
      </c>
      <c r="D14">
        <v>2</v>
      </c>
      <c r="E14">
        <v>60000</v>
      </c>
      <c r="F14">
        <v>30000</v>
      </c>
      <c r="G14">
        <v>7400</v>
      </c>
      <c r="H14">
        <v>0</v>
      </c>
      <c r="I14">
        <v>0</v>
      </c>
      <c r="J14">
        <v>20000</v>
      </c>
      <c r="K14">
        <v>7000</v>
      </c>
      <c r="L14">
        <v>0</v>
      </c>
      <c r="M14">
        <v>0</v>
      </c>
      <c r="N14">
        <v>0</v>
      </c>
      <c r="O14">
        <v>0</v>
      </c>
      <c r="P14">
        <v>-4400</v>
      </c>
      <c r="Q14" t="s">
        <v>21</v>
      </c>
      <c r="R14">
        <v>57000</v>
      </c>
      <c r="S14">
        <v>-4400</v>
      </c>
    </row>
    <row r="15" spans="1:19" x14ac:dyDescent="0.3">
      <c r="A15">
        <v>1405</v>
      </c>
      <c r="B15">
        <v>700</v>
      </c>
      <c r="C15">
        <v>332</v>
      </c>
      <c r="D15">
        <v>3</v>
      </c>
      <c r="E15">
        <v>60000</v>
      </c>
      <c r="F15">
        <v>30000</v>
      </c>
      <c r="G15">
        <v>4400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4000</v>
      </c>
      <c r="O15">
        <v>0</v>
      </c>
      <c r="P15">
        <v>-5400</v>
      </c>
      <c r="Q15" t="s">
        <v>21</v>
      </c>
      <c r="R15">
        <v>61000</v>
      </c>
      <c r="S15">
        <v>-5400</v>
      </c>
    </row>
    <row r="16" spans="1:19" x14ac:dyDescent="0.3">
      <c r="A16">
        <v>1432</v>
      </c>
      <c r="B16">
        <v>700</v>
      </c>
      <c r="C16">
        <v>336</v>
      </c>
      <c r="D16">
        <v>4</v>
      </c>
      <c r="E16">
        <v>60000</v>
      </c>
      <c r="F16">
        <v>30000</v>
      </c>
      <c r="G16">
        <v>5400</v>
      </c>
      <c r="H16">
        <v>51000</v>
      </c>
      <c r="I16">
        <v>0</v>
      </c>
      <c r="J16">
        <v>20000</v>
      </c>
      <c r="K16">
        <v>7000</v>
      </c>
      <c r="L16">
        <v>10000</v>
      </c>
      <c r="M16">
        <v>6500</v>
      </c>
      <c r="N16">
        <v>0</v>
      </c>
      <c r="O16">
        <v>4000</v>
      </c>
      <c r="P16">
        <v>28100</v>
      </c>
      <c r="Q16" t="s">
        <v>21</v>
      </c>
      <c r="R16">
        <v>77500</v>
      </c>
      <c r="S16">
        <v>28100</v>
      </c>
    </row>
    <row r="17" spans="1:19" x14ac:dyDescent="0.3">
      <c r="A17">
        <v>1360</v>
      </c>
      <c r="B17">
        <v>701</v>
      </c>
      <c r="C17">
        <v>318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s">
        <v>22</v>
      </c>
      <c r="R17">
        <v>50000</v>
      </c>
      <c r="S17">
        <v>15000</v>
      </c>
    </row>
    <row r="18" spans="1:19" x14ac:dyDescent="0.3">
      <c r="A18">
        <v>1363</v>
      </c>
      <c r="B18">
        <v>701</v>
      </c>
      <c r="C18">
        <v>325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20000</v>
      </c>
      <c r="K18">
        <v>8000</v>
      </c>
      <c r="L18">
        <v>14000</v>
      </c>
      <c r="M18">
        <v>6000</v>
      </c>
      <c r="N18">
        <v>0</v>
      </c>
      <c r="O18">
        <v>0</v>
      </c>
      <c r="P18">
        <v>7000</v>
      </c>
      <c r="Q18" t="s">
        <v>22</v>
      </c>
      <c r="R18">
        <v>98000</v>
      </c>
      <c r="S18">
        <v>7000</v>
      </c>
    </row>
    <row r="19" spans="1:19" x14ac:dyDescent="0.3">
      <c r="A19">
        <v>1385</v>
      </c>
      <c r="B19">
        <v>701</v>
      </c>
      <c r="C19">
        <v>328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20000</v>
      </c>
      <c r="K19">
        <v>8000</v>
      </c>
      <c r="L19">
        <v>0</v>
      </c>
      <c r="M19">
        <v>8500</v>
      </c>
      <c r="N19">
        <v>0</v>
      </c>
      <c r="O19">
        <v>0</v>
      </c>
      <c r="P19">
        <v>10500</v>
      </c>
      <c r="Q19" t="s">
        <v>22</v>
      </c>
      <c r="R19">
        <v>86500</v>
      </c>
      <c r="S19">
        <v>10500</v>
      </c>
    </row>
    <row r="20" spans="1:19" x14ac:dyDescent="0.3">
      <c r="A20">
        <v>1409</v>
      </c>
      <c r="B20">
        <v>701</v>
      </c>
      <c r="C20">
        <v>332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20000</v>
      </c>
      <c r="K20">
        <v>8000</v>
      </c>
      <c r="L20">
        <v>0</v>
      </c>
      <c r="M20">
        <v>6000</v>
      </c>
      <c r="N20">
        <v>0</v>
      </c>
      <c r="O20">
        <v>0</v>
      </c>
      <c r="P20">
        <v>16500</v>
      </c>
      <c r="Q20" t="s">
        <v>22</v>
      </c>
      <c r="R20">
        <v>84000</v>
      </c>
      <c r="S20">
        <v>16500</v>
      </c>
    </row>
    <row r="21" spans="1:19" x14ac:dyDescent="0.3">
      <c r="A21">
        <v>1430</v>
      </c>
      <c r="B21">
        <v>701</v>
      </c>
      <c r="C21">
        <v>336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20000</v>
      </c>
      <c r="K21">
        <v>8000</v>
      </c>
      <c r="L21">
        <v>0</v>
      </c>
      <c r="M21">
        <v>6100</v>
      </c>
      <c r="N21">
        <v>0</v>
      </c>
      <c r="O21">
        <v>4000</v>
      </c>
      <c r="P21">
        <v>18400</v>
      </c>
      <c r="Q21" t="s">
        <v>22</v>
      </c>
      <c r="R21">
        <v>88100</v>
      </c>
      <c r="S21">
        <v>18400</v>
      </c>
    </row>
    <row r="22" spans="1:19" x14ac:dyDescent="0.3">
      <c r="A22">
        <v>1361</v>
      </c>
      <c r="B22">
        <v>702</v>
      </c>
      <c r="C22">
        <v>318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s">
        <v>23</v>
      </c>
      <c r="R22">
        <v>75000</v>
      </c>
      <c r="S22">
        <v>50000</v>
      </c>
    </row>
    <row r="23" spans="1:19" x14ac:dyDescent="0.3">
      <c r="A23">
        <v>1364</v>
      </c>
      <c r="B23">
        <v>702</v>
      </c>
      <c r="C23">
        <v>325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0</v>
      </c>
      <c r="J23">
        <v>20000</v>
      </c>
      <c r="K23">
        <v>12500</v>
      </c>
      <c r="L23">
        <v>22000</v>
      </c>
      <c r="M23">
        <v>8750</v>
      </c>
      <c r="N23">
        <v>4000</v>
      </c>
      <c r="O23">
        <v>0</v>
      </c>
      <c r="P23">
        <v>37750</v>
      </c>
      <c r="Q23" t="s">
        <v>23</v>
      </c>
      <c r="R23">
        <v>142250</v>
      </c>
      <c r="S23">
        <v>37750</v>
      </c>
    </row>
    <row r="24" spans="1:19" x14ac:dyDescent="0.3">
      <c r="A24">
        <v>1384</v>
      </c>
      <c r="B24">
        <v>702</v>
      </c>
      <c r="C24">
        <v>328</v>
      </c>
      <c r="D24">
        <v>2</v>
      </c>
      <c r="E24">
        <v>130000</v>
      </c>
      <c r="F24">
        <v>75000</v>
      </c>
      <c r="G24">
        <v>0</v>
      </c>
      <c r="H24">
        <v>0</v>
      </c>
      <c r="I24">
        <v>0</v>
      </c>
      <c r="J24">
        <v>20000</v>
      </c>
      <c r="K24">
        <v>12500</v>
      </c>
      <c r="L24">
        <v>10000</v>
      </c>
      <c r="M24">
        <v>15250</v>
      </c>
      <c r="N24">
        <v>0</v>
      </c>
      <c r="O24">
        <v>0</v>
      </c>
      <c r="P24">
        <v>35000</v>
      </c>
      <c r="Q24" t="s">
        <v>23</v>
      </c>
      <c r="R24">
        <v>132750</v>
      </c>
      <c r="S24">
        <v>35000</v>
      </c>
    </row>
    <row r="25" spans="1:19" x14ac:dyDescent="0.3">
      <c r="A25">
        <v>1408</v>
      </c>
      <c r="B25">
        <v>702</v>
      </c>
      <c r="C25">
        <v>332</v>
      </c>
      <c r="D25">
        <v>3</v>
      </c>
      <c r="E25">
        <v>130000</v>
      </c>
      <c r="F25">
        <v>75000</v>
      </c>
      <c r="G25">
        <v>0</v>
      </c>
      <c r="H25">
        <v>0</v>
      </c>
      <c r="I25">
        <v>0</v>
      </c>
      <c r="J25">
        <v>20000</v>
      </c>
      <c r="K25">
        <v>12500</v>
      </c>
      <c r="L25">
        <v>0</v>
      </c>
      <c r="M25">
        <v>18375</v>
      </c>
      <c r="N25">
        <v>0</v>
      </c>
      <c r="O25">
        <v>0</v>
      </c>
      <c r="P25">
        <v>39125</v>
      </c>
      <c r="Q25" t="s">
        <v>23</v>
      </c>
      <c r="R25">
        <v>125875</v>
      </c>
      <c r="S25">
        <v>39125</v>
      </c>
    </row>
    <row r="26" spans="1:19" x14ac:dyDescent="0.3">
      <c r="A26">
        <v>1431</v>
      </c>
      <c r="B26">
        <v>702</v>
      </c>
      <c r="C26">
        <v>336</v>
      </c>
      <c r="D26">
        <v>4</v>
      </c>
      <c r="E26">
        <v>130000</v>
      </c>
      <c r="F26">
        <v>75000</v>
      </c>
      <c r="G26">
        <v>0</v>
      </c>
      <c r="H26">
        <v>0</v>
      </c>
      <c r="I26">
        <v>0</v>
      </c>
      <c r="J26">
        <v>20000</v>
      </c>
      <c r="K26">
        <v>12500</v>
      </c>
      <c r="L26">
        <v>0</v>
      </c>
      <c r="M26">
        <v>18375</v>
      </c>
      <c r="N26">
        <v>0</v>
      </c>
      <c r="O26">
        <v>0</v>
      </c>
      <c r="P26">
        <v>43250</v>
      </c>
      <c r="Q26" t="s">
        <v>23</v>
      </c>
      <c r="R26">
        <v>125875</v>
      </c>
      <c r="S26">
        <v>43250</v>
      </c>
    </row>
    <row r="27" spans="1:19" x14ac:dyDescent="0.3">
      <c r="A27">
        <v>1359</v>
      </c>
      <c r="B27">
        <v>703</v>
      </c>
      <c r="C27">
        <v>318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s">
        <v>24</v>
      </c>
      <c r="R27">
        <v>115000</v>
      </c>
      <c r="S27">
        <v>80000</v>
      </c>
    </row>
    <row r="28" spans="1:19" x14ac:dyDescent="0.3">
      <c r="A28">
        <v>1367</v>
      </c>
      <c r="B28">
        <v>703</v>
      </c>
      <c r="C28">
        <v>325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15000</v>
      </c>
      <c r="K28">
        <v>20000</v>
      </c>
      <c r="L28">
        <v>10000</v>
      </c>
      <c r="M28">
        <v>24500</v>
      </c>
      <c r="N28">
        <v>0</v>
      </c>
      <c r="O28">
        <v>0</v>
      </c>
      <c r="P28">
        <v>85500</v>
      </c>
      <c r="Q28" t="s">
        <v>24</v>
      </c>
      <c r="R28">
        <v>184500</v>
      </c>
      <c r="S28">
        <v>85500</v>
      </c>
    </row>
    <row r="29" spans="1:19" x14ac:dyDescent="0.3">
      <c r="A29">
        <v>1386</v>
      </c>
      <c r="B29">
        <v>703</v>
      </c>
      <c r="C29">
        <v>328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15000</v>
      </c>
      <c r="K29">
        <v>20000</v>
      </c>
      <c r="L29">
        <v>22000</v>
      </c>
      <c r="M29">
        <v>24500</v>
      </c>
      <c r="N29">
        <v>0</v>
      </c>
      <c r="O29">
        <v>0</v>
      </c>
      <c r="P29">
        <v>79000</v>
      </c>
      <c r="Q29" t="s">
        <v>24</v>
      </c>
      <c r="R29">
        <v>196500</v>
      </c>
      <c r="S29">
        <v>79000</v>
      </c>
    </row>
    <row r="30" spans="1:19" x14ac:dyDescent="0.3">
      <c r="A30">
        <v>1410</v>
      </c>
      <c r="B30">
        <v>703</v>
      </c>
      <c r="C30">
        <v>332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15000</v>
      </c>
      <c r="K30">
        <v>20000</v>
      </c>
      <c r="L30">
        <v>0</v>
      </c>
      <c r="M30">
        <v>24500</v>
      </c>
      <c r="N30">
        <v>0</v>
      </c>
      <c r="O30">
        <v>0</v>
      </c>
      <c r="P30">
        <v>94500</v>
      </c>
      <c r="Q30" t="s">
        <v>24</v>
      </c>
      <c r="R30">
        <v>174500</v>
      </c>
      <c r="S30">
        <v>94500</v>
      </c>
    </row>
    <row r="31" spans="1:19" x14ac:dyDescent="0.3">
      <c r="A31">
        <v>1433</v>
      </c>
      <c r="B31">
        <v>703</v>
      </c>
      <c r="C31">
        <v>336</v>
      </c>
      <c r="D31">
        <v>4</v>
      </c>
      <c r="E31">
        <v>190000</v>
      </c>
      <c r="F31">
        <v>115000</v>
      </c>
      <c r="G31">
        <v>0</v>
      </c>
      <c r="H31">
        <v>60000</v>
      </c>
      <c r="I31">
        <v>125000</v>
      </c>
      <c r="J31">
        <v>20000</v>
      </c>
      <c r="K31">
        <v>30000</v>
      </c>
      <c r="L31">
        <v>14000</v>
      </c>
      <c r="M31">
        <v>31875</v>
      </c>
      <c r="N31">
        <v>0</v>
      </c>
      <c r="O31">
        <v>0</v>
      </c>
      <c r="P31">
        <v>8625</v>
      </c>
      <c r="Q31" t="s">
        <v>24</v>
      </c>
      <c r="R31">
        <v>335875</v>
      </c>
      <c r="S31">
        <v>8625</v>
      </c>
    </row>
    <row r="32" spans="1:19" x14ac:dyDescent="0.3">
      <c r="A32">
        <v>1323</v>
      </c>
      <c r="B32">
        <v>706</v>
      </c>
      <c r="C32">
        <v>321</v>
      </c>
      <c r="D32">
        <v>0</v>
      </c>
      <c r="E32">
        <v>75000</v>
      </c>
      <c r="F32">
        <v>40000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5000</v>
      </c>
      <c r="Q32" t="s">
        <v>25</v>
      </c>
      <c r="R32">
        <v>40000</v>
      </c>
      <c r="S32">
        <v>5000</v>
      </c>
    </row>
    <row r="33" spans="1:19" x14ac:dyDescent="0.3">
      <c r="A33">
        <v>1352</v>
      </c>
      <c r="B33">
        <v>706</v>
      </c>
      <c r="C33">
        <v>324</v>
      </c>
      <c r="D33">
        <v>1</v>
      </c>
      <c r="E33">
        <v>75000</v>
      </c>
      <c r="F33">
        <v>40000</v>
      </c>
      <c r="G33">
        <v>0</v>
      </c>
      <c r="H33">
        <v>0</v>
      </c>
      <c r="I33">
        <v>0</v>
      </c>
      <c r="J33">
        <v>15000</v>
      </c>
      <c r="K33">
        <v>8000</v>
      </c>
      <c r="L33">
        <v>8000</v>
      </c>
      <c r="M33">
        <v>1600</v>
      </c>
      <c r="N33">
        <v>0</v>
      </c>
      <c r="O33">
        <v>0</v>
      </c>
      <c r="P33">
        <v>7400</v>
      </c>
      <c r="Q33" t="s">
        <v>25</v>
      </c>
      <c r="R33">
        <v>72600</v>
      </c>
      <c r="S33">
        <v>7400</v>
      </c>
    </row>
    <row r="34" spans="1:19" x14ac:dyDescent="0.3">
      <c r="A34">
        <v>1392</v>
      </c>
      <c r="B34">
        <v>706</v>
      </c>
      <c r="C34">
        <v>329</v>
      </c>
      <c r="D34">
        <v>2</v>
      </c>
      <c r="E34">
        <v>75000</v>
      </c>
      <c r="F34">
        <v>40000</v>
      </c>
      <c r="G34">
        <v>0</v>
      </c>
      <c r="H34">
        <v>0</v>
      </c>
      <c r="I34">
        <v>0</v>
      </c>
      <c r="J34">
        <v>15000</v>
      </c>
      <c r="K34">
        <v>8000</v>
      </c>
      <c r="L34">
        <v>14000</v>
      </c>
      <c r="M34">
        <v>1600</v>
      </c>
      <c r="N34">
        <v>0</v>
      </c>
      <c r="O34">
        <v>4000</v>
      </c>
      <c r="P34">
        <v>-200</v>
      </c>
      <c r="Q34" t="s">
        <v>25</v>
      </c>
      <c r="R34">
        <v>82600</v>
      </c>
      <c r="S34">
        <v>-200</v>
      </c>
    </row>
    <row r="35" spans="1:19" x14ac:dyDescent="0.3">
      <c r="A35">
        <v>1420</v>
      </c>
      <c r="B35">
        <v>706</v>
      </c>
      <c r="C35">
        <v>334</v>
      </c>
      <c r="D35">
        <v>3</v>
      </c>
      <c r="E35">
        <v>75000</v>
      </c>
      <c r="F35">
        <v>40000</v>
      </c>
      <c r="G35">
        <v>200</v>
      </c>
      <c r="H35">
        <v>0</v>
      </c>
      <c r="I35">
        <v>0</v>
      </c>
      <c r="J35">
        <v>15000</v>
      </c>
      <c r="K35">
        <v>8000</v>
      </c>
      <c r="L35">
        <v>10000</v>
      </c>
      <c r="M35">
        <v>1600</v>
      </c>
      <c r="N35">
        <v>0</v>
      </c>
      <c r="O35">
        <v>0</v>
      </c>
      <c r="P35">
        <v>200</v>
      </c>
      <c r="Q35" t="s">
        <v>25</v>
      </c>
      <c r="R35">
        <v>74600</v>
      </c>
      <c r="S35">
        <v>200</v>
      </c>
    </row>
    <row r="36" spans="1:19" x14ac:dyDescent="0.3">
      <c r="A36">
        <v>1440</v>
      </c>
      <c r="B36">
        <v>706</v>
      </c>
      <c r="C36">
        <v>337</v>
      </c>
      <c r="D36">
        <v>4</v>
      </c>
      <c r="E36">
        <v>75000</v>
      </c>
      <c r="F36">
        <v>40000</v>
      </c>
      <c r="G36">
        <v>0</v>
      </c>
      <c r="H36">
        <v>0</v>
      </c>
      <c r="I36">
        <v>0</v>
      </c>
      <c r="J36">
        <v>20000</v>
      </c>
      <c r="K36">
        <v>8000</v>
      </c>
      <c r="L36">
        <v>1000</v>
      </c>
      <c r="M36">
        <v>6000</v>
      </c>
      <c r="N36">
        <v>0</v>
      </c>
      <c r="O36">
        <v>0</v>
      </c>
      <c r="P36">
        <v>200</v>
      </c>
      <c r="Q36" t="s">
        <v>25</v>
      </c>
      <c r="R36">
        <v>75000</v>
      </c>
      <c r="S36">
        <v>200</v>
      </c>
    </row>
    <row r="37" spans="1:19" x14ac:dyDescent="0.3">
      <c r="A37">
        <v>1333</v>
      </c>
      <c r="B37">
        <v>707</v>
      </c>
      <c r="C37">
        <v>321</v>
      </c>
      <c r="D37">
        <v>0</v>
      </c>
      <c r="E37">
        <v>110000</v>
      </c>
      <c r="F37">
        <v>60000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30000</v>
      </c>
      <c r="Q37" t="s">
        <v>26</v>
      </c>
      <c r="R37">
        <v>60000</v>
      </c>
      <c r="S37">
        <v>30000</v>
      </c>
    </row>
    <row r="38" spans="1:19" x14ac:dyDescent="0.3">
      <c r="A38">
        <v>1355</v>
      </c>
      <c r="B38">
        <v>707</v>
      </c>
      <c r="C38">
        <v>324</v>
      </c>
      <c r="D38">
        <v>1</v>
      </c>
      <c r="E38">
        <v>110000</v>
      </c>
      <c r="F38">
        <v>60000</v>
      </c>
      <c r="G38">
        <v>0</v>
      </c>
      <c r="H38">
        <v>0</v>
      </c>
      <c r="I38">
        <v>30000</v>
      </c>
      <c r="J38">
        <v>20000</v>
      </c>
      <c r="K38">
        <v>17000</v>
      </c>
      <c r="L38">
        <v>7000</v>
      </c>
      <c r="M38">
        <v>0</v>
      </c>
      <c r="N38">
        <v>0</v>
      </c>
      <c r="O38">
        <v>0</v>
      </c>
      <c r="P38">
        <v>6000</v>
      </c>
      <c r="Q38" t="s">
        <v>26</v>
      </c>
      <c r="R38">
        <v>134000</v>
      </c>
      <c r="S38">
        <v>6000</v>
      </c>
    </row>
    <row r="39" spans="1:19" x14ac:dyDescent="0.3">
      <c r="A39">
        <v>1389</v>
      </c>
      <c r="B39">
        <v>707</v>
      </c>
      <c r="C39">
        <v>329</v>
      </c>
      <c r="D39">
        <v>2</v>
      </c>
      <c r="E39">
        <v>110000</v>
      </c>
      <c r="F39">
        <v>60000</v>
      </c>
      <c r="G39">
        <v>0</v>
      </c>
      <c r="H39">
        <v>0</v>
      </c>
      <c r="I39">
        <v>0</v>
      </c>
      <c r="J39">
        <v>20000</v>
      </c>
      <c r="K39">
        <v>17000</v>
      </c>
      <c r="L39">
        <v>8000</v>
      </c>
      <c r="M39">
        <v>0</v>
      </c>
      <c r="N39">
        <v>0</v>
      </c>
      <c r="O39">
        <v>4000</v>
      </c>
      <c r="P39">
        <v>7000</v>
      </c>
      <c r="Q39" t="s">
        <v>26</v>
      </c>
      <c r="R39">
        <v>109000</v>
      </c>
      <c r="S39">
        <v>7000</v>
      </c>
    </row>
    <row r="40" spans="1:19" x14ac:dyDescent="0.3">
      <c r="A40">
        <v>1422</v>
      </c>
      <c r="B40">
        <v>707</v>
      </c>
      <c r="C40">
        <v>334</v>
      </c>
      <c r="D40">
        <v>3</v>
      </c>
      <c r="E40">
        <v>110000</v>
      </c>
      <c r="F40">
        <v>60000</v>
      </c>
      <c r="G40">
        <v>0</v>
      </c>
      <c r="H40">
        <v>0</v>
      </c>
      <c r="I40">
        <v>0</v>
      </c>
      <c r="J40">
        <v>20000</v>
      </c>
      <c r="K40">
        <v>17000</v>
      </c>
      <c r="L40">
        <v>18000</v>
      </c>
      <c r="M40">
        <v>0</v>
      </c>
      <c r="N40">
        <v>0</v>
      </c>
      <c r="O40">
        <v>0</v>
      </c>
      <c r="P40">
        <v>2000</v>
      </c>
      <c r="Q40" t="s">
        <v>26</v>
      </c>
      <c r="R40">
        <v>115000</v>
      </c>
      <c r="S40">
        <v>2000</v>
      </c>
    </row>
    <row r="41" spans="1:19" x14ac:dyDescent="0.3">
      <c r="A41">
        <v>1437</v>
      </c>
      <c r="B41">
        <v>707</v>
      </c>
      <c r="C41">
        <v>337</v>
      </c>
      <c r="D41">
        <v>4</v>
      </c>
      <c r="E41">
        <v>110000</v>
      </c>
      <c r="F41">
        <v>60000</v>
      </c>
      <c r="G41">
        <v>0</v>
      </c>
      <c r="H41">
        <v>0</v>
      </c>
      <c r="I41">
        <v>0</v>
      </c>
      <c r="J41">
        <v>20000</v>
      </c>
      <c r="K41">
        <v>17000</v>
      </c>
      <c r="L41">
        <v>0</v>
      </c>
      <c r="M41">
        <v>15000</v>
      </c>
      <c r="N41">
        <v>0</v>
      </c>
      <c r="O41">
        <v>0</v>
      </c>
      <c r="P41">
        <v>0</v>
      </c>
      <c r="Q41" t="s">
        <v>26</v>
      </c>
      <c r="R41">
        <v>112000</v>
      </c>
      <c r="S41">
        <v>0</v>
      </c>
    </row>
    <row r="42" spans="1:19" x14ac:dyDescent="0.3">
      <c r="A42">
        <v>1334</v>
      </c>
      <c r="B42">
        <v>708</v>
      </c>
      <c r="C42">
        <v>321</v>
      </c>
      <c r="D42">
        <v>0</v>
      </c>
      <c r="E42">
        <v>60000</v>
      </c>
      <c r="F42">
        <v>30000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27</v>
      </c>
      <c r="R42">
        <v>30000</v>
      </c>
      <c r="S42">
        <v>0</v>
      </c>
    </row>
    <row r="43" spans="1:19" x14ac:dyDescent="0.3">
      <c r="A43">
        <v>1356</v>
      </c>
      <c r="B43">
        <v>708</v>
      </c>
      <c r="C43">
        <v>324</v>
      </c>
      <c r="D43">
        <v>1</v>
      </c>
      <c r="E43">
        <v>60000</v>
      </c>
      <c r="F43">
        <v>30000</v>
      </c>
      <c r="G43">
        <v>0</v>
      </c>
      <c r="H43">
        <v>0</v>
      </c>
      <c r="I43">
        <v>0</v>
      </c>
      <c r="J43">
        <v>20000</v>
      </c>
      <c r="K43">
        <v>7000</v>
      </c>
      <c r="L43">
        <v>0</v>
      </c>
      <c r="M43">
        <v>1750</v>
      </c>
      <c r="N43">
        <v>0</v>
      </c>
      <c r="O43">
        <v>0</v>
      </c>
      <c r="P43">
        <v>1250</v>
      </c>
      <c r="Q43" t="s">
        <v>27</v>
      </c>
      <c r="R43">
        <v>58750</v>
      </c>
      <c r="S43">
        <v>1250</v>
      </c>
    </row>
    <row r="44" spans="1:19" x14ac:dyDescent="0.3">
      <c r="A44">
        <v>1391</v>
      </c>
      <c r="B44">
        <v>708</v>
      </c>
      <c r="C44">
        <v>329</v>
      </c>
      <c r="D44">
        <v>2</v>
      </c>
      <c r="E44">
        <v>60000</v>
      </c>
      <c r="F44">
        <v>30000</v>
      </c>
      <c r="G44">
        <v>0</v>
      </c>
      <c r="H44">
        <v>0</v>
      </c>
      <c r="I44">
        <v>0</v>
      </c>
      <c r="J44">
        <v>20000</v>
      </c>
      <c r="K44">
        <v>7000</v>
      </c>
      <c r="L44">
        <v>0</v>
      </c>
      <c r="M44">
        <v>3500</v>
      </c>
      <c r="N44">
        <v>12000</v>
      </c>
      <c r="O44">
        <v>4000</v>
      </c>
      <c r="P44">
        <v>-15250</v>
      </c>
      <c r="Q44" t="s">
        <v>27</v>
      </c>
      <c r="R44">
        <v>76500</v>
      </c>
      <c r="S44">
        <v>-15250</v>
      </c>
    </row>
    <row r="45" spans="1:19" x14ac:dyDescent="0.3">
      <c r="A45">
        <v>1419</v>
      </c>
      <c r="B45">
        <v>708</v>
      </c>
      <c r="C45">
        <v>334</v>
      </c>
      <c r="D45">
        <v>3</v>
      </c>
      <c r="E45">
        <v>60000</v>
      </c>
      <c r="F45">
        <v>30000</v>
      </c>
      <c r="G45">
        <v>15250</v>
      </c>
      <c r="H45">
        <v>0</v>
      </c>
      <c r="I45">
        <v>0</v>
      </c>
      <c r="J45">
        <v>20000</v>
      </c>
      <c r="K45">
        <v>7000</v>
      </c>
      <c r="L45">
        <v>0</v>
      </c>
      <c r="M45">
        <v>0</v>
      </c>
      <c r="N45">
        <v>0</v>
      </c>
      <c r="O45">
        <v>4000</v>
      </c>
      <c r="P45">
        <v>-16250</v>
      </c>
      <c r="Q45" t="s">
        <v>27</v>
      </c>
      <c r="R45">
        <v>61000</v>
      </c>
      <c r="S45">
        <v>-16250</v>
      </c>
    </row>
    <row r="46" spans="1:19" x14ac:dyDescent="0.3">
      <c r="A46">
        <v>1436</v>
      </c>
      <c r="B46">
        <v>708</v>
      </c>
      <c r="C46">
        <v>337</v>
      </c>
      <c r="D46">
        <v>4</v>
      </c>
      <c r="E46">
        <v>60000</v>
      </c>
      <c r="F46">
        <v>30000</v>
      </c>
      <c r="G46">
        <v>16250</v>
      </c>
      <c r="H46">
        <v>0</v>
      </c>
      <c r="I46">
        <v>0</v>
      </c>
      <c r="J46">
        <v>20000</v>
      </c>
      <c r="K46">
        <v>7000</v>
      </c>
      <c r="L46">
        <v>0</v>
      </c>
      <c r="M46">
        <v>0</v>
      </c>
      <c r="N46">
        <v>0</v>
      </c>
      <c r="O46">
        <v>4000</v>
      </c>
      <c r="P46">
        <v>-17250</v>
      </c>
      <c r="Q46" t="s">
        <v>27</v>
      </c>
      <c r="R46">
        <v>61000</v>
      </c>
      <c r="S46">
        <v>-17250</v>
      </c>
    </row>
    <row r="47" spans="1:19" x14ac:dyDescent="0.3">
      <c r="A47">
        <v>1336</v>
      </c>
      <c r="B47">
        <v>709</v>
      </c>
      <c r="C47">
        <v>321</v>
      </c>
      <c r="D47">
        <v>0</v>
      </c>
      <c r="E47">
        <v>90000</v>
      </c>
      <c r="F47">
        <v>50000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15000</v>
      </c>
      <c r="Q47" t="s">
        <v>28</v>
      </c>
      <c r="R47">
        <v>50000</v>
      </c>
      <c r="S47">
        <v>15000</v>
      </c>
    </row>
    <row r="48" spans="1:19" x14ac:dyDescent="0.3">
      <c r="A48">
        <v>1351</v>
      </c>
      <c r="B48">
        <v>709</v>
      </c>
      <c r="C48">
        <v>324</v>
      </c>
      <c r="D48">
        <v>1</v>
      </c>
      <c r="E48">
        <v>90000</v>
      </c>
      <c r="F48">
        <v>50000</v>
      </c>
      <c r="G48">
        <v>0</v>
      </c>
      <c r="H48">
        <v>0</v>
      </c>
      <c r="I48">
        <v>30000</v>
      </c>
      <c r="J48">
        <v>15000</v>
      </c>
      <c r="K48">
        <v>13000</v>
      </c>
      <c r="L48">
        <v>0</v>
      </c>
      <c r="M48">
        <v>0</v>
      </c>
      <c r="N48">
        <v>0</v>
      </c>
      <c r="O48">
        <v>0</v>
      </c>
      <c r="P48">
        <v>-3000</v>
      </c>
      <c r="Q48" t="s">
        <v>28</v>
      </c>
      <c r="R48">
        <v>108000</v>
      </c>
      <c r="S48">
        <v>-3000</v>
      </c>
    </row>
    <row r="49" spans="1:19" x14ac:dyDescent="0.3">
      <c r="A49">
        <v>1390</v>
      </c>
      <c r="B49">
        <v>709</v>
      </c>
      <c r="C49">
        <v>329</v>
      </c>
      <c r="D49">
        <v>2</v>
      </c>
      <c r="E49">
        <v>90000</v>
      </c>
      <c r="F49">
        <v>50000</v>
      </c>
      <c r="G49">
        <v>3000</v>
      </c>
      <c r="H49">
        <v>0</v>
      </c>
      <c r="I49">
        <v>0</v>
      </c>
      <c r="J49">
        <v>15000</v>
      </c>
      <c r="K49">
        <v>13000</v>
      </c>
      <c r="L49">
        <v>0</v>
      </c>
      <c r="M49">
        <v>7700</v>
      </c>
      <c r="N49">
        <v>0</v>
      </c>
      <c r="O49">
        <v>4000</v>
      </c>
      <c r="P49">
        <v>-2700</v>
      </c>
      <c r="Q49" t="s">
        <v>28</v>
      </c>
      <c r="R49">
        <v>89700</v>
      </c>
      <c r="S49">
        <v>-2700</v>
      </c>
    </row>
    <row r="50" spans="1:19" x14ac:dyDescent="0.3">
      <c r="A50">
        <v>1421</v>
      </c>
      <c r="B50">
        <v>709</v>
      </c>
      <c r="C50">
        <v>334</v>
      </c>
      <c r="D50">
        <v>3</v>
      </c>
      <c r="E50">
        <v>90000</v>
      </c>
      <c r="F50">
        <v>50000</v>
      </c>
      <c r="G50">
        <v>2700</v>
      </c>
      <c r="H50">
        <v>0</v>
      </c>
      <c r="I50">
        <v>0</v>
      </c>
      <c r="J50">
        <v>15000</v>
      </c>
      <c r="K50">
        <v>13000</v>
      </c>
      <c r="L50">
        <v>0</v>
      </c>
      <c r="M50">
        <v>0</v>
      </c>
      <c r="N50">
        <v>0</v>
      </c>
      <c r="O50">
        <v>4000</v>
      </c>
      <c r="P50">
        <v>5300</v>
      </c>
      <c r="Q50" t="s">
        <v>28</v>
      </c>
      <c r="R50">
        <v>82000</v>
      </c>
      <c r="S50">
        <v>5300</v>
      </c>
    </row>
    <row r="51" spans="1:19" x14ac:dyDescent="0.3">
      <c r="A51">
        <v>1439</v>
      </c>
      <c r="B51">
        <v>709</v>
      </c>
      <c r="C51">
        <v>337</v>
      </c>
      <c r="D51">
        <v>4</v>
      </c>
      <c r="E51">
        <v>90000</v>
      </c>
      <c r="F51">
        <v>50000</v>
      </c>
      <c r="G51">
        <v>0</v>
      </c>
      <c r="H51">
        <v>69000</v>
      </c>
      <c r="I51">
        <v>0</v>
      </c>
      <c r="J51">
        <v>20000</v>
      </c>
      <c r="K51">
        <v>10000</v>
      </c>
      <c r="L51">
        <v>32000</v>
      </c>
      <c r="M51">
        <v>14000</v>
      </c>
      <c r="N51">
        <v>0</v>
      </c>
      <c r="O51">
        <v>0</v>
      </c>
      <c r="P51">
        <v>38300</v>
      </c>
      <c r="Q51" t="s">
        <v>28</v>
      </c>
      <c r="R51">
        <v>126000</v>
      </c>
      <c r="S51">
        <v>38300</v>
      </c>
    </row>
    <row r="52" spans="1:19" x14ac:dyDescent="0.3">
      <c r="A52">
        <v>1346</v>
      </c>
      <c r="B52">
        <v>710</v>
      </c>
      <c r="C52">
        <v>321</v>
      </c>
      <c r="D52">
        <v>0</v>
      </c>
      <c r="E52">
        <v>130000</v>
      </c>
      <c r="F52">
        <v>75000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50000</v>
      </c>
      <c r="Q52" t="s">
        <v>29</v>
      </c>
      <c r="R52">
        <v>75000</v>
      </c>
      <c r="S52">
        <v>50000</v>
      </c>
    </row>
    <row r="53" spans="1:19" x14ac:dyDescent="0.3">
      <c r="A53">
        <v>1353</v>
      </c>
      <c r="B53">
        <v>710</v>
      </c>
      <c r="C53">
        <v>324</v>
      </c>
      <c r="D53">
        <v>1</v>
      </c>
      <c r="E53">
        <v>130000</v>
      </c>
      <c r="F53">
        <v>75000</v>
      </c>
      <c r="G53">
        <v>0</v>
      </c>
      <c r="H53">
        <v>0</v>
      </c>
      <c r="I53">
        <v>0</v>
      </c>
      <c r="J53">
        <v>20000</v>
      </c>
      <c r="K53">
        <v>20000</v>
      </c>
      <c r="L53">
        <v>9000</v>
      </c>
      <c r="M53">
        <v>14000</v>
      </c>
      <c r="N53">
        <v>0</v>
      </c>
      <c r="O53">
        <v>0</v>
      </c>
      <c r="P53">
        <v>42000</v>
      </c>
      <c r="Q53" t="s">
        <v>29</v>
      </c>
      <c r="R53">
        <v>138000</v>
      </c>
      <c r="S53">
        <v>42000</v>
      </c>
    </row>
    <row r="54" spans="1:19" x14ac:dyDescent="0.3">
      <c r="A54">
        <v>1388</v>
      </c>
      <c r="B54">
        <v>710</v>
      </c>
      <c r="C54">
        <v>329</v>
      </c>
      <c r="D54">
        <v>2</v>
      </c>
      <c r="E54">
        <v>130000</v>
      </c>
      <c r="F54">
        <v>75000</v>
      </c>
      <c r="G54">
        <v>0</v>
      </c>
      <c r="H54">
        <v>0</v>
      </c>
      <c r="I54">
        <v>0</v>
      </c>
      <c r="J54">
        <v>20000</v>
      </c>
      <c r="K54">
        <v>20000</v>
      </c>
      <c r="L54">
        <v>24000</v>
      </c>
      <c r="M54">
        <v>14000</v>
      </c>
      <c r="N54">
        <v>0</v>
      </c>
      <c r="O54">
        <v>0</v>
      </c>
      <c r="P54">
        <v>19000</v>
      </c>
      <c r="Q54" t="s">
        <v>29</v>
      </c>
      <c r="R54">
        <v>153000</v>
      </c>
      <c r="S54">
        <v>19000</v>
      </c>
    </row>
    <row r="55" spans="1:19" x14ac:dyDescent="0.3">
      <c r="A55">
        <v>1417</v>
      </c>
      <c r="B55">
        <v>710</v>
      </c>
      <c r="C55">
        <v>334</v>
      </c>
      <c r="D55">
        <v>3</v>
      </c>
      <c r="E55">
        <v>130000</v>
      </c>
      <c r="F55">
        <v>75000</v>
      </c>
      <c r="G55">
        <v>0</v>
      </c>
      <c r="H55">
        <v>0</v>
      </c>
      <c r="I55">
        <v>0</v>
      </c>
      <c r="J55">
        <v>20000</v>
      </c>
      <c r="K55">
        <v>20000</v>
      </c>
      <c r="L55">
        <v>0</v>
      </c>
      <c r="M55">
        <v>25500</v>
      </c>
      <c r="N55">
        <v>0</v>
      </c>
      <c r="O55">
        <v>0</v>
      </c>
      <c r="P55">
        <v>8500</v>
      </c>
      <c r="Q55" t="s">
        <v>29</v>
      </c>
      <c r="R55">
        <v>140500</v>
      </c>
      <c r="S55">
        <v>8500</v>
      </c>
    </row>
    <row r="56" spans="1:19" x14ac:dyDescent="0.3">
      <c r="A56">
        <v>1438</v>
      </c>
      <c r="B56">
        <v>710</v>
      </c>
      <c r="C56">
        <v>337</v>
      </c>
      <c r="D56">
        <v>4</v>
      </c>
      <c r="E56">
        <v>130000</v>
      </c>
      <c r="F56">
        <v>75000</v>
      </c>
      <c r="G56">
        <v>0</v>
      </c>
      <c r="H56">
        <v>0</v>
      </c>
      <c r="I56">
        <v>0</v>
      </c>
      <c r="J56">
        <v>20000</v>
      </c>
      <c r="K56">
        <v>20000</v>
      </c>
      <c r="L56">
        <v>0</v>
      </c>
      <c r="M56">
        <v>19000</v>
      </c>
      <c r="N56">
        <v>0</v>
      </c>
      <c r="O56">
        <v>0</v>
      </c>
      <c r="P56">
        <v>4500</v>
      </c>
      <c r="Q56" t="s">
        <v>29</v>
      </c>
      <c r="R56">
        <v>134000</v>
      </c>
      <c r="S56">
        <v>4500</v>
      </c>
    </row>
    <row r="57" spans="1:19" x14ac:dyDescent="0.3">
      <c r="A57">
        <v>1322</v>
      </c>
      <c r="B57">
        <v>711</v>
      </c>
      <c r="C57">
        <v>321</v>
      </c>
      <c r="D57">
        <v>0</v>
      </c>
      <c r="E57">
        <v>190000</v>
      </c>
      <c r="F57">
        <v>115000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80000</v>
      </c>
      <c r="Q57" t="s">
        <v>30</v>
      </c>
      <c r="R57">
        <v>115000</v>
      </c>
      <c r="S57">
        <v>80000</v>
      </c>
    </row>
    <row r="58" spans="1:19" x14ac:dyDescent="0.3">
      <c r="A58">
        <v>1354</v>
      </c>
      <c r="B58">
        <v>711</v>
      </c>
      <c r="C58">
        <v>324</v>
      </c>
      <c r="D58">
        <v>1</v>
      </c>
      <c r="E58">
        <v>190000</v>
      </c>
      <c r="F58">
        <v>115000</v>
      </c>
      <c r="G58">
        <v>0</v>
      </c>
      <c r="H58">
        <v>0</v>
      </c>
      <c r="I58">
        <v>0</v>
      </c>
      <c r="J58">
        <v>15000</v>
      </c>
      <c r="K58">
        <v>30000</v>
      </c>
      <c r="L58">
        <v>14000</v>
      </c>
      <c r="M58">
        <v>30500</v>
      </c>
      <c r="N58">
        <v>0</v>
      </c>
      <c r="O58">
        <v>0</v>
      </c>
      <c r="P58">
        <v>65500</v>
      </c>
      <c r="Q58" t="s">
        <v>30</v>
      </c>
      <c r="R58">
        <v>204500</v>
      </c>
      <c r="S58">
        <v>65500</v>
      </c>
    </row>
    <row r="59" spans="1:19" x14ac:dyDescent="0.3">
      <c r="A59">
        <v>1387</v>
      </c>
      <c r="B59">
        <v>711</v>
      </c>
      <c r="C59">
        <v>329</v>
      </c>
      <c r="D59">
        <v>2</v>
      </c>
      <c r="E59">
        <v>190000</v>
      </c>
      <c r="F59">
        <v>115000</v>
      </c>
      <c r="G59">
        <v>0</v>
      </c>
      <c r="H59">
        <v>0</v>
      </c>
      <c r="I59">
        <v>0</v>
      </c>
      <c r="J59">
        <v>15000</v>
      </c>
      <c r="K59">
        <v>30000</v>
      </c>
      <c r="L59">
        <v>0</v>
      </c>
      <c r="M59">
        <v>15500</v>
      </c>
      <c r="N59">
        <v>0</v>
      </c>
      <c r="O59">
        <v>4000</v>
      </c>
      <c r="P59">
        <v>76000</v>
      </c>
      <c r="Q59" t="s">
        <v>30</v>
      </c>
      <c r="R59">
        <v>179500</v>
      </c>
      <c r="S59">
        <v>76000</v>
      </c>
    </row>
    <row r="60" spans="1:19" x14ac:dyDescent="0.3">
      <c r="A60">
        <v>1418</v>
      </c>
      <c r="B60">
        <v>711</v>
      </c>
      <c r="C60">
        <v>334</v>
      </c>
      <c r="D60">
        <v>3</v>
      </c>
      <c r="E60">
        <v>190000</v>
      </c>
      <c r="F60">
        <v>115000</v>
      </c>
      <c r="G60">
        <v>0</v>
      </c>
      <c r="H60">
        <v>0</v>
      </c>
      <c r="I60">
        <v>0</v>
      </c>
      <c r="J60">
        <v>15000</v>
      </c>
      <c r="K60">
        <v>30000</v>
      </c>
      <c r="L60">
        <v>19000</v>
      </c>
      <c r="M60">
        <v>30500</v>
      </c>
      <c r="N60">
        <v>0</v>
      </c>
      <c r="O60">
        <v>0</v>
      </c>
      <c r="P60">
        <v>56500</v>
      </c>
      <c r="Q60" t="s">
        <v>30</v>
      </c>
      <c r="R60">
        <v>209500</v>
      </c>
      <c r="S60">
        <v>56500</v>
      </c>
    </row>
    <row r="61" spans="1:19" x14ac:dyDescent="0.3">
      <c r="A61">
        <v>1435</v>
      </c>
      <c r="B61">
        <v>711</v>
      </c>
      <c r="C61">
        <v>337</v>
      </c>
      <c r="D61">
        <v>4</v>
      </c>
      <c r="E61">
        <v>190000</v>
      </c>
      <c r="F61">
        <v>115000</v>
      </c>
      <c r="G61">
        <v>0</v>
      </c>
      <c r="H61">
        <v>0</v>
      </c>
      <c r="I61">
        <v>0</v>
      </c>
      <c r="J61">
        <v>20000</v>
      </c>
      <c r="K61">
        <v>30000</v>
      </c>
      <c r="L61">
        <v>0</v>
      </c>
      <c r="M61">
        <v>38000</v>
      </c>
      <c r="N61">
        <v>0</v>
      </c>
      <c r="O61">
        <v>0</v>
      </c>
      <c r="P61">
        <v>43500</v>
      </c>
      <c r="Q61" t="s">
        <v>30</v>
      </c>
      <c r="R61">
        <v>203000</v>
      </c>
      <c r="S61">
        <v>43500</v>
      </c>
    </row>
    <row r="62" spans="1:19" x14ac:dyDescent="0.3">
      <c r="A62">
        <v>1332</v>
      </c>
      <c r="B62">
        <v>714</v>
      </c>
      <c r="C62">
        <v>319</v>
      </c>
      <c r="D62">
        <v>0</v>
      </c>
      <c r="E62">
        <v>75000</v>
      </c>
      <c r="F62">
        <v>40000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5000</v>
      </c>
      <c r="Q62" t="s">
        <v>31</v>
      </c>
      <c r="R62">
        <v>40000</v>
      </c>
      <c r="S62">
        <v>5000</v>
      </c>
    </row>
    <row r="63" spans="1:19" x14ac:dyDescent="0.3">
      <c r="A63">
        <v>1339</v>
      </c>
      <c r="B63">
        <v>714</v>
      </c>
      <c r="C63">
        <v>322</v>
      </c>
      <c r="D63">
        <v>1</v>
      </c>
      <c r="E63">
        <v>75000</v>
      </c>
      <c r="F63">
        <v>40000</v>
      </c>
      <c r="G63">
        <v>0</v>
      </c>
      <c r="H63">
        <v>0</v>
      </c>
      <c r="I63">
        <v>0</v>
      </c>
      <c r="J63">
        <v>15000</v>
      </c>
      <c r="K63">
        <v>10000</v>
      </c>
      <c r="L63">
        <v>0</v>
      </c>
      <c r="M63">
        <v>5000</v>
      </c>
      <c r="N63">
        <v>0</v>
      </c>
      <c r="O63">
        <v>0</v>
      </c>
      <c r="P63">
        <v>10000</v>
      </c>
      <c r="Q63" t="s">
        <v>31</v>
      </c>
      <c r="R63">
        <v>70000</v>
      </c>
      <c r="S63">
        <v>10000</v>
      </c>
    </row>
    <row r="64" spans="1:19" x14ac:dyDescent="0.3">
      <c r="A64">
        <v>1376</v>
      </c>
      <c r="B64">
        <v>714</v>
      </c>
      <c r="C64">
        <v>326</v>
      </c>
      <c r="D64">
        <v>2</v>
      </c>
      <c r="E64">
        <v>75000</v>
      </c>
      <c r="F64">
        <v>40000</v>
      </c>
      <c r="G64">
        <v>0</v>
      </c>
      <c r="H64">
        <v>0</v>
      </c>
      <c r="I64">
        <v>0</v>
      </c>
      <c r="J64">
        <v>15000</v>
      </c>
      <c r="K64">
        <v>10000</v>
      </c>
      <c r="L64">
        <v>9000</v>
      </c>
      <c r="M64">
        <v>0</v>
      </c>
      <c r="N64">
        <v>0</v>
      </c>
      <c r="O64">
        <v>0</v>
      </c>
      <c r="P64">
        <v>11000</v>
      </c>
      <c r="Q64" t="s">
        <v>31</v>
      </c>
      <c r="R64">
        <v>74000</v>
      </c>
      <c r="S64">
        <v>11000</v>
      </c>
    </row>
    <row r="65" spans="1:19" x14ac:dyDescent="0.3">
      <c r="A65">
        <v>1402</v>
      </c>
      <c r="B65">
        <v>714</v>
      </c>
      <c r="C65">
        <v>331</v>
      </c>
      <c r="D65">
        <v>3</v>
      </c>
      <c r="E65">
        <v>75000</v>
      </c>
      <c r="F65">
        <v>40000</v>
      </c>
      <c r="G65">
        <v>0</v>
      </c>
      <c r="H65">
        <v>0</v>
      </c>
      <c r="I65">
        <v>0</v>
      </c>
      <c r="J65">
        <v>15000</v>
      </c>
      <c r="K65">
        <v>10000</v>
      </c>
      <c r="L65">
        <v>18000</v>
      </c>
      <c r="M65">
        <v>0</v>
      </c>
      <c r="N65">
        <v>0</v>
      </c>
      <c r="O65">
        <v>0</v>
      </c>
      <c r="P65">
        <v>3000</v>
      </c>
      <c r="Q65" t="s">
        <v>31</v>
      </c>
      <c r="R65">
        <v>83000</v>
      </c>
      <c r="S65">
        <v>3000</v>
      </c>
    </row>
    <row r="66" spans="1:19" x14ac:dyDescent="0.3">
      <c r="A66">
        <v>1425</v>
      </c>
      <c r="B66">
        <v>714</v>
      </c>
      <c r="C66">
        <v>335</v>
      </c>
      <c r="D66">
        <v>4</v>
      </c>
      <c r="E66">
        <v>75000</v>
      </c>
      <c r="F66">
        <v>40000</v>
      </c>
      <c r="G66">
        <v>0</v>
      </c>
      <c r="H66">
        <v>0</v>
      </c>
      <c r="I66">
        <v>0</v>
      </c>
      <c r="J66">
        <v>20000</v>
      </c>
      <c r="K66">
        <v>10000</v>
      </c>
      <c r="L66">
        <v>0</v>
      </c>
      <c r="M66">
        <v>7500</v>
      </c>
      <c r="N66">
        <v>0</v>
      </c>
      <c r="O66">
        <v>0</v>
      </c>
      <c r="P66">
        <v>500</v>
      </c>
      <c r="Q66" t="s">
        <v>31</v>
      </c>
      <c r="R66">
        <v>77500</v>
      </c>
      <c r="S66">
        <v>500</v>
      </c>
    </row>
    <row r="67" spans="1:19" x14ac:dyDescent="0.3">
      <c r="A67">
        <v>1325</v>
      </c>
      <c r="B67">
        <v>715</v>
      </c>
      <c r="C67">
        <v>319</v>
      </c>
      <c r="D67">
        <v>0</v>
      </c>
      <c r="E67">
        <v>110000</v>
      </c>
      <c r="F67">
        <v>60000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30000</v>
      </c>
      <c r="Q67" t="s">
        <v>32</v>
      </c>
      <c r="R67">
        <v>60000</v>
      </c>
      <c r="S67">
        <v>30000</v>
      </c>
    </row>
    <row r="68" spans="1:19" x14ac:dyDescent="0.3">
      <c r="A68">
        <v>1342</v>
      </c>
      <c r="B68">
        <v>715</v>
      </c>
      <c r="C68">
        <v>322</v>
      </c>
      <c r="D68">
        <v>1</v>
      </c>
      <c r="E68">
        <v>110000</v>
      </c>
      <c r="F68">
        <v>60000</v>
      </c>
      <c r="G68">
        <v>0</v>
      </c>
      <c r="H68">
        <v>0</v>
      </c>
      <c r="I68">
        <v>0</v>
      </c>
      <c r="J68">
        <v>20000</v>
      </c>
      <c r="K68">
        <v>12500</v>
      </c>
      <c r="L68">
        <v>22000</v>
      </c>
      <c r="M68">
        <v>9375</v>
      </c>
      <c r="N68">
        <v>0</v>
      </c>
      <c r="O68">
        <v>0</v>
      </c>
      <c r="P68">
        <v>16125</v>
      </c>
      <c r="Q68" t="s">
        <v>32</v>
      </c>
      <c r="R68">
        <v>123875</v>
      </c>
      <c r="S68">
        <v>16125</v>
      </c>
    </row>
    <row r="69" spans="1:19" x14ac:dyDescent="0.3">
      <c r="A69">
        <v>1370</v>
      </c>
      <c r="B69">
        <v>715</v>
      </c>
      <c r="C69">
        <v>326</v>
      </c>
      <c r="D69">
        <v>2</v>
      </c>
      <c r="E69">
        <v>110000</v>
      </c>
      <c r="F69">
        <v>60000</v>
      </c>
      <c r="G69">
        <v>0</v>
      </c>
      <c r="H69">
        <v>0</v>
      </c>
      <c r="I69">
        <v>0</v>
      </c>
      <c r="J69">
        <v>20000</v>
      </c>
      <c r="K69">
        <v>12500</v>
      </c>
      <c r="L69">
        <v>11000</v>
      </c>
      <c r="M69">
        <v>8750</v>
      </c>
      <c r="N69">
        <v>0</v>
      </c>
      <c r="O69">
        <v>0</v>
      </c>
      <c r="P69">
        <v>13875</v>
      </c>
      <c r="Q69" t="s">
        <v>32</v>
      </c>
      <c r="R69">
        <v>112250</v>
      </c>
      <c r="S69">
        <v>13875</v>
      </c>
    </row>
    <row r="70" spans="1:19" x14ac:dyDescent="0.3">
      <c r="A70">
        <v>1404</v>
      </c>
      <c r="B70">
        <v>715</v>
      </c>
      <c r="C70">
        <v>331</v>
      </c>
      <c r="D70">
        <v>3</v>
      </c>
      <c r="E70">
        <v>110000</v>
      </c>
      <c r="F70">
        <v>60000</v>
      </c>
      <c r="G70">
        <v>0</v>
      </c>
      <c r="H70">
        <v>0</v>
      </c>
      <c r="I70">
        <v>0</v>
      </c>
      <c r="J70">
        <v>20000</v>
      </c>
      <c r="K70">
        <v>12500</v>
      </c>
      <c r="L70">
        <v>0</v>
      </c>
      <c r="M70">
        <v>17375</v>
      </c>
      <c r="N70">
        <v>0</v>
      </c>
      <c r="O70">
        <v>0</v>
      </c>
      <c r="P70">
        <v>14000</v>
      </c>
      <c r="Q70" t="s">
        <v>32</v>
      </c>
      <c r="R70">
        <v>109875</v>
      </c>
      <c r="S70">
        <v>14000</v>
      </c>
    </row>
    <row r="71" spans="1:19" x14ac:dyDescent="0.3">
      <c r="A71">
        <v>1424</v>
      </c>
      <c r="B71">
        <v>715</v>
      </c>
      <c r="C71">
        <v>335</v>
      </c>
      <c r="D71">
        <v>4</v>
      </c>
      <c r="E71">
        <v>110000</v>
      </c>
      <c r="F71">
        <v>60000</v>
      </c>
      <c r="G71">
        <v>0</v>
      </c>
      <c r="H71">
        <v>0</v>
      </c>
      <c r="I71">
        <v>0</v>
      </c>
      <c r="J71">
        <v>20000</v>
      </c>
      <c r="K71">
        <v>12500</v>
      </c>
      <c r="L71">
        <v>0</v>
      </c>
      <c r="M71">
        <v>17375</v>
      </c>
      <c r="N71">
        <v>0</v>
      </c>
      <c r="O71">
        <v>0</v>
      </c>
      <c r="P71">
        <v>14125</v>
      </c>
      <c r="Q71" t="s">
        <v>32</v>
      </c>
      <c r="R71">
        <v>109875</v>
      </c>
      <c r="S71">
        <v>14125</v>
      </c>
    </row>
    <row r="72" spans="1:19" x14ac:dyDescent="0.3">
      <c r="A72">
        <v>1337</v>
      </c>
      <c r="B72">
        <v>716</v>
      </c>
      <c r="C72">
        <v>319</v>
      </c>
      <c r="D72">
        <v>0</v>
      </c>
      <c r="E72">
        <v>60000</v>
      </c>
      <c r="F72">
        <v>30000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33</v>
      </c>
      <c r="R72">
        <v>30000</v>
      </c>
      <c r="S72">
        <v>0</v>
      </c>
    </row>
    <row r="73" spans="1:19" x14ac:dyDescent="0.3">
      <c r="A73">
        <v>1341</v>
      </c>
      <c r="B73">
        <v>716</v>
      </c>
      <c r="C73">
        <v>322</v>
      </c>
      <c r="D73">
        <v>1</v>
      </c>
      <c r="E73">
        <v>60000</v>
      </c>
      <c r="F73">
        <v>30000</v>
      </c>
      <c r="G73">
        <v>0</v>
      </c>
      <c r="H73">
        <v>0</v>
      </c>
      <c r="I73">
        <v>0</v>
      </c>
      <c r="J73">
        <v>20000</v>
      </c>
      <c r="K73">
        <v>7000</v>
      </c>
      <c r="L73">
        <v>1000</v>
      </c>
      <c r="M73">
        <v>1400</v>
      </c>
      <c r="N73">
        <v>0</v>
      </c>
      <c r="O73">
        <v>0</v>
      </c>
      <c r="P73">
        <v>600</v>
      </c>
      <c r="Q73" t="s">
        <v>33</v>
      </c>
      <c r="R73">
        <v>59400</v>
      </c>
      <c r="S73">
        <v>600</v>
      </c>
    </row>
    <row r="74" spans="1:19" x14ac:dyDescent="0.3">
      <c r="A74">
        <v>1372</v>
      </c>
      <c r="B74">
        <v>716</v>
      </c>
      <c r="C74">
        <v>326</v>
      </c>
      <c r="D74">
        <v>2</v>
      </c>
      <c r="E74">
        <v>60000</v>
      </c>
      <c r="F74">
        <v>30000</v>
      </c>
      <c r="G74">
        <v>0</v>
      </c>
      <c r="H74">
        <v>0</v>
      </c>
      <c r="I74">
        <v>0</v>
      </c>
      <c r="J74">
        <v>20000</v>
      </c>
      <c r="K74">
        <v>7000</v>
      </c>
      <c r="L74">
        <v>0</v>
      </c>
      <c r="M74">
        <v>3150</v>
      </c>
      <c r="N74">
        <v>0</v>
      </c>
      <c r="O74">
        <v>0</v>
      </c>
      <c r="P74">
        <v>450</v>
      </c>
      <c r="Q74" t="s">
        <v>33</v>
      </c>
      <c r="R74">
        <v>60150</v>
      </c>
      <c r="S74">
        <v>450</v>
      </c>
    </row>
    <row r="75" spans="1:19" x14ac:dyDescent="0.3">
      <c r="A75">
        <v>1400</v>
      </c>
      <c r="B75">
        <v>716</v>
      </c>
      <c r="C75">
        <v>331</v>
      </c>
      <c r="D75">
        <v>3</v>
      </c>
      <c r="E75">
        <v>60000</v>
      </c>
      <c r="F75">
        <v>30000</v>
      </c>
      <c r="G75">
        <v>0</v>
      </c>
      <c r="H75">
        <v>0</v>
      </c>
      <c r="I75">
        <v>0</v>
      </c>
      <c r="J75">
        <v>20000</v>
      </c>
      <c r="K75">
        <v>7000</v>
      </c>
      <c r="L75">
        <v>0</v>
      </c>
      <c r="M75">
        <v>3150</v>
      </c>
      <c r="N75">
        <v>0</v>
      </c>
      <c r="O75">
        <v>4000</v>
      </c>
      <c r="P75">
        <v>-3700</v>
      </c>
      <c r="Q75" t="s">
        <v>33</v>
      </c>
      <c r="R75">
        <v>64150</v>
      </c>
      <c r="S75">
        <v>-3700</v>
      </c>
    </row>
    <row r="76" spans="1:19" x14ac:dyDescent="0.3">
      <c r="A76">
        <v>1427</v>
      </c>
      <c r="B76">
        <v>716</v>
      </c>
      <c r="C76">
        <v>335</v>
      </c>
      <c r="D76">
        <v>4</v>
      </c>
      <c r="E76">
        <v>60000</v>
      </c>
      <c r="F76">
        <v>30000</v>
      </c>
      <c r="G76">
        <v>3700</v>
      </c>
      <c r="H76">
        <v>28000</v>
      </c>
      <c r="I76">
        <v>0</v>
      </c>
      <c r="J76">
        <v>20000</v>
      </c>
      <c r="K76">
        <v>8000</v>
      </c>
      <c r="L76">
        <v>18000</v>
      </c>
      <c r="M76">
        <v>7600</v>
      </c>
      <c r="N76">
        <v>0</v>
      </c>
      <c r="O76">
        <v>0</v>
      </c>
      <c r="P76">
        <v>700</v>
      </c>
      <c r="Q76" t="s">
        <v>33</v>
      </c>
      <c r="R76">
        <v>83600</v>
      </c>
      <c r="S76">
        <v>700</v>
      </c>
    </row>
    <row r="77" spans="1:19" x14ac:dyDescent="0.3">
      <c r="A77">
        <v>1326</v>
      </c>
      <c r="B77">
        <v>717</v>
      </c>
      <c r="C77">
        <v>319</v>
      </c>
      <c r="D77">
        <v>0</v>
      </c>
      <c r="E77">
        <v>90000</v>
      </c>
      <c r="F77">
        <v>50000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15000</v>
      </c>
      <c r="Q77" t="s">
        <v>34</v>
      </c>
      <c r="R77">
        <v>50000</v>
      </c>
      <c r="S77">
        <v>15000</v>
      </c>
    </row>
    <row r="78" spans="1:19" x14ac:dyDescent="0.3">
      <c r="A78">
        <v>1357</v>
      </c>
      <c r="B78">
        <v>717</v>
      </c>
      <c r="C78">
        <v>322</v>
      </c>
      <c r="D78">
        <v>1</v>
      </c>
      <c r="E78">
        <v>90000</v>
      </c>
      <c r="F78">
        <v>50000</v>
      </c>
      <c r="G78">
        <v>0</v>
      </c>
      <c r="H78">
        <v>0</v>
      </c>
      <c r="I78">
        <v>30000</v>
      </c>
      <c r="J78">
        <v>20000</v>
      </c>
      <c r="K78">
        <v>13000</v>
      </c>
      <c r="L78">
        <v>0</v>
      </c>
      <c r="M78">
        <v>0</v>
      </c>
      <c r="N78">
        <v>0</v>
      </c>
      <c r="O78">
        <v>0</v>
      </c>
      <c r="P78">
        <v>-8000</v>
      </c>
      <c r="Q78" t="s">
        <v>34</v>
      </c>
      <c r="R78">
        <v>113000</v>
      </c>
      <c r="S78">
        <v>-8000</v>
      </c>
    </row>
    <row r="79" spans="1:19" x14ac:dyDescent="0.3">
      <c r="A79">
        <v>1369</v>
      </c>
      <c r="B79">
        <v>717</v>
      </c>
      <c r="C79">
        <v>326</v>
      </c>
      <c r="D79">
        <v>2</v>
      </c>
      <c r="E79">
        <v>90000</v>
      </c>
      <c r="F79">
        <v>50000</v>
      </c>
      <c r="G79">
        <v>8000</v>
      </c>
      <c r="H79">
        <v>0</v>
      </c>
      <c r="I79">
        <v>0</v>
      </c>
      <c r="J79">
        <v>20000</v>
      </c>
      <c r="K79">
        <v>13000</v>
      </c>
      <c r="L79">
        <v>0</v>
      </c>
      <c r="M79">
        <v>0</v>
      </c>
      <c r="N79">
        <v>0</v>
      </c>
      <c r="O79">
        <v>4000</v>
      </c>
      <c r="P79">
        <v>-5000</v>
      </c>
      <c r="Q79" t="s">
        <v>34</v>
      </c>
      <c r="R79">
        <v>87000</v>
      </c>
      <c r="S79">
        <v>-5000</v>
      </c>
    </row>
    <row r="80" spans="1:19" x14ac:dyDescent="0.3">
      <c r="A80">
        <v>1401</v>
      </c>
      <c r="B80">
        <v>717</v>
      </c>
      <c r="C80">
        <v>331</v>
      </c>
      <c r="D80">
        <v>3</v>
      </c>
      <c r="E80">
        <v>90000</v>
      </c>
      <c r="F80">
        <v>50000</v>
      </c>
      <c r="G80">
        <v>5000</v>
      </c>
      <c r="H80">
        <v>0</v>
      </c>
      <c r="I80">
        <v>0</v>
      </c>
      <c r="J80">
        <v>20000</v>
      </c>
      <c r="K80">
        <v>13000</v>
      </c>
      <c r="L80">
        <v>0</v>
      </c>
      <c r="M80">
        <v>0</v>
      </c>
      <c r="N80">
        <v>0</v>
      </c>
      <c r="O80">
        <v>4000</v>
      </c>
      <c r="P80">
        <v>-2000</v>
      </c>
      <c r="Q80" t="s">
        <v>34</v>
      </c>
      <c r="R80">
        <v>87000</v>
      </c>
      <c r="S80">
        <v>-2000</v>
      </c>
    </row>
    <row r="81" spans="1:19" x14ac:dyDescent="0.3">
      <c r="A81">
        <v>1434</v>
      </c>
      <c r="B81">
        <v>717</v>
      </c>
      <c r="C81">
        <v>335</v>
      </c>
      <c r="D81">
        <v>4</v>
      </c>
      <c r="E81">
        <v>90000</v>
      </c>
      <c r="F81">
        <v>50000</v>
      </c>
      <c r="G81">
        <v>2000</v>
      </c>
      <c r="H81">
        <v>82000</v>
      </c>
      <c r="I81">
        <v>70000</v>
      </c>
      <c r="J81">
        <v>20000</v>
      </c>
      <c r="K81">
        <v>13000</v>
      </c>
      <c r="L81">
        <v>6000</v>
      </c>
      <c r="M81">
        <v>10000</v>
      </c>
      <c r="N81">
        <v>0</v>
      </c>
      <c r="O81">
        <v>0</v>
      </c>
      <c r="P81">
        <v>1000</v>
      </c>
      <c r="Q81" t="s">
        <v>34</v>
      </c>
      <c r="R81">
        <v>169000</v>
      </c>
      <c r="S81">
        <v>1000</v>
      </c>
    </row>
    <row r="82" spans="1:19" x14ac:dyDescent="0.3">
      <c r="A82">
        <v>1338</v>
      </c>
      <c r="B82">
        <v>718</v>
      </c>
      <c r="C82">
        <v>319</v>
      </c>
      <c r="D82">
        <v>0</v>
      </c>
      <c r="E82">
        <v>130000</v>
      </c>
      <c r="F82">
        <v>75000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50000</v>
      </c>
      <c r="Q82" t="s">
        <v>35</v>
      </c>
      <c r="R82">
        <v>75000</v>
      </c>
      <c r="S82">
        <v>50000</v>
      </c>
    </row>
    <row r="83" spans="1:19" x14ac:dyDescent="0.3">
      <c r="A83">
        <v>1344</v>
      </c>
      <c r="B83">
        <v>718</v>
      </c>
      <c r="C83">
        <v>322</v>
      </c>
      <c r="D83">
        <v>1</v>
      </c>
      <c r="E83">
        <v>130000</v>
      </c>
      <c r="F83">
        <v>75000</v>
      </c>
      <c r="G83">
        <v>0</v>
      </c>
      <c r="H83">
        <v>0</v>
      </c>
      <c r="I83">
        <v>0</v>
      </c>
      <c r="J83">
        <v>15000</v>
      </c>
      <c r="K83">
        <v>20000</v>
      </c>
      <c r="L83">
        <v>17000</v>
      </c>
      <c r="M83">
        <v>10500</v>
      </c>
      <c r="N83">
        <v>0</v>
      </c>
      <c r="O83">
        <v>0</v>
      </c>
      <c r="P83">
        <v>42500</v>
      </c>
      <c r="Q83" t="s">
        <v>35</v>
      </c>
      <c r="R83">
        <v>137500</v>
      </c>
      <c r="S83">
        <v>42500</v>
      </c>
    </row>
    <row r="84" spans="1:19" x14ac:dyDescent="0.3">
      <c r="A84">
        <v>1371</v>
      </c>
      <c r="B84">
        <v>718</v>
      </c>
      <c r="C84">
        <v>326</v>
      </c>
      <c r="D84">
        <v>2</v>
      </c>
      <c r="E84">
        <v>130000</v>
      </c>
      <c r="F84">
        <v>75000</v>
      </c>
      <c r="G84">
        <v>0</v>
      </c>
      <c r="H84">
        <v>0</v>
      </c>
      <c r="I84">
        <v>0</v>
      </c>
      <c r="J84">
        <v>15000</v>
      </c>
      <c r="K84">
        <v>20000</v>
      </c>
      <c r="L84">
        <v>0</v>
      </c>
      <c r="M84">
        <v>25500</v>
      </c>
      <c r="N84">
        <v>0</v>
      </c>
      <c r="O84">
        <v>0</v>
      </c>
      <c r="P84">
        <v>37000</v>
      </c>
      <c r="Q84" t="s">
        <v>35</v>
      </c>
      <c r="R84">
        <v>135500</v>
      </c>
      <c r="S84">
        <v>37000</v>
      </c>
    </row>
    <row r="85" spans="1:19" x14ac:dyDescent="0.3">
      <c r="A85">
        <v>1399</v>
      </c>
      <c r="B85">
        <v>718</v>
      </c>
      <c r="C85">
        <v>331</v>
      </c>
      <c r="D85">
        <v>3</v>
      </c>
      <c r="E85">
        <v>130000</v>
      </c>
      <c r="F85">
        <v>75000</v>
      </c>
      <c r="G85">
        <v>0</v>
      </c>
      <c r="H85">
        <v>0</v>
      </c>
      <c r="I85">
        <v>0</v>
      </c>
      <c r="J85">
        <v>15000</v>
      </c>
      <c r="K85">
        <v>20000</v>
      </c>
      <c r="L85">
        <v>16000</v>
      </c>
      <c r="M85">
        <v>25500</v>
      </c>
      <c r="N85">
        <v>0</v>
      </c>
      <c r="O85">
        <v>0</v>
      </c>
      <c r="P85">
        <v>15500</v>
      </c>
      <c r="Q85" t="s">
        <v>35</v>
      </c>
      <c r="R85">
        <v>151500</v>
      </c>
      <c r="S85">
        <v>15500</v>
      </c>
    </row>
    <row r="86" spans="1:19" x14ac:dyDescent="0.3">
      <c r="A86">
        <v>1426</v>
      </c>
      <c r="B86">
        <v>718</v>
      </c>
      <c r="C86">
        <v>335</v>
      </c>
      <c r="D86">
        <v>4</v>
      </c>
      <c r="E86">
        <v>130000</v>
      </c>
      <c r="F86">
        <v>75000</v>
      </c>
      <c r="G86">
        <v>0</v>
      </c>
      <c r="H86">
        <v>0</v>
      </c>
      <c r="I86">
        <v>0</v>
      </c>
      <c r="J86">
        <v>20000</v>
      </c>
      <c r="K86">
        <v>20000</v>
      </c>
      <c r="L86">
        <v>0</v>
      </c>
      <c r="M86">
        <v>25500</v>
      </c>
      <c r="N86">
        <v>0</v>
      </c>
      <c r="O86">
        <v>0</v>
      </c>
      <c r="P86">
        <v>5000</v>
      </c>
      <c r="Q86" t="s">
        <v>35</v>
      </c>
      <c r="R86">
        <v>140500</v>
      </c>
      <c r="S86">
        <v>5000</v>
      </c>
    </row>
    <row r="87" spans="1:19" x14ac:dyDescent="0.3">
      <c r="A87">
        <v>1330</v>
      </c>
      <c r="B87">
        <v>719</v>
      </c>
      <c r="C87">
        <v>319</v>
      </c>
      <c r="D87">
        <v>0</v>
      </c>
      <c r="E87">
        <v>190000</v>
      </c>
      <c r="F87">
        <v>115000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80000</v>
      </c>
      <c r="Q87" t="s">
        <v>36</v>
      </c>
      <c r="R87">
        <v>115000</v>
      </c>
      <c r="S87">
        <v>80000</v>
      </c>
    </row>
    <row r="88" spans="1:19" x14ac:dyDescent="0.3">
      <c r="A88">
        <v>1340</v>
      </c>
      <c r="B88">
        <v>719</v>
      </c>
      <c r="C88">
        <v>322</v>
      </c>
      <c r="D88">
        <v>1</v>
      </c>
      <c r="E88">
        <v>190000</v>
      </c>
      <c r="F88">
        <v>115000</v>
      </c>
      <c r="G88">
        <v>0</v>
      </c>
      <c r="H88">
        <v>0</v>
      </c>
      <c r="I88">
        <v>0</v>
      </c>
      <c r="J88">
        <v>15000</v>
      </c>
      <c r="K88">
        <v>20000</v>
      </c>
      <c r="L88">
        <v>23000</v>
      </c>
      <c r="M88">
        <v>4000</v>
      </c>
      <c r="N88">
        <v>0</v>
      </c>
      <c r="O88">
        <v>0</v>
      </c>
      <c r="P88">
        <v>93000</v>
      </c>
      <c r="Q88" t="s">
        <v>36</v>
      </c>
      <c r="R88">
        <v>177000</v>
      </c>
      <c r="S88">
        <v>93000</v>
      </c>
    </row>
    <row r="89" spans="1:19" x14ac:dyDescent="0.3">
      <c r="A89">
        <v>1375</v>
      </c>
      <c r="B89">
        <v>719</v>
      </c>
      <c r="C89">
        <v>326</v>
      </c>
      <c r="D89">
        <v>2</v>
      </c>
      <c r="E89">
        <v>190000</v>
      </c>
      <c r="F89">
        <v>115000</v>
      </c>
      <c r="G89">
        <v>0</v>
      </c>
      <c r="H89">
        <v>0</v>
      </c>
      <c r="I89">
        <v>0</v>
      </c>
      <c r="J89">
        <v>15000</v>
      </c>
      <c r="K89">
        <v>20000</v>
      </c>
      <c r="L89">
        <v>10000</v>
      </c>
      <c r="M89">
        <v>19000</v>
      </c>
      <c r="N89">
        <v>0</v>
      </c>
      <c r="O89">
        <v>0</v>
      </c>
      <c r="P89">
        <v>104000</v>
      </c>
      <c r="Q89" t="s">
        <v>36</v>
      </c>
      <c r="R89">
        <v>179000</v>
      </c>
      <c r="S89">
        <v>104000</v>
      </c>
    </row>
    <row r="90" spans="1:19" x14ac:dyDescent="0.3">
      <c r="A90">
        <v>1403</v>
      </c>
      <c r="B90">
        <v>719</v>
      </c>
      <c r="C90">
        <v>331</v>
      </c>
      <c r="D90">
        <v>3</v>
      </c>
      <c r="E90">
        <v>190000</v>
      </c>
      <c r="F90">
        <v>115000</v>
      </c>
      <c r="G90">
        <v>0</v>
      </c>
      <c r="H90">
        <v>0</v>
      </c>
      <c r="I90">
        <v>0</v>
      </c>
      <c r="J90">
        <v>15000</v>
      </c>
      <c r="K90">
        <v>20000</v>
      </c>
      <c r="L90">
        <v>0</v>
      </c>
      <c r="M90">
        <v>28500</v>
      </c>
      <c r="N90">
        <v>0</v>
      </c>
      <c r="O90">
        <v>0</v>
      </c>
      <c r="P90">
        <v>115500</v>
      </c>
      <c r="Q90" t="s">
        <v>36</v>
      </c>
      <c r="R90">
        <v>178500</v>
      </c>
      <c r="S90">
        <v>115500</v>
      </c>
    </row>
    <row r="91" spans="1:19" x14ac:dyDescent="0.3">
      <c r="A91">
        <v>1423</v>
      </c>
      <c r="B91">
        <v>719</v>
      </c>
      <c r="C91">
        <v>335</v>
      </c>
      <c r="D91">
        <v>4</v>
      </c>
      <c r="E91">
        <v>190000</v>
      </c>
      <c r="F91">
        <v>115000</v>
      </c>
      <c r="G91">
        <v>0</v>
      </c>
      <c r="H91">
        <v>0</v>
      </c>
      <c r="I91">
        <v>0</v>
      </c>
      <c r="J91">
        <v>20000</v>
      </c>
      <c r="K91">
        <v>20000</v>
      </c>
      <c r="L91">
        <v>0</v>
      </c>
      <c r="M91">
        <v>28500</v>
      </c>
      <c r="N91">
        <v>0</v>
      </c>
      <c r="O91">
        <v>0</v>
      </c>
      <c r="P91">
        <v>122000</v>
      </c>
      <c r="Q91" t="s">
        <v>36</v>
      </c>
      <c r="R91">
        <v>183500</v>
      </c>
      <c r="S91">
        <v>122000</v>
      </c>
    </row>
    <row r="92" spans="1:19" x14ac:dyDescent="0.3">
      <c r="A92">
        <v>1335</v>
      </c>
      <c r="B92">
        <v>722</v>
      </c>
      <c r="C92">
        <v>320</v>
      </c>
      <c r="D92">
        <v>0</v>
      </c>
      <c r="E92">
        <v>75000</v>
      </c>
      <c r="F92">
        <v>40000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5000</v>
      </c>
      <c r="Q92" t="s">
        <v>37</v>
      </c>
      <c r="R92">
        <v>40000</v>
      </c>
      <c r="S92">
        <v>5000</v>
      </c>
    </row>
    <row r="93" spans="1:19" x14ac:dyDescent="0.3">
      <c r="A93">
        <v>1348</v>
      </c>
      <c r="B93">
        <v>722</v>
      </c>
      <c r="C93">
        <v>323</v>
      </c>
      <c r="D93">
        <v>1</v>
      </c>
      <c r="E93">
        <v>75000</v>
      </c>
      <c r="F93">
        <v>40000</v>
      </c>
      <c r="G93">
        <v>0</v>
      </c>
      <c r="H93">
        <v>0</v>
      </c>
      <c r="I93">
        <v>15000</v>
      </c>
      <c r="J93">
        <v>15000</v>
      </c>
      <c r="K93">
        <v>11000</v>
      </c>
      <c r="L93">
        <v>0</v>
      </c>
      <c r="M93">
        <v>0</v>
      </c>
      <c r="N93">
        <v>4000</v>
      </c>
      <c r="O93">
        <v>4000</v>
      </c>
      <c r="P93">
        <v>-9000</v>
      </c>
      <c r="Q93" t="s">
        <v>37</v>
      </c>
      <c r="R93">
        <v>89000</v>
      </c>
      <c r="S93">
        <v>-9000</v>
      </c>
    </row>
    <row r="94" spans="1:19" x14ac:dyDescent="0.3">
      <c r="A94">
        <v>1373</v>
      </c>
      <c r="B94">
        <v>722</v>
      </c>
      <c r="C94">
        <v>327</v>
      </c>
      <c r="D94">
        <v>2</v>
      </c>
      <c r="E94">
        <v>75000</v>
      </c>
      <c r="F94">
        <v>40000</v>
      </c>
      <c r="G94">
        <v>9000</v>
      </c>
      <c r="H94">
        <v>0</v>
      </c>
      <c r="I94">
        <v>0</v>
      </c>
      <c r="J94">
        <v>15000</v>
      </c>
      <c r="K94">
        <v>11000</v>
      </c>
      <c r="L94">
        <v>0</v>
      </c>
      <c r="M94">
        <v>0</v>
      </c>
      <c r="N94">
        <v>4000</v>
      </c>
      <c r="O94">
        <v>0</v>
      </c>
      <c r="P94">
        <v>-4000</v>
      </c>
      <c r="Q94" t="s">
        <v>37</v>
      </c>
      <c r="R94">
        <v>70000</v>
      </c>
      <c r="S94">
        <v>-4000</v>
      </c>
    </row>
    <row r="95" spans="1:19" x14ac:dyDescent="0.3">
      <c r="A95">
        <v>1394</v>
      </c>
      <c r="B95">
        <v>722</v>
      </c>
      <c r="C95">
        <v>330</v>
      </c>
      <c r="D95">
        <v>3</v>
      </c>
      <c r="E95">
        <v>75000</v>
      </c>
      <c r="F95">
        <v>40000</v>
      </c>
      <c r="G95">
        <v>4000</v>
      </c>
      <c r="H95">
        <v>0</v>
      </c>
      <c r="I95">
        <v>0</v>
      </c>
      <c r="J95">
        <v>15000</v>
      </c>
      <c r="K95">
        <v>11000</v>
      </c>
      <c r="L95">
        <v>0</v>
      </c>
      <c r="M95">
        <v>3125</v>
      </c>
      <c r="N95">
        <v>8000</v>
      </c>
      <c r="O95">
        <v>4000</v>
      </c>
      <c r="P95">
        <v>-10125</v>
      </c>
      <c r="Q95" t="s">
        <v>37</v>
      </c>
      <c r="R95">
        <v>81125</v>
      </c>
      <c r="S95">
        <v>-10125</v>
      </c>
    </row>
    <row r="96" spans="1:19" x14ac:dyDescent="0.3">
      <c r="A96">
        <v>1413</v>
      </c>
      <c r="B96">
        <v>722</v>
      </c>
      <c r="C96">
        <v>333</v>
      </c>
      <c r="D96">
        <v>4</v>
      </c>
      <c r="E96">
        <v>75000</v>
      </c>
      <c r="F96">
        <v>40000</v>
      </c>
      <c r="G96">
        <v>10125</v>
      </c>
      <c r="H96">
        <v>0</v>
      </c>
      <c r="I96">
        <v>0</v>
      </c>
      <c r="J96">
        <v>15000</v>
      </c>
      <c r="K96">
        <v>11000</v>
      </c>
      <c r="L96">
        <v>0</v>
      </c>
      <c r="M96">
        <v>0</v>
      </c>
      <c r="N96">
        <v>0</v>
      </c>
      <c r="O96">
        <v>0</v>
      </c>
      <c r="P96">
        <v>-1125</v>
      </c>
      <c r="Q96" t="s">
        <v>37</v>
      </c>
      <c r="R96">
        <v>66000</v>
      </c>
      <c r="S96">
        <v>-1125</v>
      </c>
    </row>
    <row r="97" spans="1:19" x14ac:dyDescent="0.3">
      <c r="A97">
        <v>1324</v>
      </c>
      <c r="B97">
        <v>723</v>
      </c>
      <c r="C97">
        <v>320</v>
      </c>
      <c r="D97">
        <v>0</v>
      </c>
      <c r="E97">
        <v>110000</v>
      </c>
      <c r="F97">
        <v>60000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30000</v>
      </c>
      <c r="Q97" t="s">
        <v>38</v>
      </c>
      <c r="R97">
        <v>60000</v>
      </c>
      <c r="S97">
        <v>30000</v>
      </c>
    </row>
    <row r="98" spans="1:19" x14ac:dyDescent="0.3">
      <c r="A98">
        <v>1347</v>
      </c>
      <c r="B98">
        <v>723</v>
      </c>
      <c r="C98">
        <v>323</v>
      </c>
      <c r="D98">
        <v>1</v>
      </c>
      <c r="E98">
        <v>110000</v>
      </c>
      <c r="F98">
        <v>60000</v>
      </c>
      <c r="G98">
        <v>0</v>
      </c>
      <c r="H98">
        <v>0</v>
      </c>
      <c r="I98">
        <v>0</v>
      </c>
      <c r="J98">
        <v>20000</v>
      </c>
      <c r="K98">
        <v>16000</v>
      </c>
      <c r="L98">
        <v>14000</v>
      </c>
      <c r="M98">
        <v>0</v>
      </c>
      <c r="N98">
        <v>0</v>
      </c>
      <c r="O98">
        <v>4000</v>
      </c>
      <c r="P98">
        <v>26000</v>
      </c>
      <c r="Q98" t="s">
        <v>38</v>
      </c>
      <c r="R98">
        <v>114000</v>
      </c>
      <c r="S98">
        <v>26000</v>
      </c>
    </row>
    <row r="99" spans="1:19" x14ac:dyDescent="0.3">
      <c r="A99">
        <v>1380</v>
      </c>
      <c r="B99">
        <v>723</v>
      </c>
      <c r="C99">
        <v>327</v>
      </c>
      <c r="D99">
        <v>2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20000</v>
      </c>
      <c r="K99">
        <v>16000</v>
      </c>
      <c r="L99">
        <v>1000</v>
      </c>
      <c r="M99">
        <v>16700</v>
      </c>
      <c r="N99">
        <v>0</v>
      </c>
      <c r="O99">
        <v>0</v>
      </c>
      <c r="P99">
        <v>22300</v>
      </c>
      <c r="Q99" t="s">
        <v>38</v>
      </c>
      <c r="R99">
        <v>113700</v>
      </c>
      <c r="S99">
        <v>22300</v>
      </c>
    </row>
    <row r="100" spans="1:19" x14ac:dyDescent="0.3">
      <c r="A100">
        <v>1397</v>
      </c>
      <c r="B100">
        <v>723</v>
      </c>
      <c r="C100">
        <v>330</v>
      </c>
      <c r="D100">
        <v>3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20000</v>
      </c>
      <c r="K100">
        <v>16000</v>
      </c>
      <c r="L100">
        <v>8000</v>
      </c>
      <c r="M100">
        <v>20700</v>
      </c>
      <c r="N100">
        <v>0</v>
      </c>
      <c r="O100">
        <v>4000</v>
      </c>
      <c r="P100">
        <v>3600</v>
      </c>
      <c r="Q100" t="s">
        <v>38</v>
      </c>
      <c r="R100">
        <v>128700</v>
      </c>
      <c r="S100">
        <v>3600</v>
      </c>
    </row>
    <row r="101" spans="1:19" x14ac:dyDescent="0.3">
      <c r="A101">
        <v>1415</v>
      </c>
      <c r="B101">
        <v>723</v>
      </c>
      <c r="C101">
        <v>333</v>
      </c>
      <c r="D101">
        <v>4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20000</v>
      </c>
      <c r="K101">
        <v>16000</v>
      </c>
      <c r="L101">
        <v>0</v>
      </c>
      <c r="M101">
        <v>11200</v>
      </c>
      <c r="N101">
        <v>0</v>
      </c>
      <c r="O101">
        <v>0</v>
      </c>
      <c r="P101">
        <v>6400</v>
      </c>
      <c r="Q101" t="s">
        <v>38</v>
      </c>
      <c r="R101">
        <v>107200</v>
      </c>
      <c r="S101">
        <v>6400</v>
      </c>
    </row>
    <row r="102" spans="1:19" x14ac:dyDescent="0.3">
      <c r="A102">
        <v>1329</v>
      </c>
      <c r="B102">
        <v>724</v>
      </c>
      <c r="C102">
        <v>320</v>
      </c>
      <c r="D102">
        <v>0</v>
      </c>
      <c r="E102">
        <v>60000</v>
      </c>
      <c r="F102">
        <v>30000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39</v>
      </c>
      <c r="R102">
        <v>30000</v>
      </c>
      <c r="S102">
        <v>0</v>
      </c>
    </row>
    <row r="103" spans="1:19" x14ac:dyDescent="0.3">
      <c r="A103">
        <v>1345</v>
      </c>
      <c r="B103">
        <v>724</v>
      </c>
      <c r="C103">
        <v>323</v>
      </c>
      <c r="D103">
        <v>1</v>
      </c>
      <c r="E103">
        <v>60000</v>
      </c>
      <c r="F103">
        <v>30000</v>
      </c>
      <c r="G103">
        <v>0</v>
      </c>
      <c r="H103">
        <v>0</v>
      </c>
      <c r="I103">
        <v>0</v>
      </c>
      <c r="J103">
        <v>15000</v>
      </c>
      <c r="K103">
        <v>7000</v>
      </c>
      <c r="L103">
        <v>1000</v>
      </c>
      <c r="M103">
        <v>1400</v>
      </c>
      <c r="N103">
        <v>0</v>
      </c>
      <c r="O103">
        <v>4000</v>
      </c>
      <c r="P103">
        <v>1600</v>
      </c>
      <c r="Q103" t="s">
        <v>39</v>
      </c>
      <c r="R103">
        <v>58400</v>
      </c>
      <c r="S103">
        <v>1600</v>
      </c>
    </row>
    <row r="104" spans="1:19" x14ac:dyDescent="0.3">
      <c r="A104">
        <v>1378</v>
      </c>
      <c r="B104">
        <v>724</v>
      </c>
      <c r="C104">
        <v>327</v>
      </c>
      <c r="D104">
        <v>2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15000</v>
      </c>
      <c r="K104">
        <v>7000</v>
      </c>
      <c r="L104">
        <v>8000</v>
      </c>
      <c r="M104">
        <v>1400</v>
      </c>
      <c r="N104">
        <v>0</v>
      </c>
      <c r="O104">
        <v>0</v>
      </c>
      <c r="P104">
        <v>200</v>
      </c>
      <c r="Q104" t="s">
        <v>39</v>
      </c>
      <c r="R104">
        <v>61400</v>
      </c>
      <c r="S104">
        <v>200</v>
      </c>
    </row>
    <row r="105" spans="1:19" x14ac:dyDescent="0.3">
      <c r="A105">
        <v>1398</v>
      </c>
      <c r="B105">
        <v>724</v>
      </c>
      <c r="C105">
        <v>330</v>
      </c>
      <c r="D105">
        <v>3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7000</v>
      </c>
      <c r="L105">
        <v>6000</v>
      </c>
      <c r="M105">
        <v>1400</v>
      </c>
      <c r="N105">
        <v>0</v>
      </c>
      <c r="O105">
        <v>0</v>
      </c>
      <c r="P105">
        <v>800</v>
      </c>
      <c r="Q105" t="s">
        <v>39</v>
      </c>
      <c r="R105">
        <v>59400</v>
      </c>
      <c r="S105">
        <v>800</v>
      </c>
    </row>
    <row r="106" spans="1:19" x14ac:dyDescent="0.3">
      <c r="A106">
        <v>1411</v>
      </c>
      <c r="B106">
        <v>724</v>
      </c>
      <c r="C106">
        <v>333</v>
      </c>
      <c r="D106">
        <v>4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7000</v>
      </c>
      <c r="L106">
        <v>8000</v>
      </c>
      <c r="M106">
        <v>0</v>
      </c>
      <c r="N106">
        <v>0</v>
      </c>
      <c r="O106">
        <v>0</v>
      </c>
      <c r="P106">
        <v>800</v>
      </c>
      <c r="Q106" t="s">
        <v>39</v>
      </c>
      <c r="R106">
        <v>60000</v>
      </c>
      <c r="S106">
        <v>800</v>
      </c>
    </row>
    <row r="107" spans="1:19" x14ac:dyDescent="0.3">
      <c r="A107">
        <v>1327</v>
      </c>
      <c r="B107">
        <v>725</v>
      </c>
      <c r="C107">
        <v>320</v>
      </c>
      <c r="D107">
        <v>0</v>
      </c>
      <c r="E107">
        <v>90000</v>
      </c>
      <c r="F107">
        <v>50000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15000</v>
      </c>
      <c r="Q107" t="s">
        <v>40</v>
      </c>
      <c r="R107">
        <v>50000</v>
      </c>
      <c r="S107">
        <v>15000</v>
      </c>
    </row>
    <row r="108" spans="1:19" x14ac:dyDescent="0.3">
      <c r="A108">
        <v>1343</v>
      </c>
      <c r="B108">
        <v>725</v>
      </c>
      <c r="C108">
        <v>323</v>
      </c>
      <c r="D108">
        <v>1</v>
      </c>
      <c r="E108">
        <v>90000</v>
      </c>
      <c r="F108">
        <v>50000</v>
      </c>
      <c r="G108">
        <v>0</v>
      </c>
      <c r="H108">
        <v>0</v>
      </c>
      <c r="I108">
        <v>0</v>
      </c>
      <c r="J108">
        <v>15000</v>
      </c>
      <c r="K108">
        <v>7000</v>
      </c>
      <c r="L108">
        <v>19000</v>
      </c>
      <c r="M108">
        <v>0</v>
      </c>
      <c r="N108">
        <v>0</v>
      </c>
      <c r="O108">
        <v>4000</v>
      </c>
      <c r="P108">
        <v>10000</v>
      </c>
      <c r="Q108" t="s">
        <v>40</v>
      </c>
      <c r="R108">
        <v>95000</v>
      </c>
      <c r="S108">
        <v>10000</v>
      </c>
    </row>
    <row r="109" spans="1:19" x14ac:dyDescent="0.3">
      <c r="A109">
        <v>1377</v>
      </c>
      <c r="B109">
        <v>725</v>
      </c>
      <c r="C109">
        <v>327</v>
      </c>
      <c r="D109">
        <v>2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15000</v>
      </c>
      <c r="K109">
        <v>7000</v>
      </c>
      <c r="L109">
        <v>14000</v>
      </c>
      <c r="M109">
        <v>9750</v>
      </c>
      <c r="N109">
        <v>0</v>
      </c>
      <c r="O109">
        <v>0</v>
      </c>
      <c r="P109">
        <v>4250</v>
      </c>
      <c r="Q109" t="s">
        <v>40</v>
      </c>
      <c r="R109">
        <v>95750</v>
      </c>
      <c r="S109">
        <v>4250</v>
      </c>
    </row>
    <row r="110" spans="1:19" x14ac:dyDescent="0.3">
      <c r="A110">
        <v>1396</v>
      </c>
      <c r="B110">
        <v>725</v>
      </c>
      <c r="C110">
        <v>330</v>
      </c>
      <c r="D110">
        <v>3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7000</v>
      </c>
      <c r="L110">
        <v>0</v>
      </c>
      <c r="M110">
        <v>11150</v>
      </c>
      <c r="N110">
        <v>0</v>
      </c>
      <c r="O110">
        <v>0</v>
      </c>
      <c r="P110">
        <v>11100</v>
      </c>
      <c r="Q110" t="s">
        <v>40</v>
      </c>
      <c r="R110">
        <v>83150</v>
      </c>
      <c r="S110">
        <v>11100</v>
      </c>
    </row>
    <row r="111" spans="1:19" x14ac:dyDescent="0.3">
      <c r="A111">
        <v>1416</v>
      </c>
      <c r="B111">
        <v>725</v>
      </c>
      <c r="C111">
        <v>333</v>
      </c>
      <c r="D111">
        <v>4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7000</v>
      </c>
      <c r="L111">
        <v>0</v>
      </c>
      <c r="M111">
        <v>11150</v>
      </c>
      <c r="N111">
        <v>0</v>
      </c>
      <c r="O111">
        <v>0</v>
      </c>
      <c r="P111">
        <v>17950</v>
      </c>
      <c r="Q111" t="s">
        <v>40</v>
      </c>
      <c r="R111">
        <v>83150</v>
      </c>
      <c r="S111">
        <v>17950</v>
      </c>
    </row>
    <row r="112" spans="1:19" x14ac:dyDescent="0.3">
      <c r="A112">
        <v>1328</v>
      </c>
      <c r="B112">
        <v>726</v>
      </c>
      <c r="C112">
        <v>320</v>
      </c>
      <c r="D112">
        <v>0</v>
      </c>
      <c r="E112">
        <v>130000</v>
      </c>
      <c r="F112">
        <v>75000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50000</v>
      </c>
      <c r="Q112" t="s">
        <v>41</v>
      </c>
      <c r="R112">
        <v>75000</v>
      </c>
      <c r="S112">
        <v>50000</v>
      </c>
    </row>
    <row r="113" spans="1:19" x14ac:dyDescent="0.3">
      <c r="A113">
        <v>1349</v>
      </c>
      <c r="B113">
        <v>726</v>
      </c>
      <c r="C113">
        <v>323</v>
      </c>
      <c r="D113">
        <v>1</v>
      </c>
      <c r="E113">
        <v>130000</v>
      </c>
      <c r="F113">
        <v>75000</v>
      </c>
      <c r="G113">
        <v>0</v>
      </c>
      <c r="H113">
        <v>0</v>
      </c>
      <c r="I113">
        <v>0</v>
      </c>
      <c r="J113">
        <v>20000</v>
      </c>
      <c r="K113">
        <v>10000</v>
      </c>
      <c r="L113">
        <v>0</v>
      </c>
      <c r="M113">
        <v>5000</v>
      </c>
      <c r="N113">
        <v>0</v>
      </c>
      <c r="O113">
        <v>4000</v>
      </c>
      <c r="P113">
        <v>66000</v>
      </c>
      <c r="Q113" t="s">
        <v>41</v>
      </c>
      <c r="R113">
        <v>114000</v>
      </c>
      <c r="S113">
        <v>66000</v>
      </c>
    </row>
    <row r="114" spans="1:19" x14ac:dyDescent="0.3">
      <c r="A114">
        <v>1379</v>
      </c>
      <c r="B114">
        <v>726</v>
      </c>
      <c r="C114">
        <v>327</v>
      </c>
      <c r="D114">
        <v>2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20000</v>
      </c>
      <c r="K114">
        <v>10000</v>
      </c>
      <c r="L114">
        <v>18000</v>
      </c>
      <c r="M114">
        <v>7500</v>
      </c>
      <c r="N114">
        <v>0</v>
      </c>
      <c r="O114">
        <v>0</v>
      </c>
      <c r="P114">
        <v>65500</v>
      </c>
      <c r="Q114" t="s">
        <v>41</v>
      </c>
      <c r="R114">
        <v>130500</v>
      </c>
      <c r="S114">
        <v>65500</v>
      </c>
    </row>
    <row r="115" spans="1:19" x14ac:dyDescent="0.3">
      <c r="A115">
        <v>1393</v>
      </c>
      <c r="B115">
        <v>726</v>
      </c>
      <c r="C115">
        <v>330</v>
      </c>
      <c r="D115">
        <v>3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20000</v>
      </c>
      <c r="K115">
        <v>10000</v>
      </c>
      <c r="L115">
        <v>15000</v>
      </c>
      <c r="M115">
        <v>16000</v>
      </c>
      <c r="N115">
        <v>0</v>
      </c>
      <c r="O115">
        <v>0</v>
      </c>
      <c r="P115">
        <v>59500</v>
      </c>
      <c r="Q115" t="s">
        <v>41</v>
      </c>
      <c r="R115">
        <v>136000</v>
      </c>
      <c r="S115">
        <v>59500</v>
      </c>
    </row>
    <row r="116" spans="1:19" x14ac:dyDescent="0.3">
      <c r="A116">
        <v>1412</v>
      </c>
      <c r="B116">
        <v>726</v>
      </c>
      <c r="C116">
        <v>333</v>
      </c>
      <c r="D116">
        <v>4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25000</v>
      </c>
      <c r="K116">
        <v>10000</v>
      </c>
      <c r="L116">
        <v>0</v>
      </c>
      <c r="M116">
        <v>16000</v>
      </c>
      <c r="N116">
        <v>0</v>
      </c>
      <c r="O116">
        <v>0</v>
      </c>
      <c r="P116">
        <v>63500</v>
      </c>
      <c r="Q116" t="s">
        <v>41</v>
      </c>
      <c r="R116">
        <v>126000</v>
      </c>
      <c r="S116">
        <v>63500</v>
      </c>
    </row>
    <row r="117" spans="1:19" x14ac:dyDescent="0.3">
      <c r="A117">
        <v>1331</v>
      </c>
      <c r="B117">
        <v>727</v>
      </c>
      <c r="C117">
        <v>320</v>
      </c>
      <c r="D117">
        <v>0</v>
      </c>
      <c r="E117">
        <v>190000</v>
      </c>
      <c r="F117">
        <v>115000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80000</v>
      </c>
      <c r="Q117" t="s">
        <v>42</v>
      </c>
      <c r="R117">
        <v>115000</v>
      </c>
      <c r="S117">
        <v>80000</v>
      </c>
    </row>
    <row r="118" spans="1:19" x14ac:dyDescent="0.3">
      <c r="A118">
        <v>1350</v>
      </c>
      <c r="B118">
        <v>727</v>
      </c>
      <c r="C118">
        <v>323</v>
      </c>
      <c r="D118">
        <v>1</v>
      </c>
      <c r="E118">
        <v>190000</v>
      </c>
      <c r="F118">
        <v>115000</v>
      </c>
      <c r="G118">
        <v>0</v>
      </c>
      <c r="H118">
        <v>0</v>
      </c>
      <c r="I118">
        <v>0</v>
      </c>
      <c r="J118">
        <v>20000</v>
      </c>
      <c r="K118">
        <v>16000</v>
      </c>
      <c r="L118">
        <v>14000</v>
      </c>
      <c r="M118">
        <v>3200</v>
      </c>
      <c r="N118">
        <v>0</v>
      </c>
      <c r="O118">
        <v>4000</v>
      </c>
      <c r="P118">
        <v>97800</v>
      </c>
      <c r="Q118" t="s">
        <v>42</v>
      </c>
      <c r="R118">
        <v>172200</v>
      </c>
      <c r="S118">
        <v>97800</v>
      </c>
    </row>
    <row r="119" spans="1:19" x14ac:dyDescent="0.3">
      <c r="A119">
        <v>1374</v>
      </c>
      <c r="B119">
        <v>727</v>
      </c>
      <c r="C119">
        <v>327</v>
      </c>
      <c r="D119">
        <v>2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20000</v>
      </c>
      <c r="K119">
        <v>16000</v>
      </c>
      <c r="L119">
        <v>0</v>
      </c>
      <c r="M119">
        <v>24700</v>
      </c>
      <c r="N119">
        <v>0</v>
      </c>
      <c r="O119">
        <v>0</v>
      </c>
      <c r="P119">
        <v>112100</v>
      </c>
      <c r="Q119" t="s">
        <v>42</v>
      </c>
      <c r="R119">
        <v>175700</v>
      </c>
      <c r="S119">
        <v>112100</v>
      </c>
    </row>
    <row r="120" spans="1:19" x14ac:dyDescent="0.3">
      <c r="A120">
        <v>1395</v>
      </c>
      <c r="B120">
        <v>727</v>
      </c>
      <c r="C120">
        <v>330</v>
      </c>
      <c r="D120">
        <v>3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20000</v>
      </c>
      <c r="K120">
        <v>16000</v>
      </c>
      <c r="L120">
        <v>10000</v>
      </c>
      <c r="M120">
        <v>11200</v>
      </c>
      <c r="N120">
        <v>0</v>
      </c>
      <c r="O120">
        <v>4000</v>
      </c>
      <c r="P120">
        <v>125900</v>
      </c>
      <c r="Q120" t="s">
        <v>42</v>
      </c>
      <c r="R120">
        <v>176200</v>
      </c>
      <c r="S120">
        <v>125900</v>
      </c>
    </row>
    <row r="121" spans="1:19" x14ac:dyDescent="0.3">
      <c r="A121">
        <v>1414</v>
      </c>
      <c r="B121">
        <v>727</v>
      </c>
      <c r="C121">
        <v>333</v>
      </c>
      <c r="D121">
        <v>4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20000</v>
      </c>
      <c r="K121">
        <v>16000</v>
      </c>
      <c r="L121">
        <v>8000</v>
      </c>
      <c r="M121">
        <v>24700</v>
      </c>
      <c r="N121">
        <v>0</v>
      </c>
      <c r="O121">
        <v>0</v>
      </c>
      <c r="P121">
        <v>132200</v>
      </c>
      <c r="Q121" t="s">
        <v>42</v>
      </c>
      <c r="R121">
        <v>183700</v>
      </c>
      <c r="S121">
        <v>132200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4.4" x14ac:dyDescent="0.3"/>
  <cols>
    <col min="5" max="5" width="20.6640625" style="2" customWidth="1"/>
  </cols>
  <sheetData>
    <row r="1" spans="1:10" s="1" customFormat="1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 x14ac:dyDescent="0.3">
      <c r="A2">
        <v>20</v>
      </c>
      <c r="B2" t="s">
        <v>53</v>
      </c>
      <c r="C2" t="s">
        <v>54</v>
      </c>
      <c r="E2" s="2">
        <v>45929.486562499987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sheetData>
    <row r="1" spans="1:7" s="1" customFormat="1" x14ac:dyDescent="0.3">
      <c r="A1" s="1" t="s">
        <v>43</v>
      </c>
      <c r="B1" s="1" t="s">
        <v>55</v>
      </c>
      <c r="C1" s="1" t="s">
        <v>45</v>
      </c>
      <c r="D1" s="1" t="s">
        <v>56</v>
      </c>
      <c r="E1" s="1" t="s">
        <v>57</v>
      </c>
      <c r="F1" s="1" t="s">
        <v>58</v>
      </c>
      <c r="G1" s="1" t="s">
        <v>44</v>
      </c>
    </row>
    <row r="2" spans="1:7" x14ac:dyDescent="0.3">
      <c r="A2">
        <v>97</v>
      </c>
      <c r="B2" t="s">
        <v>59</v>
      </c>
      <c r="C2" t="s">
        <v>60</v>
      </c>
      <c r="D2">
        <v>20</v>
      </c>
      <c r="E2">
        <v>22</v>
      </c>
      <c r="F2">
        <v>7</v>
      </c>
      <c r="G2" t="s">
        <v>53</v>
      </c>
    </row>
    <row r="3" spans="1:7" x14ac:dyDescent="0.3">
      <c r="A3">
        <v>98</v>
      </c>
      <c r="B3" t="s">
        <v>61</v>
      </c>
      <c r="C3" t="s">
        <v>60</v>
      </c>
      <c r="D3">
        <v>20</v>
      </c>
      <c r="E3">
        <v>22</v>
      </c>
      <c r="F3">
        <v>8</v>
      </c>
      <c r="G3" t="s">
        <v>53</v>
      </c>
    </row>
    <row r="4" spans="1:7" x14ac:dyDescent="0.3">
      <c r="A4">
        <v>99</v>
      </c>
      <c r="B4" t="s">
        <v>62</v>
      </c>
      <c r="C4" t="s">
        <v>60</v>
      </c>
      <c r="D4">
        <v>20</v>
      </c>
      <c r="E4">
        <v>22</v>
      </c>
      <c r="F4">
        <v>9</v>
      </c>
      <c r="G4" t="s">
        <v>53</v>
      </c>
    </row>
    <row r="5" spans="1:7" x14ac:dyDescent="0.3">
      <c r="A5">
        <v>100</v>
      </c>
      <c r="B5" t="s">
        <v>63</v>
      </c>
      <c r="C5" t="s">
        <v>60</v>
      </c>
      <c r="D5">
        <v>20</v>
      </c>
      <c r="E5">
        <v>22</v>
      </c>
      <c r="F5">
        <v>10</v>
      </c>
      <c r="G5" t="s">
        <v>53</v>
      </c>
    </row>
    <row r="6" spans="1:7" x14ac:dyDescent="0.3">
      <c r="A6">
        <v>101</v>
      </c>
      <c r="B6" t="s">
        <v>64</v>
      </c>
      <c r="C6" t="s">
        <v>60</v>
      </c>
      <c r="D6">
        <v>20</v>
      </c>
      <c r="E6">
        <v>22</v>
      </c>
      <c r="F6">
        <v>11</v>
      </c>
      <c r="G6" t="s">
        <v>53</v>
      </c>
    </row>
    <row r="7" spans="1:7" x14ac:dyDescent="0.3">
      <c r="A7">
        <v>102</v>
      </c>
      <c r="B7" t="s">
        <v>65</v>
      </c>
      <c r="C7" t="s">
        <v>60</v>
      </c>
      <c r="D7">
        <v>20</v>
      </c>
      <c r="E7">
        <v>22</v>
      </c>
      <c r="F7">
        <v>13</v>
      </c>
      <c r="G7" t="s">
        <v>53</v>
      </c>
    </row>
    <row r="8" spans="1:7" x14ac:dyDescent="0.3">
      <c r="A8">
        <v>103</v>
      </c>
      <c r="B8" t="s">
        <v>66</v>
      </c>
      <c r="C8" t="s">
        <v>60</v>
      </c>
      <c r="D8">
        <v>20</v>
      </c>
      <c r="E8">
        <v>22</v>
      </c>
      <c r="F8">
        <v>14</v>
      </c>
      <c r="G8" t="s">
        <v>53</v>
      </c>
    </row>
    <row r="9" spans="1:7" x14ac:dyDescent="0.3">
      <c r="A9">
        <v>104</v>
      </c>
      <c r="B9" t="s">
        <v>67</v>
      </c>
      <c r="C9" t="s">
        <v>60</v>
      </c>
      <c r="D9">
        <v>20</v>
      </c>
      <c r="E9">
        <v>22</v>
      </c>
      <c r="F9">
        <v>15</v>
      </c>
      <c r="G9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selection activeCell="G33" sqref="G33"/>
    </sheetView>
  </sheetViews>
  <sheetFormatPr defaultRowHeight="14.4" x14ac:dyDescent="0.3"/>
  <cols>
    <col min="2" max="2" width="20.6640625" style="2" customWidth="1"/>
  </cols>
  <sheetData>
    <row r="1" spans="1:11" s="1" customFormat="1" x14ac:dyDescent="0.3">
      <c r="A1" s="1" t="s">
        <v>43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56</v>
      </c>
      <c r="J1" s="1" t="s">
        <v>44</v>
      </c>
      <c r="K1" s="1" t="s">
        <v>75</v>
      </c>
    </row>
    <row r="2" spans="1:11" x14ac:dyDescent="0.3">
      <c r="A2">
        <v>318</v>
      </c>
      <c r="B2" s="2">
        <v>45937.479733796303</v>
      </c>
      <c r="C2">
        <v>0</v>
      </c>
      <c r="D2">
        <v>0</v>
      </c>
      <c r="E2" t="s">
        <v>76</v>
      </c>
      <c r="F2">
        <v>0</v>
      </c>
      <c r="G2">
        <v>97</v>
      </c>
      <c r="H2" t="s">
        <v>59</v>
      </c>
      <c r="I2">
        <v>20</v>
      </c>
      <c r="J2" t="s">
        <v>53</v>
      </c>
      <c r="K2">
        <v>22</v>
      </c>
    </row>
    <row r="3" spans="1:11" x14ac:dyDescent="0.3">
      <c r="A3">
        <v>325</v>
      </c>
      <c r="B3" s="2">
        <v>45937.598622685182</v>
      </c>
      <c r="C3">
        <v>6</v>
      </c>
      <c r="D3">
        <v>9</v>
      </c>
      <c r="E3" t="s">
        <v>77</v>
      </c>
      <c r="F3">
        <v>1</v>
      </c>
      <c r="G3">
        <v>97</v>
      </c>
      <c r="H3" t="s">
        <v>59</v>
      </c>
      <c r="I3">
        <v>20</v>
      </c>
      <c r="J3" t="s">
        <v>53</v>
      </c>
      <c r="K3">
        <v>22</v>
      </c>
    </row>
    <row r="4" spans="1:11" x14ac:dyDescent="0.3">
      <c r="A4">
        <v>328</v>
      </c>
      <c r="B4" s="2">
        <v>45937.61341435185</v>
      </c>
      <c r="C4">
        <v>1</v>
      </c>
      <c r="D4">
        <v>6</v>
      </c>
      <c r="E4" t="s">
        <v>77</v>
      </c>
      <c r="F4">
        <v>2</v>
      </c>
      <c r="G4">
        <v>97</v>
      </c>
      <c r="H4" t="s">
        <v>59</v>
      </c>
      <c r="I4">
        <v>20</v>
      </c>
      <c r="J4" t="s">
        <v>53</v>
      </c>
      <c r="K4">
        <v>22</v>
      </c>
    </row>
    <row r="5" spans="1:11" x14ac:dyDescent="0.3">
      <c r="A5">
        <v>332</v>
      </c>
      <c r="B5" s="2">
        <v>45937.618842592587</v>
      </c>
      <c r="C5">
        <v>1</v>
      </c>
      <c r="D5">
        <v>6</v>
      </c>
      <c r="E5" t="s">
        <v>77</v>
      </c>
      <c r="F5">
        <v>3</v>
      </c>
      <c r="G5">
        <v>97</v>
      </c>
      <c r="H5" t="s">
        <v>59</v>
      </c>
      <c r="I5">
        <v>20</v>
      </c>
      <c r="J5" t="s">
        <v>53</v>
      </c>
      <c r="K5">
        <v>22</v>
      </c>
    </row>
    <row r="6" spans="1:11" x14ac:dyDescent="0.3">
      <c r="A6">
        <v>336</v>
      </c>
      <c r="B6" s="2">
        <v>45937.623831018507</v>
      </c>
      <c r="C6">
        <v>8</v>
      </c>
      <c r="D6">
        <v>6</v>
      </c>
      <c r="E6" t="s">
        <v>77</v>
      </c>
      <c r="F6">
        <v>4</v>
      </c>
      <c r="G6">
        <v>97</v>
      </c>
      <c r="H6" t="s">
        <v>59</v>
      </c>
      <c r="I6">
        <v>20</v>
      </c>
      <c r="J6" t="s">
        <v>53</v>
      </c>
      <c r="K6">
        <v>22</v>
      </c>
    </row>
    <row r="7" spans="1:11" x14ac:dyDescent="0.3">
      <c r="A7">
        <v>321</v>
      </c>
      <c r="B7" s="2">
        <v>45937.577881944453</v>
      </c>
      <c r="C7">
        <v>0</v>
      </c>
      <c r="D7">
        <v>0</v>
      </c>
      <c r="E7" t="s">
        <v>76</v>
      </c>
      <c r="F7">
        <v>0</v>
      </c>
      <c r="G7">
        <v>98</v>
      </c>
      <c r="H7" t="s">
        <v>61</v>
      </c>
      <c r="I7">
        <v>20</v>
      </c>
      <c r="J7" t="s">
        <v>53</v>
      </c>
      <c r="K7">
        <v>22</v>
      </c>
    </row>
    <row r="8" spans="1:11" x14ac:dyDescent="0.3">
      <c r="A8">
        <v>324</v>
      </c>
      <c r="B8" s="2">
        <v>45937.596851851849</v>
      </c>
      <c r="C8">
        <v>2</v>
      </c>
      <c r="D8">
        <v>2</v>
      </c>
      <c r="E8" t="s">
        <v>77</v>
      </c>
      <c r="F8">
        <v>1</v>
      </c>
      <c r="G8">
        <v>98</v>
      </c>
      <c r="H8" t="s">
        <v>61</v>
      </c>
      <c r="I8">
        <v>20</v>
      </c>
      <c r="J8" t="s">
        <v>53</v>
      </c>
      <c r="K8">
        <v>22</v>
      </c>
    </row>
    <row r="9" spans="1:11" x14ac:dyDescent="0.3">
      <c r="A9">
        <v>329</v>
      </c>
      <c r="B9" s="2">
        <v>45937.61513888889</v>
      </c>
      <c r="C9">
        <v>10</v>
      </c>
      <c r="D9">
        <v>9</v>
      </c>
      <c r="E9" t="s">
        <v>77</v>
      </c>
      <c r="F9">
        <v>2</v>
      </c>
      <c r="G9">
        <v>98</v>
      </c>
      <c r="H9" t="s">
        <v>61</v>
      </c>
      <c r="I9">
        <v>20</v>
      </c>
      <c r="J9" t="s">
        <v>53</v>
      </c>
      <c r="K9">
        <v>22</v>
      </c>
    </row>
    <row r="10" spans="1:11" x14ac:dyDescent="0.3">
      <c r="A10">
        <v>334</v>
      </c>
      <c r="B10" s="2">
        <v>45937.622858796298</v>
      </c>
      <c r="C10">
        <v>5</v>
      </c>
      <c r="D10">
        <v>3</v>
      </c>
      <c r="E10" t="s">
        <v>77</v>
      </c>
      <c r="F10">
        <v>3</v>
      </c>
      <c r="G10">
        <v>98</v>
      </c>
      <c r="H10" t="s">
        <v>61</v>
      </c>
      <c r="I10">
        <v>20</v>
      </c>
      <c r="J10" t="s">
        <v>53</v>
      </c>
      <c r="K10">
        <v>22</v>
      </c>
    </row>
    <row r="11" spans="1:11" x14ac:dyDescent="0.3">
      <c r="A11">
        <v>337</v>
      </c>
      <c r="B11" s="2">
        <v>45937.627268518518</v>
      </c>
      <c r="C11">
        <v>5</v>
      </c>
      <c r="D11">
        <v>3</v>
      </c>
      <c r="E11" t="s">
        <v>77</v>
      </c>
      <c r="F11">
        <v>4</v>
      </c>
      <c r="G11">
        <v>98</v>
      </c>
      <c r="H11" t="s">
        <v>61</v>
      </c>
      <c r="I11">
        <v>20</v>
      </c>
      <c r="J11" t="s">
        <v>53</v>
      </c>
      <c r="K11">
        <v>22</v>
      </c>
    </row>
    <row r="12" spans="1:11" x14ac:dyDescent="0.3">
      <c r="A12">
        <v>319</v>
      </c>
      <c r="B12" s="2">
        <v>45937.569976851853</v>
      </c>
      <c r="C12">
        <v>0</v>
      </c>
      <c r="D12">
        <v>0</v>
      </c>
      <c r="E12" t="s">
        <v>76</v>
      </c>
      <c r="F12">
        <v>0</v>
      </c>
      <c r="G12">
        <v>99</v>
      </c>
      <c r="H12" t="s">
        <v>62</v>
      </c>
      <c r="I12">
        <v>20</v>
      </c>
      <c r="J12" t="s">
        <v>53</v>
      </c>
      <c r="K12">
        <v>22</v>
      </c>
    </row>
    <row r="13" spans="1:11" x14ac:dyDescent="0.3">
      <c r="A13">
        <v>322</v>
      </c>
      <c r="B13" s="2">
        <v>45937.595613425918</v>
      </c>
      <c r="C13">
        <v>1</v>
      </c>
      <c r="D13">
        <v>5</v>
      </c>
      <c r="E13" t="s">
        <v>77</v>
      </c>
      <c r="F13">
        <v>1</v>
      </c>
      <c r="G13">
        <v>99</v>
      </c>
      <c r="H13" t="s">
        <v>62</v>
      </c>
      <c r="I13">
        <v>20</v>
      </c>
      <c r="J13" t="s">
        <v>53</v>
      </c>
      <c r="K13">
        <v>22</v>
      </c>
    </row>
    <row r="14" spans="1:11" x14ac:dyDescent="0.3">
      <c r="A14">
        <v>326</v>
      </c>
      <c r="B14" s="2">
        <v>45937.610763888893</v>
      </c>
      <c r="C14">
        <v>7</v>
      </c>
      <c r="D14">
        <v>8</v>
      </c>
      <c r="E14" t="s">
        <v>77</v>
      </c>
      <c r="F14">
        <v>2</v>
      </c>
      <c r="G14">
        <v>99</v>
      </c>
      <c r="H14" t="s">
        <v>62</v>
      </c>
      <c r="I14">
        <v>20</v>
      </c>
      <c r="J14" t="s">
        <v>53</v>
      </c>
      <c r="K14">
        <v>22</v>
      </c>
    </row>
    <row r="15" spans="1:11" x14ac:dyDescent="0.3">
      <c r="A15">
        <v>331</v>
      </c>
      <c r="B15" s="2">
        <v>45937.618657407409</v>
      </c>
      <c r="C15">
        <v>6</v>
      </c>
      <c r="D15">
        <v>4</v>
      </c>
      <c r="E15" t="s">
        <v>77</v>
      </c>
      <c r="F15">
        <v>3</v>
      </c>
      <c r="G15">
        <v>99</v>
      </c>
      <c r="H15" t="s">
        <v>62</v>
      </c>
      <c r="I15">
        <v>20</v>
      </c>
      <c r="J15" t="s">
        <v>53</v>
      </c>
      <c r="K15">
        <v>22</v>
      </c>
    </row>
    <row r="16" spans="1:11" x14ac:dyDescent="0.3">
      <c r="A16">
        <v>335</v>
      </c>
      <c r="B16" s="2">
        <v>45937.623564814807</v>
      </c>
      <c r="C16">
        <v>4</v>
      </c>
      <c r="D16">
        <v>6</v>
      </c>
      <c r="E16" t="s">
        <v>77</v>
      </c>
      <c r="F16">
        <v>4</v>
      </c>
      <c r="G16">
        <v>99</v>
      </c>
      <c r="H16" t="s">
        <v>62</v>
      </c>
      <c r="I16">
        <v>20</v>
      </c>
      <c r="J16" t="s">
        <v>53</v>
      </c>
      <c r="K16">
        <v>22</v>
      </c>
    </row>
    <row r="17" spans="1:11" x14ac:dyDescent="0.3">
      <c r="A17">
        <v>320</v>
      </c>
      <c r="B17" s="2">
        <v>45937.574722222227</v>
      </c>
      <c r="C17">
        <v>0</v>
      </c>
      <c r="D17">
        <v>0</v>
      </c>
      <c r="E17" t="s">
        <v>76</v>
      </c>
      <c r="F17">
        <v>0</v>
      </c>
      <c r="G17">
        <v>100</v>
      </c>
      <c r="H17" t="s">
        <v>63</v>
      </c>
      <c r="I17">
        <v>20</v>
      </c>
      <c r="J17" t="s">
        <v>53</v>
      </c>
      <c r="K17">
        <v>22</v>
      </c>
    </row>
    <row r="18" spans="1:11" x14ac:dyDescent="0.3">
      <c r="A18">
        <v>323</v>
      </c>
      <c r="B18" s="2">
        <v>45937.59584490741</v>
      </c>
      <c r="C18">
        <v>9</v>
      </c>
      <c r="D18">
        <v>7</v>
      </c>
      <c r="E18" t="s">
        <v>77</v>
      </c>
      <c r="F18">
        <v>1</v>
      </c>
      <c r="G18">
        <v>100</v>
      </c>
      <c r="H18" t="s">
        <v>63</v>
      </c>
      <c r="I18">
        <v>20</v>
      </c>
      <c r="J18" t="s">
        <v>53</v>
      </c>
      <c r="K18">
        <v>22</v>
      </c>
    </row>
    <row r="19" spans="1:11" x14ac:dyDescent="0.3">
      <c r="A19">
        <v>327</v>
      </c>
      <c r="B19" s="2">
        <v>45937.611296296287</v>
      </c>
      <c r="C19">
        <v>4</v>
      </c>
      <c r="D19">
        <v>7</v>
      </c>
      <c r="E19" t="s">
        <v>77</v>
      </c>
      <c r="F19">
        <v>2</v>
      </c>
      <c r="G19">
        <v>100</v>
      </c>
      <c r="H19" t="s">
        <v>63</v>
      </c>
      <c r="I19">
        <v>20</v>
      </c>
      <c r="J19" t="s">
        <v>53</v>
      </c>
      <c r="K19">
        <v>22</v>
      </c>
    </row>
    <row r="20" spans="1:11" x14ac:dyDescent="0.3">
      <c r="A20">
        <v>330</v>
      </c>
      <c r="B20" s="2">
        <v>45937.617372685178</v>
      </c>
      <c r="C20">
        <v>7</v>
      </c>
      <c r="D20">
        <v>7</v>
      </c>
      <c r="E20" t="s">
        <v>77</v>
      </c>
      <c r="F20">
        <v>3</v>
      </c>
      <c r="G20">
        <v>100</v>
      </c>
      <c r="H20" t="s">
        <v>63</v>
      </c>
      <c r="I20">
        <v>20</v>
      </c>
      <c r="J20" t="s">
        <v>53</v>
      </c>
      <c r="K20">
        <v>22</v>
      </c>
    </row>
    <row r="21" spans="1:11" x14ac:dyDescent="0.3">
      <c r="A21">
        <v>333</v>
      </c>
      <c r="B21" s="2">
        <v>45937.622094907398</v>
      </c>
      <c r="C21">
        <v>1</v>
      </c>
      <c r="D21">
        <v>4</v>
      </c>
      <c r="E21" t="s">
        <v>77</v>
      </c>
      <c r="F21">
        <v>4</v>
      </c>
      <c r="G21">
        <v>100</v>
      </c>
      <c r="H21" t="s">
        <v>63</v>
      </c>
      <c r="I21">
        <v>20</v>
      </c>
      <c r="J21" t="s">
        <v>53</v>
      </c>
      <c r="K2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/>
  </sheetViews>
  <sheetFormatPr defaultRowHeight="14.4" x14ac:dyDescent="0.3"/>
  <sheetData>
    <row r="1" spans="1:5" s="1" customFormat="1" x14ac:dyDescent="0.3">
      <c r="A1" s="1" t="s">
        <v>43</v>
      </c>
      <c r="B1" s="1" t="s">
        <v>78</v>
      </c>
      <c r="C1" s="1" t="s">
        <v>79</v>
      </c>
      <c r="D1" s="1" t="s">
        <v>73</v>
      </c>
      <c r="E1" s="1" t="s">
        <v>80</v>
      </c>
    </row>
    <row r="2" spans="1:5" x14ac:dyDescent="0.3">
      <c r="A2">
        <v>698</v>
      </c>
      <c r="B2" t="s">
        <v>19</v>
      </c>
      <c r="D2">
        <v>97</v>
      </c>
      <c r="E2">
        <v>124</v>
      </c>
    </row>
    <row r="3" spans="1:5" x14ac:dyDescent="0.3">
      <c r="A3">
        <v>699</v>
      </c>
      <c r="B3" t="s">
        <v>20</v>
      </c>
      <c r="D3">
        <v>97</v>
      </c>
      <c r="E3">
        <v>126</v>
      </c>
    </row>
    <row r="4" spans="1:5" x14ac:dyDescent="0.3">
      <c r="A4">
        <v>700</v>
      </c>
      <c r="B4" t="s">
        <v>21</v>
      </c>
      <c r="D4">
        <v>97</v>
      </c>
      <c r="E4">
        <v>123</v>
      </c>
    </row>
    <row r="5" spans="1:5" x14ac:dyDescent="0.3">
      <c r="A5">
        <v>701</v>
      </c>
      <c r="B5" t="s">
        <v>22</v>
      </c>
      <c r="D5">
        <v>97</v>
      </c>
      <c r="E5">
        <v>125</v>
      </c>
    </row>
    <row r="6" spans="1:5" x14ac:dyDescent="0.3">
      <c r="A6">
        <v>702</v>
      </c>
      <c r="B6" t="s">
        <v>23</v>
      </c>
      <c r="D6">
        <v>97</v>
      </c>
      <c r="E6">
        <v>127</v>
      </c>
    </row>
    <row r="7" spans="1:5" x14ac:dyDescent="0.3">
      <c r="A7">
        <v>703</v>
      </c>
      <c r="B7" t="s">
        <v>24</v>
      </c>
      <c r="D7">
        <v>97</v>
      </c>
      <c r="E7">
        <v>128</v>
      </c>
    </row>
    <row r="8" spans="1:5" x14ac:dyDescent="0.3">
      <c r="A8">
        <v>704</v>
      </c>
      <c r="B8" t="s">
        <v>81</v>
      </c>
      <c r="D8">
        <v>97</v>
      </c>
      <c r="E8">
        <v>126</v>
      </c>
    </row>
    <row r="9" spans="1:5" x14ac:dyDescent="0.3">
      <c r="A9">
        <v>705</v>
      </c>
      <c r="B9" t="s">
        <v>82</v>
      </c>
      <c r="D9">
        <v>97</v>
      </c>
      <c r="E9">
        <v>126</v>
      </c>
    </row>
    <row r="10" spans="1:5" x14ac:dyDescent="0.3">
      <c r="A10">
        <v>706</v>
      </c>
      <c r="B10" t="s">
        <v>25</v>
      </c>
      <c r="D10">
        <v>98</v>
      </c>
      <c r="E10">
        <v>124</v>
      </c>
    </row>
    <row r="11" spans="1:5" x14ac:dyDescent="0.3">
      <c r="A11">
        <v>707</v>
      </c>
      <c r="B11" t="s">
        <v>26</v>
      </c>
      <c r="D11">
        <v>98</v>
      </c>
      <c r="E11">
        <v>126</v>
      </c>
    </row>
    <row r="12" spans="1:5" x14ac:dyDescent="0.3">
      <c r="A12">
        <v>708</v>
      </c>
      <c r="B12" t="s">
        <v>27</v>
      </c>
      <c r="D12">
        <v>98</v>
      </c>
      <c r="E12">
        <v>123</v>
      </c>
    </row>
    <row r="13" spans="1:5" x14ac:dyDescent="0.3">
      <c r="A13">
        <v>709</v>
      </c>
      <c r="B13" t="s">
        <v>28</v>
      </c>
      <c r="D13">
        <v>98</v>
      </c>
      <c r="E13">
        <v>125</v>
      </c>
    </row>
    <row r="14" spans="1:5" x14ac:dyDescent="0.3">
      <c r="A14">
        <v>710</v>
      </c>
      <c r="B14" t="s">
        <v>29</v>
      </c>
      <c r="D14">
        <v>98</v>
      </c>
      <c r="E14">
        <v>127</v>
      </c>
    </row>
    <row r="15" spans="1:5" x14ac:dyDescent="0.3">
      <c r="A15">
        <v>711</v>
      </c>
      <c r="B15" t="s">
        <v>30</v>
      </c>
      <c r="D15">
        <v>98</v>
      </c>
      <c r="E15">
        <v>128</v>
      </c>
    </row>
    <row r="16" spans="1:5" x14ac:dyDescent="0.3">
      <c r="A16">
        <v>712</v>
      </c>
      <c r="B16" t="s">
        <v>83</v>
      </c>
      <c r="D16">
        <v>98</v>
      </c>
      <c r="E16">
        <v>126</v>
      </c>
    </row>
    <row r="17" spans="1:5" x14ac:dyDescent="0.3">
      <c r="A17">
        <v>713</v>
      </c>
      <c r="B17" t="s">
        <v>84</v>
      </c>
      <c r="D17">
        <v>98</v>
      </c>
      <c r="E17">
        <v>126</v>
      </c>
    </row>
    <row r="18" spans="1:5" x14ac:dyDescent="0.3">
      <c r="A18">
        <v>714</v>
      </c>
      <c r="B18" t="s">
        <v>31</v>
      </c>
      <c r="D18">
        <v>99</v>
      </c>
      <c r="E18">
        <v>124</v>
      </c>
    </row>
    <row r="19" spans="1:5" x14ac:dyDescent="0.3">
      <c r="A19">
        <v>715</v>
      </c>
      <c r="B19" t="s">
        <v>32</v>
      </c>
      <c r="D19">
        <v>99</v>
      </c>
      <c r="E19">
        <v>126</v>
      </c>
    </row>
    <row r="20" spans="1:5" x14ac:dyDescent="0.3">
      <c r="A20">
        <v>716</v>
      </c>
      <c r="B20" t="s">
        <v>33</v>
      </c>
      <c r="D20">
        <v>99</v>
      </c>
      <c r="E20">
        <v>123</v>
      </c>
    </row>
    <row r="21" spans="1:5" x14ac:dyDescent="0.3">
      <c r="A21">
        <v>717</v>
      </c>
      <c r="B21" t="s">
        <v>34</v>
      </c>
      <c r="D21">
        <v>99</v>
      </c>
      <c r="E21">
        <v>125</v>
      </c>
    </row>
    <row r="22" spans="1:5" x14ac:dyDescent="0.3">
      <c r="A22">
        <v>718</v>
      </c>
      <c r="B22" t="s">
        <v>35</v>
      </c>
      <c r="D22">
        <v>99</v>
      </c>
      <c r="E22">
        <v>127</v>
      </c>
    </row>
    <row r="23" spans="1:5" x14ac:dyDescent="0.3">
      <c r="A23">
        <v>719</v>
      </c>
      <c r="B23" t="s">
        <v>36</v>
      </c>
      <c r="D23">
        <v>99</v>
      </c>
      <c r="E23">
        <v>128</v>
      </c>
    </row>
    <row r="24" spans="1:5" x14ac:dyDescent="0.3">
      <c r="A24">
        <v>720</v>
      </c>
      <c r="B24" t="s">
        <v>85</v>
      </c>
      <c r="D24">
        <v>99</v>
      </c>
      <c r="E24">
        <v>126</v>
      </c>
    </row>
    <row r="25" spans="1:5" x14ac:dyDescent="0.3">
      <c r="A25">
        <v>721</v>
      </c>
      <c r="B25" t="s">
        <v>86</v>
      </c>
      <c r="D25">
        <v>99</v>
      </c>
      <c r="E25">
        <v>126</v>
      </c>
    </row>
    <row r="26" spans="1:5" x14ac:dyDescent="0.3">
      <c r="A26">
        <v>722</v>
      </c>
      <c r="B26" t="s">
        <v>37</v>
      </c>
      <c r="D26">
        <v>100</v>
      </c>
      <c r="E26">
        <v>124</v>
      </c>
    </row>
    <row r="27" spans="1:5" x14ac:dyDescent="0.3">
      <c r="A27">
        <v>723</v>
      </c>
      <c r="B27" t="s">
        <v>38</v>
      </c>
      <c r="D27">
        <v>100</v>
      </c>
      <c r="E27">
        <v>126</v>
      </c>
    </row>
    <row r="28" spans="1:5" x14ac:dyDescent="0.3">
      <c r="A28">
        <v>724</v>
      </c>
      <c r="B28" t="s">
        <v>39</v>
      </c>
      <c r="D28">
        <v>100</v>
      </c>
      <c r="E28">
        <v>123</v>
      </c>
    </row>
    <row r="29" spans="1:5" x14ac:dyDescent="0.3">
      <c r="A29">
        <v>725</v>
      </c>
      <c r="B29" t="s">
        <v>40</v>
      </c>
      <c r="D29">
        <v>100</v>
      </c>
      <c r="E29">
        <v>125</v>
      </c>
    </row>
    <row r="30" spans="1:5" x14ac:dyDescent="0.3">
      <c r="A30">
        <v>726</v>
      </c>
      <c r="B30" t="s">
        <v>41</v>
      </c>
      <c r="D30">
        <v>100</v>
      </c>
      <c r="E30">
        <v>127</v>
      </c>
    </row>
    <row r="31" spans="1:5" x14ac:dyDescent="0.3">
      <c r="A31">
        <v>727</v>
      </c>
      <c r="B31" t="s">
        <v>42</v>
      </c>
      <c r="D31">
        <v>100</v>
      </c>
      <c r="E31">
        <v>128</v>
      </c>
    </row>
    <row r="32" spans="1:5" x14ac:dyDescent="0.3">
      <c r="A32">
        <v>728</v>
      </c>
      <c r="B32" t="s">
        <v>87</v>
      </c>
      <c r="D32">
        <v>100</v>
      </c>
      <c r="E32">
        <v>126</v>
      </c>
    </row>
    <row r="33" spans="1:5" x14ac:dyDescent="0.3">
      <c r="A33">
        <v>729</v>
      </c>
      <c r="B33" t="s">
        <v>88</v>
      </c>
      <c r="D33">
        <v>100</v>
      </c>
      <c r="E33">
        <v>126</v>
      </c>
    </row>
    <row r="34" spans="1:5" x14ac:dyDescent="0.3">
      <c r="A34">
        <v>730</v>
      </c>
      <c r="B34" t="s">
        <v>89</v>
      </c>
      <c r="D34">
        <v>101</v>
      </c>
      <c r="E34">
        <v>124</v>
      </c>
    </row>
    <row r="35" spans="1:5" x14ac:dyDescent="0.3">
      <c r="A35">
        <v>731</v>
      </c>
      <c r="B35" t="s">
        <v>90</v>
      </c>
      <c r="D35">
        <v>101</v>
      </c>
      <c r="E35">
        <v>126</v>
      </c>
    </row>
    <row r="36" spans="1:5" x14ac:dyDescent="0.3">
      <c r="A36">
        <v>732</v>
      </c>
      <c r="B36" t="s">
        <v>91</v>
      </c>
      <c r="D36">
        <v>101</v>
      </c>
      <c r="E36">
        <v>123</v>
      </c>
    </row>
    <row r="37" spans="1:5" x14ac:dyDescent="0.3">
      <c r="A37">
        <v>733</v>
      </c>
      <c r="B37" t="s">
        <v>92</v>
      </c>
      <c r="D37">
        <v>101</v>
      </c>
      <c r="E37">
        <v>125</v>
      </c>
    </row>
    <row r="38" spans="1:5" x14ac:dyDescent="0.3">
      <c r="A38">
        <v>734</v>
      </c>
      <c r="B38" t="s">
        <v>93</v>
      </c>
      <c r="D38">
        <v>101</v>
      </c>
      <c r="E38">
        <v>127</v>
      </c>
    </row>
    <row r="39" spans="1:5" x14ac:dyDescent="0.3">
      <c r="A39">
        <v>735</v>
      </c>
      <c r="B39" t="s">
        <v>94</v>
      </c>
      <c r="D39">
        <v>101</v>
      </c>
      <c r="E39">
        <v>128</v>
      </c>
    </row>
    <row r="40" spans="1:5" x14ac:dyDescent="0.3">
      <c r="A40">
        <v>736</v>
      </c>
      <c r="B40" t="s">
        <v>95</v>
      </c>
      <c r="D40">
        <v>101</v>
      </c>
      <c r="E40">
        <v>126</v>
      </c>
    </row>
    <row r="41" spans="1:5" x14ac:dyDescent="0.3">
      <c r="A41">
        <v>737</v>
      </c>
      <c r="B41" t="s">
        <v>96</v>
      </c>
      <c r="D41">
        <v>101</v>
      </c>
      <c r="E41">
        <v>126</v>
      </c>
    </row>
    <row r="42" spans="1:5" x14ac:dyDescent="0.3">
      <c r="A42">
        <v>738</v>
      </c>
      <c r="B42" t="s">
        <v>97</v>
      </c>
      <c r="D42">
        <v>102</v>
      </c>
      <c r="E42">
        <v>124</v>
      </c>
    </row>
    <row r="43" spans="1:5" x14ac:dyDescent="0.3">
      <c r="A43">
        <v>739</v>
      </c>
      <c r="B43" t="s">
        <v>98</v>
      </c>
      <c r="D43">
        <v>102</v>
      </c>
      <c r="E43">
        <v>126</v>
      </c>
    </row>
    <row r="44" spans="1:5" x14ac:dyDescent="0.3">
      <c r="A44">
        <v>740</v>
      </c>
      <c r="B44" t="s">
        <v>99</v>
      </c>
      <c r="D44">
        <v>102</v>
      </c>
      <c r="E44">
        <v>123</v>
      </c>
    </row>
    <row r="45" spans="1:5" x14ac:dyDescent="0.3">
      <c r="A45">
        <v>741</v>
      </c>
      <c r="B45" t="s">
        <v>100</v>
      </c>
      <c r="D45">
        <v>102</v>
      </c>
      <c r="E45">
        <v>125</v>
      </c>
    </row>
    <row r="46" spans="1:5" x14ac:dyDescent="0.3">
      <c r="A46">
        <v>742</v>
      </c>
      <c r="B46" t="s">
        <v>101</v>
      </c>
      <c r="D46">
        <v>102</v>
      </c>
      <c r="E46">
        <v>127</v>
      </c>
    </row>
    <row r="47" spans="1:5" x14ac:dyDescent="0.3">
      <c r="A47">
        <v>743</v>
      </c>
      <c r="B47" t="s">
        <v>102</v>
      </c>
      <c r="D47">
        <v>102</v>
      </c>
      <c r="E47">
        <v>128</v>
      </c>
    </row>
    <row r="48" spans="1:5" x14ac:dyDescent="0.3">
      <c r="A48">
        <v>744</v>
      </c>
      <c r="B48" t="s">
        <v>103</v>
      </c>
      <c r="D48">
        <v>102</v>
      </c>
      <c r="E48">
        <v>126</v>
      </c>
    </row>
    <row r="49" spans="1:5" x14ac:dyDescent="0.3">
      <c r="A49">
        <v>745</v>
      </c>
      <c r="B49" t="s">
        <v>104</v>
      </c>
      <c r="D49">
        <v>102</v>
      </c>
      <c r="E49">
        <v>126</v>
      </c>
    </row>
    <row r="50" spans="1:5" x14ac:dyDescent="0.3">
      <c r="A50">
        <v>746</v>
      </c>
      <c r="B50" t="s">
        <v>105</v>
      </c>
      <c r="D50">
        <v>103</v>
      </c>
      <c r="E50">
        <v>124</v>
      </c>
    </row>
    <row r="51" spans="1:5" x14ac:dyDescent="0.3">
      <c r="A51">
        <v>747</v>
      </c>
      <c r="B51" t="s">
        <v>106</v>
      </c>
      <c r="D51">
        <v>103</v>
      </c>
      <c r="E51">
        <v>126</v>
      </c>
    </row>
    <row r="52" spans="1:5" x14ac:dyDescent="0.3">
      <c r="A52">
        <v>748</v>
      </c>
      <c r="B52" t="s">
        <v>107</v>
      </c>
      <c r="D52">
        <v>103</v>
      </c>
      <c r="E52">
        <v>123</v>
      </c>
    </row>
    <row r="53" spans="1:5" x14ac:dyDescent="0.3">
      <c r="A53">
        <v>749</v>
      </c>
      <c r="B53" t="s">
        <v>108</v>
      </c>
      <c r="D53">
        <v>103</v>
      </c>
      <c r="E53">
        <v>125</v>
      </c>
    </row>
    <row r="54" spans="1:5" x14ac:dyDescent="0.3">
      <c r="A54">
        <v>750</v>
      </c>
      <c r="B54" t="s">
        <v>109</v>
      </c>
      <c r="D54">
        <v>103</v>
      </c>
      <c r="E54">
        <v>127</v>
      </c>
    </row>
    <row r="55" spans="1:5" x14ac:dyDescent="0.3">
      <c r="A55">
        <v>751</v>
      </c>
      <c r="B55" t="s">
        <v>110</v>
      </c>
      <c r="D55">
        <v>103</v>
      </c>
      <c r="E55">
        <v>128</v>
      </c>
    </row>
    <row r="56" spans="1:5" x14ac:dyDescent="0.3">
      <c r="A56">
        <v>752</v>
      </c>
      <c r="B56" t="s">
        <v>111</v>
      </c>
      <c r="D56">
        <v>103</v>
      </c>
      <c r="E56">
        <v>126</v>
      </c>
    </row>
    <row r="57" spans="1:5" x14ac:dyDescent="0.3">
      <c r="A57">
        <v>753</v>
      </c>
      <c r="B57" t="s">
        <v>112</v>
      </c>
      <c r="D57">
        <v>103</v>
      </c>
      <c r="E57">
        <v>126</v>
      </c>
    </row>
    <row r="58" spans="1:5" x14ac:dyDescent="0.3">
      <c r="A58">
        <v>754</v>
      </c>
      <c r="B58" t="s">
        <v>113</v>
      </c>
      <c r="D58">
        <v>104</v>
      </c>
      <c r="E58">
        <v>124</v>
      </c>
    </row>
    <row r="59" spans="1:5" x14ac:dyDescent="0.3">
      <c r="A59">
        <v>755</v>
      </c>
      <c r="B59" t="s">
        <v>114</v>
      </c>
      <c r="D59">
        <v>104</v>
      </c>
      <c r="E59">
        <v>126</v>
      </c>
    </row>
    <row r="60" spans="1:5" x14ac:dyDescent="0.3">
      <c r="A60">
        <v>756</v>
      </c>
      <c r="B60" t="s">
        <v>115</v>
      </c>
      <c r="D60">
        <v>104</v>
      </c>
      <c r="E60">
        <v>123</v>
      </c>
    </row>
    <row r="61" spans="1:5" x14ac:dyDescent="0.3">
      <c r="A61">
        <v>757</v>
      </c>
      <c r="B61" t="s">
        <v>116</v>
      </c>
      <c r="D61">
        <v>104</v>
      </c>
      <c r="E61">
        <v>125</v>
      </c>
    </row>
    <row r="62" spans="1:5" x14ac:dyDescent="0.3">
      <c r="A62">
        <v>758</v>
      </c>
      <c r="B62" t="s">
        <v>117</v>
      </c>
      <c r="D62">
        <v>104</v>
      </c>
      <c r="E62">
        <v>127</v>
      </c>
    </row>
    <row r="63" spans="1:5" x14ac:dyDescent="0.3">
      <c r="A63">
        <v>759</v>
      </c>
      <c r="B63" t="s">
        <v>118</v>
      </c>
      <c r="D63">
        <v>104</v>
      </c>
      <c r="E63">
        <v>128</v>
      </c>
    </row>
    <row r="64" spans="1:5" x14ac:dyDescent="0.3">
      <c r="A64">
        <v>760</v>
      </c>
      <c r="B64" t="s">
        <v>119</v>
      </c>
      <c r="D64">
        <v>104</v>
      </c>
      <c r="E64">
        <v>126</v>
      </c>
    </row>
    <row r="65" spans="1:5" x14ac:dyDescent="0.3">
      <c r="A65">
        <v>761</v>
      </c>
      <c r="B65" t="s">
        <v>120</v>
      </c>
      <c r="D65">
        <v>104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0427-9FE3-44ED-A21D-4E3BE60596F2}">
  <sheetPr>
    <tabColor rgb="FFFFFF00"/>
  </sheetPr>
  <dimension ref="A3:H8"/>
  <sheetViews>
    <sheetView workbookViewId="0">
      <selection activeCell="U13" sqref="U13"/>
    </sheetView>
  </sheetViews>
  <sheetFormatPr defaultRowHeight="14.4" x14ac:dyDescent="0.3"/>
  <cols>
    <col min="1" max="1" width="29.88671875" bestFit="1" customWidth="1"/>
    <col min="2" max="2" width="13.44140625" bestFit="1" customWidth="1"/>
    <col min="3" max="7" width="4" bestFit="1" customWidth="1"/>
    <col min="8" max="8" width="9.5546875" bestFit="1" customWidth="1"/>
  </cols>
  <sheetData>
    <row r="3" spans="1:8" x14ac:dyDescent="0.3">
      <c r="A3" s="4" t="s">
        <v>160</v>
      </c>
      <c r="B3" s="4" t="s">
        <v>161</v>
      </c>
    </row>
    <row r="4" spans="1:8" x14ac:dyDescent="0.3">
      <c r="A4" s="4" t="s">
        <v>155</v>
      </c>
      <c r="B4">
        <v>123</v>
      </c>
      <c r="C4">
        <v>124</v>
      </c>
      <c r="D4">
        <v>125</v>
      </c>
      <c r="E4">
        <v>126</v>
      </c>
      <c r="F4">
        <v>127</v>
      </c>
      <c r="G4">
        <v>128</v>
      </c>
      <c r="H4" t="s">
        <v>159</v>
      </c>
    </row>
    <row r="5" spans="1:8" x14ac:dyDescent="0.3">
      <c r="A5" s="5" t="s">
        <v>156</v>
      </c>
      <c r="B5">
        <v>3</v>
      </c>
      <c r="C5">
        <v>18</v>
      </c>
      <c r="D5">
        <v>8</v>
      </c>
      <c r="E5">
        <v>14</v>
      </c>
      <c r="G5">
        <v>34</v>
      </c>
      <c r="H5">
        <v>77</v>
      </c>
    </row>
    <row r="6" spans="1:8" x14ac:dyDescent="0.3">
      <c r="A6" s="5" t="s">
        <v>157</v>
      </c>
      <c r="C6">
        <v>17</v>
      </c>
      <c r="D6">
        <v>0</v>
      </c>
      <c r="E6">
        <v>22</v>
      </c>
      <c r="F6">
        <v>56</v>
      </c>
      <c r="G6">
        <v>39</v>
      </c>
      <c r="H6">
        <v>134</v>
      </c>
    </row>
    <row r="7" spans="1:8" x14ac:dyDescent="0.3">
      <c r="A7" s="5" t="s">
        <v>158</v>
      </c>
      <c r="B7">
        <v>22</v>
      </c>
      <c r="C7">
        <v>0</v>
      </c>
      <c r="D7">
        <v>21</v>
      </c>
      <c r="E7">
        <v>22</v>
      </c>
      <c r="F7">
        <v>22</v>
      </c>
      <c r="H7">
        <v>87</v>
      </c>
    </row>
    <row r="8" spans="1:8" x14ac:dyDescent="0.3">
      <c r="A8" s="5" t="s">
        <v>159</v>
      </c>
      <c r="B8">
        <v>25</v>
      </c>
      <c r="C8">
        <v>35</v>
      </c>
      <c r="D8">
        <v>29</v>
      </c>
      <c r="E8">
        <v>58</v>
      </c>
      <c r="F8">
        <v>78</v>
      </c>
      <c r="G8">
        <v>73</v>
      </c>
      <c r="H8">
        <v>298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88B5-0B53-4D95-81B2-9349138341D1}">
  <sheetPr>
    <tabColor rgb="FFFFFF00"/>
  </sheetPr>
  <dimension ref="A3:H10"/>
  <sheetViews>
    <sheetView topLeftCell="A4" zoomScale="127" workbookViewId="0">
      <selection activeCell="L22" sqref="L22"/>
    </sheetView>
  </sheetViews>
  <sheetFormatPr defaultRowHeight="14.4" x14ac:dyDescent="0.3"/>
  <cols>
    <col min="1" max="1" width="23.5546875" bestFit="1" customWidth="1"/>
    <col min="2" max="2" width="13.44140625" bestFit="1" customWidth="1"/>
    <col min="3" max="7" width="4" bestFit="1" customWidth="1"/>
    <col min="8" max="8" width="9.5546875" bestFit="1" customWidth="1"/>
    <col min="9" max="9" width="5.77734375" bestFit="1" customWidth="1"/>
    <col min="10" max="10" width="12" bestFit="1" customWidth="1"/>
  </cols>
  <sheetData>
    <row r="3" spans="1:8" x14ac:dyDescent="0.3">
      <c r="A3" s="4" t="s">
        <v>162</v>
      </c>
      <c r="B3" s="4" t="s">
        <v>161</v>
      </c>
    </row>
    <row r="4" spans="1:8" x14ac:dyDescent="0.3">
      <c r="A4" s="4" t="s">
        <v>155</v>
      </c>
      <c r="B4">
        <v>123</v>
      </c>
      <c r="C4">
        <v>124</v>
      </c>
      <c r="D4">
        <v>125</v>
      </c>
      <c r="E4">
        <v>126</v>
      </c>
      <c r="F4">
        <v>127</v>
      </c>
      <c r="G4">
        <v>128</v>
      </c>
      <c r="H4" t="s">
        <v>159</v>
      </c>
    </row>
    <row r="5" spans="1:8" x14ac:dyDescent="0.3">
      <c r="A5" s="5">
        <v>0</v>
      </c>
      <c r="B5">
        <v>20</v>
      </c>
      <c r="C5">
        <v>20</v>
      </c>
      <c r="D5">
        <v>20</v>
      </c>
      <c r="E5">
        <v>20</v>
      </c>
      <c r="F5">
        <v>20</v>
      </c>
      <c r="G5">
        <v>20</v>
      </c>
      <c r="H5">
        <v>120</v>
      </c>
    </row>
    <row r="6" spans="1:8" x14ac:dyDescent="0.3">
      <c r="A6" s="5">
        <v>1</v>
      </c>
      <c r="B6">
        <v>12</v>
      </c>
      <c r="C6">
        <v>19</v>
      </c>
      <c r="D6">
        <v>18</v>
      </c>
      <c r="E6">
        <v>27</v>
      </c>
      <c r="F6">
        <v>21</v>
      </c>
      <c r="G6">
        <v>26</v>
      </c>
      <c r="H6">
        <v>123</v>
      </c>
    </row>
    <row r="7" spans="1:8" x14ac:dyDescent="0.3">
      <c r="A7" s="5">
        <v>2</v>
      </c>
      <c r="B7">
        <v>8</v>
      </c>
      <c r="C7">
        <v>21</v>
      </c>
      <c r="D7">
        <v>23</v>
      </c>
      <c r="E7">
        <v>35</v>
      </c>
      <c r="F7">
        <v>36</v>
      </c>
      <c r="G7">
        <v>40</v>
      </c>
      <c r="H7">
        <v>163</v>
      </c>
    </row>
    <row r="8" spans="1:8" x14ac:dyDescent="0.3">
      <c r="A8" s="5">
        <v>3</v>
      </c>
      <c r="B8">
        <v>3</v>
      </c>
      <c r="C8">
        <v>20</v>
      </c>
      <c r="D8">
        <v>25</v>
      </c>
      <c r="E8">
        <v>47</v>
      </c>
      <c r="F8">
        <v>54</v>
      </c>
      <c r="G8">
        <v>53</v>
      </c>
      <c r="H8">
        <v>202</v>
      </c>
    </row>
    <row r="9" spans="1:8" x14ac:dyDescent="0.3">
      <c r="A9" s="5">
        <v>4</v>
      </c>
      <c r="B9">
        <v>1</v>
      </c>
      <c r="C9">
        <v>30</v>
      </c>
      <c r="D9">
        <v>43</v>
      </c>
      <c r="E9">
        <v>61</v>
      </c>
      <c r="F9">
        <v>74</v>
      </c>
      <c r="G9">
        <v>75</v>
      </c>
      <c r="H9">
        <v>284</v>
      </c>
    </row>
    <row r="10" spans="1:8" x14ac:dyDescent="0.3">
      <c r="A10" s="5" t="s">
        <v>159</v>
      </c>
      <c r="B10">
        <v>44</v>
      </c>
      <c r="C10">
        <v>110</v>
      </c>
      <c r="D10">
        <v>129</v>
      </c>
      <c r="E10">
        <v>190</v>
      </c>
      <c r="F10">
        <v>205</v>
      </c>
      <c r="G10">
        <v>214</v>
      </c>
      <c r="H10">
        <v>892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DFF4-D51A-488E-BEBB-8B3AC7A474DB}">
  <sheetPr>
    <tabColor rgb="FFFFFF00"/>
  </sheetPr>
  <dimension ref="A1:D10"/>
  <sheetViews>
    <sheetView zoomScale="86" workbookViewId="0">
      <selection activeCell="B26" sqref="B26"/>
    </sheetView>
  </sheetViews>
  <sheetFormatPr defaultRowHeight="14.4" x14ac:dyDescent="0.3"/>
  <cols>
    <col min="1" max="1" width="24" bestFit="1" customWidth="1"/>
    <col min="2" max="2" width="43.5546875" bestFit="1" customWidth="1"/>
    <col min="3" max="3" width="45.88671875" bestFit="1" customWidth="1"/>
    <col min="4" max="4" width="31.77734375" bestFit="1" customWidth="1"/>
    <col min="5" max="5" width="26.5546875" bestFit="1" customWidth="1"/>
    <col min="6" max="6" width="6" bestFit="1" customWidth="1"/>
    <col min="7" max="7" width="5.77734375" bestFit="1" customWidth="1"/>
    <col min="8" max="8" width="37.21875" bestFit="1" customWidth="1"/>
    <col min="9" max="12" width="7" bestFit="1" customWidth="1"/>
    <col min="13" max="13" width="5.77734375" bestFit="1" customWidth="1"/>
    <col min="14" max="14" width="23.5546875" bestFit="1" customWidth="1"/>
    <col min="15" max="18" width="4" bestFit="1" customWidth="1"/>
    <col min="19" max="19" width="5.77734375" bestFit="1" customWidth="1"/>
    <col min="20" max="20" width="40.88671875" bestFit="1" customWidth="1"/>
    <col min="21" max="21" width="43.109375" bestFit="1" customWidth="1"/>
    <col min="22" max="22" width="29.33203125" bestFit="1" customWidth="1"/>
  </cols>
  <sheetData>
    <row r="1" spans="1:4" x14ac:dyDescent="0.3">
      <c r="A1" s="4" t="s">
        <v>3</v>
      </c>
      <c r="B1" s="5">
        <v>4</v>
      </c>
    </row>
    <row r="3" spans="1:4" x14ac:dyDescent="0.3">
      <c r="A3" s="4" t="s">
        <v>155</v>
      </c>
      <c r="B3" t="s">
        <v>166</v>
      </c>
      <c r="C3" t="s">
        <v>165</v>
      </c>
      <c r="D3" t="s">
        <v>163</v>
      </c>
    </row>
    <row r="4" spans="1:4" x14ac:dyDescent="0.3">
      <c r="A4" s="5">
        <v>123</v>
      </c>
      <c r="B4">
        <v>9000</v>
      </c>
      <c r="C4">
        <v>3525</v>
      </c>
      <c r="D4">
        <v>0.25</v>
      </c>
    </row>
    <row r="5" spans="1:4" x14ac:dyDescent="0.3">
      <c r="A5" s="5">
        <v>124</v>
      </c>
      <c r="B5">
        <v>500</v>
      </c>
      <c r="C5">
        <v>4625</v>
      </c>
      <c r="D5">
        <v>7.5</v>
      </c>
    </row>
    <row r="6" spans="1:4" x14ac:dyDescent="0.3">
      <c r="A6" s="5">
        <v>125</v>
      </c>
      <c r="B6">
        <v>9500</v>
      </c>
      <c r="C6">
        <v>10312.5</v>
      </c>
      <c r="D6">
        <v>10.75</v>
      </c>
    </row>
    <row r="7" spans="1:4" x14ac:dyDescent="0.3">
      <c r="A7" s="5">
        <v>126</v>
      </c>
      <c r="B7">
        <v>0</v>
      </c>
      <c r="C7">
        <v>14393.75</v>
      </c>
      <c r="D7">
        <v>15.25</v>
      </c>
    </row>
    <row r="8" spans="1:4" x14ac:dyDescent="0.3">
      <c r="A8" s="5">
        <v>127</v>
      </c>
      <c r="B8">
        <v>0</v>
      </c>
      <c r="C8">
        <v>19718.75</v>
      </c>
      <c r="D8">
        <v>18.5</v>
      </c>
    </row>
    <row r="9" spans="1:4" x14ac:dyDescent="0.3">
      <c r="A9" s="5">
        <v>128</v>
      </c>
      <c r="B9">
        <v>5500</v>
      </c>
      <c r="C9">
        <v>30768.75</v>
      </c>
      <c r="D9">
        <v>18.75</v>
      </c>
    </row>
    <row r="10" spans="1:4" x14ac:dyDescent="0.3">
      <c r="A10" s="5" t="s">
        <v>159</v>
      </c>
      <c r="B10">
        <v>4083.3333333333335</v>
      </c>
      <c r="C10">
        <v>13890.625</v>
      </c>
      <c r="D10">
        <v>11.833333333333334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862B-5A54-4971-A66C-811AAF9E9A80}">
  <sheetPr>
    <tabColor rgb="FFFFFF00"/>
  </sheetPr>
  <dimension ref="A1:H10"/>
  <sheetViews>
    <sheetView tabSelected="1" topLeftCell="C1" zoomScale="67" workbookViewId="0">
      <selection activeCell="G30" sqref="G30"/>
    </sheetView>
  </sheetViews>
  <sheetFormatPr defaultRowHeight="14.4" x14ac:dyDescent="0.3"/>
  <cols>
    <col min="1" max="1" width="24.109375" bestFit="1" customWidth="1"/>
    <col min="2" max="2" width="24.44140625" bestFit="1" customWidth="1"/>
    <col min="3" max="3" width="32.88671875" bestFit="1" customWidth="1"/>
    <col min="4" max="4" width="45.44140625" bestFit="1" customWidth="1"/>
    <col min="5" max="5" width="35" bestFit="1" customWidth="1"/>
    <col min="6" max="6" width="43" bestFit="1" customWidth="1"/>
    <col min="7" max="7" width="45.109375" bestFit="1" customWidth="1"/>
    <col min="8" max="8" width="30.88671875" bestFit="1" customWidth="1"/>
    <col min="9" max="9" width="18.109375" bestFit="1" customWidth="1"/>
    <col min="10" max="12" width="6" bestFit="1" customWidth="1"/>
    <col min="13" max="13" width="5.77734375" bestFit="1" customWidth="1"/>
    <col min="14" max="14" width="37.5546875" bestFit="1" customWidth="1"/>
    <col min="15" max="15" width="5" bestFit="1" customWidth="1"/>
    <col min="16" max="18" width="6" bestFit="1" customWidth="1"/>
    <col min="19" max="19" width="5.77734375" bestFit="1" customWidth="1"/>
    <col min="20" max="20" width="17.77734375" bestFit="1" customWidth="1"/>
    <col min="21" max="21" width="7" bestFit="1" customWidth="1"/>
    <col min="22" max="24" width="6" bestFit="1" customWidth="1"/>
    <col min="25" max="25" width="5.77734375" bestFit="1" customWidth="1"/>
    <col min="26" max="26" width="35.109375" bestFit="1" customWidth="1"/>
    <col min="27" max="27" width="7" bestFit="1" customWidth="1"/>
    <col min="28" max="28" width="5" bestFit="1" customWidth="1"/>
    <col min="29" max="30" width="6" bestFit="1" customWidth="1"/>
    <col min="31" max="31" width="5.77734375" bestFit="1" customWidth="1"/>
    <col min="32" max="32" width="37.21875" bestFit="1" customWidth="1"/>
    <col min="33" max="33" width="6" bestFit="1" customWidth="1"/>
    <col min="34" max="34" width="5" bestFit="1" customWidth="1"/>
    <col min="35" max="36" width="6" bestFit="1" customWidth="1"/>
    <col min="37" max="37" width="5.77734375" bestFit="1" customWidth="1"/>
    <col min="38" max="38" width="23.33203125" bestFit="1" customWidth="1"/>
    <col min="39" max="39" width="31.6640625" bestFit="1" customWidth="1"/>
    <col min="40" max="40" width="43.44140625" bestFit="1" customWidth="1"/>
    <col min="41" max="41" width="23.5546875" bestFit="1" customWidth="1"/>
    <col min="42" max="42" width="40.88671875" bestFit="1" customWidth="1"/>
    <col min="43" max="43" width="43.109375" bestFit="1" customWidth="1"/>
  </cols>
  <sheetData>
    <row r="1" spans="1:8" x14ac:dyDescent="0.3">
      <c r="A1" s="4" t="s">
        <v>3</v>
      </c>
      <c r="B1" t="s">
        <v>172</v>
      </c>
    </row>
    <row r="3" spans="1:8" x14ac:dyDescent="0.3">
      <c r="A3" s="4" t="s">
        <v>155</v>
      </c>
      <c r="B3" t="s">
        <v>168</v>
      </c>
      <c r="C3" t="s">
        <v>170</v>
      </c>
      <c r="D3" t="s">
        <v>169</v>
      </c>
      <c r="E3" t="s">
        <v>171</v>
      </c>
      <c r="F3" t="s">
        <v>166</v>
      </c>
      <c r="G3" t="s">
        <v>165</v>
      </c>
      <c r="H3" t="s">
        <v>163</v>
      </c>
    </row>
    <row r="4" spans="1:8" x14ac:dyDescent="0.3">
      <c r="A4" s="5">
        <v>123</v>
      </c>
      <c r="B4" s="6">
        <v>2620</v>
      </c>
      <c r="C4" s="6">
        <v>5650</v>
      </c>
      <c r="D4" s="6">
        <v>0</v>
      </c>
      <c r="E4" s="6">
        <v>2400</v>
      </c>
      <c r="F4" s="6">
        <v>2650</v>
      </c>
      <c r="G4" s="6">
        <v>1632.5</v>
      </c>
      <c r="H4" s="6">
        <v>2.2000000000000002</v>
      </c>
    </row>
    <row r="5" spans="1:8" x14ac:dyDescent="0.3">
      <c r="A5" s="5">
        <v>124</v>
      </c>
      <c r="B5" s="6">
        <v>1166.25</v>
      </c>
      <c r="C5" s="6">
        <v>7800</v>
      </c>
      <c r="D5" s="6">
        <v>750</v>
      </c>
      <c r="E5" s="6">
        <v>1600</v>
      </c>
      <c r="F5" s="6">
        <v>3350</v>
      </c>
      <c r="G5" s="6">
        <v>2933.75</v>
      </c>
      <c r="H5" s="6">
        <v>5.5</v>
      </c>
    </row>
    <row r="6" spans="1:8" x14ac:dyDescent="0.3">
      <c r="A6" s="5">
        <v>125</v>
      </c>
      <c r="B6" s="6">
        <v>1035</v>
      </c>
      <c r="C6" s="6">
        <v>8050</v>
      </c>
      <c r="D6" s="6">
        <v>6500</v>
      </c>
      <c r="E6" s="6">
        <v>1200</v>
      </c>
      <c r="F6" s="6">
        <v>4250</v>
      </c>
      <c r="G6" s="6">
        <v>4517.5</v>
      </c>
      <c r="H6" s="6">
        <v>6.45</v>
      </c>
    </row>
    <row r="7" spans="1:8" x14ac:dyDescent="0.3">
      <c r="A7" s="5">
        <v>126</v>
      </c>
      <c r="B7" s="6">
        <v>0</v>
      </c>
      <c r="C7" s="6">
        <v>12500</v>
      </c>
      <c r="D7" s="6">
        <v>3000</v>
      </c>
      <c r="E7" s="6">
        <v>600</v>
      </c>
      <c r="F7" s="6">
        <v>5600</v>
      </c>
      <c r="G7" s="6">
        <v>8023.75</v>
      </c>
      <c r="H7" s="6">
        <v>9.5</v>
      </c>
    </row>
    <row r="8" spans="1:8" x14ac:dyDescent="0.3">
      <c r="A8" s="5">
        <v>127</v>
      </c>
      <c r="B8" s="6">
        <v>0</v>
      </c>
      <c r="C8" s="6">
        <v>12500</v>
      </c>
      <c r="D8" s="6">
        <v>0</v>
      </c>
      <c r="E8" s="6">
        <v>400</v>
      </c>
      <c r="F8" s="6">
        <v>6550</v>
      </c>
      <c r="G8" s="6">
        <v>13237.5</v>
      </c>
      <c r="H8" s="6">
        <v>10.25</v>
      </c>
    </row>
    <row r="9" spans="1:8" x14ac:dyDescent="0.3">
      <c r="A9" s="5">
        <v>128</v>
      </c>
      <c r="B9" s="6">
        <v>0</v>
      </c>
      <c r="C9" s="6">
        <v>17700</v>
      </c>
      <c r="D9" s="6">
        <v>6250</v>
      </c>
      <c r="E9" s="6">
        <v>600</v>
      </c>
      <c r="F9" s="6">
        <v>7200</v>
      </c>
      <c r="G9" s="6">
        <v>18183.75</v>
      </c>
      <c r="H9" s="6">
        <v>10.7</v>
      </c>
    </row>
    <row r="10" spans="1:8" x14ac:dyDescent="0.3">
      <c r="A10" s="5" t="s">
        <v>159</v>
      </c>
      <c r="B10" s="6">
        <v>803.54166666666663</v>
      </c>
      <c r="C10" s="6">
        <v>10700</v>
      </c>
      <c r="D10" s="6">
        <v>2750</v>
      </c>
      <c r="E10" s="6">
        <v>1133.3333333333333</v>
      </c>
      <c r="F10" s="6">
        <v>4933.333333333333</v>
      </c>
      <c r="G10" s="6">
        <v>8088.125</v>
      </c>
      <c r="H10" s="6">
        <v>7.4333333333333336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CAEA-ED29-483A-9819-2678604F83CE}">
  <dimension ref="A1:D10"/>
  <sheetViews>
    <sheetView topLeftCell="B31" zoomScale="95" workbookViewId="0">
      <selection activeCell="C30" sqref="C30"/>
    </sheetView>
  </sheetViews>
  <sheetFormatPr defaultRowHeight="14.4" x14ac:dyDescent="0.3"/>
  <cols>
    <col min="1" max="1" width="24.33203125" bestFit="1" customWidth="1"/>
    <col min="2" max="2" width="41.5546875" bestFit="1" customWidth="1"/>
    <col min="3" max="3" width="34.44140625" bestFit="1" customWidth="1"/>
    <col min="4" max="4" width="30.109375" bestFit="1" customWidth="1"/>
    <col min="5" max="5" width="33.21875" bestFit="1" customWidth="1"/>
  </cols>
  <sheetData>
    <row r="1" spans="1:4" x14ac:dyDescent="0.3">
      <c r="A1" s="4" t="s">
        <v>3</v>
      </c>
      <c r="B1" t="s">
        <v>164</v>
      </c>
    </row>
    <row r="3" spans="1:4" x14ac:dyDescent="0.3">
      <c r="A3" s="4" t="s">
        <v>155</v>
      </c>
      <c r="B3" t="s">
        <v>166</v>
      </c>
      <c r="C3" t="s">
        <v>171</v>
      </c>
      <c r="D3" t="s">
        <v>163</v>
      </c>
    </row>
    <row r="4" spans="1:4" x14ac:dyDescent="0.3">
      <c r="A4" s="5">
        <v>123</v>
      </c>
      <c r="B4">
        <v>2650</v>
      </c>
      <c r="C4">
        <v>2400</v>
      </c>
      <c r="D4">
        <v>2.2000000000000002</v>
      </c>
    </row>
    <row r="5" spans="1:4" x14ac:dyDescent="0.3">
      <c r="A5" s="5">
        <v>124</v>
      </c>
      <c r="B5">
        <v>3350</v>
      </c>
      <c r="C5">
        <v>1600</v>
      </c>
      <c r="D5">
        <v>5.5</v>
      </c>
    </row>
    <row r="6" spans="1:4" x14ac:dyDescent="0.3">
      <c r="A6" s="5">
        <v>125</v>
      </c>
      <c r="B6">
        <v>4250</v>
      </c>
      <c r="C6">
        <v>1200</v>
      </c>
      <c r="D6">
        <v>6.45</v>
      </c>
    </row>
    <row r="7" spans="1:4" x14ac:dyDescent="0.3">
      <c r="A7" s="5">
        <v>126</v>
      </c>
      <c r="B7">
        <v>5600</v>
      </c>
      <c r="C7">
        <v>600</v>
      </c>
      <c r="D7">
        <v>9.5</v>
      </c>
    </row>
    <row r="8" spans="1:4" x14ac:dyDescent="0.3">
      <c r="A8" s="5">
        <v>127</v>
      </c>
      <c r="B8">
        <v>6550</v>
      </c>
      <c r="C8">
        <v>400</v>
      </c>
      <c r="D8">
        <v>10.25</v>
      </c>
    </row>
    <row r="9" spans="1:4" x14ac:dyDescent="0.3">
      <c r="A9" s="5">
        <v>128</v>
      </c>
      <c r="B9">
        <v>7200</v>
      </c>
      <c r="C9">
        <v>600</v>
      </c>
      <c r="D9">
        <v>10.7</v>
      </c>
    </row>
    <row r="10" spans="1:4" x14ac:dyDescent="0.3">
      <c r="A10" s="5" t="s">
        <v>159</v>
      </c>
      <c r="B10">
        <v>4933.333333333333</v>
      </c>
      <c r="C10">
        <v>1133.3333333333333</v>
      </c>
      <c r="D10">
        <v>7.4333333333333336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14"/>
  <sheetViews>
    <sheetView topLeftCell="AT1" zoomScale="62" zoomScaleNormal="115" workbookViewId="0">
      <selection activeCell="AZ2" sqref="AZ2"/>
    </sheetView>
  </sheetViews>
  <sheetFormatPr defaultRowHeight="14.4" x14ac:dyDescent="0.3"/>
  <cols>
    <col min="2" max="2" width="20.6640625" style="2" customWidth="1"/>
    <col min="3" max="3" width="13.44140625" bestFit="1" customWidth="1"/>
    <col min="4" max="4" width="10.6640625" bestFit="1" customWidth="1"/>
    <col min="6" max="6" width="17.88671875" bestFit="1" customWidth="1"/>
    <col min="7" max="7" width="16.33203125" bestFit="1" customWidth="1"/>
    <col min="8" max="8" width="29.6640625" bestFit="1" customWidth="1"/>
    <col min="9" max="9" width="9.77734375" bestFit="1" customWidth="1"/>
    <col min="10" max="10" width="27.109375" bestFit="1" customWidth="1"/>
    <col min="12" max="12" width="18.5546875" bestFit="1" customWidth="1"/>
    <col min="13" max="13" width="19" bestFit="1" customWidth="1"/>
    <col min="15" max="15" width="24" bestFit="1" customWidth="1"/>
    <col min="16" max="16" width="28.21875" bestFit="1" customWidth="1"/>
    <col min="17" max="17" width="26.109375" bestFit="1" customWidth="1"/>
    <col min="18" max="18" width="28.21875" bestFit="1" customWidth="1"/>
    <col min="19" max="19" width="24.33203125" bestFit="1" customWidth="1"/>
    <col min="20" max="20" width="24.77734375" bestFit="1" customWidth="1"/>
    <col min="21" max="21" width="23.109375" bestFit="1" customWidth="1"/>
    <col min="22" max="22" width="15.5546875" bestFit="1" customWidth="1"/>
    <col min="32" max="32" width="19.77734375" bestFit="1" customWidth="1"/>
    <col min="33" max="33" width="21.5546875" bestFit="1" customWidth="1"/>
    <col min="34" max="34" width="21" bestFit="1" customWidth="1"/>
    <col min="37" max="37" width="18.109375" bestFit="1" customWidth="1"/>
    <col min="38" max="38" width="17.6640625" bestFit="1" customWidth="1"/>
    <col min="39" max="39" width="15.33203125" bestFit="1" customWidth="1"/>
    <col min="40" max="40" width="8.77734375" bestFit="1" customWidth="1"/>
    <col min="41" max="41" width="13.77734375" bestFit="1" customWidth="1"/>
    <col min="42" max="42" width="18.6640625" bestFit="1" customWidth="1"/>
    <col min="43" max="43" width="18.5546875" bestFit="1" customWidth="1"/>
    <col min="44" max="44" width="19.21875" bestFit="1" customWidth="1"/>
    <col min="45" max="45" width="25.21875" bestFit="1" customWidth="1"/>
    <col min="47" max="47" width="11.77734375" bestFit="1" customWidth="1"/>
    <col min="48" max="48" width="14.33203125" bestFit="1" customWidth="1"/>
    <col min="49" max="49" width="28.88671875" bestFit="1" customWidth="1"/>
    <col min="50" max="50" width="16.6640625" bestFit="1" customWidth="1"/>
    <col min="51" max="51" width="26.5546875" bestFit="1" customWidth="1"/>
    <col min="52" max="52" width="24.109375" bestFit="1" customWidth="1"/>
    <col min="53" max="53" width="17" bestFit="1" customWidth="1"/>
    <col min="54" max="54" width="21.88671875" bestFit="1" customWidth="1"/>
    <col min="55" max="55" width="19.88671875" bestFit="1" customWidth="1"/>
  </cols>
  <sheetData>
    <row r="1" spans="1:55" s="1" customFormat="1" x14ac:dyDescent="0.3">
      <c r="A1" s="1" t="s">
        <v>0</v>
      </c>
      <c r="B1" s="1" t="s">
        <v>47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</v>
      </c>
      <c r="AO1" s="1" t="s">
        <v>2</v>
      </c>
      <c r="AP1" s="1" t="s">
        <v>146</v>
      </c>
      <c r="AQ1" s="1" t="s">
        <v>147</v>
      </c>
      <c r="AR1" s="1" t="s">
        <v>148</v>
      </c>
      <c r="AS1" s="1" t="s">
        <v>3</v>
      </c>
      <c r="AT1" s="1" t="s">
        <v>73</v>
      </c>
      <c r="AU1" s="1" t="s">
        <v>74</v>
      </c>
      <c r="AV1" s="1" t="s">
        <v>56</v>
      </c>
      <c r="AW1" s="1" t="s">
        <v>44</v>
      </c>
      <c r="AX1" s="1" t="s">
        <v>75</v>
      </c>
      <c r="AY1" s="3" t="s">
        <v>151</v>
      </c>
      <c r="AZ1" s="3" t="s">
        <v>152</v>
      </c>
      <c r="BA1" s="3" t="s">
        <v>153</v>
      </c>
      <c r="BB1" s="3" t="s">
        <v>154</v>
      </c>
      <c r="BC1" s="3" t="s">
        <v>167</v>
      </c>
    </row>
    <row r="2" spans="1:55" x14ac:dyDescent="0.3">
      <c r="A2">
        <v>1321</v>
      </c>
      <c r="B2" s="2">
        <v>45937.479733796303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76</v>
      </c>
      <c r="AN2">
        <v>698</v>
      </c>
      <c r="AO2">
        <v>318</v>
      </c>
      <c r="AS2">
        <v>0</v>
      </c>
      <c r="AT2">
        <v>97</v>
      </c>
      <c r="AU2" t="s">
        <v>59</v>
      </c>
      <c r="AV2">
        <v>20</v>
      </c>
      <c r="AW2" t="s">
        <v>53</v>
      </c>
      <c r="AX2">
        <v>22</v>
      </c>
      <c r="AY2">
        <f>AG2+AH2</f>
        <v>0</v>
      </c>
      <c r="AZ2" cm="1">
        <f t="array" ref="AZ2:AZ314">+VLOOKUP(AN2:AN314,player!A1:E65,5,0)</f>
        <v>124</v>
      </c>
      <c r="BA2" t="str">
        <f>IF(AY3=12,"(U-village)",IF(AY3=13,"(Dike-town)",IF(AY3=15,"(Natu-city)","")))</f>
        <v>(Natu-city)</v>
      </c>
      <c r="BB2">
        <f>AK2+AL2</f>
        <v>0</v>
      </c>
      <c r="BC2">
        <f>L2+M2</f>
        <v>0</v>
      </c>
    </row>
    <row r="3" spans="1:55" x14ac:dyDescent="0.3">
      <c r="A3">
        <v>1365</v>
      </c>
      <c r="B3" s="2">
        <v>45937.479733796303</v>
      </c>
      <c r="C3">
        <v>75000</v>
      </c>
      <c r="D3">
        <v>40000</v>
      </c>
      <c r="E3">
        <v>0</v>
      </c>
      <c r="F3">
        <v>10000</v>
      </c>
      <c r="G3">
        <v>0</v>
      </c>
      <c r="H3">
        <v>0</v>
      </c>
      <c r="I3">
        <v>15000</v>
      </c>
      <c r="J3">
        <v>6000</v>
      </c>
      <c r="K3">
        <v>7000</v>
      </c>
      <c r="L3">
        <v>0</v>
      </c>
      <c r="M3">
        <v>0</v>
      </c>
      <c r="N3">
        <v>2000</v>
      </c>
      <c r="O3">
        <v>0</v>
      </c>
      <c r="P3">
        <v>-1</v>
      </c>
      <c r="Q3">
        <v>1</v>
      </c>
      <c r="R3">
        <v>2</v>
      </c>
      <c r="S3">
        <v>0</v>
      </c>
      <c r="T3">
        <v>0</v>
      </c>
      <c r="U3">
        <v>0</v>
      </c>
      <c r="V3">
        <v>7</v>
      </c>
      <c r="W3">
        <v>4</v>
      </c>
      <c r="X3">
        <v>110000</v>
      </c>
      <c r="Y3">
        <v>0</v>
      </c>
      <c r="Z3">
        <v>0</v>
      </c>
      <c r="AA3">
        <v>0</v>
      </c>
      <c r="AB3">
        <v>100000</v>
      </c>
      <c r="AC3">
        <v>100000</v>
      </c>
      <c r="AD3">
        <v>90000</v>
      </c>
      <c r="AG3">
        <v>6</v>
      </c>
      <c r="AH3">
        <v>9</v>
      </c>
      <c r="AI3">
        <v>0</v>
      </c>
      <c r="AJ3">
        <v>0</v>
      </c>
      <c r="AK3">
        <v>2</v>
      </c>
      <c r="AL3">
        <v>1</v>
      </c>
      <c r="AM3" t="s">
        <v>149</v>
      </c>
      <c r="AN3">
        <v>698</v>
      </c>
      <c r="AO3">
        <v>325</v>
      </c>
      <c r="AQ3">
        <v>1613</v>
      </c>
      <c r="AS3">
        <v>1</v>
      </c>
      <c r="AT3">
        <v>97</v>
      </c>
      <c r="AU3" t="s">
        <v>59</v>
      </c>
      <c r="AV3">
        <v>20</v>
      </c>
      <c r="AW3" t="s">
        <v>53</v>
      </c>
      <c r="AX3">
        <v>22</v>
      </c>
      <c r="AY3">
        <f t="shared" ref="AY3:AY66" si="0">AG3+AH3</f>
        <v>15</v>
      </c>
      <c r="AZ3">
        <v>124</v>
      </c>
      <c r="BA3" t="str">
        <f t="shared" ref="BA3:BA66" si="1">IF(AY4=12,"(U-village)",IF(AY4=13,"(Dike-town)",IF(AY4=15,"(Natu-city)","")))</f>
        <v>(Natu-city)</v>
      </c>
      <c r="BB3">
        <f t="shared" ref="BB3:BB66" si="2">AK3+AL3</f>
        <v>3</v>
      </c>
      <c r="BC3">
        <f t="shared" ref="BC3:BC66" si="3">L3+M3</f>
        <v>0</v>
      </c>
    </row>
    <row r="4" spans="1:55" x14ac:dyDescent="0.3">
      <c r="A4">
        <v>1382</v>
      </c>
      <c r="B4" s="2">
        <v>45937.479733796303</v>
      </c>
      <c r="C4">
        <v>75000</v>
      </c>
      <c r="D4">
        <v>40000</v>
      </c>
      <c r="E4">
        <v>0</v>
      </c>
      <c r="F4">
        <v>10000</v>
      </c>
      <c r="G4">
        <v>0</v>
      </c>
      <c r="H4">
        <v>0</v>
      </c>
      <c r="I4">
        <v>15000</v>
      </c>
      <c r="J4">
        <v>0</v>
      </c>
      <c r="K4">
        <v>9500</v>
      </c>
      <c r="L4">
        <v>0</v>
      </c>
      <c r="M4">
        <v>0</v>
      </c>
      <c r="N4">
        <v>2500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10</v>
      </c>
      <c r="W4">
        <v>4</v>
      </c>
      <c r="X4">
        <v>110000</v>
      </c>
      <c r="Y4">
        <v>100000</v>
      </c>
      <c r="Z4">
        <v>90000</v>
      </c>
      <c r="AA4">
        <v>0</v>
      </c>
      <c r="AB4">
        <v>0</v>
      </c>
      <c r="AC4">
        <v>100000</v>
      </c>
      <c r="AD4">
        <v>80000</v>
      </c>
      <c r="AG4">
        <v>6</v>
      </c>
      <c r="AH4">
        <v>9</v>
      </c>
      <c r="AI4">
        <v>0</v>
      </c>
      <c r="AJ4">
        <v>0</v>
      </c>
      <c r="AK4">
        <v>2</v>
      </c>
      <c r="AL4">
        <v>1</v>
      </c>
      <c r="AM4" t="s">
        <v>149</v>
      </c>
      <c r="AN4">
        <v>698</v>
      </c>
      <c r="AO4">
        <v>328</v>
      </c>
      <c r="AP4">
        <v>1613</v>
      </c>
      <c r="AQ4">
        <v>1613</v>
      </c>
      <c r="AS4">
        <v>2</v>
      </c>
      <c r="AT4">
        <v>97</v>
      </c>
      <c r="AU4" t="s">
        <v>59</v>
      </c>
      <c r="AV4">
        <v>20</v>
      </c>
      <c r="AW4" t="s">
        <v>53</v>
      </c>
      <c r="AX4">
        <v>22</v>
      </c>
      <c r="AY4">
        <f t="shared" si="0"/>
        <v>15</v>
      </c>
      <c r="AZ4">
        <v>124</v>
      </c>
      <c r="BA4" t="str">
        <f t="shared" si="1"/>
        <v>(Natu-city)</v>
      </c>
      <c r="BB4">
        <f t="shared" si="2"/>
        <v>3</v>
      </c>
      <c r="BC4">
        <f t="shared" si="3"/>
        <v>0</v>
      </c>
    </row>
    <row r="5" spans="1:55" x14ac:dyDescent="0.3">
      <c r="A5">
        <v>1407</v>
      </c>
      <c r="B5" s="2">
        <v>45937.479733796303</v>
      </c>
      <c r="C5">
        <v>75000</v>
      </c>
      <c r="D5">
        <v>40000</v>
      </c>
      <c r="E5">
        <v>0</v>
      </c>
      <c r="F5">
        <v>10000</v>
      </c>
      <c r="G5">
        <v>0</v>
      </c>
      <c r="H5">
        <v>0</v>
      </c>
      <c r="I5">
        <v>15000</v>
      </c>
      <c r="J5">
        <v>0</v>
      </c>
      <c r="K5">
        <v>10750</v>
      </c>
      <c r="L5">
        <v>0</v>
      </c>
      <c r="M5">
        <v>0</v>
      </c>
      <c r="N5">
        <v>1750</v>
      </c>
      <c r="O5">
        <v>0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  <c r="V5">
        <v>13</v>
      </c>
      <c r="W5">
        <v>4</v>
      </c>
      <c r="X5">
        <v>110000</v>
      </c>
      <c r="Y5">
        <v>100000</v>
      </c>
      <c r="Z5">
        <v>80000</v>
      </c>
      <c r="AA5">
        <v>0</v>
      </c>
      <c r="AB5">
        <v>0</v>
      </c>
      <c r="AC5">
        <v>100000</v>
      </c>
      <c r="AD5">
        <v>70000</v>
      </c>
      <c r="AG5">
        <v>6</v>
      </c>
      <c r="AH5">
        <v>9</v>
      </c>
      <c r="AI5">
        <v>-2</v>
      </c>
      <c r="AJ5">
        <v>-1</v>
      </c>
      <c r="AK5">
        <v>2</v>
      </c>
      <c r="AL5">
        <v>1</v>
      </c>
      <c r="AM5" t="s">
        <v>149</v>
      </c>
      <c r="AN5">
        <v>698</v>
      </c>
      <c r="AO5">
        <v>332</v>
      </c>
      <c r="AP5">
        <v>1613</v>
      </c>
      <c r="AQ5">
        <v>1613</v>
      </c>
      <c r="AS5">
        <v>3</v>
      </c>
      <c r="AT5">
        <v>97</v>
      </c>
      <c r="AU5" t="s">
        <v>59</v>
      </c>
      <c r="AV5">
        <v>20</v>
      </c>
      <c r="AW5" t="s">
        <v>53</v>
      </c>
      <c r="AX5">
        <v>22</v>
      </c>
      <c r="AY5">
        <f t="shared" si="0"/>
        <v>15</v>
      </c>
      <c r="AZ5">
        <v>124</v>
      </c>
      <c r="BA5" t="str">
        <f t="shared" si="1"/>
        <v>(Natu-city)</v>
      </c>
      <c r="BB5">
        <f t="shared" si="2"/>
        <v>3</v>
      </c>
      <c r="BC5">
        <f t="shared" si="3"/>
        <v>0</v>
      </c>
    </row>
    <row r="6" spans="1:55" x14ac:dyDescent="0.3">
      <c r="A6">
        <v>1428</v>
      </c>
      <c r="B6" s="2">
        <v>45937.479733796303</v>
      </c>
      <c r="C6">
        <v>75000</v>
      </c>
      <c r="D6">
        <v>40000</v>
      </c>
      <c r="E6">
        <v>0</v>
      </c>
      <c r="F6">
        <v>10000</v>
      </c>
      <c r="G6">
        <v>0</v>
      </c>
      <c r="H6">
        <v>0</v>
      </c>
      <c r="I6">
        <v>20000</v>
      </c>
      <c r="J6">
        <v>1000</v>
      </c>
      <c r="K6">
        <v>5000</v>
      </c>
      <c r="L6">
        <v>0</v>
      </c>
      <c r="M6">
        <v>4000</v>
      </c>
      <c r="N6">
        <v>-3250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16</v>
      </c>
      <c r="W6">
        <v>4</v>
      </c>
      <c r="X6">
        <v>110000</v>
      </c>
      <c r="Y6">
        <v>100000</v>
      </c>
      <c r="Z6">
        <v>70000</v>
      </c>
      <c r="AA6">
        <v>0</v>
      </c>
      <c r="AB6">
        <v>0</v>
      </c>
      <c r="AC6">
        <v>100000</v>
      </c>
      <c r="AD6">
        <v>60000</v>
      </c>
      <c r="AG6">
        <v>6</v>
      </c>
      <c r="AH6">
        <v>9</v>
      </c>
      <c r="AI6">
        <v>-2</v>
      </c>
      <c r="AJ6">
        <v>-1</v>
      </c>
      <c r="AK6">
        <v>1</v>
      </c>
      <c r="AL6">
        <v>1</v>
      </c>
      <c r="AM6" t="s">
        <v>149</v>
      </c>
      <c r="AN6">
        <v>698</v>
      </c>
      <c r="AO6">
        <v>336</v>
      </c>
      <c r="AP6">
        <v>1613</v>
      </c>
      <c r="AQ6">
        <v>1613</v>
      </c>
      <c r="AS6">
        <v>4</v>
      </c>
      <c r="AT6">
        <v>97</v>
      </c>
      <c r="AU6" t="s">
        <v>59</v>
      </c>
      <c r="AV6">
        <v>20</v>
      </c>
      <c r="AW6" t="s">
        <v>53</v>
      </c>
      <c r="AX6">
        <v>22</v>
      </c>
      <c r="AY6">
        <f t="shared" si="0"/>
        <v>15</v>
      </c>
      <c r="AZ6">
        <v>124</v>
      </c>
      <c r="BA6" t="str">
        <f t="shared" si="1"/>
        <v/>
      </c>
      <c r="BB6">
        <f t="shared" si="2"/>
        <v>2</v>
      </c>
      <c r="BC6">
        <f t="shared" si="3"/>
        <v>4000</v>
      </c>
    </row>
    <row r="7" spans="1:55" x14ac:dyDescent="0.3">
      <c r="A7">
        <v>1358</v>
      </c>
      <c r="B7" s="2">
        <v>45937.597245370373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76</v>
      </c>
      <c r="AN7">
        <v>699</v>
      </c>
      <c r="AO7">
        <v>318</v>
      </c>
      <c r="AS7">
        <v>0</v>
      </c>
      <c r="AT7">
        <v>97</v>
      </c>
      <c r="AU7" t="s">
        <v>59</v>
      </c>
      <c r="AV7">
        <v>20</v>
      </c>
      <c r="AW7" t="s">
        <v>53</v>
      </c>
      <c r="AX7">
        <v>22</v>
      </c>
      <c r="AY7">
        <f t="shared" si="0"/>
        <v>0</v>
      </c>
      <c r="AZ7">
        <v>126</v>
      </c>
      <c r="BA7" t="str">
        <f t="shared" si="1"/>
        <v>(Natu-city)</v>
      </c>
      <c r="BB7">
        <f t="shared" si="2"/>
        <v>0</v>
      </c>
      <c r="BC7">
        <f t="shared" si="3"/>
        <v>0</v>
      </c>
    </row>
    <row r="8" spans="1:55" x14ac:dyDescent="0.3">
      <c r="A8">
        <v>1366</v>
      </c>
      <c r="B8" s="2">
        <v>45937.597245370373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6000</v>
      </c>
      <c r="K8">
        <v>5000</v>
      </c>
      <c r="L8">
        <v>0</v>
      </c>
      <c r="M8">
        <v>0</v>
      </c>
      <c r="N8">
        <v>7000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7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0</v>
      </c>
      <c r="AM8" t="s">
        <v>149</v>
      </c>
      <c r="AN8">
        <v>699</v>
      </c>
      <c r="AO8">
        <v>325</v>
      </c>
      <c r="AQ8">
        <v>1611</v>
      </c>
      <c r="AS8">
        <v>1</v>
      </c>
      <c r="AT8">
        <v>97</v>
      </c>
      <c r="AU8" t="s">
        <v>59</v>
      </c>
      <c r="AV8">
        <v>20</v>
      </c>
      <c r="AW8" t="s">
        <v>53</v>
      </c>
      <c r="AX8">
        <v>22</v>
      </c>
      <c r="AY8">
        <f t="shared" si="0"/>
        <v>15</v>
      </c>
      <c r="AZ8">
        <v>126</v>
      </c>
      <c r="BA8" t="str">
        <f t="shared" si="1"/>
        <v>(Natu-city)</v>
      </c>
      <c r="BB8">
        <f t="shared" si="2"/>
        <v>1</v>
      </c>
      <c r="BC8">
        <f t="shared" si="3"/>
        <v>0</v>
      </c>
    </row>
    <row r="9" spans="1:55" x14ac:dyDescent="0.3">
      <c r="A9">
        <v>1381</v>
      </c>
      <c r="B9" s="2">
        <v>45937.597245370373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8000</v>
      </c>
      <c r="K9">
        <v>15000</v>
      </c>
      <c r="L9">
        <v>0</v>
      </c>
      <c r="M9">
        <v>0</v>
      </c>
      <c r="N9">
        <v>2000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0</v>
      </c>
      <c r="V9">
        <v>11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2</v>
      </c>
      <c r="AL9">
        <v>1</v>
      </c>
      <c r="AM9" t="s">
        <v>149</v>
      </c>
      <c r="AN9">
        <v>699</v>
      </c>
      <c r="AO9">
        <v>328</v>
      </c>
      <c r="AP9">
        <v>1611</v>
      </c>
      <c r="AQ9">
        <v>1611</v>
      </c>
      <c r="AS9">
        <v>2</v>
      </c>
      <c r="AT9">
        <v>97</v>
      </c>
      <c r="AU9" t="s">
        <v>59</v>
      </c>
      <c r="AV9">
        <v>20</v>
      </c>
      <c r="AW9" t="s">
        <v>53</v>
      </c>
      <c r="AX9">
        <v>22</v>
      </c>
      <c r="AY9">
        <f t="shared" si="0"/>
        <v>15</v>
      </c>
      <c r="AZ9">
        <v>126</v>
      </c>
      <c r="BA9" t="str">
        <f t="shared" si="1"/>
        <v>(Natu-city)</v>
      </c>
      <c r="BB9">
        <f t="shared" si="2"/>
        <v>3</v>
      </c>
      <c r="BC9">
        <f t="shared" si="3"/>
        <v>0</v>
      </c>
    </row>
    <row r="10" spans="1:55" x14ac:dyDescent="0.3">
      <c r="A10">
        <v>1406</v>
      </c>
      <c r="B10" s="2">
        <v>45937.597245370373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9000</v>
      </c>
      <c r="K10">
        <v>10000</v>
      </c>
      <c r="L10">
        <v>0</v>
      </c>
      <c r="M10">
        <v>0</v>
      </c>
      <c r="N10">
        <v>1000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0</v>
      </c>
      <c r="V10">
        <v>14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-2</v>
      </c>
      <c r="AJ10">
        <v>-1</v>
      </c>
      <c r="AK10">
        <v>3</v>
      </c>
      <c r="AL10">
        <v>2</v>
      </c>
      <c r="AM10" t="s">
        <v>149</v>
      </c>
      <c r="AN10">
        <v>699</v>
      </c>
      <c r="AO10">
        <v>332</v>
      </c>
      <c r="AP10">
        <v>1611</v>
      </c>
      <c r="AQ10">
        <v>1611</v>
      </c>
      <c r="AS10">
        <v>3</v>
      </c>
      <c r="AT10">
        <v>97</v>
      </c>
      <c r="AU10" t="s">
        <v>59</v>
      </c>
      <c r="AV10">
        <v>20</v>
      </c>
      <c r="AW10" t="s">
        <v>53</v>
      </c>
      <c r="AX10">
        <v>22</v>
      </c>
      <c r="AY10">
        <f t="shared" si="0"/>
        <v>15</v>
      </c>
      <c r="AZ10">
        <v>126</v>
      </c>
      <c r="BA10" t="str">
        <f t="shared" si="1"/>
        <v>(Natu-city)</v>
      </c>
      <c r="BB10">
        <f t="shared" si="2"/>
        <v>5</v>
      </c>
      <c r="BC10">
        <f t="shared" si="3"/>
        <v>0</v>
      </c>
    </row>
    <row r="11" spans="1:55" x14ac:dyDescent="0.3">
      <c r="A11">
        <v>1429</v>
      </c>
      <c r="B11" s="2">
        <v>45937.597245370373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20000</v>
      </c>
      <c r="J11">
        <v>0</v>
      </c>
      <c r="K11">
        <v>14000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18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4</v>
      </c>
      <c r="AL11">
        <v>3</v>
      </c>
      <c r="AM11" t="s">
        <v>149</v>
      </c>
      <c r="AN11">
        <v>699</v>
      </c>
      <c r="AO11">
        <v>336</v>
      </c>
      <c r="AP11">
        <v>1611</v>
      </c>
      <c r="AQ11">
        <v>1611</v>
      </c>
      <c r="AS11">
        <v>4</v>
      </c>
      <c r="AT11">
        <v>97</v>
      </c>
      <c r="AU11" t="s">
        <v>59</v>
      </c>
      <c r="AV11">
        <v>20</v>
      </c>
      <c r="AW11" t="s">
        <v>53</v>
      </c>
      <c r="AX11">
        <v>22</v>
      </c>
      <c r="AY11">
        <f t="shared" si="0"/>
        <v>15</v>
      </c>
      <c r="AZ11">
        <v>126</v>
      </c>
      <c r="BA11" t="str">
        <f t="shared" si="1"/>
        <v/>
      </c>
      <c r="BB11">
        <f t="shared" si="2"/>
        <v>7</v>
      </c>
      <c r="BC11">
        <f t="shared" si="3"/>
        <v>0</v>
      </c>
    </row>
    <row r="12" spans="1:55" x14ac:dyDescent="0.3">
      <c r="A12">
        <v>1362</v>
      </c>
      <c r="B12" s="2">
        <v>45937.598113425927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76</v>
      </c>
      <c r="AN12">
        <v>700</v>
      </c>
      <c r="AO12">
        <v>318</v>
      </c>
      <c r="AS12">
        <v>0</v>
      </c>
      <c r="AT12">
        <v>97</v>
      </c>
      <c r="AU12" t="s">
        <v>59</v>
      </c>
      <c r="AV12">
        <v>20</v>
      </c>
      <c r="AW12" t="s">
        <v>53</v>
      </c>
      <c r="AX12">
        <v>22</v>
      </c>
      <c r="AY12">
        <f t="shared" si="0"/>
        <v>0</v>
      </c>
      <c r="AZ12">
        <v>123</v>
      </c>
      <c r="BA12" t="str">
        <f t="shared" si="1"/>
        <v>(U-village)</v>
      </c>
      <c r="BB12">
        <f t="shared" si="2"/>
        <v>0</v>
      </c>
      <c r="BC12">
        <f t="shared" si="3"/>
        <v>0</v>
      </c>
    </row>
    <row r="13" spans="1:55" x14ac:dyDescent="0.3">
      <c r="A13">
        <v>1368</v>
      </c>
      <c r="B13" s="2">
        <v>45937.598113425927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1000</v>
      </c>
      <c r="K13">
        <v>1400</v>
      </c>
      <c r="L13">
        <v>8000</v>
      </c>
      <c r="M13">
        <v>0</v>
      </c>
      <c r="N13">
        <v>-7400</v>
      </c>
      <c r="O13">
        <v>0</v>
      </c>
      <c r="P13">
        <v>-1</v>
      </c>
      <c r="Q13">
        <v>0</v>
      </c>
      <c r="R13">
        <v>0</v>
      </c>
      <c r="S13">
        <v>3</v>
      </c>
      <c r="T13">
        <v>0</v>
      </c>
      <c r="U13">
        <v>0</v>
      </c>
      <c r="V13">
        <v>1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1</v>
      </c>
      <c r="AL13">
        <v>1</v>
      </c>
      <c r="AM13" t="s">
        <v>149</v>
      </c>
      <c r="AN13">
        <v>700</v>
      </c>
      <c r="AO13">
        <v>325</v>
      </c>
      <c r="AQ13">
        <v>1623</v>
      </c>
      <c r="AS13">
        <v>1</v>
      </c>
      <c r="AT13">
        <v>97</v>
      </c>
      <c r="AU13" t="s">
        <v>59</v>
      </c>
      <c r="AV13">
        <v>20</v>
      </c>
      <c r="AW13" t="s">
        <v>53</v>
      </c>
      <c r="AX13">
        <v>22</v>
      </c>
      <c r="AY13">
        <f t="shared" si="0"/>
        <v>12</v>
      </c>
      <c r="AZ13">
        <v>123</v>
      </c>
      <c r="BA13" t="str">
        <f t="shared" si="1"/>
        <v>(U-village)</v>
      </c>
      <c r="BB13">
        <f t="shared" si="2"/>
        <v>2</v>
      </c>
      <c r="BC13">
        <f t="shared" si="3"/>
        <v>8000</v>
      </c>
    </row>
    <row r="14" spans="1:55" x14ac:dyDescent="0.3">
      <c r="A14">
        <v>1383</v>
      </c>
      <c r="B14" s="2">
        <v>45937.598113425927</v>
      </c>
      <c r="C14">
        <v>60000</v>
      </c>
      <c r="D14">
        <v>30000</v>
      </c>
      <c r="E14">
        <v>7400</v>
      </c>
      <c r="F14">
        <v>7000</v>
      </c>
      <c r="G14">
        <v>0</v>
      </c>
      <c r="H14">
        <v>0</v>
      </c>
      <c r="I14">
        <v>20000</v>
      </c>
      <c r="J14">
        <v>0</v>
      </c>
      <c r="K14">
        <v>0</v>
      </c>
      <c r="L14">
        <v>0</v>
      </c>
      <c r="M14">
        <v>0</v>
      </c>
      <c r="N14">
        <v>-4400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0</v>
      </c>
      <c r="AM14" t="s">
        <v>149</v>
      </c>
      <c r="AN14">
        <v>700</v>
      </c>
      <c r="AO14">
        <v>328</v>
      </c>
      <c r="AP14">
        <v>1623</v>
      </c>
      <c r="AQ14">
        <v>1623</v>
      </c>
      <c r="AS14">
        <v>2</v>
      </c>
      <c r="AT14">
        <v>97</v>
      </c>
      <c r="AU14" t="s">
        <v>59</v>
      </c>
      <c r="AV14">
        <v>20</v>
      </c>
      <c r="AW14" t="s">
        <v>53</v>
      </c>
      <c r="AX14">
        <v>22</v>
      </c>
      <c r="AY14">
        <f t="shared" si="0"/>
        <v>12</v>
      </c>
      <c r="AZ14">
        <v>123</v>
      </c>
      <c r="BA14" t="str">
        <f t="shared" si="1"/>
        <v>(U-village)</v>
      </c>
      <c r="BB14">
        <f t="shared" si="2"/>
        <v>0</v>
      </c>
      <c r="BC14">
        <f t="shared" si="3"/>
        <v>0</v>
      </c>
    </row>
    <row r="15" spans="1:55" x14ac:dyDescent="0.3">
      <c r="A15">
        <v>1405</v>
      </c>
      <c r="B15" s="2">
        <v>45937.598113425927</v>
      </c>
      <c r="C15">
        <v>60000</v>
      </c>
      <c r="D15">
        <v>30000</v>
      </c>
      <c r="E15">
        <v>4400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4000</v>
      </c>
      <c r="M15">
        <v>0</v>
      </c>
      <c r="N15">
        <v>-5400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-3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-2</v>
      </c>
      <c r="AJ15">
        <v>-1</v>
      </c>
      <c r="AK15">
        <v>0</v>
      </c>
      <c r="AL15">
        <v>0</v>
      </c>
      <c r="AM15" t="s">
        <v>149</v>
      </c>
      <c r="AN15">
        <v>700</v>
      </c>
      <c r="AO15">
        <v>332</v>
      </c>
      <c r="AP15">
        <v>1623</v>
      </c>
      <c r="AQ15">
        <v>1623</v>
      </c>
      <c r="AS15">
        <v>3</v>
      </c>
      <c r="AT15">
        <v>97</v>
      </c>
      <c r="AU15" t="s">
        <v>59</v>
      </c>
      <c r="AV15">
        <v>20</v>
      </c>
      <c r="AW15" t="s">
        <v>53</v>
      </c>
      <c r="AX15">
        <v>22</v>
      </c>
      <c r="AY15">
        <f t="shared" si="0"/>
        <v>12</v>
      </c>
      <c r="AZ15">
        <v>123</v>
      </c>
      <c r="BA15" t="str">
        <f t="shared" si="1"/>
        <v>(U-village)</v>
      </c>
      <c r="BB15">
        <f t="shared" si="2"/>
        <v>0</v>
      </c>
      <c r="BC15">
        <f t="shared" si="3"/>
        <v>4000</v>
      </c>
    </row>
    <row r="16" spans="1:55" x14ac:dyDescent="0.3">
      <c r="A16">
        <v>1432</v>
      </c>
      <c r="B16" s="2">
        <v>45937.598113425927</v>
      </c>
      <c r="C16">
        <v>60000</v>
      </c>
      <c r="D16">
        <v>30000</v>
      </c>
      <c r="E16">
        <v>5400</v>
      </c>
      <c r="F16">
        <v>7000</v>
      </c>
      <c r="G16">
        <v>51000</v>
      </c>
      <c r="H16">
        <v>0</v>
      </c>
      <c r="I16">
        <v>20000</v>
      </c>
      <c r="J16">
        <v>10000</v>
      </c>
      <c r="K16">
        <v>6500</v>
      </c>
      <c r="L16">
        <v>0</v>
      </c>
      <c r="M16">
        <v>4000</v>
      </c>
      <c r="N16">
        <v>28100</v>
      </c>
      <c r="O16">
        <v>1</v>
      </c>
      <c r="P16">
        <v>-1</v>
      </c>
      <c r="Q16">
        <v>0</v>
      </c>
      <c r="R16">
        <v>3</v>
      </c>
      <c r="S16">
        <v>1</v>
      </c>
      <c r="T16">
        <v>1</v>
      </c>
      <c r="U16">
        <v>1</v>
      </c>
      <c r="V16">
        <v>-5</v>
      </c>
      <c r="W16">
        <v>3</v>
      </c>
      <c r="X16">
        <v>80000</v>
      </c>
      <c r="Y16">
        <v>70000</v>
      </c>
      <c r="Z16">
        <v>49000</v>
      </c>
      <c r="AA16">
        <v>100000</v>
      </c>
      <c r="AB16">
        <v>70000</v>
      </c>
      <c r="AC16">
        <v>70000</v>
      </c>
      <c r="AD16">
        <v>63000</v>
      </c>
      <c r="AE16">
        <v>35</v>
      </c>
      <c r="AG16">
        <v>6</v>
      </c>
      <c r="AH16">
        <v>6</v>
      </c>
      <c r="AI16">
        <v>-2</v>
      </c>
      <c r="AJ16">
        <v>-1</v>
      </c>
      <c r="AK16">
        <v>2</v>
      </c>
      <c r="AL16">
        <v>2</v>
      </c>
      <c r="AM16" t="s">
        <v>149</v>
      </c>
      <c r="AN16">
        <v>700</v>
      </c>
      <c r="AO16">
        <v>336</v>
      </c>
      <c r="AP16">
        <v>1623</v>
      </c>
      <c r="AQ16">
        <v>1660</v>
      </c>
      <c r="AS16">
        <v>4</v>
      </c>
      <c r="AT16">
        <v>97</v>
      </c>
      <c r="AU16" t="s">
        <v>59</v>
      </c>
      <c r="AV16">
        <v>20</v>
      </c>
      <c r="AW16" t="s">
        <v>53</v>
      </c>
      <c r="AX16">
        <v>22</v>
      </c>
      <c r="AY16">
        <f t="shared" si="0"/>
        <v>12</v>
      </c>
      <c r="AZ16">
        <v>123</v>
      </c>
      <c r="BA16" t="str">
        <f t="shared" si="1"/>
        <v/>
      </c>
      <c r="BB16">
        <f t="shared" si="2"/>
        <v>4</v>
      </c>
      <c r="BC16">
        <f t="shared" si="3"/>
        <v>4000</v>
      </c>
    </row>
    <row r="17" spans="1:55" x14ac:dyDescent="0.3">
      <c r="A17">
        <v>1360</v>
      </c>
      <c r="B17" s="2">
        <v>45937.597615740742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76</v>
      </c>
      <c r="AN17">
        <v>701</v>
      </c>
      <c r="AO17">
        <v>318</v>
      </c>
      <c r="AS17">
        <v>0</v>
      </c>
      <c r="AT17">
        <v>97</v>
      </c>
      <c r="AU17" t="s">
        <v>59</v>
      </c>
      <c r="AV17">
        <v>20</v>
      </c>
      <c r="AW17" t="s">
        <v>53</v>
      </c>
      <c r="AX17">
        <v>22</v>
      </c>
      <c r="AY17">
        <f t="shared" si="0"/>
        <v>0</v>
      </c>
      <c r="AZ17">
        <v>125</v>
      </c>
      <c r="BA17" t="str">
        <f t="shared" si="1"/>
        <v>(Dike-town)</v>
      </c>
      <c r="BB17">
        <f t="shared" si="2"/>
        <v>0</v>
      </c>
      <c r="BC17">
        <f t="shared" si="3"/>
        <v>0</v>
      </c>
    </row>
    <row r="18" spans="1:55" x14ac:dyDescent="0.3">
      <c r="A18">
        <v>1363</v>
      </c>
      <c r="B18" s="2">
        <v>45937.597615740742</v>
      </c>
      <c r="C18">
        <v>90000</v>
      </c>
      <c r="D18">
        <v>50000</v>
      </c>
      <c r="E18">
        <v>0</v>
      </c>
      <c r="F18">
        <v>8000</v>
      </c>
      <c r="G18">
        <v>0</v>
      </c>
      <c r="H18">
        <v>0</v>
      </c>
      <c r="I18">
        <v>20000</v>
      </c>
      <c r="J18">
        <v>14000</v>
      </c>
      <c r="K18">
        <v>6000</v>
      </c>
      <c r="L18">
        <v>0</v>
      </c>
      <c r="M18">
        <v>0</v>
      </c>
      <c r="N18">
        <v>7000</v>
      </c>
      <c r="O18">
        <v>0</v>
      </c>
      <c r="P18">
        <v>-3</v>
      </c>
      <c r="Q18">
        <v>2</v>
      </c>
      <c r="R18">
        <v>3</v>
      </c>
      <c r="S18">
        <v>0</v>
      </c>
      <c r="T18">
        <v>0</v>
      </c>
      <c r="U18">
        <v>0</v>
      </c>
      <c r="V18">
        <v>7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80000</v>
      </c>
      <c r="AC18">
        <v>80000</v>
      </c>
      <c r="AD18">
        <v>72000</v>
      </c>
      <c r="AG18">
        <v>4</v>
      </c>
      <c r="AH18">
        <v>9</v>
      </c>
      <c r="AI18">
        <v>0</v>
      </c>
      <c r="AJ18">
        <v>0</v>
      </c>
      <c r="AK18">
        <v>2</v>
      </c>
      <c r="AL18">
        <v>0</v>
      </c>
      <c r="AM18" t="s">
        <v>149</v>
      </c>
      <c r="AN18">
        <v>701</v>
      </c>
      <c r="AO18">
        <v>325</v>
      </c>
      <c r="AQ18">
        <v>1619</v>
      </c>
      <c r="AS18">
        <v>1</v>
      </c>
      <c r="AT18">
        <v>97</v>
      </c>
      <c r="AU18" t="s">
        <v>59</v>
      </c>
      <c r="AV18">
        <v>20</v>
      </c>
      <c r="AW18" t="s">
        <v>53</v>
      </c>
      <c r="AX18">
        <v>22</v>
      </c>
      <c r="AY18">
        <f t="shared" si="0"/>
        <v>13</v>
      </c>
      <c r="AZ18">
        <v>125</v>
      </c>
      <c r="BA18" t="str">
        <f t="shared" si="1"/>
        <v>(Dike-town)</v>
      </c>
      <c r="BB18">
        <f t="shared" si="2"/>
        <v>2</v>
      </c>
      <c r="BC18">
        <f t="shared" si="3"/>
        <v>0</v>
      </c>
    </row>
    <row r="19" spans="1:55" x14ac:dyDescent="0.3">
      <c r="A19">
        <v>1385</v>
      </c>
      <c r="B19" s="2">
        <v>45937.597615740742</v>
      </c>
      <c r="C19">
        <v>90000</v>
      </c>
      <c r="D19">
        <v>50000</v>
      </c>
      <c r="E19">
        <v>0</v>
      </c>
      <c r="F19">
        <v>8000</v>
      </c>
      <c r="G19">
        <v>0</v>
      </c>
      <c r="H19">
        <v>0</v>
      </c>
      <c r="I19">
        <v>20000</v>
      </c>
      <c r="J19">
        <v>0</v>
      </c>
      <c r="K19">
        <v>8500</v>
      </c>
      <c r="L19">
        <v>0</v>
      </c>
      <c r="M19">
        <v>0</v>
      </c>
      <c r="N19">
        <v>10500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10</v>
      </c>
      <c r="W19">
        <v>5</v>
      </c>
      <c r="X19">
        <v>130000</v>
      </c>
      <c r="Y19">
        <v>80000</v>
      </c>
      <c r="Z19">
        <v>72000</v>
      </c>
      <c r="AA19">
        <v>0</v>
      </c>
      <c r="AB19">
        <v>0</v>
      </c>
      <c r="AC19">
        <v>80000</v>
      </c>
      <c r="AD19">
        <v>64000</v>
      </c>
      <c r="AG19">
        <v>4</v>
      </c>
      <c r="AH19">
        <v>9</v>
      </c>
      <c r="AI19">
        <v>0</v>
      </c>
      <c r="AJ19">
        <v>0</v>
      </c>
      <c r="AK19">
        <v>2</v>
      </c>
      <c r="AL19">
        <v>0</v>
      </c>
      <c r="AM19" t="s">
        <v>149</v>
      </c>
      <c r="AN19">
        <v>701</v>
      </c>
      <c r="AO19">
        <v>328</v>
      </c>
      <c r="AP19">
        <v>1619</v>
      </c>
      <c r="AQ19">
        <v>1619</v>
      </c>
      <c r="AS19">
        <v>2</v>
      </c>
      <c r="AT19">
        <v>97</v>
      </c>
      <c r="AU19" t="s">
        <v>59</v>
      </c>
      <c r="AV19">
        <v>20</v>
      </c>
      <c r="AW19" t="s">
        <v>53</v>
      </c>
      <c r="AX19">
        <v>22</v>
      </c>
      <c r="AY19">
        <f t="shared" si="0"/>
        <v>13</v>
      </c>
      <c r="AZ19">
        <v>125</v>
      </c>
      <c r="BA19" t="str">
        <f t="shared" si="1"/>
        <v>(Dike-town)</v>
      </c>
      <c r="BB19">
        <f t="shared" si="2"/>
        <v>2</v>
      </c>
      <c r="BC19">
        <f t="shared" si="3"/>
        <v>0</v>
      </c>
    </row>
    <row r="20" spans="1:55" x14ac:dyDescent="0.3">
      <c r="A20">
        <v>1409</v>
      </c>
      <c r="B20" s="2">
        <v>45937.597615740742</v>
      </c>
      <c r="C20">
        <v>90000</v>
      </c>
      <c r="D20">
        <v>50000</v>
      </c>
      <c r="E20">
        <v>0</v>
      </c>
      <c r="F20">
        <v>8000</v>
      </c>
      <c r="G20">
        <v>0</v>
      </c>
      <c r="H20">
        <v>0</v>
      </c>
      <c r="I20">
        <v>20000</v>
      </c>
      <c r="J20">
        <v>0</v>
      </c>
      <c r="K20">
        <v>6000</v>
      </c>
      <c r="L20">
        <v>0</v>
      </c>
      <c r="M20">
        <v>0</v>
      </c>
      <c r="N20">
        <v>16500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13</v>
      </c>
      <c r="W20">
        <v>5</v>
      </c>
      <c r="X20">
        <v>130000</v>
      </c>
      <c r="Y20">
        <v>80000</v>
      </c>
      <c r="Z20">
        <v>64000</v>
      </c>
      <c r="AA20">
        <v>0</v>
      </c>
      <c r="AB20">
        <v>0</v>
      </c>
      <c r="AC20">
        <v>80000</v>
      </c>
      <c r="AD20">
        <v>56000</v>
      </c>
      <c r="AG20">
        <v>4</v>
      </c>
      <c r="AH20">
        <v>9</v>
      </c>
      <c r="AI20">
        <v>-2</v>
      </c>
      <c r="AJ20">
        <v>-1</v>
      </c>
      <c r="AK20">
        <v>2</v>
      </c>
      <c r="AL20">
        <v>0</v>
      </c>
      <c r="AM20" t="s">
        <v>149</v>
      </c>
      <c r="AN20">
        <v>701</v>
      </c>
      <c r="AO20">
        <v>332</v>
      </c>
      <c r="AP20">
        <v>1619</v>
      </c>
      <c r="AQ20">
        <v>1619</v>
      </c>
      <c r="AS20">
        <v>3</v>
      </c>
      <c r="AT20">
        <v>97</v>
      </c>
      <c r="AU20" t="s">
        <v>59</v>
      </c>
      <c r="AV20">
        <v>20</v>
      </c>
      <c r="AW20" t="s">
        <v>53</v>
      </c>
      <c r="AX20">
        <v>22</v>
      </c>
      <c r="AY20">
        <f t="shared" si="0"/>
        <v>13</v>
      </c>
      <c r="AZ20">
        <v>125</v>
      </c>
      <c r="BA20" t="str">
        <f t="shared" si="1"/>
        <v>(Dike-town)</v>
      </c>
      <c r="BB20">
        <f t="shared" si="2"/>
        <v>2</v>
      </c>
      <c r="BC20">
        <f t="shared" si="3"/>
        <v>0</v>
      </c>
    </row>
    <row r="21" spans="1:55" x14ac:dyDescent="0.3">
      <c r="A21">
        <v>1430</v>
      </c>
      <c r="B21" s="2">
        <v>45937.597615740742</v>
      </c>
      <c r="C21">
        <v>90000</v>
      </c>
      <c r="D21">
        <v>50000</v>
      </c>
      <c r="E21">
        <v>0</v>
      </c>
      <c r="F21">
        <v>8000</v>
      </c>
      <c r="G21">
        <v>0</v>
      </c>
      <c r="H21">
        <v>0</v>
      </c>
      <c r="I21">
        <v>20000</v>
      </c>
      <c r="J21">
        <v>0</v>
      </c>
      <c r="K21">
        <v>6100</v>
      </c>
      <c r="L21">
        <v>0</v>
      </c>
      <c r="M21">
        <v>4000</v>
      </c>
      <c r="N21">
        <v>18400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13</v>
      </c>
      <c r="W21">
        <v>5</v>
      </c>
      <c r="X21">
        <v>130000</v>
      </c>
      <c r="Y21">
        <v>80000</v>
      </c>
      <c r="Z21">
        <v>56000</v>
      </c>
      <c r="AA21">
        <v>0</v>
      </c>
      <c r="AB21">
        <v>0</v>
      </c>
      <c r="AC21">
        <v>80000</v>
      </c>
      <c r="AD21">
        <v>48000</v>
      </c>
      <c r="AG21">
        <v>4</v>
      </c>
      <c r="AH21">
        <v>9</v>
      </c>
      <c r="AI21">
        <v>-2</v>
      </c>
      <c r="AJ21">
        <v>-1</v>
      </c>
      <c r="AK21">
        <v>3</v>
      </c>
      <c r="AL21">
        <v>1</v>
      </c>
      <c r="AM21" t="s">
        <v>149</v>
      </c>
      <c r="AN21">
        <v>701</v>
      </c>
      <c r="AO21">
        <v>336</v>
      </c>
      <c r="AP21">
        <v>1619</v>
      </c>
      <c r="AQ21">
        <v>1619</v>
      </c>
      <c r="AS21">
        <v>4</v>
      </c>
      <c r="AT21">
        <v>97</v>
      </c>
      <c r="AU21" t="s">
        <v>59</v>
      </c>
      <c r="AV21">
        <v>20</v>
      </c>
      <c r="AW21" t="s">
        <v>53</v>
      </c>
      <c r="AX21">
        <v>22</v>
      </c>
      <c r="AY21">
        <f t="shared" si="0"/>
        <v>13</v>
      </c>
      <c r="AZ21">
        <v>125</v>
      </c>
      <c r="BA21" t="str">
        <f t="shared" si="1"/>
        <v/>
      </c>
      <c r="BB21">
        <f t="shared" si="2"/>
        <v>4</v>
      </c>
      <c r="BC21">
        <f t="shared" si="3"/>
        <v>4000</v>
      </c>
    </row>
    <row r="22" spans="1:55" x14ac:dyDescent="0.3">
      <c r="A22">
        <v>1361</v>
      </c>
      <c r="B22" s="2">
        <v>45937.59783564815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76</v>
      </c>
      <c r="AN22">
        <v>702</v>
      </c>
      <c r="AO22">
        <v>318</v>
      </c>
      <c r="AS22">
        <v>0</v>
      </c>
      <c r="AT22">
        <v>97</v>
      </c>
      <c r="AU22" t="s">
        <v>59</v>
      </c>
      <c r="AV22">
        <v>20</v>
      </c>
      <c r="AW22" t="s">
        <v>53</v>
      </c>
      <c r="AX22">
        <v>22</v>
      </c>
      <c r="AY22">
        <f t="shared" si="0"/>
        <v>0</v>
      </c>
      <c r="AZ22">
        <v>127</v>
      </c>
      <c r="BA22" t="str">
        <f t="shared" si="1"/>
        <v>(U-village)</v>
      </c>
      <c r="BB22">
        <f t="shared" si="2"/>
        <v>0</v>
      </c>
      <c r="BC22">
        <f t="shared" si="3"/>
        <v>0</v>
      </c>
    </row>
    <row r="23" spans="1:55" x14ac:dyDescent="0.3">
      <c r="A23">
        <v>1364</v>
      </c>
      <c r="B23" s="2">
        <v>45937.59783564815</v>
      </c>
      <c r="C23">
        <v>130000</v>
      </c>
      <c r="D23">
        <v>75000</v>
      </c>
      <c r="E23">
        <v>0</v>
      </c>
      <c r="F23">
        <v>12500</v>
      </c>
      <c r="G23">
        <v>0</v>
      </c>
      <c r="H23">
        <v>0</v>
      </c>
      <c r="I23">
        <v>20000</v>
      </c>
      <c r="J23">
        <v>22000</v>
      </c>
      <c r="K23">
        <v>8750</v>
      </c>
      <c r="L23">
        <v>4000</v>
      </c>
      <c r="M23">
        <v>0</v>
      </c>
      <c r="N23">
        <v>37750</v>
      </c>
      <c r="O23">
        <v>0</v>
      </c>
      <c r="P23">
        <v>-3</v>
      </c>
      <c r="Q23">
        <v>3</v>
      </c>
      <c r="R23">
        <v>2</v>
      </c>
      <c r="S23">
        <v>2</v>
      </c>
      <c r="T23">
        <v>0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125000</v>
      </c>
      <c r="AC23">
        <v>125000</v>
      </c>
      <c r="AD23">
        <v>112500</v>
      </c>
      <c r="AG23">
        <v>6</v>
      </c>
      <c r="AH23">
        <v>6</v>
      </c>
      <c r="AI23">
        <v>0</v>
      </c>
      <c r="AJ23">
        <v>0</v>
      </c>
      <c r="AK23">
        <v>4</v>
      </c>
      <c r="AL23">
        <v>2</v>
      </c>
      <c r="AM23" t="s">
        <v>149</v>
      </c>
      <c r="AN23">
        <v>702</v>
      </c>
      <c r="AO23">
        <v>325</v>
      </c>
      <c r="AQ23">
        <v>1622</v>
      </c>
      <c r="AS23">
        <v>1</v>
      </c>
      <c r="AT23">
        <v>97</v>
      </c>
      <c r="AU23" t="s">
        <v>59</v>
      </c>
      <c r="AV23">
        <v>20</v>
      </c>
      <c r="AW23" t="s">
        <v>53</v>
      </c>
      <c r="AX23">
        <v>22</v>
      </c>
      <c r="AY23">
        <f t="shared" si="0"/>
        <v>12</v>
      </c>
      <c r="AZ23">
        <v>127</v>
      </c>
      <c r="BA23" t="str">
        <f t="shared" si="1"/>
        <v>(U-village)</v>
      </c>
      <c r="BB23">
        <f t="shared" si="2"/>
        <v>6</v>
      </c>
      <c r="BC23">
        <f t="shared" si="3"/>
        <v>4000</v>
      </c>
    </row>
    <row r="24" spans="1:55" x14ac:dyDescent="0.3">
      <c r="A24">
        <v>1384</v>
      </c>
      <c r="B24" s="2">
        <v>45937.59783564815</v>
      </c>
      <c r="C24">
        <v>130000</v>
      </c>
      <c r="D24">
        <v>75000</v>
      </c>
      <c r="E24">
        <v>0</v>
      </c>
      <c r="F24">
        <v>12500</v>
      </c>
      <c r="G24">
        <v>0</v>
      </c>
      <c r="H24">
        <v>0</v>
      </c>
      <c r="I24">
        <v>20000</v>
      </c>
      <c r="J24">
        <v>10000</v>
      </c>
      <c r="K24">
        <v>15250</v>
      </c>
      <c r="L24">
        <v>0</v>
      </c>
      <c r="M24">
        <v>0</v>
      </c>
      <c r="N24">
        <v>35000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8</v>
      </c>
      <c r="W24">
        <v>7</v>
      </c>
      <c r="X24">
        <v>200000</v>
      </c>
      <c r="Y24">
        <v>125000</v>
      </c>
      <c r="Z24">
        <v>112500</v>
      </c>
      <c r="AA24">
        <v>0</v>
      </c>
      <c r="AB24">
        <v>0</v>
      </c>
      <c r="AC24">
        <v>125000</v>
      </c>
      <c r="AD24">
        <v>100000</v>
      </c>
      <c r="AG24">
        <v>6</v>
      </c>
      <c r="AH24">
        <v>6</v>
      </c>
      <c r="AI24">
        <v>0</v>
      </c>
      <c r="AJ24">
        <v>0</v>
      </c>
      <c r="AK24">
        <v>5</v>
      </c>
      <c r="AL24">
        <v>3</v>
      </c>
      <c r="AM24" t="s">
        <v>149</v>
      </c>
      <c r="AN24">
        <v>702</v>
      </c>
      <c r="AO24">
        <v>328</v>
      </c>
      <c r="AP24">
        <v>1622</v>
      </c>
      <c r="AQ24">
        <v>1622</v>
      </c>
      <c r="AS24">
        <v>2</v>
      </c>
      <c r="AT24">
        <v>97</v>
      </c>
      <c r="AU24" t="s">
        <v>59</v>
      </c>
      <c r="AV24">
        <v>20</v>
      </c>
      <c r="AW24" t="s">
        <v>53</v>
      </c>
      <c r="AX24">
        <v>22</v>
      </c>
      <c r="AY24">
        <f t="shared" si="0"/>
        <v>12</v>
      </c>
      <c r="AZ24">
        <v>127</v>
      </c>
      <c r="BA24" t="str">
        <f t="shared" si="1"/>
        <v>(U-village)</v>
      </c>
      <c r="BB24">
        <f t="shared" si="2"/>
        <v>8</v>
      </c>
      <c r="BC24">
        <f t="shared" si="3"/>
        <v>0</v>
      </c>
    </row>
    <row r="25" spans="1:55" x14ac:dyDescent="0.3">
      <c r="A25">
        <v>1408</v>
      </c>
      <c r="B25" s="2">
        <v>45937.59783564815</v>
      </c>
      <c r="C25">
        <v>130000</v>
      </c>
      <c r="D25">
        <v>75000</v>
      </c>
      <c r="E25">
        <v>0</v>
      </c>
      <c r="F25">
        <v>12500</v>
      </c>
      <c r="G25">
        <v>0</v>
      </c>
      <c r="H25">
        <v>0</v>
      </c>
      <c r="I25">
        <v>20000</v>
      </c>
      <c r="J25">
        <v>0</v>
      </c>
      <c r="K25">
        <v>18375</v>
      </c>
      <c r="L25">
        <v>0</v>
      </c>
      <c r="M25">
        <v>0</v>
      </c>
      <c r="N25">
        <v>39125</v>
      </c>
      <c r="O25">
        <v>0</v>
      </c>
      <c r="P25">
        <v>0</v>
      </c>
      <c r="Q25">
        <v>0</v>
      </c>
      <c r="R25">
        <v>4</v>
      </c>
      <c r="S25">
        <v>1</v>
      </c>
      <c r="T25">
        <v>0</v>
      </c>
      <c r="U25">
        <v>0</v>
      </c>
      <c r="V25">
        <v>11</v>
      </c>
      <c r="W25">
        <v>7</v>
      </c>
      <c r="X25">
        <v>200000</v>
      </c>
      <c r="Y25">
        <v>125000</v>
      </c>
      <c r="Z25">
        <v>100000</v>
      </c>
      <c r="AA25">
        <v>0</v>
      </c>
      <c r="AB25">
        <v>0</v>
      </c>
      <c r="AC25">
        <v>125000</v>
      </c>
      <c r="AD25">
        <v>87500</v>
      </c>
      <c r="AG25">
        <v>6</v>
      </c>
      <c r="AH25">
        <v>6</v>
      </c>
      <c r="AI25">
        <v>-2</v>
      </c>
      <c r="AJ25">
        <v>-1</v>
      </c>
      <c r="AK25">
        <v>5</v>
      </c>
      <c r="AL25">
        <v>3</v>
      </c>
      <c r="AM25" t="s">
        <v>149</v>
      </c>
      <c r="AN25">
        <v>702</v>
      </c>
      <c r="AO25">
        <v>332</v>
      </c>
      <c r="AP25">
        <v>1622</v>
      </c>
      <c r="AQ25">
        <v>1622</v>
      </c>
      <c r="AS25">
        <v>3</v>
      </c>
      <c r="AT25">
        <v>97</v>
      </c>
      <c r="AU25" t="s">
        <v>59</v>
      </c>
      <c r="AV25">
        <v>20</v>
      </c>
      <c r="AW25" t="s">
        <v>53</v>
      </c>
      <c r="AX25">
        <v>22</v>
      </c>
      <c r="AY25">
        <f t="shared" si="0"/>
        <v>12</v>
      </c>
      <c r="AZ25">
        <v>127</v>
      </c>
      <c r="BA25" t="str">
        <f t="shared" si="1"/>
        <v>(U-village)</v>
      </c>
      <c r="BB25">
        <f t="shared" si="2"/>
        <v>8</v>
      </c>
      <c r="BC25">
        <f t="shared" si="3"/>
        <v>0</v>
      </c>
    </row>
    <row r="26" spans="1:55" x14ac:dyDescent="0.3">
      <c r="A26">
        <v>1431</v>
      </c>
      <c r="B26" s="2">
        <v>45937.59783564815</v>
      </c>
      <c r="C26">
        <v>130000</v>
      </c>
      <c r="D26">
        <v>75000</v>
      </c>
      <c r="E26">
        <v>0</v>
      </c>
      <c r="F26">
        <v>12500</v>
      </c>
      <c r="G26">
        <v>0</v>
      </c>
      <c r="H26">
        <v>0</v>
      </c>
      <c r="I26">
        <v>20000</v>
      </c>
      <c r="J26">
        <v>0</v>
      </c>
      <c r="K26">
        <v>18375</v>
      </c>
      <c r="L26">
        <v>0</v>
      </c>
      <c r="M26">
        <v>0</v>
      </c>
      <c r="N26">
        <v>43250</v>
      </c>
      <c r="O26">
        <v>0</v>
      </c>
      <c r="P26">
        <v>0</v>
      </c>
      <c r="Q26">
        <v>0</v>
      </c>
      <c r="R26">
        <v>4</v>
      </c>
      <c r="S26">
        <v>1</v>
      </c>
      <c r="T26">
        <v>0</v>
      </c>
      <c r="U26">
        <v>0</v>
      </c>
      <c r="V26">
        <v>14</v>
      </c>
      <c r="W26">
        <v>7</v>
      </c>
      <c r="X26">
        <v>200000</v>
      </c>
      <c r="Y26">
        <v>125000</v>
      </c>
      <c r="Z26">
        <v>87500</v>
      </c>
      <c r="AA26">
        <v>0</v>
      </c>
      <c r="AB26">
        <v>0</v>
      </c>
      <c r="AC26">
        <v>125000</v>
      </c>
      <c r="AD26">
        <v>75000</v>
      </c>
      <c r="AG26">
        <v>6</v>
      </c>
      <c r="AH26">
        <v>6</v>
      </c>
      <c r="AI26">
        <v>-2</v>
      </c>
      <c r="AJ26">
        <v>-1</v>
      </c>
      <c r="AK26">
        <v>5</v>
      </c>
      <c r="AL26">
        <v>3</v>
      </c>
      <c r="AM26" t="s">
        <v>149</v>
      </c>
      <c r="AN26">
        <v>702</v>
      </c>
      <c r="AO26">
        <v>336</v>
      </c>
      <c r="AP26">
        <v>1622</v>
      </c>
      <c r="AQ26">
        <v>1622</v>
      </c>
      <c r="AS26">
        <v>4</v>
      </c>
      <c r="AT26">
        <v>97</v>
      </c>
      <c r="AU26" t="s">
        <v>59</v>
      </c>
      <c r="AV26">
        <v>20</v>
      </c>
      <c r="AW26" t="s">
        <v>53</v>
      </c>
      <c r="AX26">
        <v>22</v>
      </c>
      <c r="AY26">
        <f t="shared" si="0"/>
        <v>12</v>
      </c>
      <c r="AZ26">
        <v>127</v>
      </c>
      <c r="BA26" t="str">
        <f t="shared" si="1"/>
        <v/>
      </c>
      <c r="BB26">
        <f t="shared" si="2"/>
        <v>8</v>
      </c>
      <c r="BC26">
        <f t="shared" si="3"/>
        <v>0</v>
      </c>
    </row>
    <row r="27" spans="1:55" x14ac:dyDescent="0.3">
      <c r="A27">
        <v>1359</v>
      </c>
      <c r="B27" s="2">
        <v>45937.597418981481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76</v>
      </c>
      <c r="AN27">
        <v>703</v>
      </c>
      <c r="AO27">
        <v>318</v>
      </c>
      <c r="AS27">
        <v>0</v>
      </c>
      <c r="AT27">
        <v>97</v>
      </c>
      <c r="AU27" t="s">
        <v>59</v>
      </c>
      <c r="AV27">
        <v>20</v>
      </c>
      <c r="AW27" t="s">
        <v>53</v>
      </c>
      <c r="AX27">
        <v>22</v>
      </c>
      <c r="AY27">
        <f t="shared" si="0"/>
        <v>0</v>
      </c>
      <c r="AZ27">
        <v>128</v>
      </c>
      <c r="BA27" t="str">
        <f t="shared" si="1"/>
        <v>(Natu-city)</v>
      </c>
      <c r="BB27">
        <f t="shared" si="2"/>
        <v>0</v>
      </c>
      <c r="BC27">
        <f t="shared" si="3"/>
        <v>0</v>
      </c>
    </row>
    <row r="28" spans="1:55" x14ac:dyDescent="0.3">
      <c r="A28">
        <v>1367</v>
      </c>
      <c r="B28" s="2">
        <v>45937.597418981481</v>
      </c>
      <c r="C28">
        <v>190000</v>
      </c>
      <c r="D28">
        <v>115000</v>
      </c>
      <c r="E28">
        <v>0</v>
      </c>
      <c r="F28">
        <v>20000</v>
      </c>
      <c r="G28">
        <v>0</v>
      </c>
      <c r="H28">
        <v>0</v>
      </c>
      <c r="I28">
        <v>15000</v>
      </c>
      <c r="J28">
        <v>10000</v>
      </c>
      <c r="K28">
        <v>24500</v>
      </c>
      <c r="L28">
        <v>0</v>
      </c>
      <c r="M28">
        <v>0</v>
      </c>
      <c r="N28">
        <v>85500</v>
      </c>
      <c r="O28">
        <v>0</v>
      </c>
      <c r="P28">
        <v>-2</v>
      </c>
      <c r="Q28">
        <v>0</v>
      </c>
      <c r="R28">
        <v>4</v>
      </c>
      <c r="S28">
        <v>0</v>
      </c>
      <c r="T28">
        <v>0</v>
      </c>
      <c r="U28">
        <v>0</v>
      </c>
      <c r="V28">
        <v>7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200000</v>
      </c>
      <c r="AC28">
        <v>200000</v>
      </c>
      <c r="AD28">
        <v>180000</v>
      </c>
      <c r="AG28">
        <v>6</v>
      </c>
      <c r="AH28">
        <v>9</v>
      </c>
      <c r="AI28">
        <v>0</v>
      </c>
      <c r="AJ28">
        <v>0</v>
      </c>
      <c r="AK28">
        <v>1</v>
      </c>
      <c r="AL28">
        <v>1</v>
      </c>
      <c r="AM28" t="s">
        <v>149</v>
      </c>
      <c r="AN28">
        <v>703</v>
      </c>
      <c r="AO28">
        <v>325</v>
      </c>
      <c r="AQ28">
        <v>1612</v>
      </c>
      <c r="AS28">
        <v>1</v>
      </c>
      <c r="AT28">
        <v>97</v>
      </c>
      <c r="AU28" t="s">
        <v>59</v>
      </c>
      <c r="AV28">
        <v>20</v>
      </c>
      <c r="AW28" t="s">
        <v>53</v>
      </c>
      <c r="AX28">
        <v>22</v>
      </c>
      <c r="AY28">
        <f t="shared" si="0"/>
        <v>15</v>
      </c>
      <c r="AZ28">
        <v>128</v>
      </c>
      <c r="BA28" t="str">
        <f t="shared" si="1"/>
        <v>(Natu-city)</v>
      </c>
      <c r="BB28">
        <f t="shared" si="2"/>
        <v>2</v>
      </c>
      <c r="BC28">
        <f t="shared" si="3"/>
        <v>0</v>
      </c>
    </row>
    <row r="29" spans="1:55" x14ac:dyDescent="0.3">
      <c r="A29">
        <v>1386</v>
      </c>
      <c r="B29" s="2">
        <v>45937.597418981481</v>
      </c>
      <c r="C29">
        <v>190000</v>
      </c>
      <c r="D29">
        <v>115000</v>
      </c>
      <c r="E29">
        <v>0</v>
      </c>
      <c r="F29">
        <v>20000</v>
      </c>
      <c r="G29">
        <v>0</v>
      </c>
      <c r="H29">
        <v>0</v>
      </c>
      <c r="I29">
        <v>15000</v>
      </c>
      <c r="J29">
        <v>22000</v>
      </c>
      <c r="K29">
        <v>24500</v>
      </c>
      <c r="L29">
        <v>0</v>
      </c>
      <c r="M29">
        <v>0</v>
      </c>
      <c r="N29">
        <v>79000</v>
      </c>
      <c r="O29">
        <v>0</v>
      </c>
      <c r="P29">
        <v>0</v>
      </c>
      <c r="Q29">
        <v>3</v>
      </c>
      <c r="R29">
        <v>4</v>
      </c>
      <c r="S29">
        <v>0</v>
      </c>
      <c r="T29">
        <v>0</v>
      </c>
      <c r="U29">
        <v>0</v>
      </c>
      <c r="V29">
        <v>14</v>
      </c>
      <c r="W29">
        <v>8</v>
      </c>
      <c r="X29">
        <v>300000</v>
      </c>
      <c r="Y29">
        <v>200000</v>
      </c>
      <c r="Z29">
        <v>180000</v>
      </c>
      <c r="AA29">
        <v>0</v>
      </c>
      <c r="AB29">
        <v>0</v>
      </c>
      <c r="AC29">
        <v>200000</v>
      </c>
      <c r="AD29">
        <v>160000</v>
      </c>
      <c r="AG29">
        <v>6</v>
      </c>
      <c r="AH29">
        <v>9</v>
      </c>
      <c r="AI29">
        <v>0</v>
      </c>
      <c r="AJ29">
        <v>0</v>
      </c>
      <c r="AK29">
        <v>4</v>
      </c>
      <c r="AL29">
        <v>2</v>
      </c>
      <c r="AM29" t="s">
        <v>149</v>
      </c>
      <c r="AN29">
        <v>703</v>
      </c>
      <c r="AO29">
        <v>328</v>
      </c>
      <c r="AP29">
        <v>1612</v>
      </c>
      <c r="AQ29">
        <v>1612</v>
      </c>
      <c r="AS29">
        <v>2</v>
      </c>
      <c r="AT29">
        <v>97</v>
      </c>
      <c r="AU29" t="s">
        <v>59</v>
      </c>
      <c r="AV29">
        <v>20</v>
      </c>
      <c r="AW29" t="s">
        <v>53</v>
      </c>
      <c r="AX29">
        <v>22</v>
      </c>
      <c r="AY29">
        <f t="shared" si="0"/>
        <v>15</v>
      </c>
      <c r="AZ29">
        <v>128</v>
      </c>
      <c r="BA29" t="str">
        <f t="shared" si="1"/>
        <v>(Natu-city)</v>
      </c>
      <c r="BB29">
        <f t="shared" si="2"/>
        <v>6</v>
      </c>
      <c r="BC29">
        <f t="shared" si="3"/>
        <v>0</v>
      </c>
    </row>
    <row r="30" spans="1:55" x14ac:dyDescent="0.3">
      <c r="A30">
        <v>1410</v>
      </c>
      <c r="B30" s="2">
        <v>45937.597418981481</v>
      </c>
      <c r="C30">
        <v>190000</v>
      </c>
      <c r="D30">
        <v>115000</v>
      </c>
      <c r="E30">
        <v>0</v>
      </c>
      <c r="F30">
        <v>20000</v>
      </c>
      <c r="G30">
        <v>0</v>
      </c>
      <c r="H30">
        <v>0</v>
      </c>
      <c r="I30">
        <v>15000</v>
      </c>
      <c r="J30">
        <v>0</v>
      </c>
      <c r="K30">
        <v>24500</v>
      </c>
      <c r="L30">
        <v>0</v>
      </c>
      <c r="M30">
        <v>0</v>
      </c>
      <c r="N30">
        <v>94500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18</v>
      </c>
      <c r="W30">
        <v>8</v>
      </c>
      <c r="X30">
        <v>300000</v>
      </c>
      <c r="Y30">
        <v>200000</v>
      </c>
      <c r="Z30">
        <v>160000</v>
      </c>
      <c r="AA30">
        <v>0</v>
      </c>
      <c r="AB30">
        <v>0</v>
      </c>
      <c r="AC30">
        <v>200000</v>
      </c>
      <c r="AD30">
        <v>140000</v>
      </c>
      <c r="AG30">
        <v>6</v>
      </c>
      <c r="AH30">
        <v>9</v>
      </c>
      <c r="AI30">
        <v>-2</v>
      </c>
      <c r="AJ30">
        <v>-1</v>
      </c>
      <c r="AK30">
        <v>4</v>
      </c>
      <c r="AL30">
        <v>2</v>
      </c>
      <c r="AM30" t="s">
        <v>149</v>
      </c>
      <c r="AN30">
        <v>703</v>
      </c>
      <c r="AO30">
        <v>332</v>
      </c>
      <c r="AP30">
        <v>1612</v>
      </c>
      <c r="AQ30">
        <v>1612</v>
      </c>
      <c r="AS30">
        <v>3</v>
      </c>
      <c r="AT30">
        <v>97</v>
      </c>
      <c r="AU30" t="s">
        <v>59</v>
      </c>
      <c r="AV30">
        <v>20</v>
      </c>
      <c r="AW30" t="s">
        <v>53</v>
      </c>
      <c r="AX30">
        <v>22</v>
      </c>
      <c r="AY30">
        <f t="shared" si="0"/>
        <v>15</v>
      </c>
      <c r="AZ30">
        <v>128</v>
      </c>
      <c r="BA30" t="str">
        <f t="shared" si="1"/>
        <v>(Natu-city)</v>
      </c>
      <c r="BB30">
        <f t="shared" si="2"/>
        <v>6</v>
      </c>
      <c r="BC30">
        <f t="shared" si="3"/>
        <v>0</v>
      </c>
    </row>
    <row r="31" spans="1:55" x14ac:dyDescent="0.3">
      <c r="A31">
        <v>1433</v>
      </c>
      <c r="B31" s="2">
        <v>45937.597418981481</v>
      </c>
      <c r="C31">
        <v>190000</v>
      </c>
      <c r="D31">
        <v>115000</v>
      </c>
      <c r="E31">
        <v>0</v>
      </c>
      <c r="F31">
        <v>30000</v>
      </c>
      <c r="G31">
        <v>60000</v>
      </c>
      <c r="H31">
        <v>125000</v>
      </c>
      <c r="I31">
        <v>20000</v>
      </c>
      <c r="J31">
        <v>14000</v>
      </c>
      <c r="K31">
        <v>31875</v>
      </c>
      <c r="L31">
        <v>0</v>
      </c>
      <c r="M31">
        <v>0</v>
      </c>
      <c r="N31">
        <v>8625</v>
      </c>
      <c r="O31">
        <v>1</v>
      </c>
      <c r="P31">
        <v>1</v>
      </c>
      <c r="Q31">
        <v>2</v>
      </c>
      <c r="R31">
        <v>3</v>
      </c>
      <c r="S31">
        <v>0</v>
      </c>
      <c r="T31">
        <v>0</v>
      </c>
      <c r="U31">
        <v>0</v>
      </c>
      <c r="V31">
        <v>25</v>
      </c>
      <c r="W31">
        <v>8</v>
      </c>
      <c r="X31">
        <v>300000</v>
      </c>
      <c r="Y31">
        <v>200000</v>
      </c>
      <c r="Z31">
        <v>140000</v>
      </c>
      <c r="AA31">
        <v>200000</v>
      </c>
      <c r="AB31">
        <v>425000</v>
      </c>
      <c r="AC31">
        <v>300000</v>
      </c>
      <c r="AD31">
        <v>270000</v>
      </c>
      <c r="AE31">
        <v>33</v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s">
        <v>150</v>
      </c>
      <c r="AN31">
        <v>703</v>
      </c>
      <c r="AO31">
        <v>336</v>
      </c>
      <c r="AP31">
        <v>1612</v>
      </c>
      <c r="AQ31">
        <v>1650</v>
      </c>
      <c r="AS31">
        <v>4</v>
      </c>
      <c r="AT31">
        <v>97</v>
      </c>
      <c r="AU31" t="s">
        <v>59</v>
      </c>
      <c r="AV31">
        <v>20</v>
      </c>
      <c r="AW31" t="s">
        <v>53</v>
      </c>
      <c r="AX31">
        <v>22</v>
      </c>
      <c r="AY31">
        <f t="shared" si="0"/>
        <v>15</v>
      </c>
      <c r="AZ31">
        <v>128</v>
      </c>
      <c r="BA31" t="str">
        <f t="shared" si="1"/>
        <v/>
      </c>
      <c r="BB31">
        <f t="shared" si="2"/>
        <v>6</v>
      </c>
      <c r="BC31">
        <f t="shared" si="3"/>
        <v>0</v>
      </c>
    </row>
    <row r="32" spans="1:55" x14ac:dyDescent="0.3">
      <c r="A32">
        <v>1323</v>
      </c>
      <c r="B32" s="2">
        <v>45937.57849537037</v>
      </c>
      <c r="C32">
        <v>75000</v>
      </c>
      <c r="D32">
        <v>40000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4</v>
      </c>
      <c r="X32">
        <v>110000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76</v>
      </c>
      <c r="AN32">
        <v>706</v>
      </c>
      <c r="AO32">
        <v>321</v>
      </c>
      <c r="AS32">
        <v>0</v>
      </c>
      <c r="AT32">
        <v>98</v>
      </c>
      <c r="AU32" t="s">
        <v>61</v>
      </c>
      <c r="AV32">
        <v>20</v>
      </c>
      <c r="AW32" t="s">
        <v>53</v>
      </c>
      <c r="AX32">
        <v>22</v>
      </c>
      <c r="AY32">
        <f t="shared" si="0"/>
        <v>0</v>
      </c>
      <c r="AZ32">
        <v>124</v>
      </c>
      <c r="BA32" t="str">
        <f t="shared" si="1"/>
        <v>(Dike-town)</v>
      </c>
      <c r="BB32">
        <f t="shared" si="2"/>
        <v>0</v>
      </c>
      <c r="BC32">
        <f t="shared" si="3"/>
        <v>0</v>
      </c>
    </row>
    <row r="33" spans="1:55" x14ac:dyDescent="0.3">
      <c r="A33">
        <v>1352</v>
      </c>
      <c r="B33" s="2">
        <v>45937.57849537037</v>
      </c>
      <c r="C33">
        <v>75000</v>
      </c>
      <c r="D33">
        <v>40000</v>
      </c>
      <c r="E33">
        <v>0</v>
      </c>
      <c r="F33">
        <v>8000</v>
      </c>
      <c r="G33">
        <v>0</v>
      </c>
      <c r="H33">
        <v>0</v>
      </c>
      <c r="I33">
        <v>15000</v>
      </c>
      <c r="J33">
        <v>8000</v>
      </c>
      <c r="K33">
        <v>1600</v>
      </c>
      <c r="L33">
        <v>0</v>
      </c>
      <c r="M33">
        <v>0</v>
      </c>
      <c r="N33">
        <v>7400</v>
      </c>
      <c r="O33">
        <v>0</v>
      </c>
      <c r="P33">
        <v>-2</v>
      </c>
      <c r="Q33">
        <v>1</v>
      </c>
      <c r="R33">
        <v>0</v>
      </c>
      <c r="S33">
        <v>0</v>
      </c>
      <c r="T33">
        <v>0</v>
      </c>
      <c r="U33">
        <v>0</v>
      </c>
      <c r="V33">
        <v>4</v>
      </c>
      <c r="W33">
        <v>4</v>
      </c>
      <c r="X33">
        <v>110000</v>
      </c>
      <c r="Y33">
        <v>0</v>
      </c>
      <c r="Z33">
        <v>0</v>
      </c>
      <c r="AA33">
        <v>0</v>
      </c>
      <c r="AB33">
        <v>80000</v>
      </c>
      <c r="AC33">
        <v>80000</v>
      </c>
      <c r="AD33">
        <v>72000</v>
      </c>
      <c r="AG33">
        <v>4</v>
      </c>
      <c r="AH33">
        <v>9</v>
      </c>
      <c r="AI33">
        <v>0</v>
      </c>
      <c r="AJ33">
        <v>0</v>
      </c>
      <c r="AK33">
        <v>2</v>
      </c>
      <c r="AL33">
        <v>2</v>
      </c>
      <c r="AM33" t="s">
        <v>149</v>
      </c>
      <c r="AN33">
        <v>706</v>
      </c>
      <c r="AO33">
        <v>324</v>
      </c>
      <c r="AQ33">
        <v>1604</v>
      </c>
      <c r="AS33">
        <v>1</v>
      </c>
      <c r="AT33">
        <v>98</v>
      </c>
      <c r="AU33" t="s">
        <v>61</v>
      </c>
      <c r="AV33">
        <v>20</v>
      </c>
      <c r="AW33" t="s">
        <v>53</v>
      </c>
      <c r="AX33">
        <v>22</v>
      </c>
      <c r="AY33">
        <f t="shared" si="0"/>
        <v>13</v>
      </c>
      <c r="AZ33">
        <v>124</v>
      </c>
      <c r="BA33" t="str">
        <f t="shared" si="1"/>
        <v>(Dike-town)</v>
      </c>
      <c r="BB33">
        <f t="shared" si="2"/>
        <v>4</v>
      </c>
      <c r="BC33">
        <f t="shared" si="3"/>
        <v>0</v>
      </c>
    </row>
    <row r="34" spans="1:55" x14ac:dyDescent="0.3">
      <c r="A34">
        <v>1392</v>
      </c>
      <c r="B34" s="2">
        <v>45937.57849537037</v>
      </c>
      <c r="C34">
        <v>75000</v>
      </c>
      <c r="D34">
        <v>40000</v>
      </c>
      <c r="E34">
        <v>0</v>
      </c>
      <c r="F34">
        <v>8000</v>
      </c>
      <c r="G34">
        <v>0</v>
      </c>
      <c r="H34">
        <v>0</v>
      </c>
      <c r="I34">
        <v>15000</v>
      </c>
      <c r="J34">
        <v>14000</v>
      </c>
      <c r="K34">
        <v>1600</v>
      </c>
      <c r="L34">
        <v>0</v>
      </c>
      <c r="M34">
        <v>4000</v>
      </c>
      <c r="N34">
        <v>-200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0</v>
      </c>
      <c r="V34">
        <v>5</v>
      </c>
      <c r="W34">
        <v>4</v>
      </c>
      <c r="X34">
        <v>110000</v>
      </c>
      <c r="Y34">
        <v>80000</v>
      </c>
      <c r="Z34">
        <v>72000</v>
      </c>
      <c r="AA34">
        <v>0</v>
      </c>
      <c r="AB34">
        <v>0</v>
      </c>
      <c r="AC34">
        <v>80000</v>
      </c>
      <c r="AD34">
        <v>64000</v>
      </c>
      <c r="AG34">
        <v>4</v>
      </c>
      <c r="AH34">
        <v>9</v>
      </c>
      <c r="AI34">
        <v>0</v>
      </c>
      <c r="AJ34">
        <v>0</v>
      </c>
      <c r="AK34">
        <v>4</v>
      </c>
      <c r="AL34">
        <v>2</v>
      </c>
      <c r="AM34" t="s">
        <v>149</v>
      </c>
      <c r="AN34">
        <v>706</v>
      </c>
      <c r="AO34">
        <v>329</v>
      </c>
      <c r="AP34">
        <v>1604</v>
      </c>
      <c r="AQ34">
        <v>1604</v>
      </c>
      <c r="AS34">
        <v>2</v>
      </c>
      <c r="AT34">
        <v>98</v>
      </c>
      <c r="AU34" t="s">
        <v>61</v>
      </c>
      <c r="AV34">
        <v>20</v>
      </c>
      <c r="AW34" t="s">
        <v>53</v>
      </c>
      <c r="AX34">
        <v>22</v>
      </c>
      <c r="AY34">
        <f t="shared" si="0"/>
        <v>13</v>
      </c>
      <c r="AZ34">
        <v>124</v>
      </c>
      <c r="BA34" t="str">
        <f t="shared" si="1"/>
        <v>(Dike-town)</v>
      </c>
      <c r="BB34">
        <f t="shared" si="2"/>
        <v>6</v>
      </c>
      <c r="BC34">
        <f t="shared" si="3"/>
        <v>4000</v>
      </c>
    </row>
    <row r="35" spans="1:55" x14ac:dyDescent="0.3">
      <c r="A35">
        <v>1420</v>
      </c>
      <c r="B35" s="2">
        <v>45937.57849537037</v>
      </c>
      <c r="C35">
        <v>75000</v>
      </c>
      <c r="D35">
        <v>40000</v>
      </c>
      <c r="E35">
        <v>200</v>
      </c>
      <c r="F35">
        <v>8000</v>
      </c>
      <c r="G35">
        <v>0</v>
      </c>
      <c r="H35">
        <v>0</v>
      </c>
      <c r="I35">
        <v>15000</v>
      </c>
      <c r="J35">
        <v>10000</v>
      </c>
      <c r="K35">
        <v>1600</v>
      </c>
      <c r="L35">
        <v>0</v>
      </c>
      <c r="M35">
        <v>0</v>
      </c>
      <c r="N35">
        <v>200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4</v>
      </c>
      <c r="W35">
        <v>4</v>
      </c>
      <c r="X35">
        <v>110000</v>
      </c>
      <c r="Y35">
        <v>80000</v>
      </c>
      <c r="Z35">
        <v>64000</v>
      </c>
      <c r="AA35">
        <v>0</v>
      </c>
      <c r="AB35">
        <v>0</v>
      </c>
      <c r="AC35">
        <v>80000</v>
      </c>
      <c r="AD35">
        <v>56000</v>
      </c>
      <c r="AG35">
        <v>4</v>
      </c>
      <c r="AH35">
        <v>9</v>
      </c>
      <c r="AI35">
        <v>-2</v>
      </c>
      <c r="AJ35">
        <v>-1</v>
      </c>
      <c r="AK35">
        <v>5</v>
      </c>
      <c r="AL35">
        <v>3</v>
      </c>
      <c r="AM35" t="s">
        <v>149</v>
      </c>
      <c r="AN35">
        <v>706</v>
      </c>
      <c r="AO35">
        <v>334</v>
      </c>
      <c r="AP35">
        <v>1604</v>
      </c>
      <c r="AQ35">
        <v>1604</v>
      </c>
      <c r="AS35">
        <v>3</v>
      </c>
      <c r="AT35">
        <v>98</v>
      </c>
      <c r="AU35" t="s">
        <v>61</v>
      </c>
      <c r="AV35">
        <v>20</v>
      </c>
      <c r="AW35" t="s">
        <v>53</v>
      </c>
      <c r="AX35">
        <v>22</v>
      </c>
      <c r="AY35">
        <f t="shared" si="0"/>
        <v>13</v>
      </c>
      <c r="AZ35">
        <v>124</v>
      </c>
      <c r="BA35" t="str">
        <f t="shared" si="1"/>
        <v>(Dike-town)</v>
      </c>
      <c r="BB35">
        <f t="shared" si="2"/>
        <v>8</v>
      </c>
      <c r="BC35">
        <f t="shared" si="3"/>
        <v>0</v>
      </c>
    </row>
    <row r="36" spans="1:55" x14ac:dyDescent="0.3">
      <c r="A36">
        <v>1440</v>
      </c>
      <c r="B36" s="2">
        <v>45937.57849537037</v>
      </c>
      <c r="C36">
        <v>75000</v>
      </c>
      <c r="D36">
        <v>40000</v>
      </c>
      <c r="E36">
        <v>0</v>
      </c>
      <c r="F36">
        <v>8000</v>
      </c>
      <c r="G36">
        <v>0</v>
      </c>
      <c r="H36">
        <v>0</v>
      </c>
      <c r="I36">
        <v>20000</v>
      </c>
      <c r="J36">
        <v>1000</v>
      </c>
      <c r="K36">
        <v>6000</v>
      </c>
      <c r="L36">
        <v>0</v>
      </c>
      <c r="M36">
        <v>0</v>
      </c>
      <c r="N36">
        <v>200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0</v>
      </c>
      <c r="V36">
        <v>7</v>
      </c>
      <c r="W36">
        <v>4</v>
      </c>
      <c r="X36">
        <v>110000</v>
      </c>
      <c r="Y36">
        <v>80000</v>
      </c>
      <c r="Z36">
        <v>56000</v>
      </c>
      <c r="AA36">
        <v>0</v>
      </c>
      <c r="AB36">
        <v>0</v>
      </c>
      <c r="AC36">
        <v>80000</v>
      </c>
      <c r="AD36">
        <v>48000</v>
      </c>
      <c r="AG36">
        <v>4</v>
      </c>
      <c r="AH36">
        <v>9</v>
      </c>
      <c r="AI36">
        <v>-2</v>
      </c>
      <c r="AJ36">
        <v>-1</v>
      </c>
      <c r="AK36">
        <v>4</v>
      </c>
      <c r="AL36">
        <v>3</v>
      </c>
      <c r="AM36" t="s">
        <v>149</v>
      </c>
      <c r="AN36">
        <v>706</v>
      </c>
      <c r="AO36">
        <v>337</v>
      </c>
      <c r="AP36">
        <v>1604</v>
      </c>
      <c r="AQ36">
        <v>1604</v>
      </c>
      <c r="AS36">
        <v>4</v>
      </c>
      <c r="AT36">
        <v>98</v>
      </c>
      <c r="AU36" t="s">
        <v>61</v>
      </c>
      <c r="AV36">
        <v>20</v>
      </c>
      <c r="AW36" t="s">
        <v>53</v>
      </c>
      <c r="AX36">
        <v>22</v>
      </c>
      <c r="AY36">
        <f t="shared" si="0"/>
        <v>13</v>
      </c>
      <c r="AZ36">
        <v>124</v>
      </c>
      <c r="BA36" t="str">
        <f t="shared" si="1"/>
        <v/>
      </c>
      <c r="BB36">
        <f t="shared" si="2"/>
        <v>7</v>
      </c>
      <c r="BC36">
        <f t="shared" si="3"/>
        <v>0</v>
      </c>
    </row>
    <row r="37" spans="1:55" x14ac:dyDescent="0.3">
      <c r="A37">
        <v>1333</v>
      </c>
      <c r="B37" s="2">
        <v>45937.582592592589</v>
      </c>
      <c r="C37">
        <v>110000</v>
      </c>
      <c r="D37">
        <v>60000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6</v>
      </c>
      <c r="X37">
        <v>170000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76</v>
      </c>
      <c r="AN37">
        <v>707</v>
      </c>
      <c r="AO37">
        <v>321</v>
      </c>
      <c r="AS37">
        <v>0</v>
      </c>
      <c r="AT37">
        <v>98</v>
      </c>
      <c r="AU37" t="s">
        <v>61</v>
      </c>
      <c r="AV37">
        <v>20</v>
      </c>
      <c r="AW37" t="s">
        <v>53</v>
      </c>
      <c r="AX37">
        <v>22</v>
      </c>
      <c r="AY37">
        <f t="shared" si="0"/>
        <v>0</v>
      </c>
      <c r="AZ37">
        <v>126</v>
      </c>
      <c r="BA37" t="str">
        <f t="shared" si="1"/>
        <v>(Natu-city)</v>
      </c>
      <c r="BB37">
        <f t="shared" si="2"/>
        <v>0</v>
      </c>
      <c r="BC37">
        <f t="shared" si="3"/>
        <v>0</v>
      </c>
    </row>
    <row r="38" spans="1:55" x14ac:dyDescent="0.3">
      <c r="A38">
        <v>1355</v>
      </c>
      <c r="B38" s="2">
        <v>45937.582592592589</v>
      </c>
      <c r="C38">
        <v>110000</v>
      </c>
      <c r="D38">
        <v>60000</v>
      </c>
      <c r="E38">
        <v>0</v>
      </c>
      <c r="F38">
        <v>17000</v>
      </c>
      <c r="G38">
        <v>0</v>
      </c>
      <c r="H38">
        <v>30000</v>
      </c>
      <c r="I38">
        <v>20000</v>
      </c>
      <c r="J38">
        <v>7000</v>
      </c>
      <c r="K38">
        <v>0</v>
      </c>
      <c r="L38">
        <v>0</v>
      </c>
      <c r="M38">
        <v>0</v>
      </c>
      <c r="N38">
        <v>6000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6</v>
      </c>
      <c r="W38">
        <v>6</v>
      </c>
      <c r="X38">
        <v>170000</v>
      </c>
      <c r="Y38">
        <v>0</v>
      </c>
      <c r="Z38">
        <v>0</v>
      </c>
      <c r="AA38">
        <v>0</v>
      </c>
      <c r="AB38">
        <v>200000</v>
      </c>
      <c r="AC38">
        <v>170000</v>
      </c>
      <c r="AD38">
        <v>153000</v>
      </c>
      <c r="AG38">
        <v>6</v>
      </c>
      <c r="AH38">
        <v>9</v>
      </c>
      <c r="AI38">
        <v>0</v>
      </c>
      <c r="AJ38">
        <v>0</v>
      </c>
      <c r="AK38">
        <v>1</v>
      </c>
      <c r="AL38">
        <v>1</v>
      </c>
      <c r="AM38" t="s">
        <v>149</v>
      </c>
      <c r="AN38">
        <v>707</v>
      </c>
      <c r="AO38">
        <v>324</v>
      </c>
      <c r="AQ38">
        <v>1596</v>
      </c>
      <c r="AS38">
        <v>1</v>
      </c>
      <c r="AT38">
        <v>98</v>
      </c>
      <c r="AU38" t="s">
        <v>61</v>
      </c>
      <c r="AV38">
        <v>20</v>
      </c>
      <c r="AW38" t="s">
        <v>53</v>
      </c>
      <c r="AX38">
        <v>22</v>
      </c>
      <c r="AY38">
        <f t="shared" si="0"/>
        <v>15</v>
      </c>
      <c r="AZ38">
        <v>126</v>
      </c>
      <c r="BA38" t="str">
        <f t="shared" si="1"/>
        <v>(Natu-city)</v>
      </c>
      <c r="BB38">
        <f t="shared" si="2"/>
        <v>2</v>
      </c>
      <c r="BC38">
        <f t="shared" si="3"/>
        <v>0</v>
      </c>
    </row>
    <row r="39" spans="1:55" x14ac:dyDescent="0.3">
      <c r="A39">
        <v>1389</v>
      </c>
      <c r="B39" s="2">
        <v>45937.582592592589</v>
      </c>
      <c r="C39">
        <v>110000</v>
      </c>
      <c r="D39">
        <v>60000</v>
      </c>
      <c r="E39">
        <v>0</v>
      </c>
      <c r="F39">
        <v>17000</v>
      </c>
      <c r="G39">
        <v>0</v>
      </c>
      <c r="H39">
        <v>0</v>
      </c>
      <c r="I39">
        <v>20000</v>
      </c>
      <c r="J39">
        <v>8000</v>
      </c>
      <c r="K39">
        <v>0</v>
      </c>
      <c r="L39">
        <v>0</v>
      </c>
      <c r="M39">
        <v>4000</v>
      </c>
      <c r="N39">
        <v>7000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6</v>
      </c>
      <c r="W39">
        <v>6</v>
      </c>
      <c r="X39">
        <v>170000</v>
      </c>
      <c r="Y39">
        <v>170000</v>
      </c>
      <c r="Z39">
        <v>153000</v>
      </c>
      <c r="AA39">
        <v>0</v>
      </c>
      <c r="AB39">
        <v>0</v>
      </c>
      <c r="AC39">
        <v>170000</v>
      </c>
      <c r="AD39">
        <v>136000</v>
      </c>
      <c r="AG39">
        <v>6</v>
      </c>
      <c r="AH39">
        <v>9</v>
      </c>
      <c r="AI39">
        <v>0</v>
      </c>
      <c r="AJ39">
        <v>0</v>
      </c>
      <c r="AK39">
        <v>2</v>
      </c>
      <c r="AL39">
        <v>2</v>
      </c>
      <c r="AM39" t="s">
        <v>149</v>
      </c>
      <c r="AN39">
        <v>707</v>
      </c>
      <c r="AO39">
        <v>329</v>
      </c>
      <c r="AP39">
        <v>1596</v>
      </c>
      <c r="AQ39">
        <v>1596</v>
      </c>
      <c r="AS39">
        <v>2</v>
      </c>
      <c r="AT39">
        <v>98</v>
      </c>
      <c r="AU39" t="s">
        <v>61</v>
      </c>
      <c r="AV39">
        <v>20</v>
      </c>
      <c r="AW39" t="s">
        <v>53</v>
      </c>
      <c r="AX39">
        <v>22</v>
      </c>
      <c r="AY39">
        <f t="shared" si="0"/>
        <v>15</v>
      </c>
      <c r="AZ39">
        <v>126</v>
      </c>
      <c r="BA39" t="str">
        <f t="shared" si="1"/>
        <v>(Natu-city)</v>
      </c>
      <c r="BB39">
        <f t="shared" si="2"/>
        <v>4</v>
      </c>
      <c r="BC39">
        <f t="shared" si="3"/>
        <v>4000</v>
      </c>
    </row>
    <row r="40" spans="1:55" x14ac:dyDescent="0.3">
      <c r="A40">
        <v>1422</v>
      </c>
      <c r="B40" s="2">
        <v>45937.582592592589</v>
      </c>
      <c r="C40">
        <v>110000</v>
      </c>
      <c r="D40">
        <v>60000</v>
      </c>
      <c r="E40">
        <v>0</v>
      </c>
      <c r="F40">
        <v>17000</v>
      </c>
      <c r="G40">
        <v>0</v>
      </c>
      <c r="H40">
        <v>0</v>
      </c>
      <c r="I40">
        <v>20000</v>
      </c>
      <c r="J40">
        <v>18000</v>
      </c>
      <c r="K40">
        <v>0</v>
      </c>
      <c r="L40">
        <v>0</v>
      </c>
      <c r="M40">
        <v>0</v>
      </c>
      <c r="N40">
        <v>2000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7</v>
      </c>
      <c r="W40">
        <v>6</v>
      </c>
      <c r="X40">
        <v>170000</v>
      </c>
      <c r="Y40">
        <v>170000</v>
      </c>
      <c r="Z40">
        <v>136000</v>
      </c>
      <c r="AA40">
        <v>0</v>
      </c>
      <c r="AB40">
        <v>0</v>
      </c>
      <c r="AC40">
        <v>170000</v>
      </c>
      <c r="AD40">
        <v>119000</v>
      </c>
      <c r="AG40">
        <v>6</v>
      </c>
      <c r="AH40">
        <v>9</v>
      </c>
      <c r="AI40">
        <v>-2</v>
      </c>
      <c r="AJ40">
        <v>-1</v>
      </c>
      <c r="AK40">
        <v>4</v>
      </c>
      <c r="AL40">
        <v>3</v>
      </c>
      <c r="AM40" t="s">
        <v>149</v>
      </c>
      <c r="AN40">
        <v>707</v>
      </c>
      <c r="AO40">
        <v>334</v>
      </c>
      <c r="AP40">
        <v>1596</v>
      </c>
      <c r="AQ40">
        <v>1596</v>
      </c>
      <c r="AS40">
        <v>3</v>
      </c>
      <c r="AT40">
        <v>98</v>
      </c>
      <c r="AU40" t="s">
        <v>61</v>
      </c>
      <c r="AV40">
        <v>20</v>
      </c>
      <c r="AW40" t="s">
        <v>53</v>
      </c>
      <c r="AX40">
        <v>22</v>
      </c>
      <c r="AY40">
        <f t="shared" si="0"/>
        <v>15</v>
      </c>
      <c r="AZ40">
        <v>126</v>
      </c>
      <c r="BA40" t="str">
        <f t="shared" si="1"/>
        <v>(Natu-city)</v>
      </c>
      <c r="BB40">
        <f t="shared" si="2"/>
        <v>7</v>
      </c>
      <c r="BC40">
        <f t="shared" si="3"/>
        <v>0</v>
      </c>
    </row>
    <row r="41" spans="1:55" x14ac:dyDescent="0.3">
      <c r="A41">
        <v>1437</v>
      </c>
      <c r="B41" s="2">
        <v>45937.582592592589</v>
      </c>
      <c r="C41">
        <v>110000</v>
      </c>
      <c r="D41">
        <v>60000</v>
      </c>
      <c r="E41">
        <v>0</v>
      </c>
      <c r="F41">
        <v>17000</v>
      </c>
      <c r="G41">
        <v>0</v>
      </c>
      <c r="H41">
        <v>0</v>
      </c>
      <c r="I41">
        <v>20000</v>
      </c>
      <c r="J41">
        <v>0</v>
      </c>
      <c r="K41">
        <v>15000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12</v>
      </c>
      <c r="W41">
        <v>6</v>
      </c>
      <c r="X41">
        <v>170000</v>
      </c>
      <c r="Y41">
        <v>170000</v>
      </c>
      <c r="Z41">
        <v>119000</v>
      </c>
      <c r="AA41">
        <v>0</v>
      </c>
      <c r="AB41">
        <v>0</v>
      </c>
      <c r="AC41">
        <v>170000</v>
      </c>
      <c r="AD41">
        <v>102000</v>
      </c>
      <c r="AG41">
        <v>6</v>
      </c>
      <c r="AH41">
        <v>9</v>
      </c>
      <c r="AI41">
        <v>-2</v>
      </c>
      <c r="AJ41">
        <v>-1</v>
      </c>
      <c r="AK41">
        <v>4</v>
      </c>
      <c r="AL41">
        <v>3</v>
      </c>
      <c r="AM41" t="s">
        <v>149</v>
      </c>
      <c r="AN41">
        <v>707</v>
      </c>
      <c r="AO41">
        <v>337</v>
      </c>
      <c r="AP41">
        <v>1596</v>
      </c>
      <c r="AQ41">
        <v>1596</v>
      </c>
      <c r="AS41">
        <v>4</v>
      </c>
      <c r="AT41">
        <v>98</v>
      </c>
      <c r="AU41" t="s">
        <v>61</v>
      </c>
      <c r="AV41">
        <v>20</v>
      </c>
      <c r="AW41" t="s">
        <v>53</v>
      </c>
      <c r="AX41">
        <v>22</v>
      </c>
      <c r="AY41">
        <f t="shared" si="0"/>
        <v>15</v>
      </c>
      <c r="AZ41">
        <v>126</v>
      </c>
      <c r="BA41" t="str">
        <f t="shared" si="1"/>
        <v/>
      </c>
      <c r="BB41">
        <f t="shared" si="2"/>
        <v>7</v>
      </c>
      <c r="BC41">
        <f t="shared" si="3"/>
        <v>0</v>
      </c>
    </row>
    <row r="42" spans="1:55" x14ac:dyDescent="0.3">
      <c r="A42">
        <v>1334</v>
      </c>
      <c r="B42" s="2">
        <v>45937.582824074067</v>
      </c>
      <c r="C42">
        <v>60000</v>
      </c>
      <c r="D42">
        <v>30000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3</v>
      </c>
      <c r="X42">
        <v>80000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76</v>
      </c>
      <c r="AN42">
        <v>708</v>
      </c>
      <c r="AO42">
        <v>321</v>
      </c>
      <c r="AS42">
        <v>0</v>
      </c>
      <c r="AT42">
        <v>98</v>
      </c>
      <c r="AU42" t="s">
        <v>61</v>
      </c>
      <c r="AV42">
        <v>20</v>
      </c>
      <c r="AW42" t="s">
        <v>53</v>
      </c>
      <c r="AX42">
        <v>22</v>
      </c>
      <c r="AY42">
        <f t="shared" si="0"/>
        <v>0</v>
      </c>
      <c r="AZ42">
        <v>123</v>
      </c>
      <c r="BA42" t="str">
        <f t="shared" si="1"/>
        <v>(U-village)</v>
      </c>
      <c r="BB42">
        <f t="shared" si="2"/>
        <v>0</v>
      </c>
      <c r="BC42">
        <f t="shared" si="3"/>
        <v>0</v>
      </c>
    </row>
    <row r="43" spans="1:55" x14ac:dyDescent="0.3">
      <c r="A43">
        <v>1356</v>
      </c>
      <c r="B43" s="2">
        <v>45937.582824074067</v>
      </c>
      <c r="C43">
        <v>60000</v>
      </c>
      <c r="D43">
        <v>30000</v>
      </c>
      <c r="E43">
        <v>0</v>
      </c>
      <c r="F43">
        <v>7000</v>
      </c>
      <c r="G43">
        <v>0</v>
      </c>
      <c r="H43">
        <v>0</v>
      </c>
      <c r="I43">
        <v>20000</v>
      </c>
      <c r="J43">
        <v>0</v>
      </c>
      <c r="K43">
        <v>1750</v>
      </c>
      <c r="L43">
        <v>0</v>
      </c>
      <c r="M43">
        <v>0</v>
      </c>
      <c r="N43">
        <v>1250</v>
      </c>
      <c r="O43">
        <v>0</v>
      </c>
      <c r="P43">
        <v>-1</v>
      </c>
      <c r="Q43">
        <v>0</v>
      </c>
      <c r="R43">
        <v>1</v>
      </c>
      <c r="S43">
        <v>0</v>
      </c>
      <c r="T43">
        <v>0</v>
      </c>
      <c r="U43">
        <v>0</v>
      </c>
      <c r="V43">
        <v>5</v>
      </c>
      <c r="W43">
        <v>3</v>
      </c>
      <c r="X43">
        <v>80000</v>
      </c>
      <c r="Y43">
        <v>0</v>
      </c>
      <c r="Z43">
        <v>0</v>
      </c>
      <c r="AA43">
        <v>0</v>
      </c>
      <c r="AB43">
        <v>70000</v>
      </c>
      <c r="AC43">
        <v>70000</v>
      </c>
      <c r="AD43">
        <v>63000</v>
      </c>
      <c r="AG43">
        <v>6</v>
      </c>
      <c r="AH43">
        <v>6</v>
      </c>
      <c r="AI43">
        <v>0</v>
      </c>
      <c r="AJ43">
        <v>0</v>
      </c>
      <c r="AK43">
        <v>0</v>
      </c>
      <c r="AL43">
        <v>0</v>
      </c>
      <c r="AM43" t="s">
        <v>149</v>
      </c>
      <c r="AN43">
        <v>708</v>
      </c>
      <c r="AO43">
        <v>324</v>
      </c>
      <c r="AQ43">
        <v>1608</v>
      </c>
      <c r="AS43">
        <v>1</v>
      </c>
      <c r="AT43">
        <v>98</v>
      </c>
      <c r="AU43" t="s">
        <v>61</v>
      </c>
      <c r="AV43">
        <v>20</v>
      </c>
      <c r="AW43" t="s">
        <v>53</v>
      </c>
      <c r="AX43">
        <v>22</v>
      </c>
      <c r="AY43">
        <f t="shared" si="0"/>
        <v>12</v>
      </c>
      <c r="AZ43">
        <v>123</v>
      </c>
      <c r="BA43" t="str">
        <f t="shared" si="1"/>
        <v>(U-village)</v>
      </c>
      <c r="BB43">
        <f t="shared" si="2"/>
        <v>0</v>
      </c>
      <c r="BC43">
        <f t="shared" si="3"/>
        <v>0</v>
      </c>
    </row>
    <row r="44" spans="1:55" x14ac:dyDescent="0.3">
      <c r="A44">
        <v>1391</v>
      </c>
      <c r="B44" s="2">
        <v>45937.582824074067</v>
      </c>
      <c r="C44">
        <v>60000</v>
      </c>
      <c r="D44">
        <v>30000</v>
      </c>
      <c r="E44">
        <v>0</v>
      </c>
      <c r="F44">
        <v>7000</v>
      </c>
      <c r="G44">
        <v>0</v>
      </c>
      <c r="H44">
        <v>0</v>
      </c>
      <c r="I44">
        <v>20000</v>
      </c>
      <c r="J44">
        <v>0</v>
      </c>
      <c r="K44">
        <v>3500</v>
      </c>
      <c r="L44">
        <v>12000</v>
      </c>
      <c r="M44">
        <v>4000</v>
      </c>
      <c r="N44">
        <v>-15250</v>
      </c>
      <c r="O44">
        <v>0</v>
      </c>
      <c r="P44">
        <v>0</v>
      </c>
      <c r="Q44">
        <v>0</v>
      </c>
      <c r="R44">
        <v>2</v>
      </c>
      <c r="S44">
        <v>4</v>
      </c>
      <c r="T44">
        <v>1</v>
      </c>
      <c r="U44">
        <v>0</v>
      </c>
      <c r="V44">
        <v>2</v>
      </c>
      <c r="W44">
        <v>3</v>
      </c>
      <c r="X44">
        <v>80000</v>
      </c>
      <c r="Y44">
        <v>70000</v>
      </c>
      <c r="Z44">
        <v>63000</v>
      </c>
      <c r="AA44">
        <v>0</v>
      </c>
      <c r="AB44">
        <v>0</v>
      </c>
      <c r="AC44">
        <v>70000</v>
      </c>
      <c r="AD44">
        <v>56000</v>
      </c>
      <c r="AG44">
        <v>6</v>
      </c>
      <c r="AH44">
        <v>6</v>
      </c>
      <c r="AI44">
        <v>0</v>
      </c>
      <c r="AJ44">
        <v>0</v>
      </c>
      <c r="AK44">
        <v>0</v>
      </c>
      <c r="AL44">
        <v>0</v>
      </c>
      <c r="AM44" t="s">
        <v>149</v>
      </c>
      <c r="AN44">
        <v>708</v>
      </c>
      <c r="AO44">
        <v>329</v>
      </c>
      <c r="AP44">
        <v>1608</v>
      </c>
      <c r="AQ44">
        <v>1608</v>
      </c>
      <c r="AS44">
        <v>2</v>
      </c>
      <c r="AT44">
        <v>98</v>
      </c>
      <c r="AU44" t="s">
        <v>61</v>
      </c>
      <c r="AV44">
        <v>20</v>
      </c>
      <c r="AW44" t="s">
        <v>53</v>
      </c>
      <c r="AX44">
        <v>22</v>
      </c>
      <c r="AY44">
        <f t="shared" si="0"/>
        <v>12</v>
      </c>
      <c r="AZ44">
        <v>123</v>
      </c>
      <c r="BA44" t="str">
        <f t="shared" si="1"/>
        <v>(U-village)</v>
      </c>
      <c r="BB44">
        <f t="shared" si="2"/>
        <v>0</v>
      </c>
      <c r="BC44">
        <f t="shared" si="3"/>
        <v>16000</v>
      </c>
    </row>
    <row r="45" spans="1:55" x14ac:dyDescent="0.3">
      <c r="A45">
        <v>1419</v>
      </c>
      <c r="B45" s="2">
        <v>45937.582824074067</v>
      </c>
      <c r="C45">
        <v>60000</v>
      </c>
      <c r="D45">
        <v>30000</v>
      </c>
      <c r="E45">
        <v>15250</v>
      </c>
      <c r="F45">
        <v>7000</v>
      </c>
      <c r="G45">
        <v>0</v>
      </c>
      <c r="H45">
        <v>0</v>
      </c>
      <c r="I45">
        <v>20000</v>
      </c>
      <c r="J45">
        <v>0</v>
      </c>
      <c r="K45">
        <v>0</v>
      </c>
      <c r="L45">
        <v>0</v>
      </c>
      <c r="M45">
        <v>4000</v>
      </c>
      <c r="N45">
        <v>-16250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3</v>
      </c>
      <c r="X45">
        <v>80000</v>
      </c>
      <c r="Y45">
        <v>70000</v>
      </c>
      <c r="Z45">
        <v>56000</v>
      </c>
      <c r="AA45">
        <v>0</v>
      </c>
      <c r="AB45">
        <v>0</v>
      </c>
      <c r="AC45">
        <v>70000</v>
      </c>
      <c r="AD45">
        <v>49000</v>
      </c>
      <c r="AG45">
        <v>6</v>
      </c>
      <c r="AH45">
        <v>6</v>
      </c>
      <c r="AI45">
        <v>-2</v>
      </c>
      <c r="AJ45">
        <v>-1</v>
      </c>
      <c r="AK45">
        <v>0</v>
      </c>
      <c r="AL45">
        <v>0</v>
      </c>
      <c r="AM45" t="s">
        <v>149</v>
      </c>
      <c r="AN45">
        <v>708</v>
      </c>
      <c r="AO45">
        <v>334</v>
      </c>
      <c r="AP45">
        <v>1608</v>
      </c>
      <c r="AQ45">
        <v>1608</v>
      </c>
      <c r="AS45">
        <v>3</v>
      </c>
      <c r="AT45">
        <v>98</v>
      </c>
      <c r="AU45" t="s">
        <v>61</v>
      </c>
      <c r="AV45">
        <v>20</v>
      </c>
      <c r="AW45" t="s">
        <v>53</v>
      </c>
      <c r="AX45">
        <v>22</v>
      </c>
      <c r="AY45">
        <f t="shared" si="0"/>
        <v>12</v>
      </c>
      <c r="AZ45">
        <v>123</v>
      </c>
      <c r="BA45" t="str">
        <f t="shared" si="1"/>
        <v>(U-village)</v>
      </c>
      <c r="BB45">
        <f t="shared" si="2"/>
        <v>0</v>
      </c>
      <c r="BC45">
        <f t="shared" si="3"/>
        <v>4000</v>
      </c>
    </row>
    <row r="46" spans="1:55" x14ac:dyDescent="0.3">
      <c r="A46">
        <v>1436</v>
      </c>
      <c r="B46" s="2">
        <v>45937.582824074067</v>
      </c>
      <c r="C46">
        <v>60000</v>
      </c>
      <c r="D46">
        <v>30000</v>
      </c>
      <c r="E46">
        <v>16250</v>
      </c>
      <c r="F46">
        <v>7000</v>
      </c>
      <c r="G46">
        <v>0</v>
      </c>
      <c r="H46">
        <v>0</v>
      </c>
      <c r="I46">
        <v>20000</v>
      </c>
      <c r="J46">
        <v>0</v>
      </c>
      <c r="K46">
        <v>0</v>
      </c>
      <c r="L46">
        <v>0</v>
      </c>
      <c r="M46">
        <v>4000</v>
      </c>
      <c r="N46">
        <v>-17250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-2</v>
      </c>
      <c r="W46">
        <v>3</v>
      </c>
      <c r="X46">
        <v>80000</v>
      </c>
      <c r="Y46">
        <v>70000</v>
      </c>
      <c r="Z46">
        <v>49000</v>
      </c>
      <c r="AA46">
        <v>0</v>
      </c>
      <c r="AB46">
        <v>0</v>
      </c>
      <c r="AC46">
        <v>70000</v>
      </c>
      <c r="AD46">
        <v>42000</v>
      </c>
      <c r="AG46">
        <v>6</v>
      </c>
      <c r="AH46">
        <v>6</v>
      </c>
      <c r="AI46">
        <v>-2</v>
      </c>
      <c r="AJ46">
        <v>-1</v>
      </c>
      <c r="AK46">
        <v>0</v>
      </c>
      <c r="AL46">
        <v>0</v>
      </c>
      <c r="AM46" t="s">
        <v>149</v>
      </c>
      <c r="AN46">
        <v>708</v>
      </c>
      <c r="AO46">
        <v>337</v>
      </c>
      <c r="AP46">
        <v>1608</v>
      </c>
      <c r="AQ46">
        <v>1608</v>
      </c>
      <c r="AS46">
        <v>4</v>
      </c>
      <c r="AT46">
        <v>98</v>
      </c>
      <c r="AU46" t="s">
        <v>61</v>
      </c>
      <c r="AV46">
        <v>20</v>
      </c>
      <c r="AW46" t="s">
        <v>53</v>
      </c>
      <c r="AX46">
        <v>22</v>
      </c>
      <c r="AY46">
        <f t="shared" si="0"/>
        <v>12</v>
      </c>
      <c r="AZ46">
        <v>123</v>
      </c>
      <c r="BA46" t="str">
        <f t="shared" si="1"/>
        <v/>
      </c>
      <c r="BB46">
        <f t="shared" si="2"/>
        <v>0</v>
      </c>
      <c r="BC46">
        <f t="shared" si="3"/>
        <v>4000</v>
      </c>
    </row>
    <row r="47" spans="1:55" x14ac:dyDescent="0.3">
      <c r="A47">
        <v>1336</v>
      </c>
      <c r="B47" s="2">
        <v>45937.595081018517</v>
      </c>
      <c r="C47">
        <v>90000</v>
      </c>
      <c r="D47">
        <v>50000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15000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5</v>
      </c>
      <c r="X47">
        <v>130000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76</v>
      </c>
      <c r="AN47">
        <v>709</v>
      </c>
      <c r="AO47">
        <v>321</v>
      </c>
      <c r="AS47">
        <v>0</v>
      </c>
      <c r="AT47">
        <v>98</v>
      </c>
      <c r="AU47" t="s">
        <v>61</v>
      </c>
      <c r="AV47">
        <v>20</v>
      </c>
      <c r="AW47" t="s">
        <v>53</v>
      </c>
      <c r="AX47">
        <v>22</v>
      </c>
      <c r="AY47">
        <f t="shared" si="0"/>
        <v>0</v>
      </c>
      <c r="AZ47">
        <v>125</v>
      </c>
      <c r="BA47" t="str">
        <f t="shared" si="1"/>
        <v>(Dike-town)</v>
      </c>
      <c r="BB47">
        <f t="shared" si="2"/>
        <v>0</v>
      </c>
      <c r="BC47">
        <f t="shared" si="3"/>
        <v>0</v>
      </c>
    </row>
    <row r="48" spans="1:55" x14ac:dyDescent="0.3">
      <c r="A48">
        <v>1351</v>
      </c>
      <c r="B48" s="2">
        <v>45937.595081018517</v>
      </c>
      <c r="C48">
        <v>90000</v>
      </c>
      <c r="D48">
        <v>50000</v>
      </c>
      <c r="E48">
        <v>0</v>
      </c>
      <c r="F48">
        <v>13000</v>
      </c>
      <c r="G48">
        <v>0</v>
      </c>
      <c r="H48">
        <v>30000</v>
      </c>
      <c r="I48">
        <v>15000</v>
      </c>
      <c r="J48">
        <v>0</v>
      </c>
      <c r="K48">
        <v>0</v>
      </c>
      <c r="L48">
        <v>0</v>
      </c>
      <c r="M48">
        <v>0</v>
      </c>
      <c r="N48">
        <v>-3000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5</v>
      </c>
      <c r="X48">
        <v>130000</v>
      </c>
      <c r="Y48">
        <v>0</v>
      </c>
      <c r="Z48">
        <v>0</v>
      </c>
      <c r="AA48">
        <v>0</v>
      </c>
      <c r="AB48">
        <v>160000</v>
      </c>
      <c r="AC48">
        <v>130000</v>
      </c>
      <c r="AD48">
        <v>117000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s">
        <v>149</v>
      </c>
      <c r="AN48">
        <v>709</v>
      </c>
      <c r="AO48">
        <v>324</v>
      </c>
      <c r="AQ48">
        <v>1602</v>
      </c>
      <c r="AS48">
        <v>1</v>
      </c>
      <c r="AT48">
        <v>98</v>
      </c>
      <c r="AU48" t="s">
        <v>61</v>
      </c>
      <c r="AV48">
        <v>20</v>
      </c>
      <c r="AW48" t="s">
        <v>53</v>
      </c>
      <c r="AX48">
        <v>22</v>
      </c>
      <c r="AY48">
        <f t="shared" si="0"/>
        <v>13</v>
      </c>
      <c r="AZ48">
        <v>125</v>
      </c>
      <c r="BA48" t="str">
        <f t="shared" si="1"/>
        <v>(Dike-town)</v>
      </c>
      <c r="BB48">
        <f t="shared" si="2"/>
        <v>0</v>
      </c>
      <c r="BC48">
        <f t="shared" si="3"/>
        <v>0</v>
      </c>
    </row>
    <row r="49" spans="1:55" x14ac:dyDescent="0.3">
      <c r="A49">
        <v>1390</v>
      </c>
      <c r="B49" s="2">
        <v>45937.595081018517</v>
      </c>
      <c r="C49">
        <v>90000</v>
      </c>
      <c r="D49">
        <v>50000</v>
      </c>
      <c r="E49">
        <v>3000</v>
      </c>
      <c r="F49">
        <v>13000</v>
      </c>
      <c r="G49">
        <v>0</v>
      </c>
      <c r="H49">
        <v>0</v>
      </c>
      <c r="I49">
        <v>15000</v>
      </c>
      <c r="J49">
        <v>0</v>
      </c>
      <c r="K49">
        <v>7700</v>
      </c>
      <c r="L49">
        <v>0</v>
      </c>
      <c r="M49">
        <v>4000</v>
      </c>
      <c r="N49">
        <v>-2700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4</v>
      </c>
      <c r="W49">
        <v>5</v>
      </c>
      <c r="X49">
        <v>130000</v>
      </c>
      <c r="Y49">
        <v>130000</v>
      </c>
      <c r="Z49">
        <v>117000</v>
      </c>
      <c r="AA49">
        <v>0</v>
      </c>
      <c r="AB49">
        <v>0</v>
      </c>
      <c r="AC49">
        <v>130000</v>
      </c>
      <c r="AD49">
        <v>104000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s">
        <v>149</v>
      </c>
      <c r="AN49">
        <v>709</v>
      </c>
      <c r="AO49">
        <v>329</v>
      </c>
      <c r="AP49">
        <v>1602</v>
      </c>
      <c r="AQ49">
        <v>1602</v>
      </c>
      <c r="AS49">
        <v>2</v>
      </c>
      <c r="AT49">
        <v>98</v>
      </c>
      <c r="AU49" t="s">
        <v>61</v>
      </c>
      <c r="AV49">
        <v>20</v>
      </c>
      <c r="AW49" t="s">
        <v>53</v>
      </c>
      <c r="AX49">
        <v>22</v>
      </c>
      <c r="AY49">
        <f t="shared" si="0"/>
        <v>13</v>
      </c>
      <c r="AZ49">
        <v>125</v>
      </c>
      <c r="BA49" t="str">
        <f t="shared" si="1"/>
        <v>(Dike-town)</v>
      </c>
      <c r="BB49">
        <f t="shared" si="2"/>
        <v>2</v>
      </c>
      <c r="BC49">
        <f t="shared" si="3"/>
        <v>4000</v>
      </c>
    </row>
    <row r="50" spans="1:55" x14ac:dyDescent="0.3">
      <c r="A50">
        <v>1421</v>
      </c>
      <c r="B50" s="2">
        <v>45937.595081018517</v>
      </c>
      <c r="C50">
        <v>90000</v>
      </c>
      <c r="D50">
        <v>50000</v>
      </c>
      <c r="E50">
        <v>2700</v>
      </c>
      <c r="F50">
        <v>13000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0</v>
      </c>
      <c r="M50">
        <v>4000</v>
      </c>
      <c r="N50">
        <v>5300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2</v>
      </c>
      <c r="W50">
        <v>5</v>
      </c>
      <c r="X50">
        <v>130000</v>
      </c>
      <c r="Y50">
        <v>130000</v>
      </c>
      <c r="Z50">
        <v>104000</v>
      </c>
      <c r="AA50">
        <v>0</v>
      </c>
      <c r="AB50">
        <v>0</v>
      </c>
      <c r="AC50">
        <v>130000</v>
      </c>
      <c r="AD50">
        <v>91000</v>
      </c>
      <c r="AG50">
        <v>4</v>
      </c>
      <c r="AH50">
        <v>9</v>
      </c>
      <c r="AI50">
        <v>-2</v>
      </c>
      <c r="AJ50">
        <v>-1</v>
      </c>
      <c r="AK50">
        <v>0</v>
      </c>
      <c r="AL50">
        <v>0</v>
      </c>
      <c r="AM50" t="s">
        <v>149</v>
      </c>
      <c r="AN50">
        <v>709</v>
      </c>
      <c r="AO50">
        <v>334</v>
      </c>
      <c r="AP50">
        <v>1602</v>
      </c>
      <c r="AQ50">
        <v>1602</v>
      </c>
      <c r="AS50">
        <v>3</v>
      </c>
      <c r="AT50">
        <v>98</v>
      </c>
      <c r="AU50" t="s">
        <v>61</v>
      </c>
      <c r="AV50">
        <v>20</v>
      </c>
      <c r="AW50" t="s">
        <v>53</v>
      </c>
      <c r="AX50">
        <v>22</v>
      </c>
      <c r="AY50">
        <f t="shared" si="0"/>
        <v>13</v>
      </c>
      <c r="AZ50">
        <v>125</v>
      </c>
      <c r="BA50" t="str">
        <f t="shared" si="1"/>
        <v>(Natu-city)</v>
      </c>
      <c r="BB50">
        <f t="shared" si="2"/>
        <v>0</v>
      </c>
      <c r="BC50">
        <f t="shared" si="3"/>
        <v>4000</v>
      </c>
    </row>
    <row r="51" spans="1:55" x14ac:dyDescent="0.3">
      <c r="A51">
        <v>1439</v>
      </c>
      <c r="B51" s="2">
        <v>45937.595081018517</v>
      </c>
      <c r="C51">
        <v>90000</v>
      </c>
      <c r="D51">
        <v>50000</v>
      </c>
      <c r="E51">
        <v>0</v>
      </c>
      <c r="F51">
        <v>10000</v>
      </c>
      <c r="G51">
        <v>69000</v>
      </c>
      <c r="H51">
        <v>0</v>
      </c>
      <c r="I51">
        <v>20000</v>
      </c>
      <c r="J51">
        <v>32000</v>
      </c>
      <c r="K51">
        <v>14000</v>
      </c>
      <c r="L51">
        <v>0</v>
      </c>
      <c r="M51">
        <v>0</v>
      </c>
      <c r="N51">
        <v>38300</v>
      </c>
      <c r="O51">
        <v>1</v>
      </c>
      <c r="P51">
        <v>-2</v>
      </c>
      <c r="Q51">
        <v>3</v>
      </c>
      <c r="R51">
        <v>4</v>
      </c>
      <c r="S51">
        <v>0</v>
      </c>
      <c r="T51">
        <v>0</v>
      </c>
      <c r="U51">
        <v>0</v>
      </c>
      <c r="V51">
        <v>10</v>
      </c>
      <c r="W51">
        <v>5</v>
      </c>
      <c r="X51">
        <v>130000</v>
      </c>
      <c r="Y51">
        <v>130000</v>
      </c>
      <c r="Z51">
        <v>91000</v>
      </c>
      <c r="AA51">
        <v>160000</v>
      </c>
      <c r="AB51">
        <v>100000</v>
      </c>
      <c r="AC51">
        <v>100000</v>
      </c>
      <c r="AD51">
        <v>90000</v>
      </c>
      <c r="AE51">
        <v>36</v>
      </c>
      <c r="AG51">
        <v>6</v>
      </c>
      <c r="AH51">
        <v>9</v>
      </c>
      <c r="AI51">
        <v>-2</v>
      </c>
      <c r="AJ51">
        <v>-1</v>
      </c>
      <c r="AK51">
        <v>5</v>
      </c>
      <c r="AL51">
        <v>4</v>
      </c>
      <c r="AM51" t="s">
        <v>149</v>
      </c>
      <c r="AN51">
        <v>709</v>
      </c>
      <c r="AO51">
        <v>337</v>
      </c>
      <c r="AP51">
        <v>1602</v>
      </c>
      <c r="AQ51">
        <v>1663</v>
      </c>
      <c r="AS51">
        <v>4</v>
      </c>
      <c r="AT51">
        <v>98</v>
      </c>
      <c r="AU51" t="s">
        <v>61</v>
      </c>
      <c r="AV51">
        <v>20</v>
      </c>
      <c r="AW51" t="s">
        <v>53</v>
      </c>
      <c r="AX51">
        <v>22</v>
      </c>
      <c r="AY51">
        <f t="shared" si="0"/>
        <v>15</v>
      </c>
      <c r="AZ51">
        <v>125</v>
      </c>
      <c r="BA51" t="str">
        <f t="shared" si="1"/>
        <v/>
      </c>
      <c r="BB51">
        <f t="shared" si="2"/>
        <v>9</v>
      </c>
      <c r="BC51">
        <f t="shared" si="3"/>
        <v>0</v>
      </c>
    </row>
    <row r="52" spans="1:55" x14ac:dyDescent="0.3">
      <c r="A52">
        <v>1346</v>
      </c>
      <c r="B52" s="2">
        <v>45937.595891203702</v>
      </c>
      <c r="C52">
        <v>130000</v>
      </c>
      <c r="D52">
        <v>75000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50000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7</v>
      </c>
      <c r="X52">
        <v>200000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76</v>
      </c>
      <c r="AN52">
        <v>710</v>
      </c>
      <c r="AO52">
        <v>321</v>
      </c>
      <c r="AS52">
        <v>0</v>
      </c>
      <c r="AT52">
        <v>98</v>
      </c>
      <c r="AU52" t="s">
        <v>61</v>
      </c>
      <c r="AV52">
        <v>20</v>
      </c>
      <c r="AW52" t="s">
        <v>53</v>
      </c>
      <c r="AX52">
        <v>22</v>
      </c>
      <c r="AY52">
        <f t="shared" si="0"/>
        <v>0</v>
      </c>
      <c r="AZ52">
        <v>127</v>
      </c>
      <c r="BA52" t="str">
        <f t="shared" si="1"/>
        <v>(Natu-city)</v>
      </c>
      <c r="BB52">
        <f t="shared" si="2"/>
        <v>0</v>
      </c>
      <c r="BC52">
        <f t="shared" si="3"/>
        <v>0</v>
      </c>
    </row>
    <row r="53" spans="1:55" x14ac:dyDescent="0.3">
      <c r="A53">
        <v>1353</v>
      </c>
      <c r="B53" s="2">
        <v>45937.595891203702</v>
      </c>
      <c r="C53">
        <v>130000</v>
      </c>
      <c r="D53">
        <v>75000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9000</v>
      </c>
      <c r="K53">
        <v>14000</v>
      </c>
      <c r="L53">
        <v>0</v>
      </c>
      <c r="M53">
        <v>0</v>
      </c>
      <c r="N53">
        <v>42000</v>
      </c>
      <c r="O53">
        <v>0</v>
      </c>
      <c r="P53">
        <v>-1</v>
      </c>
      <c r="Q53">
        <v>1</v>
      </c>
      <c r="R53">
        <v>2</v>
      </c>
      <c r="S53">
        <v>0</v>
      </c>
      <c r="T53">
        <v>0</v>
      </c>
      <c r="U53">
        <v>0</v>
      </c>
      <c r="V53">
        <v>7</v>
      </c>
      <c r="W53">
        <v>7</v>
      </c>
      <c r="X53">
        <v>200000</v>
      </c>
      <c r="Y53">
        <v>0</v>
      </c>
      <c r="Z53">
        <v>0</v>
      </c>
      <c r="AA53">
        <v>0</v>
      </c>
      <c r="AB53">
        <v>200000</v>
      </c>
      <c r="AC53">
        <v>200000</v>
      </c>
      <c r="AD53">
        <v>180000</v>
      </c>
      <c r="AG53">
        <v>6</v>
      </c>
      <c r="AH53">
        <v>9</v>
      </c>
      <c r="AI53">
        <v>0</v>
      </c>
      <c r="AJ53">
        <v>0</v>
      </c>
      <c r="AK53">
        <v>2</v>
      </c>
      <c r="AL53">
        <v>2</v>
      </c>
      <c r="AM53" t="s">
        <v>149</v>
      </c>
      <c r="AN53">
        <v>710</v>
      </c>
      <c r="AO53">
        <v>324</v>
      </c>
      <c r="AQ53">
        <v>1597</v>
      </c>
      <c r="AS53">
        <v>1</v>
      </c>
      <c r="AT53">
        <v>98</v>
      </c>
      <c r="AU53" t="s">
        <v>61</v>
      </c>
      <c r="AV53">
        <v>20</v>
      </c>
      <c r="AW53" t="s">
        <v>53</v>
      </c>
      <c r="AX53">
        <v>22</v>
      </c>
      <c r="AY53">
        <f t="shared" si="0"/>
        <v>15</v>
      </c>
      <c r="AZ53">
        <v>127</v>
      </c>
      <c r="BA53" t="str">
        <f t="shared" si="1"/>
        <v>(Natu-city)</v>
      </c>
      <c r="BB53">
        <f t="shared" si="2"/>
        <v>4</v>
      </c>
      <c r="BC53">
        <f t="shared" si="3"/>
        <v>0</v>
      </c>
    </row>
    <row r="54" spans="1:55" x14ac:dyDescent="0.3">
      <c r="A54">
        <v>1388</v>
      </c>
      <c r="B54" s="2">
        <v>45937.595891203702</v>
      </c>
      <c r="C54">
        <v>130000</v>
      </c>
      <c r="D54">
        <v>75000</v>
      </c>
      <c r="E54">
        <v>0</v>
      </c>
      <c r="F54">
        <v>20000</v>
      </c>
      <c r="G54">
        <v>0</v>
      </c>
      <c r="H54">
        <v>0</v>
      </c>
      <c r="I54">
        <v>20000</v>
      </c>
      <c r="J54">
        <v>24000</v>
      </c>
      <c r="K54">
        <v>14000</v>
      </c>
      <c r="L54">
        <v>0</v>
      </c>
      <c r="M54">
        <v>0</v>
      </c>
      <c r="N54">
        <v>19000</v>
      </c>
      <c r="O54">
        <v>0</v>
      </c>
      <c r="P54">
        <v>0</v>
      </c>
      <c r="Q54">
        <v>2</v>
      </c>
      <c r="R54">
        <v>2</v>
      </c>
      <c r="S54">
        <v>0</v>
      </c>
      <c r="T54">
        <v>0</v>
      </c>
      <c r="U54">
        <v>0</v>
      </c>
      <c r="V54">
        <v>11</v>
      </c>
      <c r="W54">
        <v>7</v>
      </c>
      <c r="X54">
        <v>200000</v>
      </c>
      <c r="Y54">
        <v>200000</v>
      </c>
      <c r="Z54">
        <v>180000</v>
      </c>
      <c r="AA54">
        <v>0</v>
      </c>
      <c r="AB54">
        <v>0</v>
      </c>
      <c r="AC54">
        <v>200000</v>
      </c>
      <c r="AD54">
        <v>160000</v>
      </c>
      <c r="AG54">
        <v>6</v>
      </c>
      <c r="AH54">
        <v>9</v>
      </c>
      <c r="AI54">
        <v>0</v>
      </c>
      <c r="AJ54">
        <v>0</v>
      </c>
      <c r="AK54">
        <v>5</v>
      </c>
      <c r="AL54">
        <v>4</v>
      </c>
      <c r="AM54" t="s">
        <v>149</v>
      </c>
      <c r="AN54">
        <v>710</v>
      </c>
      <c r="AO54">
        <v>329</v>
      </c>
      <c r="AP54">
        <v>1597</v>
      </c>
      <c r="AQ54">
        <v>1597</v>
      </c>
      <c r="AS54">
        <v>2</v>
      </c>
      <c r="AT54">
        <v>98</v>
      </c>
      <c r="AU54" t="s">
        <v>61</v>
      </c>
      <c r="AV54">
        <v>20</v>
      </c>
      <c r="AW54" t="s">
        <v>53</v>
      </c>
      <c r="AX54">
        <v>22</v>
      </c>
      <c r="AY54">
        <f t="shared" si="0"/>
        <v>15</v>
      </c>
      <c r="AZ54">
        <v>127</v>
      </c>
      <c r="BA54" t="str">
        <f t="shared" si="1"/>
        <v>(Natu-city)</v>
      </c>
      <c r="BB54">
        <f t="shared" si="2"/>
        <v>9</v>
      </c>
      <c r="BC54">
        <f t="shared" si="3"/>
        <v>0</v>
      </c>
    </row>
    <row r="55" spans="1:55" x14ac:dyDescent="0.3">
      <c r="A55">
        <v>1417</v>
      </c>
      <c r="B55" s="2">
        <v>45937.595891203702</v>
      </c>
      <c r="C55">
        <v>130000</v>
      </c>
      <c r="D55">
        <v>75000</v>
      </c>
      <c r="E55">
        <v>0</v>
      </c>
      <c r="F55">
        <v>20000</v>
      </c>
      <c r="G55">
        <v>0</v>
      </c>
      <c r="H55">
        <v>0</v>
      </c>
      <c r="I55">
        <v>20000</v>
      </c>
      <c r="J55">
        <v>0</v>
      </c>
      <c r="K55">
        <v>25500</v>
      </c>
      <c r="L55">
        <v>0</v>
      </c>
      <c r="M55">
        <v>0</v>
      </c>
      <c r="N55">
        <v>8500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15</v>
      </c>
      <c r="W55">
        <v>7</v>
      </c>
      <c r="X55">
        <v>200000</v>
      </c>
      <c r="Y55">
        <v>200000</v>
      </c>
      <c r="Z55">
        <v>160000</v>
      </c>
      <c r="AA55">
        <v>0</v>
      </c>
      <c r="AB55">
        <v>0</v>
      </c>
      <c r="AC55">
        <v>200000</v>
      </c>
      <c r="AD55">
        <v>140000</v>
      </c>
      <c r="AG55">
        <v>6</v>
      </c>
      <c r="AH55">
        <v>9</v>
      </c>
      <c r="AI55">
        <v>-2</v>
      </c>
      <c r="AJ55">
        <v>-1</v>
      </c>
      <c r="AK55">
        <v>5</v>
      </c>
      <c r="AL55">
        <v>4</v>
      </c>
      <c r="AM55" t="s">
        <v>149</v>
      </c>
      <c r="AN55">
        <v>710</v>
      </c>
      <c r="AO55">
        <v>334</v>
      </c>
      <c r="AP55">
        <v>1597</v>
      </c>
      <c r="AQ55">
        <v>1597</v>
      </c>
      <c r="AS55">
        <v>3</v>
      </c>
      <c r="AT55">
        <v>98</v>
      </c>
      <c r="AU55" t="s">
        <v>61</v>
      </c>
      <c r="AV55">
        <v>20</v>
      </c>
      <c r="AW55" t="s">
        <v>53</v>
      </c>
      <c r="AX55">
        <v>22</v>
      </c>
      <c r="AY55">
        <f t="shared" si="0"/>
        <v>15</v>
      </c>
      <c r="AZ55">
        <v>127</v>
      </c>
      <c r="BA55" t="str">
        <f t="shared" si="1"/>
        <v>(Natu-city)</v>
      </c>
      <c r="BB55">
        <f t="shared" si="2"/>
        <v>9</v>
      </c>
      <c r="BC55">
        <f t="shared" si="3"/>
        <v>0</v>
      </c>
    </row>
    <row r="56" spans="1:55" x14ac:dyDescent="0.3">
      <c r="A56">
        <v>1438</v>
      </c>
      <c r="B56" s="2">
        <v>45937.595891203702</v>
      </c>
      <c r="C56">
        <v>130000</v>
      </c>
      <c r="D56">
        <v>75000</v>
      </c>
      <c r="E56">
        <v>0</v>
      </c>
      <c r="F56">
        <v>20000</v>
      </c>
      <c r="G56">
        <v>0</v>
      </c>
      <c r="H56">
        <v>0</v>
      </c>
      <c r="I56">
        <v>20000</v>
      </c>
      <c r="J56">
        <v>0</v>
      </c>
      <c r="K56">
        <v>19000</v>
      </c>
      <c r="L56">
        <v>0</v>
      </c>
      <c r="M56">
        <v>0</v>
      </c>
      <c r="N56">
        <v>4500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20</v>
      </c>
      <c r="W56">
        <v>7</v>
      </c>
      <c r="X56">
        <v>200000</v>
      </c>
      <c r="Y56">
        <v>200000</v>
      </c>
      <c r="Z56">
        <v>140000</v>
      </c>
      <c r="AA56">
        <v>0</v>
      </c>
      <c r="AB56">
        <v>0</v>
      </c>
      <c r="AC56">
        <v>200000</v>
      </c>
      <c r="AD56">
        <v>120000</v>
      </c>
      <c r="AG56">
        <v>6</v>
      </c>
      <c r="AH56">
        <v>9</v>
      </c>
      <c r="AI56">
        <v>-2</v>
      </c>
      <c r="AJ56">
        <v>-1</v>
      </c>
      <c r="AK56">
        <v>5</v>
      </c>
      <c r="AL56">
        <v>4</v>
      </c>
      <c r="AM56" t="s">
        <v>149</v>
      </c>
      <c r="AN56">
        <v>710</v>
      </c>
      <c r="AO56">
        <v>337</v>
      </c>
      <c r="AP56">
        <v>1597</v>
      </c>
      <c r="AQ56">
        <v>1597</v>
      </c>
      <c r="AS56">
        <v>4</v>
      </c>
      <c r="AT56">
        <v>98</v>
      </c>
      <c r="AU56" t="s">
        <v>61</v>
      </c>
      <c r="AV56">
        <v>20</v>
      </c>
      <c r="AW56" t="s">
        <v>53</v>
      </c>
      <c r="AX56">
        <v>22</v>
      </c>
      <c r="AY56">
        <f t="shared" si="0"/>
        <v>15</v>
      </c>
      <c r="AZ56">
        <v>127</v>
      </c>
      <c r="BA56" t="str">
        <f t="shared" si="1"/>
        <v/>
      </c>
      <c r="BB56">
        <f t="shared" si="2"/>
        <v>9</v>
      </c>
      <c r="BC56">
        <f t="shared" si="3"/>
        <v>0</v>
      </c>
    </row>
    <row r="57" spans="1:55" x14ac:dyDescent="0.3">
      <c r="A57">
        <v>1322</v>
      </c>
      <c r="B57" s="2">
        <v>45937.577881944453</v>
      </c>
      <c r="C57">
        <v>190000</v>
      </c>
      <c r="D57">
        <v>115000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8</v>
      </c>
      <c r="X57">
        <v>300000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76</v>
      </c>
      <c r="AN57">
        <v>711</v>
      </c>
      <c r="AO57">
        <v>321</v>
      </c>
      <c r="AS57">
        <v>0</v>
      </c>
      <c r="AT57">
        <v>98</v>
      </c>
      <c r="AU57" t="s">
        <v>61</v>
      </c>
      <c r="AV57">
        <v>20</v>
      </c>
      <c r="AW57" t="s">
        <v>53</v>
      </c>
      <c r="AX57">
        <v>22</v>
      </c>
      <c r="AY57">
        <f t="shared" si="0"/>
        <v>0</v>
      </c>
      <c r="AZ57">
        <v>128</v>
      </c>
      <c r="BA57" t="str">
        <f t="shared" si="1"/>
        <v>(Dike-town)</v>
      </c>
      <c r="BB57">
        <f t="shared" si="2"/>
        <v>0</v>
      </c>
      <c r="BC57">
        <f t="shared" si="3"/>
        <v>0</v>
      </c>
    </row>
    <row r="58" spans="1:55" x14ac:dyDescent="0.3">
      <c r="A58">
        <v>1354</v>
      </c>
      <c r="B58" s="2">
        <v>45937.577881944453</v>
      </c>
      <c r="C58">
        <v>190000</v>
      </c>
      <c r="D58">
        <v>115000</v>
      </c>
      <c r="E58">
        <v>0</v>
      </c>
      <c r="F58">
        <v>30000</v>
      </c>
      <c r="G58">
        <v>0</v>
      </c>
      <c r="H58">
        <v>0</v>
      </c>
      <c r="I58">
        <v>15000</v>
      </c>
      <c r="J58">
        <v>14000</v>
      </c>
      <c r="K58">
        <v>30500</v>
      </c>
      <c r="L58">
        <v>0</v>
      </c>
      <c r="M58">
        <v>0</v>
      </c>
      <c r="N58">
        <v>65500</v>
      </c>
      <c r="O58">
        <v>0</v>
      </c>
      <c r="P58">
        <v>0</v>
      </c>
      <c r="Q58">
        <v>2</v>
      </c>
      <c r="R58">
        <v>3</v>
      </c>
      <c r="S58">
        <v>0</v>
      </c>
      <c r="T58">
        <v>0</v>
      </c>
      <c r="U58">
        <v>0</v>
      </c>
      <c r="V58">
        <v>10</v>
      </c>
      <c r="W58">
        <v>8</v>
      </c>
      <c r="X58">
        <v>300000</v>
      </c>
      <c r="Y58">
        <v>0</v>
      </c>
      <c r="Z58">
        <v>0</v>
      </c>
      <c r="AA58">
        <v>0</v>
      </c>
      <c r="AB58">
        <v>300000</v>
      </c>
      <c r="AC58">
        <v>300000</v>
      </c>
      <c r="AD58">
        <v>270000</v>
      </c>
      <c r="AG58">
        <v>4</v>
      </c>
      <c r="AH58">
        <v>9</v>
      </c>
      <c r="AI58">
        <v>0</v>
      </c>
      <c r="AJ58">
        <v>0</v>
      </c>
      <c r="AK58">
        <v>3</v>
      </c>
      <c r="AL58">
        <v>1</v>
      </c>
      <c r="AM58" t="s">
        <v>149</v>
      </c>
      <c r="AN58">
        <v>711</v>
      </c>
      <c r="AO58">
        <v>324</v>
      </c>
      <c r="AQ58">
        <v>1600</v>
      </c>
      <c r="AS58">
        <v>1</v>
      </c>
      <c r="AT58">
        <v>98</v>
      </c>
      <c r="AU58" t="s">
        <v>61</v>
      </c>
      <c r="AV58">
        <v>20</v>
      </c>
      <c r="AW58" t="s">
        <v>53</v>
      </c>
      <c r="AX58">
        <v>22</v>
      </c>
      <c r="AY58">
        <f t="shared" si="0"/>
        <v>13</v>
      </c>
      <c r="AZ58">
        <v>128</v>
      </c>
      <c r="BA58" t="str">
        <f t="shared" si="1"/>
        <v>(Dike-town)</v>
      </c>
      <c r="BB58">
        <f t="shared" si="2"/>
        <v>4</v>
      </c>
      <c r="BC58">
        <f t="shared" si="3"/>
        <v>0</v>
      </c>
    </row>
    <row r="59" spans="1:55" x14ac:dyDescent="0.3">
      <c r="A59">
        <v>1387</v>
      </c>
      <c r="B59" s="2">
        <v>45937.577881944453</v>
      </c>
      <c r="C59">
        <v>190000</v>
      </c>
      <c r="D59">
        <v>115000</v>
      </c>
      <c r="E59">
        <v>0</v>
      </c>
      <c r="F59">
        <v>30000</v>
      </c>
      <c r="G59">
        <v>0</v>
      </c>
      <c r="H59">
        <v>0</v>
      </c>
      <c r="I59">
        <v>15000</v>
      </c>
      <c r="J59">
        <v>0</v>
      </c>
      <c r="K59">
        <v>15500</v>
      </c>
      <c r="L59">
        <v>0</v>
      </c>
      <c r="M59">
        <v>4000</v>
      </c>
      <c r="N59">
        <v>76000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10</v>
      </c>
      <c r="W59">
        <v>8</v>
      </c>
      <c r="X59">
        <v>300000</v>
      </c>
      <c r="Y59">
        <v>300000</v>
      </c>
      <c r="Z59">
        <v>270000</v>
      </c>
      <c r="AA59">
        <v>0</v>
      </c>
      <c r="AB59">
        <v>0</v>
      </c>
      <c r="AC59">
        <v>300000</v>
      </c>
      <c r="AD59">
        <v>240000</v>
      </c>
      <c r="AG59">
        <v>4</v>
      </c>
      <c r="AH59">
        <v>9</v>
      </c>
      <c r="AI59">
        <v>0</v>
      </c>
      <c r="AJ59">
        <v>0</v>
      </c>
      <c r="AK59">
        <v>3</v>
      </c>
      <c r="AL59">
        <v>1</v>
      </c>
      <c r="AM59" t="s">
        <v>149</v>
      </c>
      <c r="AN59">
        <v>711</v>
      </c>
      <c r="AO59">
        <v>329</v>
      </c>
      <c r="AP59">
        <v>1600</v>
      </c>
      <c r="AQ59">
        <v>1600</v>
      </c>
      <c r="AS59">
        <v>2</v>
      </c>
      <c r="AT59">
        <v>98</v>
      </c>
      <c r="AU59" t="s">
        <v>61</v>
      </c>
      <c r="AV59">
        <v>20</v>
      </c>
      <c r="AW59" t="s">
        <v>53</v>
      </c>
      <c r="AX59">
        <v>22</v>
      </c>
      <c r="AY59">
        <f t="shared" si="0"/>
        <v>13</v>
      </c>
      <c r="AZ59">
        <v>128</v>
      </c>
      <c r="BA59" t="str">
        <f t="shared" si="1"/>
        <v>(Dike-town)</v>
      </c>
      <c r="BB59">
        <f t="shared" si="2"/>
        <v>4</v>
      </c>
      <c r="BC59">
        <f t="shared" si="3"/>
        <v>4000</v>
      </c>
    </row>
    <row r="60" spans="1:55" x14ac:dyDescent="0.3">
      <c r="A60">
        <v>1418</v>
      </c>
      <c r="B60" s="2">
        <v>45937.577881944453</v>
      </c>
      <c r="C60">
        <v>190000</v>
      </c>
      <c r="D60">
        <v>115000</v>
      </c>
      <c r="E60">
        <v>0</v>
      </c>
      <c r="F60">
        <v>30000</v>
      </c>
      <c r="G60">
        <v>0</v>
      </c>
      <c r="H60">
        <v>0</v>
      </c>
      <c r="I60">
        <v>15000</v>
      </c>
      <c r="J60">
        <v>19000</v>
      </c>
      <c r="K60">
        <v>30500</v>
      </c>
      <c r="L60">
        <v>0</v>
      </c>
      <c r="M60">
        <v>0</v>
      </c>
      <c r="N60">
        <v>56500</v>
      </c>
      <c r="O60">
        <v>0</v>
      </c>
      <c r="P60">
        <v>0</v>
      </c>
      <c r="Q60">
        <v>1</v>
      </c>
      <c r="R60">
        <v>3</v>
      </c>
      <c r="S60">
        <v>0</v>
      </c>
      <c r="T60">
        <v>0</v>
      </c>
      <c r="U60">
        <v>0</v>
      </c>
      <c r="V60">
        <v>14</v>
      </c>
      <c r="W60">
        <v>8</v>
      </c>
      <c r="X60">
        <v>300000</v>
      </c>
      <c r="Y60">
        <v>300000</v>
      </c>
      <c r="Z60">
        <v>240000</v>
      </c>
      <c r="AA60">
        <v>0</v>
      </c>
      <c r="AB60">
        <v>0</v>
      </c>
      <c r="AC60">
        <v>300000</v>
      </c>
      <c r="AD60">
        <v>210000</v>
      </c>
      <c r="AG60">
        <v>4</v>
      </c>
      <c r="AH60">
        <v>9</v>
      </c>
      <c r="AI60">
        <v>-2</v>
      </c>
      <c r="AJ60">
        <v>-1</v>
      </c>
      <c r="AK60">
        <v>5</v>
      </c>
      <c r="AL60">
        <v>4</v>
      </c>
      <c r="AM60" t="s">
        <v>149</v>
      </c>
      <c r="AN60">
        <v>711</v>
      </c>
      <c r="AO60">
        <v>334</v>
      </c>
      <c r="AP60">
        <v>1600</v>
      </c>
      <c r="AQ60">
        <v>1600</v>
      </c>
      <c r="AS60">
        <v>3</v>
      </c>
      <c r="AT60">
        <v>98</v>
      </c>
      <c r="AU60" t="s">
        <v>61</v>
      </c>
      <c r="AV60">
        <v>20</v>
      </c>
      <c r="AW60" t="s">
        <v>53</v>
      </c>
      <c r="AX60">
        <v>22</v>
      </c>
      <c r="AY60">
        <f t="shared" si="0"/>
        <v>13</v>
      </c>
      <c r="AZ60">
        <v>128</v>
      </c>
      <c r="BA60" t="str">
        <f t="shared" si="1"/>
        <v>(Dike-town)</v>
      </c>
      <c r="BB60">
        <f t="shared" si="2"/>
        <v>9</v>
      </c>
      <c r="BC60">
        <f t="shared" si="3"/>
        <v>0</v>
      </c>
    </row>
    <row r="61" spans="1:55" x14ac:dyDescent="0.3">
      <c r="A61">
        <v>1435</v>
      </c>
      <c r="B61" s="2">
        <v>45937.577881944453</v>
      </c>
      <c r="C61">
        <v>190000</v>
      </c>
      <c r="D61">
        <v>115000</v>
      </c>
      <c r="E61">
        <v>0</v>
      </c>
      <c r="F61">
        <v>30000</v>
      </c>
      <c r="G61">
        <v>0</v>
      </c>
      <c r="H61">
        <v>0</v>
      </c>
      <c r="I61">
        <v>20000</v>
      </c>
      <c r="J61">
        <v>0</v>
      </c>
      <c r="K61">
        <v>38000</v>
      </c>
      <c r="L61">
        <v>0</v>
      </c>
      <c r="M61">
        <v>0</v>
      </c>
      <c r="N61">
        <v>43500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>
        <v>0</v>
      </c>
      <c r="V61">
        <v>18</v>
      </c>
      <c r="W61">
        <v>8</v>
      </c>
      <c r="X61">
        <v>300000</v>
      </c>
      <c r="Y61">
        <v>300000</v>
      </c>
      <c r="Z61">
        <v>210000</v>
      </c>
      <c r="AA61">
        <v>0</v>
      </c>
      <c r="AB61">
        <v>0</v>
      </c>
      <c r="AC61">
        <v>300000</v>
      </c>
      <c r="AD61">
        <v>180000</v>
      </c>
      <c r="AG61">
        <v>4</v>
      </c>
      <c r="AH61">
        <v>9</v>
      </c>
      <c r="AI61">
        <v>-2</v>
      </c>
      <c r="AJ61">
        <v>-1</v>
      </c>
      <c r="AK61">
        <v>5</v>
      </c>
      <c r="AL61">
        <v>4</v>
      </c>
      <c r="AM61" t="s">
        <v>149</v>
      </c>
      <c r="AN61">
        <v>711</v>
      </c>
      <c r="AO61">
        <v>337</v>
      </c>
      <c r="AP61">
        <v>1600</v>
      </c>
      <c r="AQ61">
        <v>1600</v>
      </c>
      <c r="AS61">
        <v>4</v>
      </c>
      <c r="AT61">
        <v>98</v>
      </c>
      <c r="AU61" t="s">
        <v>61</v>
      </c>
      <c r="AV61">
        <v>20</v>
      </c>
      <c r="AW61" t="s">
        <v>53</v>
      </c>
      <c r="AX61">
        <v>22</v>
      </c>
      <c r="AY61">
        <f t="shared" si="0"/>
        <v>13</v>
      </c>
      <c r="AZ61">
        <v>128</v>
      </c>
      <c r="BA61" t="str">
        <f t="shared" si="1"/>
        <v/>
      </c>
      <c r="BB61">
        <f t="shared" si="2"/>
        <v>9</v>
      </c>
      <c r="BC61">
        <f t="shared" si="3"/>
        <v>0</v>
      </c>
    </row>
    <row r="62" spans="1:55" x14ac:dyDescent="0.3">
      <c r="A62">
        <v>1332</v>
      </c>
      <c r="B62" s="2">
        <v>45937.581006944441</v>
      </c>
      <c r="C62">
        <v>75000</v>
      </c>
      <c r="D62">
        <v>40000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4</v>
      </c>
      <c r="X62">
        <v>110000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76</v>
      </c>
      <c r="AN62">
        <v>714</v>
      </c>
      <c r="AO62">
        <v>319</v>
      </c>
      <c r="AS62">
        <v>0</v>
      </c>
      <c r="AT62">
        <v>99</v>
      </c>
      <c r="AU62" t="s">
        <v>62</v>
      </c>
      <c r="AV62">
        <v>20</v>
      </c>
      <c r="AW62" t="s">
        <v>53</v>
      </c>
      <c r="AX62">
        <v>22</v>
      </c>
      <c r="AY62">
        <f t="shared" si="0"/>
        <v>0</v>
      </c>
      <c r="AZ62">
        <v>124</v>
      </c>
      <c r="BA62" t="str">
        <f t="shared" si="1"/>
        <v>(Natu-city)</v>
      </c>
      <c r="BB62">
        <f t="shared" si="2"/>
        <v>0</v>
      </c>
      <c r="BC62">
        <f t="shared" si="3"/>
        <v>0</v>
      </c>
    </row>
    <row r="63" spans="1:55" x14ac:dyDescent="0.3">
      <c r="A63">
        <v>1339</v>
      </c>
      <c r="B63" s="2">
        <v>45937.581006944441</v>
      </c>
      <c r="C63">
        <v>75000</v>
      </c>
      <c r="D63">
        <v>40000</v>
      </c>
      <c r="E63">
        <v>0</v>
      </c>
      <c r="F63">
        <v>10000</v>
      </c>
      <c r="G63">
        <v>0</v>
      </c>
      <c r="H63">
        <v>0</v>
      </c>
      <c r="I63">
        <v>15000</v>
      </c>
      <c r="J63">
        <v>0</v>
      </c>
      <c r="K63">
        <v>5000</v>
      </c>
      <c r="L63">
        <v>0</v>
      </c>
      <c r="M63">
        <v>0</v>
      </c>
      <c r="N63">
        <v>10000</v>
      </c>
      <c r="O63">
        <v>0</v>
      </c>
      <c r="P63">
        <v>-1</v>
      </c>
      <c r="Q63">
        <v>0</v>
      </c>
      <c r="R63">
        <v>2</v>
      </c>
      <c r="S63">
        <v>0</v>
      </c>
      <c r="T63">
        <v>0</v>
      </c>
      <c r="U63">
        <v>0</v>
      </c>
      <c r="V63">
        <v>6</v>
      </c>
      <c r="W63">
        <v>4</v>
      </c>
      <c r="X63">
        <v>110000</v>
      </c>
      <c r="Y63">
        <v>0</v>
      </c>
      <c r="Z63">
        <v>0</v>
      </c>
      <c r="AA63">
        <v>0</v>
      </c>
      <c r="AB63">
        <v>100000</v>
      </c>
      <c r="AC63">
        <v>100000</v>
      </c>
      <c r="AD63">
        <v>90000</v>
      </c>
      <c r="AG63">
        <v>6</v>
      </c>
      <c r="AH63">
        <v>9</v>
      </c>
      <c r="AI63">
        <v>0</v>
      </c>
      <c r="AJ63">
        <v>0</v>
      </c>
      <c r="AK63">
        <v>0</v>
      </c>
      <c r="AL63">
        <v>0</v>
      </c>
      <c r="AM63" t="s">
        <v>149</v>
      </c>
      <c r="AN63">
        <v>714</v>
      </c>
      <c r="AO63">
        <v>322</v>
      </c>
      <c r="AQ63">
        <v>1568</v>
      </c>
      <c r="AS63">
        <v>1</v>
      </c>
      <c r="AT63">
        <v>99</v>
      </c>
      <c r="AU63" t="s">
        <v>62</v>
      </c>
      <c r="AV63">
        <v>20</v>
      </c>
      <c r="AW63" t="s">
        <v>53</v>
      </c>
      <c r="AX63">
        <v>22</v>
      </c>
      <c r="AY63">
        <f t="shared" si="0"/>
        <v>15</v>
      </c>
      <c r="AZ63">
        <v>124</v>
      </c>
      <c r="BA63" t="str">
        <f t="shared" si="1"/>
        <v>(Natu-city)</v>
      </c>
      <c r="BB63">
        <f t="shared" si="2"/>
        <v>0</v>
      </c>
      <c r="BC63">
        <f t="shared" si="3"/>
        <v>0</v>
      </c>
    </row>
    <row r="64" spans="1:55" x14ac:dyDescent="0.3">
      <c r="A64">
        <v>1376</v>
      </c>
      <c r="B64" s="2">
        <v>45937.581006944441</v>
      </c>
      <c r="C64">
        <v>75000</v>
      </c>
      <c r="D64">
        <v>40000</v>
      </c>
      <c r="E64">
        <v>0</v>
      </c>
      <c r="F64">
        <v>10000</v>
      </c>
      <c r="G64">
        <v>0</v>
      </c>
      <c r="H64">
        <v>0</v>
      </c>
      <c r="I64">
        <v>15000</v>
      </c>
      <c r="J64">
        <v>9000</v>
      </c>
      <c r="K64">
        <v>0</v>
      </c>
      <c r="L64">
        <v>0</v>
      </c>
      <c r="M64">
        <v>0</v>
      </c>
      <c r="N64">
        <v>11000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7</v>
      </c>
      <c r="W64">
        <v>4</v>
      </c>
      <c r="X64">
        <v>110000</v>
      </c>
      <c r="Y64">
        <v>100000</v>
      </c>
      <c r="Z64">
        <v>90000</v>
      </c>
      <c r="AA64">
        <v>0</v>
      </c>
      <c r="AB64">
        <v>0</v>
      </c>
      <c r="AC64">
        <v>100000</v>
      </c>
      <c r="AD64">
        <v>80000</v>
      </c>
      <c r="AG64">
        <v>6</v>
      </c>
      <c r="AH64">
        <v>9</v>
      </c>
      <c r="AI64">
        <v>0</v>
      </c>
      <c r="AJ64">
        <v>0</v>
      </c>
      <c r="AK64">
        <v>1</v>
      </c>
      <c r="AL64">
        <v>1</v>
      </c>
      <c r="AM64" t="s">
        <v>149</v>
      </c>
      <c r="AN64">
        <v>714</v>
      </c>
      <c r="AO64">
        <v>326</v>
      </c>
      <c r="AP64">
        <v>1568</v>
      </c>
      <c r="AQ64">
        <v>1568</v>
      </c>
      <c r="AS64">
        <v>2</v>
      </c>
      <c r="AT64">
        <v>99</v>
      </c>
      <c r="AU64" t="s">
        <v>62</v>
      </c>
      <c r="AV64">
        <v>20</v>
      </c>
      <c r="AW64" t="s">
        <v>53</v>
      </c>
      <c r="AX64">
        <v>22</v>
      </c>
      <c r="AY64">
        <f t="shared" si="0"/>
        <v>15</v>
      </c>
      <c r="AZ64">
        <v>124</v>
      </c>
      <c r="BA64" t="str">
        <f t="shared" si="1"/>
        <v>(Natu-city)</v>
      </c>
      <c r="BB64">
        <f t="shared" si="2"/>
        <v>2</v>
      </c>
      <c r="BC64">
        <f t="shared" si="3"/>
        <v>0</v>
      </c>
    </row>
    <row r="65" spans="1:55" x14ac:dyDescent="0.3">
      <c r="A65">
        <v>1402</v>
      </c>
      <c r="B65" s="2">
        <v>45937.581006944441</v>
      </c>
      <c r="C65">
        <v>75000</v>
      </c>
      <c r="D65">
        <v>40000</v>
      </c>
      <c r="E65">
        <v>0</v>
      </c>
      <c r="F65">
        <v>10000</v>
      </c>
      <c r="G65">
        <v>0</v>
      </c>
      <c r="H65">
        <v>0</v>
      </c>
      <c r="I65">
        <v>15000</v>
      </c>
      <c r="J65">
        <v>18000</v>
      </c>
      <c r="K65">
        <v>0</v>
      </c>
      <c r="L65">
        <v>0</v>
      </c>
      <c r="M65">
        <v>0</v>
      </c>
      <c r="N65">
        <v>3000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8</v>
      </c>
      <c r="W65">
        <v>4</v>
      </c>
      <c r="X65">
        <v>110000</v>
      </c>
      <c r="Y65">
        <v>100000</v>
      </c>
      <c r="Z65">
        <v>80000</v>
      </c>
      <c r="AA65">
        <v>0</v>
      </c>
      <c r="AB65">
        <v>0</v>
      </c>
      <c r="AC65">
        <v>100000</v>
      </c>
      <c r="AD65">
        <v>60000</v>
      </c>
      <c r="AG65">
        <v>6</v>
      </c>
      <c r="AH65">
        <v>9</v>
      </c>
      <c r="AI65">
        <v>-2</v>
      </c>
      <c r="AJ65">
        <v>-1</v>
      </c>
      <c r="AK65">
        <v>3</v>
      </c>
      <c r="AL65">
        <v>3</v>
      </c>
      <c r="AM65" t="s">
        <v>149</v>
      </c>
      <c r="AN65">
        <v>714</v>
      </c>
      <c r="AO65">
        <v>331</v>
      </c>
      <c r="AP65">
        <v>1568</v>
      </c>
      <c r="AQ65">
        <v>1568</v>
      </c>
      <c r="AS65">
        <v>3</v>
      </c>
      <c r="AT65">
        <v>99</v>
      </c>
      <c r="AU65" t="s">
        <v>62</v>
      </c>
      <c r="AV65">
        <v>20</v>
      </c>
      <c r="AW65" t="s">
        <v>53</v>
      </c>
      <c r="AX65">
        <v>22</v>
      </c>
      <c r="AY65">
        <f t="shared" si="0"/>
        <v>15</v>
      </c>
      <c r="AZ65">
        <v>124</v>
      </c>
      <c r="BA65" t="str">
        <f t="shared" si="1"/>
        <v>(Natu-city)</v>
      </c>
      <c r="BB65">
        <f t="shared" si="2"/>
        <v>6</v>
      </c>
      <c r="BC65">
        <f t="shared" si="3"/>
        <v>0</v>
      </c>
    </row>
    <row r="66" spans="1:55" x14ac:dyDescent="0.3">
      <c r="A66">
        <v>1425</v>
      </c>
      <c r="B66" s="2">
        <v>45937.581006944441</v>
      </c>
      <c r="C66">
        <v>75000</v>
      </c>
      <c r="D66">
        <v>40000</v>
      </c>
      <c r="E66">
        <v>0</v>
      </c>
      <c r="F66">
        <v>10000</v>
      </c>
      <c r="G66">
        <v>0</v>
      </c>
      <c r="H66">
        <v>0</v>
      </c>
      <c r="I66">
        <v>20000</v>
      </c>
      <c r="J66">
        <v>0</v>
      </c>
      <c r="K66">
        <v>7500</v>
      </c>
      <c r="L66">
        <v>0</v>
      </c>
      <c r="M66">
        <v>0</v>
      </c>
      <c r="N66">
        <v>500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0</v>
      </c>
      <c r="V66">
        <v>13</v>
      </c>
      <c r="W66">
        <v>4</v>
      </c>
      <c r="X66">
        <v>110000</v>
      </c>
      <c r="Y66">
        <v>100000</v>
      </c>
      <c r="Z66">
        <v>60000</v>
      </c>
      <c r="AA66">
        <v>0</v>
      </c>
      <c r="AB66">
        <v>0</v>
      </c>
      <c r="AC66">
        <v>100000</v>
      </c>
      <c r="AD66">
        <v>50000</v>
      </c>
      <c r="AG66">
        <v>6</v>
      </c>
      <c r="AH66">
        <v>9</v>
      </c>
      <c r="AI66">
        <v>-2</v>
      </c>
      <c r="AJ66">
        <v>-1</v>
      </c>
      <c r="AK66">
        <v>3</v>
      </c>
      <c r="AL66">
        <v>3</v>
      </c>
      <c r="AM66" t="s">
        <v>150</v>
      </c>
      <c r="AN66">
        <v>714</v>
      </c>
      <c r="AO66">
        <v>335</v>
      </c>
      <c r="AP66">
        <v>1568</v>
      </c>
      <c r="AQ66">
        <v>1568</v>
      </c>
      <c r="AS66">
        <v>4</v>
      </c>
      <c r="AT66">
        <v>99</v>
      </c>
      <c r="AU66" t="s">
        <v>62</v>
      </c>
      <c r="AV66">
        <v>20</v>
      </c>
      <c r="AW66" t="s">
        <v>53</v>
      </c>
      <c r="AX66">
        <v>22</v>
      </c>
      <c r="AY66">
        <f t="shared" si="0"/>
        <v>15</v>
      </c>
      <c r="AZ66">
        <v>124</v>
      </c>
      <c r="BA66" t="str">
        <f t="shared" si="1"/>
        <v/>
      </c>
      <c r="BB66">
        <f t="shared" si="2"/>
        <v>6</v>
      </c>
      <c r="BC66">
        <f t="shared" si="3"/>
        <v>0</v>
      </c>
    </row>
    <row r="67" spans="1:55" x14ac:dyDescent="0.3">
      <c r="A67">
        <v>1325</v>
      </c>
      <c r="B67" s="2">
        <v>45937.579074074078</v>
      </c>
      <c r="C67">
        <v>110000</v>
      </c>
      <c r="D67">
        <v>60000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30000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6</v>
      </c>
      <c r="X67">
        <v>170000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76</v>
      </c>
      <c r="AN67">
        <v>715</v>
      </c>
      <c r="AO67">
        <v>319</v>
      </c>
      <c r="AS67">
        <v>0</v>
      </c>
      <c r="AT67">
        <v>99</v>
      </c>
      <c r="AU67" t="s">
        <v>62</v>
      </c>
      <c r="AV67">
        <v>20</v>
      </c>
      <c r="AW67" t="s">
        <v>53</v>
      </c>
      <c r="AX67">
        <v>22</v>
      </c>
      <c r="AY67">
        <f t="shared" ref="AY67:AY121" si="4">AG67+AH67</f>
        <v>0</v>
      </c>
      <c r="AZ67">
        <v>126</v>
      </c>
      <c r="BA67" t="str">
        <f t="shared" ref="BA67:BA121" si="5">IF(AY68=12,"(U-village)",IF(AY68=13,"(Dike-town)",IF(AY68=15,"(Natu-city)","")))</f>
        <v>(U-village)</v>
      </c>
      <c r="BB67">
        <f t="shared" ref="BB67:BB121" si="6">AK67+AL67</f>
        <v>0</v>
      </c>
      <c r="BC67">
        <f t="shared" ref="BC67:BC121" si="7">L67+M67</f>
        <v>0</v>
      </c>
    </row>
    <row r="68" spans="1:55" x14ac:dyDescent="0.3">
      <c r="A68">
        <v>1342</v>
      </c>
      <c r="B68" s="2">
        <v>45937.579074074078</v>
      </c>
      <c r="C68">
        <v>110000</v>
      </c>
      <c r="D68">
        <v>60000</v>
      </c>
      <c r="E68">
        <v>0</v>
      </c>
      <c r="F68">
        <v>12500</v>
      </c>
      <c r="G68">
        <v>0</v>
      </c>
      <c r="H68">
        <v>0</v>
      </c>
      <c r="I68">
        <v>20000</v>
      </c>
      <c r="J68">
        <v>22000</v>
      </c>
      <c r="K68">
        <v>9375</v>
      </c>
      <c r="L68">
        <v>0</v>
      </c>
      <c r="M68">
        <v>0</v>
      </c>
      <c r="N68">
        <v>16125</v>
      </c>
      <c r="O68">
        <v>0</v>
      </c>
      <c r="P68">
        <v>-2</v>
      </c>
      <c r="Q68">
        <v>3</v>
      </c>
      <c r="R68">
        <v>3</v>
      </c>
      <c r="S68">
        <v>0</v>
      </c>
      <c r="T68">
        <v>0</v>
      </c>
      <c r="U68">
        <v>0</v>
      </c>
      <c r="V68">
        <v>9</v>
      </c>
      <c r="W68">
        <v>6</v>
      </c>
      <c r="X68">
        <v>170000</v>
      </c>
      <c r="Y68">
        <v>0</v>
      </c>
      <c r="Z68">
        <v>0</v>
      </c>
      <c r="AA68">
        <v>0</v>
      </c>
      <c r="AB68">
        <v>125000</v>
      </c>
      <c r="AC68">
        <v>125000</v>
      </c>
      <c r="AD68">
        <v>112500</v>
      </c>
      <c r="AG68">
        <v>6</v>
      </c>
      <c r="AH68">
        <v>6</v>
      </c>
      <c r="AI68">
        <v>0</v>
      </c>
      <c r="AJ68">
        <v>0</v>
      </c>
      <c r="AK68">
        <v>3</v>
      </c>
      <c r="AL68">
        <v>1</v>
      </c>
      <c r="AM68" t="s">
        <v>149</v>
      </c>
      <c r="AN68">
        <v>715</v>
      </c>
      <c r="AO68">
        <v>322</v>
      </c>
      <c r="AQ68">
        <v>1577</v>
      </c>
      <c r="AS68">
        <v>1</v>
      </c>
      <c r="AT68">
        <v>99</v>
      </c>
      <c r="AU68" t="s">
        <v>62</v>
      </c>
      <c r="AV68">
        <v>20</v>
      </c>
      <c r="AW68" t="s">
        <v>53</v>
      </c>
      <c r="AX68">
        <v>22</v>
      </c>
      <c r="AY68">
        <f t="shared" si="4"/>
        <v>12</v>
      </c>
      <c r="AZ68">
        <v>126</v>
      </c>
      <c r="BA68" t="str">
        <f t="shared" si="5"/>
        <v>(U-village)</v>
      </c>
      <c r="BB68">
        <f t="shared" si="6"/>
        <v>4</v>
      </c>
      <c r="BC68">
        <f t="shared" si="7"/>
        <v>0</v>
      </c>
    </row>
    <row r="69" spans="1:55" x14ac:dyDescent="0.3">
      <c r="A69">
        <v>1370</v>
      </c>
      <c r="B69" s="2">
        <v>45937.579074074078</v>
      </c>
      <c r="C69">
        <v>110000</v>
      </c>
      <c r="D69">
        <v>60000</v>
      </c>
      <c r="E69">
        <v>0</v>
      </c>
      <c r="F69">
        <v>12500</v>
      </c>
      <c r="G69">
        <v>0</v>
      </c>
      <c r="H69">
        <v>0</v>
      </c>
      <c r="I69">
        <v>20000</v>
      </c>
      <c r="J69">
        <v>11000</v>
      </c>
      <c r="K69">
        <v>8750</v>
      </c>
      <c r="L69">
        <v>0</v>
      </c>
      <c r="M69">
        <v>0</v>
      </c>
      <c r="N69">
        <v>13875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>
        <v>0</v>
      </c>
      <c r="V69">
        <v>10</v>
      </c>
      <c r="W69">
        <v>6</v>
      </c>
      <c r="X69">
        <v>170000</v>
      </c>
      <c r="Y69">
        <v>125000</v>
      </c>
      <c r="Z69">
        <v>112500</v>
      </c>
      <c r="AA69">
        <v>0</v>
      </c>
      <c r="AB69">
        <v>0</v>
      </c>
      <c r="AC69">
        <v>125000</v>
      </c>
      <c r="AD69">
        <v>100000</v>
      </c>
      <c r="AG69">
        <v>6</v>
      </c>
      <c r="AH69">
        <v>6</v>
      </c>
      <c r="AI69">
        <v>0</v>
      </c>
      <c r="AJ69">
        <v>0</v>
      </c>
      <c r="AK69">
        <v>5</v>
      </c>
      <c r="AL69">
        <v>4</v>
      </c>
      <c r="AM69" t="s">
        <v>149</v>
      </c>
      <c r="AN69">
        <v>715</v>
      </c>
      <c r="AO69">
        <v>326</v>
      </c>
      <c r="AP69">
        <v>1577</v>
      </c>
      <c r="AQ69">
        <v>1577</v>
      </c>
      <c r="AS69">
        <v>2</v>
      </c>
      <c r="AT69">
        <v>99</v>
      </c>
      <c r="AU69" t="s">
        <v>62</v>
      </c>
      <c r="AV69">
        <v>20</v>
      </c>
      <c r="AW69" t="s">
        <v>53</v>
      </c>
      <c r="AX69">
        <v>22</v>
      </c>
      <c r="AY69">
        <f t="shared" si="4"/>
        <v>12</v>
      </c>
      <c r="AZ69">
        <v>126</v>
      </c>
      <c r="BA69" t="str">
        <f t="shared" si="5"/>
        <v>(U-village)</v>
      </c>
      <c r="BB69">
        <f t="shared" si="6"/>
        <v>9</v>
      </c>
      <c r="BC69">
        <f t="shared" si="7"/>
        <v>0</v>
      </c>
    </row>
    <row r="70" spans="1:55" x14ac:dyDescent="0.3">
      <c r="A70">
        <v>1404</v>
      </c>
      <c r="B70" s="2">
        <v>45937.579074074078</v>
      </c>
      <c r="C70">
        <v>110000</v>
      </c>
      <c r="D70">
        <v>60000</v>
      </c>
      <c r="E70">
        <v>0</v>
      </c>
      <c r="F70">
        <v>12500</v>
      </c>
      <c r="G70">
        <v>0</v>
      </c>
      <c r="H70">
        <v>0</v>
      </c>
      <c r="I70">
        <v>20000</v>
      </c>
      <c r="J70">
        <v>0</v>
      </c>
      <c r="K70">
        <v>17375</v>
      </c>
      <c r="L70">
        <v>0</v>
      </c>
      <c r="M70">
        <v>0</v>
      </c>
      <c r="N70">
        <v>14000</v>
      </c>
      <c r="O70">
        <v>0</v>
      </c>
      <c r="P70">
        <v>0</v>
      </c>
      <c r="Q70">
        <v>0</v>
      </c>
      <c r="R70">
        <v>4</v>
      </c>
      <c r="S70">
        <v>0</v>
      </c>
      <c r="T70">
        <v>0</v>
      </c>
      <c r="U70">
        <v>0</v>
      </c>
      <c r="V70">
        <v>14</v>
      </c>
      <c r="W70">
        <v>6</v>
      </c>
      <c r="X70">
        <v>170000</v>
      </c>
      <c r="Y70">
        <v>125000</v>
      </c>
      <c r="Z70">
        <v>100000</v>
      </c>
      <c r="AA70">
        <v>0</v>
      </c>
      <c r="AB70">
        <v>0</v>
      </c>
      <c r="AC70">
        <v>125000</v>
      </c>
      <c r="AD70">
        <v>75000</v>
      </c>
      <c r="AG70">
        <v>6</v>
      </c>
      <c r="AH70">
        <v>6</v>
      </c>
      <c r="AI70">
        <v>-2</v>
      </c>
      <c r="AJ70">
        <v>-1</v>
      </c>
      <c r="AK70">
        <v>5</v>
      </c>
      <c r="AL70">
        <v>4</v>
      </c>
      <c r="AM70" t="s">
        <v>149</v>
      </c>
      <c r="AN70">
        <v>715</v>
      </c>
      <c r="AO70">
        <v>331</v>
      </c>
      <c r="AP70">
        <v>1577</v>
      </c>
      <c r="AQ70">
        <v>1577</v>
      </c>
      <c r="AS70">
        <v>3</v>
      </c>
      <c r="AT70">
        <v>99</v>
      </c>
      <c r="AU70" t="s">
        <v>62</v>
      </c>
      <c r="AV70">
        <v>20</v>
      </c>
      <c r="AW70" t="s">
        <v>53</v>
      </c>
      <c r="AX70">
        <v>22</v>
      </c>
      <c r="AY70">
        <f t="shared" si="4"/>
        <v>12</v>
      </c>
      <c r="AZ70">
        <v>126</v>
      </c>
      <c r="BA70" t="str">
        <f t="shared" si="5"/>
        <v>(U-village)</v>
      </c>
      <c r="BB70">
        <f t="shared" si="6"/>
        <v>9</v>
      </c>
      <c r="BC70">
        <f t="shared" si="7"/>
        <v>0</v>
      </c>
    </row>
    <row r="71" spans="1:55" x14ac:dyDescent="0.3">
      <c r="A71">
        <v>1424</v>
      </c>
      <c r="B71" s="2">
        <v>45937.579074074078</v>
      </c>
      <c r="C71">
        <v>110000</v>
      </c>
      <c r="D71">
        <v>60000</v>
      </c>
      <c r="E71">
        <v>0</v>
      </c>
      <c r="F71">
        <v>12500</v>
      </c>
      <c r="G71">
        <v>0</v>
      </c>
      <c r="H71">
        <v>0</v>
      </c>
      <c r="I71">
        <v>20000</v>
      </c>
      <c r="J71">
        <v>0</v>
      </c>
      <c r="K71">
        <v>17375</v>
      </c>
      <c r="L71">
        <v>0</v>
      </c>
      <c r="M71">
        <v>0</v>
      </c>
      <c r="N71">
        <v>14125</v>
      </c>
      <c r="O71">
        <v>0</v>
      </c>
      <c r="P71">
        <v>0</v>
      </c>
      <c r="Q71">
        <v>0</v>
      </c>
      <c r="R71">
        <v>4</v>
      </c>
      <c r="S71">
        <v>1</v>
      </c>
      <c r="T71">
        <v>0</v>
      </c>
      <c r="U71">
        <v>0</v>
      </c>
      <c r="V71">
        <v>17</v>
      </c>
      <c r="W71">
        <v>6</v>
      </c>
      <c r="X71">
        <v>170000</v>
      </c>
      <c r="Y71">
        <v>125000</v>
      </c>
      <c r="Z71">
        <v>75000</v>
      </c>
      <c r="AA71">
        <v>0</v>
      </c>
      <c r="AB71">
        <v>0</v>
      </c>
      <c r="AC71">
        <v>125000</v>
      </c>
      <c r="AD71">
        <v>62500</v>
      </c>
      <c r="AG71">
        <v>6</v>
      </c>
      <c r="AH71">
        <v>6</v>
      </c>
      <c r="AI71">
        <v>-2</v>
      </c>
      <c r="AJ71">
        <v>-1</v>
      </c>
      <c r="AK71">
        <v>5</v>
      </c>
      <c r="AL71">
        <v>4</v>
      </c>
      <c r="AM71" t="s">
        <v>149</v>
      </c>
      <c r="AN71">
        <v>715</v>
      </c>
      <c r="AO71">
        <v>335</v>
      </c>
      <c r="AP71">
        <v>1577</v>
      </c>
      <c r="AQ71">
        <v>1577</v>
      </c>
      <c r="AS71">
        <v>4</v>
      </c>
      <c r="AT71">
        <v>99</v>
      </c>
      <c r="AU71" t="s">
        <v>62</v>
      </c>
      <c r="AV71">
        <v>20</v>
      </c>
      <c r="AW71" t="s">
        <v>53</v>
      </c>
      <c r="AX71">
        <v>22</v>
      </c>
      <c r="AY71">
        <f t="shared" si="4"/>
        <v>12</v>
      </c>
      <c r="AZ71">
        <v>126</v>
      </c>
      <c r="BA71" t="str">
        <f t="shared" si="5"/>
        <v/>
      </c>
      <c r="BB71">
        <f t="shared" si="6"/>
        <v>9</v>
      </c>
      <c r="BC71">
        <f t="shared" si="7"/>
        <v>0</v>
      </c>
    </row>
    <row r="72" spans="1:55" x14ac:dyDescent="0.3">
      <c r="A72">
        <v>1337</v>
      </c>
      <c r="B72" s="2">
        <v>45937.595150462963</v>
      </c>
      <c r="C72">
        <v>60000</v>
      </c>
      <c r="D72">
        <v>30000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80000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76</v>
      </c>
      <c r="AN72">
        <v>716</v>
      </c>
      <c r="AO72">
        <v>319</v>
      </c>
      <c r="AS72">
        <v>0</v>
      </c>
      <c r="AT72">
        <v>99</v>
      </c>
      <c r="AU72" t="s">
        <v>62</v>
      </c>
      <c r="AV72">
        <v>20</v>
      </c>
      <c r="AW72" t="s">
        <v>53</v>
      </c>
      <c r="AX72">
        <v>22</v>
      </c>
      <c r="AY72">
        <f t="shared" si="4"/>
        <v>0</v>
      </c>
      <c r="AZ72">
        <v>123</v>
      </c>
      <c r="BA72" t="str">
        <f t="shared" si="5"/>
        <v>(U-village)</v>
      </c>
      <c r="BB72">
        <f t="shared" si="6"/>
        <v>0</v>
      </c>
      <c r="BC72">
        <f t="shared" si="7"/>
        <v>0</v>
      </c>
    </row>
    <row r="73" spans="1:55" x14ac:dyDescent="0.3">
      <c r="A73">
        <v>1341</v>
      </c>
      <c r="B73" s="2">
        <v>45937.595150462963</v>
      </c>
      <c r="C73">
        <v>60000</v>
      </c>
      <c r="D73">
        <v>30000</v>
      </c>
      <c r="E73">
        <v>0</v>
      </c>
      <c r="F73">
        <v>7000</v>
      </c>
      <c r="G73">
        <v>0</v>
      </c>
      <c r="H73">
        <v>0</v>
      </c>
      <c r="I73">
        <v>20000</v>
      </c>
      <c r="J73">
        <v>1000</v>
      </c>
      <c r="K73">
        <v>1400</v>
      </c>
      <c r="L73">
        <v>0</v>
      </c>
      <c r="M73">
        <v>0</v>
      </c>
      <c r="N73">
        <v>600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3</v>
      </c>
      <c r="X73">
        <v>80000</v>
      </c>
      <c r="Y73">
        <v>0</v>
      </c>
      <c r="Z73">
        <v>0</v>
      </c>
      <c r="AA73">
        <v>0</v>
      </c>
      <c r="AB73">
        <v>70000</v>
      </c>
      <c r="AC73">
        <v>70000</v>
      </c>
      <c r="AD73">
        <v>63000</v>
      </c>
      <c r="AG73">
        <v>6</v>
      </c>
      <c r="AH73">
        <v>6</v>
      </c>
      <c r="AI73">
        <v>0</v>
      </c>
      <c r="AJ73">
        <v>0</v>
      </c>
      <c r="AK73">
        <v>1</v>
      </c>
      <c r="AL73">
        <v>2</v>
      </c>
      <c r="AM73" t="s">
        <v>149</v>
      </c>
      <c r="AN73">
        <v>716</v>
      </c>
      <c r="AO73">
        <v>322</v>
      </c>
      <c r="AQ73">
        <v>1578</v>
      </c>
      <c r="AS73">
        <v>1</v>
      </c>
      <c r="AT73">
        <v>99</v>
      </c>
      <c r="AU73" t="s">
        <v>62</v>
      </c>
      <c r="AV73">
        <v>20</v>
      </c>
      <c r="AW73" t="s">
        <v>53</v>
      </c>
      <c r="AX73">
        <v>22</v>
      </c>
      <c r="AY73">
        <f t="shared" si="4"/>
        <v>12</v>
      </c>
      <c r="AZ73">
        <v>123</v>
      </c>
      <c r="BA73" t="str">
        <f t="shared" si="5"/>
        <v>(U-village)</v>
      </c>
      <c r="BB73">
        <f t="shared" si="6"/>
        <v>3</v>
      </c>
      <c r="BC73">
        <f t="shared" si="7"/>
        <v>0</v>
      </c>
    </row>
    <row r="74" spans="1:55" x14ac:dyDescent="0.3">
      <c r="A74">
        <v>1372</v>
      </c>
      <c r="B74" s="2">
        <v>45937.595150462963</v>
      </c>
      <c r="C74">
        <v>60000</v>
      </c>
      <c r="D74">
        <v>30000</v>
      </c>
      <c r="E74">
        <v>0</v>
      </c>
      <c r="F74">
        <v>7000</v>
      </c>
      <c r="G74">
        <v>0</v>
      </c>
      <c r="H74">
        <v>0</v>
      </c>
      <c r="I74">
        <v>20000</v>
      </c>
      <c r="J74">
        <v>0</v>
      </c>
      <c r="K74">
        <v>3150</v>
      </c>
      <c r="L74">
        <v>0</v>
      </c>
      <c r="M74">
        <v>0</v>
      </c>
      <c r="N74">
        <v>450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4</v>
      </c>
      <c r="W74">
        <v>3</v>
      </c>
      <c r="X74">
        <v>80000</v>
      </c>
      <c r="Y74">
        <v>70000</v>
      </c>
      <c r="Z74">
        <v>63000</v>
      </c>
      <c r="AA74">
        <v>0</v>
      </c>
      <c r="AB74">
        <v>0</v>
      </c>
      <c r="AC74">
        <v>70000</v>
      </c>
      <c r="AD74">
        <v>56000</v>
      </c>
      <c r="AG74">
        <v>6</v>
      </c>
      <c r="AH74">
        <v>6</v>
      </c>
      <c r="AI74">
        <v>0</v>
      </c>
      <c r="AJ74">
        <v>0</v>
      </c>
      <c r="AK74">
        <v>1</v>
      </c>
      <c r="AL74">
        <v>2</v>
      </c>
      <c r="AM74" t="s">
        <v>149</v>
      </c>
      <c r="AN74">
        <v>716</v>
      </c>
      <c r="AO74">
        <v>326</v>
      </c>
      <c r="AP74">
        <v>1578</v>
      </c>
      <c r="AQ74">
        <v>1578</v>
      </c>
      <c r="AS74">
        <v>2</v>
      </c>
      <c r="AT74">
        <v>99</v>
      </c>
      <c r="AU74" t="s">
        <v>62</v>
      </c>
      <c r="AV74">
        <v>20</v>
      </c>
      <c r="AW74" t="s">
        <v>53</v>
      </c>
      <c r="AX74">
        <v>22</v>
      </c>
      <c r="AY74">
        <f t="shared" si="4"/>
        <v>12</v>
      </c>
      <c r="AZ74">
        <v>123</v>
      </c>
      <c r="BA74" t="str">
        <f t="shared" si="5"/>
        <v>(U-village)</v>
      </c>
      <c r="BB74">
        <f t="shared" si="6"/>
        <v>3</v>
      </c>
      <c r="BC74">
        <f t="shared" si="7"/>
        <v>0</v>
      </c>
    </row>
    <row r="75" spans="1:55" x14ac:dyDescent="0.3">
      <c r="A75">
        <v>1400</v>
      </c>
      <c r="B75" s="2">
        <v>45937.595150462963</v>
      </c>
      <c r="C75">
        <v>60000</v>
      </c>
      <c r="D75">
        <v>30000</v>
      </c>
      <c r="E75">
        <v>0</v>
      </c>
      <c r="F75">
        <v>7000</v>
      </c>
      <c r="G75">
        <v>0</v>
      </c>
      <c r="H75">
        <v>0</v>
      </c>
      <c r="I75">
        <v>20000</v>
      </c>
      <c r="J75">
        <v>0</v>
      </c>
      <c r="K75">
        <v>3150</v>
      </c>
      <c r="L75">
        <v>0</v>
      </c>
      <c r="M75">
        <v>4000</v>
      </c>
      <c r="N75">
        <v>-3700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4</v>
      </c>
      <c r="W75">
        <v>3</v>
      </c>
      <c r="X75">
        <v>80000</v>
      </c>
      <c r="Y75">
        <v>70000</v>
      </c>
      <c r="Z75">
        <v>56000</v>
      </c>
      <c r="AA75">
        <v>0</v>
      </c>
      <c r="AB75">
        <v>0</v>
      </c>
      <c r="AC75">
        <v>70000</v>
      </c>
      <c r="AD75">
        <v>42000</v>
      </c>
      <c r="AG75">
        <v>6</v>
      </c>
      <c r="AH75">
        <v>6</v>
      </c>
      <c r="AI75">
        <v>-2</v>
      </c>
      <c r="AJ75">
        <v>-1</v>
      </c>
      <c r="AK75">
        <v>1</v>
      </c>
      <c r="AL75">
        <v>2</v>
      </c>
      <c r="AM75" t="s">
        <v>149</v>
      </c>
      <c r="AN75">
        <v>716</v>
      </c>
      <c r="AO75">
        <v>331</v>
      </c>
      <c r="AP75">
        <v>1578</v>
      </c>
      <c r="AQ75">
        <v>1578</v>
      </c>
      <c r="AS75">
        <v>3</v>
      </c>
      <c r="AT75">
        <v>99</v>
      </c>
      <c r="AU75" t="s">
        <v>62</v>
      </c>
      <c r="AV75">
        <v>20</v>
      </c>
      <c r="AW75" t="s">
        <v>53</v>
      </c>
      <c r="AX75">
        <v>22</v>
      </c>
      <c r="AY75">
        <f t="shared" si="4"/>
        <v>12</v>
      </c>
      <c r="AZ75">
        <v>123</v>
      </c>
      <c r="BA75" t="str">
        <f t="shared" si="5"/>
        <v>(Dike-town)</v>
      </c>
      <c r="BB75">
        <f t="shared" si="6"/>
        <v>3</v>
      </c>
      <c r="BC75">
        <f t="shared" si="7"/>
        <v>4000</v>
      </c>
    </row>
    <row r="76" spans="1:55" x14ac:dyDescent="0.3">
      <c r="A76">
        <v>1427</v>
      </c>
      <c r="B76" s="2">
        <v>45937.595150462963</v>
      </c>
      <c r="C76">
        <v>60000</v>
      </c>
      <c r="D76">
        <v>30000</v>
      </c>
      <c r="E76">
        <v>3700</v>
      </c>
      <c r="F76">
        <v>8000</v>
      </c>
      <c r="G76">
        <v>28000</v>
      </c>
      <c r="H76">
        <v>0</v>
      </c>
      <c r="I76">
        <v>20000</v>
      </c>
      <c r="J76">
        <v>18000</v>
      </c>
      <c r="K76">
        <v>7600</v>
      </c>
      <c r="L76">
        <v>0</v>
      </c>
      <c r="M76">
        <v>0</v>
      </c>
      <c r="N76">
        <v>700</v>
      </c>
      <c r="O76">
        <v>1</v>
      </c>
      <c r="P76">
        <v>-1</v>
      </c>
      <c r="Q76">
        <v>1</v>
      </c>
      <c r="R76">
        <v>3</v>
      </c>
      <c r="S76">
        <v>0</v>
      </c>
      <c r="T76">
        <v>0</v>
      </c>
      <c r="U76">
        <v>1</v>
      </c>
      <c r="V76">
        <v>5</v>
      </c>
      <c r="W76">
        <v>3</v>
      </c>
      <c r="X76">
        <v>80000</v>
      </c>
      <c r="Y76">
        <v>70000</v>
      </c>
      <c r="Z76">
        <v>42000</v>
      </c>
      <c r="AA76">
        <v>70000</v>
      </c>
      <c r="AB76">
        <v>80000</v>
      </c>
      <c r="AC76">
        <v>80000</v>
      </c>
      <c r="AD76">
        <v>72000</v>
      </c>
      <c r="AE76">
        <v>35</v>
      </c>
      <c r="AG76">
        <v>4</v>
      </c>
      <c r="AH76">
        <v>9</v>
      </c>
      <c r="AI76">
        <v>-2</v>
      </c>
      <c r="AJ76">
        <v>-1</v>
      </c>
      <c r="AK76">
        <v>5</v>
      </c>
      <c r="AL76">
        <v>3</v>
      </c>
      <c r="AM76" t="s">
        <v>149</v>
      </c>
      <c r="AN76">
        <v>716</v>
      </c>
      <c r="AO76">
        <v>335</v>
      </c>
      <c r="AP76">
        <v>1578</v>
      </c>
      <c r="AQ76">
        <v>1643</v>
      </c>
      <c r="AS76">
        <v>4</v>
      </c>
      <c r="AT76">
        <v>99</v>
      </c>
      <c r="AU76" t="s">
        <v>62</v>
      </c>
      <c r="AV76">
        <v>20</v>
      </c>
      <c r="AW76" t="s">
        <v>53</v>
      </c>
      <c r="AX76">
        <v>22</v>
      </c>
      <c r="AY76">
        <f t="shared" si="4"/>
        <v>13</v>
      </c>
      <c r="AZ76">
        <v>123</v>
      </c>
      <c r="BA76" t="str">
        <f t="shared" si="5"/>
        <v/>
      </c>
      <c r="BB76">
        <f t="shared" si="6"/>
        <v>8</v>
      </c>
      <c r="BC76">
        <f t="shared" si="7"/>
        <v>0</v>
      </c>
    </row>
    <row r="77" spans="1:55" x14ac:dyDescent="0.3">
      <c r="A77">
        <v>1326</v>
      </c>
      <c r="B77" s="2">
        <v>45937.579351851848</v>
      </c>
      <c r="C77">
        <v>90000</v>
      </c>
      <c r="D77">
        <v>50000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5</v>
      </c>
      <c r="X77">
        <v>130000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76</v>
      </c>
      <c r="AN77">
        <v>717</v>
      </c>
      <c r="AO77">
        <v>319</v>
      </c>
      <c r="AS77">
        <v>0</v>
      </c>
      <c r="AT77">
        <v>99</v>
      </c>
      <c r="AU77" t="s">
        <v>62</v>
      </c>
      <c r="AV77">
        <v>20</v>
      </c>
      <c r="AW77" t="s">
        <v>53</v>
      </c>
      <c r="AX77">
        <v>22</v>
      </c>
      <c r="AY77">
        <f t="shared" si="4"/>
        <v>0</v>
      </c>
      <c r="AZ77">
        <v>125</v>
      </c>
      <c r="BA77" t="str">
        <f t="shared" si="5"/>
        <v>(Dike-town)</v>
      </c>
      <c r="BB77">
        <f t="shared" si="6"/>
        <v>0</v>
      </c>
      <c r="BC77">
        <f t="shared" si="7"/>
        <v>0</v>
      </c>
    </row>
    <row r="78" spans="1:55" x14ac:dyDescent="0.3">
      <c r="A78">
        <v>1357</v>
      </c>
      <c r="B78" s="2">
        <v>45937.579351851848</v>
      </c>
      <c r="C78">
        <v>90000</v>
      </c>
      <c r="D78">
        <v>50000</v>
      </c>
      <c r="E78">
        <v>0</v>
      </c>
      <c r="F78">
        <v>13000</v>
      </c>
      <c r="G78">
        <v>0</v>
      </c>
      <c r="H78">
        <v>30000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-8000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5</v>
      </c>
      <c r="X78">
        <v>130000</v>
      </c>
      <c r="Y78">
        <v>0</v>
      </c>
      <c r="Z78">
        <v>0</v>
      </c>
      <c r="AA78">
        <v>0</v>
      </c>
      <c r="AB78">
        <v>160000</v>
      </c>
      <c r="AC78">
        <v>130000</v>
      </c>
      <c r="AD78">
        <v>117000</v>
      </c>
      <c r="AG78">
        <v>4</v>
      </c>
      <c r="AH78">
        <v>9</v>
      </c>
      <c r="AI78">
        <v>0</v>
      </c>
      <c r="AJ78">
        <v>0</v>
      </c>
      <c r="AK78">
        <v>0</v>
      </c>
      <c r="AL78">
        <v>0</v>
      </c>
      <c r="AM78" t="s">
        <v>149</v>
      </c>
      <c r="AN78">
        <v>717</v>
      </c>
      <c r="AO78">
        <v>322</v>
      </c>
      <c r="AQ78">
        <v>1571</v>
      </c>
      <c r="AS78">
        <v>1</v>
      </c>
      <c r="AT78">
        <v>99</v>
      </c>
      <c r="AU78" t="s">
        <v>62</v>
      </c>
      <c r="AV78">
        <v>20</v>
      </c>
      <c r="AW78" t="s">
        <v>53</v>
      </c>
      <c r="AX78">
        <v>22</v>
      </c>
      <c r="AY78">
        <f t="shared" si="4"/>
        <v>13</v>
      </c>
      <c r="AZ78">
        <v>125</v>
      </c>
      <c r="BA78" t="str">
        <f t="shared" si="5"/>
        <v>(Dike-town)</v>
      </c>
      <c r="BB78">
        <f t="shared" si="6"/>
        <v>0</v>
      </c>
      <c r="BC78">
        <f t="shared" si="7"/>
        <v>0</v>
      </c>
    </row>
    <row r="79" spans="1:55" x14ac:dyDescent="0.3">
      <c r="A79">
        <v>1369</v>
      </c>
      <c r="B79" s="2">
        <v>45937.579351851848</v>
      </c>
      <c r="C79">
        <v>90000</v>
      </c>
      <c r="D79">
        <v>50000</v>
      </c>
      <c r="E79">
        <v>8000</v>
      </c>
      <c r="F79">
        <v>13000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-5000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3</v>
      </c>
      <c r="W79">
        <v>5</v>
      </c>
      <c r="X79">
        <v>130000</v>
      </c>
      <c r="Y79">
        <v>130000</v>
      </c>
      <c r="Z79">
        <v>117000</v>
      </c>
      <c r="AA79">
        <v>0</v>
      </c>
      <c r="AB79">
        <v>0</v>
      </c>
      <c r="AC79">
        <v>130000</v>
      </c>
      <c r="AD79">
        <v>91000</v>
      </c>
      <c r="AG79">
        <v>4</v>
      </c>
      <c r="AH79">
        <v>9</v>
      </c>
      <c r="AI79">
        <v>0</v>
      </c>
      <c r="AJ79">
        <v>0</v>
      </c>
      <c r="AK79">
        <v>0</v>
      </c>
      <c r="AL79">
        <v>0</v>
      </c>
      <c r="AM79" t="s">
        <v>149</v>
      </c>
      <c r="AN79">
        <v>717</v>
      </c>
      <c r="AO79">
        <v>326</v>
      </c>
      <c r="AP79">
        <v>1571</v>
      </c>
      <c r="AQ79">
        <v>1571</v>
      </c>
      <c r="AS79">
        <v>2</v>
      </c>
      <c r="AT79">
        <v>99</v>
      </c>
      <c r="AU79" t="s">
        <v>62</v>
      </c>
      <c r="AV79">
        <v>20</v>
      </c>
      <c r="AW79" t="s">
        <v>53</v>
      </c>
      <c r="AX79">
        <v>22</v>
      </c>
      <c r="AY79">
        <f t="shared" si="4"/>
        <v>13</v>
      </c>
      <c r="AZ79">
        <v>125</v>
      </c>
      <c r="BA79" t="str">
        <f t="shared" si="5"/>
        <v>(Dike-town)</v>
      </c>
      <c r="BB79">
        <f t="shared" si="6"/>
        <v>0</v>
      </c>
      <c r="BC79">
        <f t="shared" si="7"/>
        <v>4000</v>
      </c>
    </row>
    <row r="80" spans="1:55" x14ac:dyDescent="0.3">
      <c r="A80">
        <v>1401</v>
      </c>
      <c r="B80" s="2">
        <v>45937.579351851848</v>
      </c>
      <c r="C80">
        <v>90000</v>
      </c>
      <c r="D80">
        <v>50000</v>
      </c>
      <c r="E80">
        <v>5000</v>
      </c>
      <c r="F80">
        <v>13000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0</v>
      </c>
      <c r="M80">
        <v>4000</v>
      </c>
      <c r="N80">
        <v>-2000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5</v>
      </c>
      <c r="X80">
        <v>130000</v>
      </c>
      <c r="Y80">
        <v>130000</v>
      </c>
      <c r="Z80">
        <v>91000</v>
      </c>
      <c r="AA80">
        <v>0</v>
      </c>
      <c r="AB80">
        <v>0</v>
      </c>
      <c r="AC80">
        <v>130000</v>
      </c>
      <c r="AD80">
        <v>78000</v>
      </c>
      <c r="AG80">
        <v>4</v>
      </c>
      <c r="AH80">
        <v>9</v>
      </c>
      <c r="AI80">
        <v>-2</v>
      </c>
      <c r="AJ80">
        <v>-1</v>
      </c>
      <c r="AK80">
        <v>0</v>
      </c>
      <c r="AL80">
        <v>0</v>
      </c>
      <c r="AM80" t="s">
        <v>149</v>
      </c>
      <c r="AN80">
        <v>717</v>
      </c>
      <c r="AO80">
        <v>331</v>
      </c>
      <c r="AP80">
        <v>1571</v>
      </c>
      <c r="AQ80">
        <v>1571</v>
      </c>
      <c r="AS80">
        <v>3</v>
      </c>
      <c r="AT80">
        <v>99</v>
      </c>
      <c r="AU80" t="s">
        <v>62</v>
      </c>
      <c r="AV80">
        <v>20</v>
      </c>
      <c r="AW80" t="s">
        <v>53</v>
      </c>
      <c r="AX80">
        <v>22</v>
      </c>
      <c r="AY80">
        <f t="shared" si="4"/>
        <v>13</v>
      </c>
      <c r="AZ80">
        <v>125</v>
      </c>
      <c r="BA80" t="str">
        <f t="shared" si="5"/>
        <v>(Natu-city)</v>
      </c>
      <c r="BB80">
        <f t="shared" si="6"/>
        <v>0</v>
      </c>
      <c r="BC80">
        <f t="shared" si="7"/>
        <v>4000</v>
      </c>
    </row>
    <row r="81" spans="1:55" x14ac:dyDescent="0.3">
      <c r="A81">
        <v>1434</v>
      </c>
      <c r="B81" s="2">
        <v>45937.579351851848</v>
      </c>
      <c r="C81">
        <v>90000</v>
      </c>
      <c r="D81">
        <v>50000</v>
      </c>
      <c r="E81">
        <v>2000</v>
      </c>
      <c r="F81">
        <v>13000</v>
      </c>
      <c r="G81">
        <v>82000</v>
      </c>
      <c r="H81">
        <v>70000</v>
      </c>
      <c r="I81">
        <v>20000</v>
      </c>
      <c r="J81">
        <v>6000</v>
      </c>
      <c r="K81">
        <v>10000</v>
      </c>
      <c r="L81">
        <v>0</v>
      </c>
      <c r="M81">
        <v>0</v>
      </c>
      <c r="N81">
        <v>1000</v>
      </c>
      <c r="O81">
        <v>1</v>
      </c>
      <c r="P81">
        <v>1</v>
      </c>
      <c r="Q81">
        <v>1</v>
      </c>
      <c r="R81">
        <v>2</v>
      </c>
      <c r="S81">
        <v>0</v>
      </c>
      <c r="T81">
        <v>0</v>
      </c>
      <c r="U81">
        <v>1</v>
      </c>
      <c r="V81">
        <v>7</v>
      </c>
      <c r="W81">
        <v>5</v>
      </c>
      <c r="X81">
        <v>130000</v>
      </c>
      <c r="Y81">
        <v>130000</v>
      </c>
      <c r="Z81">
        <v>78000</v>
      </c>
      <c r="AA81">
        <v>160000</v>
      </c>
      <c r="AB81">
        <v>200000</v>
      </c>
      <c r="AC81">
        <v>130000</v>
      </c>
      <c r="AD81">
        <v>117000</v>
      </c>
      <c r="AE81">
        <v>35</v>
      </c>
      <c r="AG81">
        <v>6</v>
      </c>
      <c r="AH81">
        <v>9</v>
      </c>
      <c r="AI81">
        <v>-2</v>
      </c>
      <c r="AJ81">
        <v>-1</v>
      </c>
      <c r="AK81">
        <v>2</v>
      </c>
      <c r="AL81">
        <v>1</v>
      </c>
      <c r="AM81" t="s">
        <v>149</v>
      </c>
      <c r="AN81">
        <v>717</v>
      </c>
      <c r="AO81">
        <v>335</v>
      </c>
      <c r="AP81">
        <v>1571</v>
      </c>
      <c r="AQ81">
        <v>1637</v>
      </c>
      <c r="AS81">
        <v>4</v>
      </c>
      <c r="AT81">
        <v>99</v>
      </c>
      <c r="AU81" t="s">
        <v>62</v>
      </c>
      <c r="AV81">
        <v>20</v>
      </c>
      <c r="AW81" t="s">
        <v>53</v>
      </c>
      <c r="AX81">
        <v>22</v>
      </c>
      <c r="AY81">
        <f t="shared" si="4"/>
        <v>15</v>
      </c>
      <c r="AZ81">
        <v>125</v>
      </c>
      <c r="BA81" t="str">
        <f t="shared" si="5"/>
        <v/>
      </c>
      <c r="BB81">
        <f t="shared" si="6"/>
        <v>3</v>
      </c>
      <c r="BC81">
        <f t="shared" si="7"/>
        <v>0</v>
      </c>
    </row>
    <row r="82" spans="1:55" x14ac:dyDescent="0.3">
      <c r="A82">
        <v>1338</v>
      </c>
      <c r="B82" s="2">
        <v>45937.595520833333</v>
      </c>
      <c r="C82">
        <v>130000</v>
      </c>
      <c r="D82">
        <v>75000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7</v>
      </c>
      <c r="X82">
        <v>200000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76</v>
      </c>
      <c r="AN82">
        <v>718</v>
      </c>
      <c r="AO82">
        <v>319</v>
      </c>
      <c r="AS82">
        <v>0</v>
      </c>
      <c r="AT82">
        <v>99</v>
      </c>
      <c r="AU82" t="s">
        <v>62</v>
      </c>
      <c r="AV82">
        <v>20</v>
      </c>
      <c r="AW82" t="s">
        <v>53</v>
      </c>
      <c r="AX82">
        <v>22</v>
      </c>
      <c r="AY82">
        <f t="shared" si="4"/>
        <v>0</v>
      </c>
      <c r="AZ82">
        <v>127</v>
      </c>
      <c r="BA82" t="str">
        <f t="shared" si="5"/>
        <v>(Natu-city)</v>
      </c>
      <c r="BB82">
        <f t="shared" si="6"/>
        <v>0</v>
      </c>
      <c r="BC82">
        <f t="shared" si="7"/>
        <v>0</v>
      </c>
    </row>
    <row r="83" spans="1:55" x14ac:dyDescent="0.3">
      <c r="A83">
        <v>1344</v>
      </c>
      <c r="B83" s="2">
        <v>45937.595520833333</v>
      </c>
      <c r="C83">
        <v>130000</v>
      </c>
      <c r="D83">
        <v>75000</v>
      </c>
      <c r="E83">
        <v>0</v>
      </c>
      <c r="F83">
        <v>20000</v>
      </c>
      <c r="G83">
        <v>0</v>
      </c>
      <c r="H83">
        <v>0</v>
      </c>
      <c r="I83">
        <v>15000</v>
      </c>
      <c r="J83">
        <v>17000</v>
      </c>
      <c r="K83">
        <v>10500</v>
      </c>
      <c r="L83">
        <v>0</v>
      </c>
      <c r="M83">
        <v>0</v>
      </c>
      <c r="N83">
        <v>42500</v>
      </c>
      <c r="O83">
        <v>0</v>
      </c>
      <c r="P83">
        <v>-1</v>
      </c>
      <c r="Q83">
        <v>2</v>
      </c>
      <c r="R83">
        <v>1</v>
      </c>
      <c r="S83">
        <v>0</v>
      </c>
      <c r="T83">
        <v>0</v>
      </c>
      <c r="U83">
        <v>0</v>
      </c>
      <c r="V83">
        <v>7</v>
      </c>
      <c r="W83">
        <v>7</v>
      </c>
      <c r="X83">
        <v>200000</v>
      </c>
      <c r="Y83">
        <v>0</v>
      </c>
      <c r="Z83">
        <v>0</v>
      </c>
      <c r="AA83">
        <v>0</v>
      </c>
      <c r="AB83">
        <v>200000</v>
      </c>
      <c r="AC83">
        <v>200000</v>
      </c>
      <c r="AD83">
        <v>180000</v>
      </c>
      <c r="AG83">
        <v>6</v>
      </c>
      <c r="AH83">
        <v>9</v>
      </c>
      <c r="AI83">
        <v>0</v>
      </c>
      <c r="AJ83">
        <v>0</v>
      </c>
      <c r="AK83">
        <v>3</v>
      </c>
      <c r="AL83">
        <v>3</v>
      </c>
      <c r="AM83" t="s">
        <v>149</v>
      </c>
      <c r="AN83">
        <v>718</v>
      </c>
      <c r="AO83">
        <v>322</v>
      </c>
      <c r="AQ83">
        <v>1567</v>
      </c>
      <c r="AS83">
        <v>1</v>
      </c>
      <c r="AT83">
        <v>99</v>
      </c>
      <c r="AU83" t="s">
        <v>62</v>
      </c>
      <c r="AV83">
        <v>20</v>
      </c>
      <c r="AW83" t="s">
        <v>53</v>
      </c>
      <c r="AX83">
        <v>22</v>
      </c>
      <c r="AY83">
        <f t="shared" si="4"/>
        <v>15</v>
      </c>
      <c r="AZ83">
        <v>127</v>
      </c>
      <c r="BA83" t="str">
        <f t="shared" si="5"/>
        <v>(Natu-city)</v>
      </c>
      <c r="BB83">
        <f t="shared" si="6"/>
        <v>6</v>
      </c>
      <c r="BC83">
        <f t="shared" si="7"/>
        <v>0</v>
      </c>
    </row>
    <row r="84" spans="1:55" x14ac:dyDescent="0.3">
      <c r="A84">
        <v>1371</v>
      </c>
      <c r="B84" s="2">
        <v>45937.595520833333</v>
      </c>
      <c r="C84">
        <v>130000</v>
      </c>
      <c r="D84">
        <v>75000</v>
      </c>
      <c r="E84">
        <v>0</v>
      </c>
      <c r="F84">
        <v>20000</v>
      </c>
      <c r="G84">
        <v>0</v>
      </c>
      <c r="H84">
        <v>0</v>
      </c>
      <c r="I84">
        <v>15000</v>
      </c>
      <c r="J84">
        <v>0</v>
      </c>
      <c r="K84">
        <v>25500</v>
      </c>
      <c r="L84">
        <v>0</v>
      </c>
      <c r="M84">
        <v>0</v>
      </c>
      <c r="N84">
        <v>37000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11</v>
      </c>
      <c r="W84">
        <v>7</v>
      </c>
      <c r="X84">
        <v>200000</v>
      </c>
      <c r="Y84">
        <v>200000</v>
      </c>
      <c r="Z84">
        <v>180000</v>
      </c>
      <c r="AA84">
        <v>0</v>
      </c>
      <c r="AB84">
        <v>0</v>
      </c>
      <c r="AC84">
        <v>200000</v>
      </c>
      <c r="AD84">
        <v>160000</v>
      </c>
      <c r="AG84">
        <v>6</v>
      </c>
      <c r="AH84">
        <v>9</v>
      </c>
      <c r="AI84">
        <v>0</v>
      </c>
      <c r="AJ84">
        <v>0</v>
      </c>
      <c r="AK84">
        <v>3</v>
      </c>
      <c r="AL84">
        <v>3</v>
      </c>
      <c r="AM84" t="s">
        <v>149</v>
      </c>
      <c r="AN84">
        <v>718</v>
      </c>
      <c r="AO84">
        <v>326</v>
      </c>
      <c r="AP84">
        <v>1567</v>
      </c>
      <c r="AQ84">
        <v>1567</v>
      </c>
      <c r="AS84">
        <v>2</v>
      </c>
      <c r="AT84">
        <v>99</v>
      </c>
      <c r="AU84" t="s">
        <v>62</v>
      </c>
      <c r="AV84">
        <v>20</v>
      </c>
      <c r="AW84" t="s">
        <v>53</v>
      </c>
      <c r="AX84">
        <v>22</v>
      </c>
      <c r="AY84">
        <f t="shared" si="4"/>
        <v>15</v>
      </c>
      <c r="AZ84">
        <v>127</v>
      </c>
      <c r="BA84" t="str">
        <f t="shared" si="5"/>
        <v>(Natu-city)</v>
      </c>
      <c r="BB84">
        <f t="shared" si="6"/>
        <v>6</v>
      </c>
      <c r="BC84">
        <f t="shared" si="7"/>
        <v>0</v>
      </c>
    </row>
    <row r="85" spans="1:55" x14ac:dyDescent="0.3">
      <c r="A85">
        <v>1399</v>
      </c>
      <c r="B85" s="2">
        <v>45937.595520833333</v>
      </c>
      <c r="C85">
        <v>130000</v>
      </c>
      <c r="D85">
        <v>75000</v>
      </c>
      <c r="E85">
        <v>0</v>
      </c>
      <c r="F85">
        <v>20000</v>
      </c>
      <c r="G85">
        <v>0</v>
      </c>
      <c r="H85">
        <v>0</v>
      </c>
      <c r="I85">
        <v>15000</v>
      </c>
      <c r="J85">
        <v>16000</v>
      </c>
      <c r="K85">
        <v>25500</v>
      </c>
      <c r="L85">
        <v>0</v>
      </c>
      <c r="M85">
        <v>0</v>
      </c>
      <c r="N85">
        <v>15500</v>
      </c>
      <c r="O85">
        <v>0</v>
      </c>
      <c r="P85">
        <v>0</v>
      </c>
      <c r="Q85">
        <v>1</v>
      </c>
      <c r="R85">
        <v>4</v>
      </c>
      <c r="S85">
        <v>0</v>
      </c>
      <c r="T85">
        <v>0</v>
      </c>
      <c r="U85">
        <v>0</v>
      </c>
      <c r="V85">
        <v>16</v>
      </c>
      <c r="W85">
        <v>7</v>
      </c>
      <c r="X85">
        <v>200000</v>
      </c>
      <c r="Y85">
        <v>200000</v>
      </c>
      <c r="Z85">
        <v>160000</v>
      </c>
      <c r="AA85">
        <v>0</v>
      </c>
      <c r="AB85">
        <v>0</v>
      </c>
      <c r="AC85">
        <v>200000</v>
      </c>
      <c r="AD85">
        <v>140000</v>
      </c>
      <c r="AG85">
        <v>6</v>
      </c>
      <c r="AH85">
        <v>9</v>
      </c>
      <c r="AI85">
        <v>-2</v>
      </c>
      <c r="AJ85">
        <v>-1</v>
      </c>
      <c r="AK85">
        <v>5</v>
      </c>
      <c r="AL85">
        <v>4</v>
      </c>
      <c r="AM85" t="s">
        <v>149</v>
      </c>
      <c r="AN85">
        <v>718</v>
      </c>
      <c r="AO85">
        <v>331</v>
      </c>
      <c r="AP85">
        <v>1567</v>
      </c>
      <c r="AQ85">
        <v>1567</v>
      </c>
      <c r="AS85">
        <v>3</v>
      </c>
      <c r="AT85">
        <v>99</v>
      </c>
      <c r="AU85" t="s">
        <v>62</v>
      </c>
      <c r="AV85">
        <v>20</v>
      </c>
      <c r="AW85" t="s">
        <v>53</v>
      </c>
      <c r="AX85">
        <v>22</v>
      </c>
      <c r="AY85">
        <f t="shared" si="4"/>
        <v>15</v>
      </c>
      <c r="AZ85">
        <v>127</v>
      </c>
      <c r="BA85" t="str">
        <f t="shared" si="5"/>
        <v>(Natu-city)</v>
      </c>
      <c r="BB85">
        <f t="shared" si="6"/>
        <v>9</v>
      </c>
      <c r="BC85">
        <f t="shared" si="7"/>
        <v>0</v>
      </c>
    </row>
    <row r="86" spans="1:55" x14ac:dyDescent="0.3">
      <c r="A86">
        <v>1426</v>
      </c>
      <c r="B86" s="2">
        <v>45937.595520833333</v>
      </c>
      <c r="C86">
        <v>130000</v>
      </c>
      <c r="D86">
        <v>75000</v>
      </c>
      <c r="E86">
        <v>0</v>
      </c>
      <c r="F86">
        <v>20000</v>
      </c>
      <c r="G86">
        <v>0</v>
      </c>
      <c r="H86">
        <v>0</v>
      </c>
      <c r="I86">
        <v>20000</v>
      </c>
      <c r="J86">
        <v>0</v>
      </c>
      <c r="K86">
        <v>25500</v>
      </c>
      <c r="L86">
        <v>0</v>
      </c>
      <c r="M86">
        <v>0</v>
      </c>
      <c r="N86">
        <v>5000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22</v>
      </c>
      <c r="W86">
        <v>7</v>
      </c>
      <c r="X86">
        <v>200000</v>
      </c>
      <c r="Y86">
        <v>200000</v>
      </c>
      <c r="Z86">
        <v>140000</v>
      </c>
      <c r="AA86">
        <v>0</v>
      </c>
      <c r="AB86">
        <v>0</v>
      </c>
      <c r="AC86">
        <v>200000</v>
      </c>
      <c r="AD86">
        <v>120000</v>
      </c>
      <c r="AG86">
        <v>6</v>
      </c>
      <c r="AH86">
        <v>9</v>
      </c>
      <c r="AI86">
        <v>-2</v>
      </c>
      <c r="AJ86">
        <v>-1</v>
      </c>
      <c r="AK86">
        <v>5</v>
      </c>
      <c r="AL86">
        <v>4</v>
      </c>
      <c r="AM86" t="s">
        <v>149</v>
      </c>
      <c r="AN86">
        <v>718</v>
      </c>
      <c r="AO86">
        <v>335</v>
      </c>
      <c r="AP86">
        <v>1567</v>
      </c>
      <c r="AQ86">
        <v>1567</v>
      </c>
      <c r="AS86">
        <v>4</v>
      </c>
      <c r="AT86">
        <v>99</v>
      </c>
      <c r="AU86" t="s">
        <v>62</v>
      </c>
      <c r="AV86">
        <v>20</v>
      </c>
      <c r="AW86" t="s">
        <v>53</v>
      </c>
      <c r="AX86">
        <v>22</v>
      </c>
      <c r="AY86">
        <f t="shared" si="4"/>
        <v>15</v>
      </c>
      <c r="AZ86">
        <v>127</v>
      </c>
      <c r="BA86" t="str">
        <f t="shared" si="5"/>
        <v/>
      </c>
      <c r="BB86">
        <f t="shared" si="6"/>
        <v>9</v>
      </c>
      <c r="BC86">
        <f t="shared" si="7"/>
        <v>0</v>
      </c>
    </row>
    <row r="87" spans="1:55" x14ac:dyDescent="0.3">
      <c r="A87">
        <v>1330</v>
      </c>
      <c r="B87" s="2">
        <v>45937.579965277779</v>
      </c>
      <c r="C87">
        <v>190000</v>
      </c>
      <c r="D87">
        <v>115000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8</v>
      </c>
      <c r="X87">
        <v>300000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76</v>
      </c>
      <c r="AN87">
        <v>719</v>
      </c>
      <c r="AO87">
        <v>319</v>
      </c>
      <c r="AS87">
        <v>0</v>
      </c>
      <c r="AT87">
        <v>99</v>
      </c>
      <c r="AU87" t="s">
        <v>62</v>
      </c>
      <c r="AV87">
        <v>20</v>
      </c>
      <c r="AW87" t="s">
        <v>53</v>
      </c>
      <c r="AX87">
        <v>22</v>
      </c>
      <c r="AY87">
        <f t="shared" si="4"/>
        <v>0</v>
      </c>
      <c r="AZ87">
        <v>128</v>
      </c>
      <c r="BA87" t="str">
        <f t="shared" si="5"/>
        <v>(Natu-city)</v>
      </c>
      <c r="BB87">
        <f t="shared" si="6"/>
        <v>0</v>
      </c>
      <c r="BC87">
        <f t="shared" si="7"/>
        <v>0</v>
      </c>
    </row>
    <row r="88" spans="1:55" x14ac:dyDescent="0.3">
      <c r="A88">
        <v>1340</v>
      </c>
      <c r="B88" s="2">
        <v>45937.579965277779</v>
      </c>
      <c r="C88">
        <v>190000</v>
      </c>
      <c r="D88">
        <v>115000</v>
      </c>
      <c r="E88">
        <v>0</v>
      </c>
      <c r="F88">
        <v>20000</v>
      </c>
      <c r="G88">
        <v>0</v>
      </c>
      <c r="H88">
        <v>0</v>
      </c>
      <c r="I88">
        <v>15000</v>
      </c>
      <c r="J88">
        <v>23000</v>
      </c>
      <c r="K88">
        <v>4000</v>
      </c>
      <c r="L88">
        <v>0</v>
      </c>
      <c r="M88">
        <v>0</v>
      </c>
      <c r="N88">
        <v>93000</v>
      </c>
      <c r="O88">
        <v>0</v>
      </c>
      <c r="P88">
        <v>-2</v>
      </c>
      <c r="Q88">
        <v>3</v>
      </c>
      <c r="R88">
        <v>0</v>
      </c>
      <c r="S88">
        <v>0</v>
      </c>
      <c r="T88">
        <v>0</v>
      </c>
      <c r="U88">
        <v>0</v>
      </c>
      <c r="V88">
        <v>6</v>
      </c>
      <c r="W88">
        <v>8</v>
      </c>
      <c r="X88">
        <v>300000</v>
      </c>
      <c r="Y88">
        <v>0</v>
      </c>
      <c r="Z88">
        <v>0</v>
      </c>
      <c r="AA88">
        <v>0</v>
      </c>
      <c r="AB88">
        <v>200000</v>
      </c>
      <c r="AC88">
        <v>200000</v>
      </c>
      <c r="AD88">
        <v>180000</v>
      </c>
      <c r="AG88">
        <v>6</v>
      </c>
      <c r="AH88">
        <v>9</v>
      </c>
      <c r="AI88">
        <v>0</v>
      </c>
      <c r="AJ88">
        <v>0</v>
      </c>
      <c r="AK88">
        <v>4</v>
      </c>
      <c r="AL88">
        <v>3</v>
      </c>
      <c r="AM88" t="s">
        <v>149</v>
      </c>
      <c r="AN88">
        <v>719</v>
      </c>
      <c r="AO88">
        <v>322</v>
      </c>
      <c r="AQ88">
        <v>1566</v>
      </c>
      <c r="AS88">
        <v>1</v>
      </c>
      <c r="AT88">
        <v>99</v>
      </c>
      <c r="AU88" t="s">
        <v>62</v>
      </c>
      <c r="AV88">
        <v>20</v>
      </c>
      <c r="AW88" t="s">
        <v>53</v>
      </c>
      <c r="AX88">
        <v>22</v>
      </c>
      <c r="AY88">
        <f t="shared" si="4"/>
        <v>15</v>
      </c>
      <c r="AZ88">
        <v>128</v>
      </c>
      <c r="BA88" t="str">
        <f t="shared" si="5"/>
        <v>(Natu-city)</v>
      </c>
      <c r="BB88">
        <f t="shared" si="6"/>
        <v>7</v>
      </c>
      <c r="BC88">
        <f t="shared" si="7"/>
        <v>0</v>
      </c>
    </row>
    <row r="89" spans="1:55" x14ac:dyDescent="0.3">
      <c r="A89">
        <v>1375</v>
      </c>
      <c r="B89" s="2">
        <v>45937.579965277779</v>
      </c>
      <c r="C89">
        <v>190000</v>
      </c>
      <c r="D89">
        <v>115000</v>
      </c>
      <c r="E89">
        <v>0</v>
      </c>
      <c r="F89">
        <v>20000</v>
      </c>
      <c r="G89">
        <v>0</v>
      </c>
      <c r="H89">
        <v>0</v>
      </c>
      <c r="I89">
        <v>15000</v>
      </c>
      <c r="J89">
        <v>10000</v>
      </c>
      <c r="K89">
        <v>19000</v>
      </c>
      <c r="L89">
        <v>0</v>
      </c>
      <c r="M89">
        <v>0</v>
      </c>
      <c r="N89">
        <v>104000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9</v>
      </c>
      <c r="W89">
        <v>8</v>
      </c>
      <c r="X89">
        <v>300000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140000</v>
      </c>
      <c r="AG89">
        <v>6</v>
      </c>
      <c r="AH89">
        <v>9</v>
      </c>
      <c r="AI89">
        <v>0</v>
      </c>
      <c r="AJ89">
        <v>0</v>
      </c>
      <c r="AK89">
        <v>5</v>
      </c>
      <c r="AL89">
        <v>4</v>
      </c>
      <c r="AM89" t="s">
        <v>149</v>
      </c>
      <c r="AN89">
        <v>719</v>
      </c>
      <c r="AO89">
        <v>326</v>
      </c>
      <c r="AP89">
        <v>1566</v>
      </c>
      <c r="AQ89">
        <v>1566</v>
      </c>
      <c r="AS89">
        <v>2</v>
      </c>
      <c r="AT89">
        <v>99</v>
      </c>
      <c r="AU89" t="s">
        <v>62</v>
      </c>
      <c r="AV89">
        <v>20</v>
      </c>
      <c r="AW89" t="s">
        <v>53</v>
      </c>
      <c r="AX89">
        <v>22</v>
      </c>
      <c r="AY89">
        <f t="shared" si="4"/>
        <v>15</v>
      </c>
      <c r="AZ89">
        <v>128</v>
      </c>
      <c r="BA89" t="str">
        <f t="shared" si="5"/>
        <v>(Natu-city)</v>
      </c>
      <c r="BB89">
        <f t="shared" si="6"/>
        <v>9</v>
      </c>
      <c r="BC89">
        <f t="shared" si="7"/>
        <v>0</v>
      </c>
    </row>
    <row r="90" spans="1:55" x14ac:dyDescent="0.3">
      <c r="A90">
        <v>1403</v>
      </c>
      <c r="B90" s="2">
        <v>45937.579965277779</v>
      </c>
      <c r="C90">
        <v>190000</v>
      </c>
      <c r="D90">
        <v>115000</v>
      </c>
      <c r="E90">
        <v>0</v>
      </c>
      <c r="F90">
        <v>20000</v>
      </c>
      <c r="G90">
        <v>0</v>
      </c>
      <c r="H90">
        <v>0</v>
      </c>
      <c r="I90">
        <v>15000</v>
      </c>
      <c r="J90">
        <v>0</v>
      </c>
      <c r="K90">
        <v>28500</v>
      </c>
      <c r="L90">
        <v>0</v>
      </c>
      <c r="M90">
        <v>0</v>
      </c>
      <c r="N90">
        <v>115500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13</v>
      </c>
      <c r="W90">
        <v>8</v>
      </c>
      <c r="X90">
        <v>300000</v>
      </c>
      <c r="Y90">
        <v>200000</v>
      </c>
      <c r="Z90">
        <v>140000</v>
      </c>
      <c r="AA90">
        <v>0</v>
      </c>
      <c r="AB90">
        <v>0</v>
      </c>
      <c r="AC90">
        <v>200000</v>
      </c>
      <c r="AD90">
        <v>100000</v>
      </c>
      <c r="AG90">
        <v>6</v>
      </c>
      <c r="AH90">
        <v>9</v>
      </c>
      <c r="AI90">
        <v>-2</v>
      </c>
      <c r="AJ90">
        <v>-1</v>
      </c>
      <c r="AK90">
        <v>5</v>
      </c>
      <c r="AL90">
        <v>4</v>
      </c>
      <c r="AM90" t="s">
        <v>149</v>
      </c>
      <c r="AN90">
        <v>719</v>
      </c>
      <c r="AO90">
        <v>331</v>
      </c>
      <c r="AP90">
        <v>1566</v>
      </c>
      <c r="AQ90">
        <v>1566</v>
      </c>
      <c r="AS90">
        <v>3</v>
      </c>
      <c r="AT90">
        <v>99</v>
      </c>
      <c r="AU90" t="s">
        <v>62</v>
      </c>
      <c r="AV90">
        <v>20</v>
      </c>
      <c r="AW90" t="s">
        <v>53</v>
      </c>
      <c r="AX90">
        <v>22</v>
      </c>
      <c r="AY90">
        <f t="shared" si="4"/>
        <v>15</v>
      </c>
      <c r="AZ90">
        <v>128</v>
      </c>
      <c r="BA90" t="str">
        <f t="shared" si="5"/>
        <v>(Natu-city)</v>
      </c>
      <c r="BB90">
        <f t="shared" si="6"/>
        <v>9</v>
      </c>
      <c r="BC90">
        <f t="shared" si="7"/>
        <v>0</v>
      </c>
    </row>
    <row r="91" spans="1:55" x14ac:dyDescent="0.3">
      <c r="A91">
        <v>1423</v>
      </c>
      <c r="B91" s="2">
        <v>45937.579965277779</v>
      </c>
      <c r="C91">
        <v>190000</v>
      </c>
      <c r="D91">
        <v>115000</v>
      </c>
      <c r="E91">
        <v>0</v>
      </c>
      <c r="F91">
        <v>20000</v>
      </c>
      <c r="G91">
        <v>0</v>
      </c>
      <c r="H91">
        <v>0</v>
      </c>
      <c r="I91">
        <v>20000</v>
      </c>
      <c r="J91">
        <v>0</v>
      </c>
      <c r="K91">
        <v>28500</v>
      </c>
      <c r="L91">
        <v>0</v>
      </c>
      <c r="M91">
        <v>0</v>
      </c>
      <c r="N91">
        <v>122000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19</v>
      </c>
      <c r="W91">
        <v>8</v>
      </c>
      <c r="X91">
        <v>300000</v>
      </c>
      <c r="Y91">
        <v>200000</v>
      </c>
      <c r="Z91">
        <v>100000</v>
      </c>
      <c r="AA91">
        <v>0</v>
      </c>
      <c r="AB91">
        <v>0</v>
      </c>
      <c r="AC91">
        <v>200000</v>
      </c>
      <c r="AD91">
        <v>80000</v>
      </c>
      <c r="AG91">
        <v>6</v>
      </c>
      <c r="AH91">
        <v>9</v>
      </c>
      <c r="AI91">
        <v>-2</v>
      </c>
      <c r="AJ91">
        <v>-1</v>
      </c>
      <c r="AK91">
        <v>5</v>
      </c>
      <c r="AL91">
        <v>4</v>
      </c>
      <c r="AM91" t="s">
        <v>149</v>
      </c>
      <c r="AN91">
        <v>719</v>
      </c>
      <c r="AO91">
        <v>335</v>
      </c>
      <c r="AP91">
        <v>1566</v>
      </c>
      <c r="AQ91">
        <v>1566</v>
      </c>
      <c r="AS91">
        <v>4</v>
      </c>
      <c r="AT91">
        <v>99</v>
      </c>
      <c r="AU91" t="s">
        <v>62</v>
      </c>
      <c r="AV91">
        <v>20</v>
      </c>
      <c r="AW91" t="s">
        <v>53</v>
      </c>
      <c r="AX91">
        <v>22</v>
      </c>
      <c r="AY91">
        <f t="shared" si="4"/>
        <v>15</v>
      </c>
      <c r="AZ91">
        <v>128</v>
      </c>
      <c r="BA91" t="str">
        <f t="shared" si="5"/>
        <v/>
      </c>
      <c r="BB91">
        <f t="shared" si="6"/>
        <v>9</v>
      </c>
      <c r="BC91">
        <f t="shared" si="7"/>
        <v>0</v>
      </c>
    </row>
    <row r="92" spans="1:55" x14ac:dyDescent="0.3">
      <c r="A92">
        <v>1335</v>
      </c>
      <c r="B92" s="2">
        <v>45937.584537037037</v>
      </c>
      <c r="C92">
        <v>75000</v>
      </c>
      <c r="D92">
        <v>40000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76</v>
      </c>
      <c r="AN92">
        <v>722</v>
      </c>
      <c r="AO92">
        <v>320</v>
      </c>
      <c r="AS92">
        <v>0</v>
      </c>
      <c r="AT92">
        <v>100</v>
      </c>
      <c r="AU92" t="s">
        <v>63</v>
      </c>
      <c r="AV92">
        <v>20</v>
      </c>
      <c r="AW92" t="s">
        <v>53</v>
      </c>
      <c r="AX92">
        <v>22</v>
      </c>
      <c r="AY92">
        <f t="shared" si="4"/>
        <v>0</v>
      </c>
      <c r="AZ92">
        <v>124</v>
      </c>
      <c r="BA92" t="str">
        <f t="shared" si="5"/>
        <v>(U-village)</v>
      </c>
      <c r="BB92">
        <f t="shared" si="6"/>
        <v>0</v>
      </c>
      <c r="BC92">
        <f t="shared" si="7"/>
        <v>0</v>
      </c>
    </row>
    <row r="93" spans="1:55" x14ac:dyDescent="0.3">
      <c r="A93">
        <v>1348</v>
      </c>
      <c r="B93" s="2">
        <v>45937.584537037037</v>
      </c>
      <c r="C93">
        <v>75000</v>
      </c>
      <c r="D93">
        <v>40000</v>
      </c>
      <c r="E93">
        <v>0</v>
      </c>
      <c r="F93">
        <v>11000</v>
      </c>
      <c r="G93">
        <v>0</v>
      </c>
      <c r="H93">
        <v>15000</v>
      </c>
      <c r="I93">
        <v>15000</v>
      </c>
      <c r="J93">
        <v>0</v>
      </c>
      <c r="K93">
        <v>0</v>
      </c>
      <c r="L93">
        <v>4000</v>
      </c>
      <c r="M93">
        <v>4000</v>
      </c>
      <c r="N93">
        <v>-9000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0</v>
      </c>
      <c r="V93">
        <v>2</v>
      </c>
      <c r="W93">
        <v>4</v>
      </c>
      <c r="X93">
        <v>110000</v>
      </c>
      <c r="Y93">
        <v>0</v>
      </c>
      <c r="Z93">
        <v>0</v>
      </c>
      <c r="AA93">
        <v>0</v>
      </c>
      <c r="AB93">
        <v>125000</v>
      </c>
      <c r="AC93">
        <v>110000</v>
      </c>
      <c r="AD93">
        <v>99000</v>
      </c>
      <c r="AG93">
        <v>6</v>
      </c>
      <c r="AH93">
        <v>6</v>
      </c>
      <c r="AI93">
        <v>0</v>
      </c>
      <c r="AJ93">
        <v>0</v>
      </c>
      <c r="AK93">
        <v>0</v>
      </c>
      <c r="AL93">
        <v>0</v>
      </c>
      <c r="AM93" t="s">
        <v>149</v>
      </c>
      <c r="AN93">
        <v>722</v>
      </c>
      <c r="AO93">
        <v>323</v>
      </c>
      <c r="AQ93">
        <v>1592</v>
      </c>
      <c r="AS93">
        <v>1</v>
      </c>
      <c r="AT93">
        <v>100</v>
      </c>
      <c r="AU93" t="s">
        <v>63</v>
      </c>
      <c r="AV93">
        <v>20</v>
      </c>
      <c r="AW93" t="s">
        <v>53</v>
      </c>
      <c r="AX93">
        <v>22</v>
      </c>
      <c r="AY93">
        <f t="shared" si="4"/>
        <v>12</v>
      </c>
      <c r="AZ93">
        <v>124</v>
      </c>
      <c r="BA93" t="str">
        <f t="shared" si="5"/>
        <v>(U-village)</v>
      </c>
      <c r="BB93">
        <f t="shared" si="6"/>
        <v>0</v>
      </c>
      <c r="BC93">
        <f t="shared" si="7"/>
        <v>8000</v>
      </c>
    </row>
    <row r="94" spans="1:55" x14ac:dyDescent="0.3">
      <c r="A94">
        <v>1373</v>
      </c>
      <c r="B94" s="2">
        <v>45937.584537037037</v>
      </c>
      <c r="C94">
        <v>75000</v>
      </c>
      <c r="D94">
        <v>40000</v>
      </c>
      <c r="E94">
        <v>9000</v>
      </c>
      <c r="F94">
        <v>11000</v>
      </c>
      <c r="G94">
        <v>0</v>
      </c>
      <c r="H94">
        <v>0</v>
      </c>
      <c r="I94">
        <v>15000</v>
      </c>
      <c r="J94">
        <v>0</v>
      </c>
      <c r="K94">
        <v>0</v>
      </c>
      <c r="L94">
        <v>4000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1</v>
      </c>
      <c r="V94">
        <v>-1</v>
      </c>
      <c r="W94">
        <v>4</v>
      </c>
      <c r="X94">
        <v>110000</v>
      </c>
      <c r="Y94">
        <v>110000</v>
      </c>
      <c r="Z94">
        <v>99000</v>
      </c>
      <c r="AA94">
        <v>0</v>
      </c>
      <c r="AB94">
        <v>0</v>
      </c>
      <c r="AC94">
        <v>110000</v>
      </c>
      <c r="AD94">
        <v>88000</v>
      </c>
      <c r="AG94">
        <v>6</v>
      </c>
      <c r="AH94">
        <v>6</v>
      </c>
      <c r="AI94">
        <v>0</v>
      </c>
      <c r="AJ94">
        <v>0</v>
      </c>
      <c r="AK94">
        <v>0</v>
      </c>
      <c r="AL94">
        <v>0</v>
      </c>
      <c r="AM94" t="s">
        <v>149</v>
      </c>
      <c r="AN94">
        <v>722</v>
      </c>
      <c r="AO94">
        <v>327</v>
      </c>
      <c r="AP94">
        <v>1592</v>
      </c>
      <c r="AQ94">
        <v>1592</v>
      </c>
      <c r="AS94">
        <v>2</v>
      </c>
      <c r="AT94">
        <v>100</v>
      </c>
      <c r="AU94" t="s">
        <v>63</v>
      </c>
      <c r="AV94">
        <v>20</v>
      </c>
      <c r="AW94" t="s">
        <v>53</v>
      </c>
      <c r="AX94">
        <v>22</v>
      </c>
      <c r="AY94">
        <f t="shared" si="4"/>
        <v>12</v>
      </c>
      <c r="AZ94">
        <v>124</v>
      </c>
      <c r="BA94" t="str">
        <f t="shared" si="5"/>
        <v>(U-village)</v>
      </c>
      <c r="BB94">
        <f t="shared" si="6"/>
        <v>0</v>
      </c>
      <c r="BC94">
        <f t="shared" si="7"/>
        <v>4000</v>
      </c>
    </row>
    <row r="95" spans="1:55" x14ac:dyDescent="0.3">
      <c r="A95">
        <v>1394</v>
      </c>
      <c r="B95" s="2">
        <v>45937.584537037037</v>
      </c>
      <c r="C95">
        <v>75000</v>
      </c>
      <c r="D95">
        <v>40000</v>
      </c>
      <c r="E95">
        <v>4000</v>
      </c>
      <c r="F95">
        <v>11000</v>
      </c>
      <c r="G95">
        <v>0</v>
      </c>
      <c r="H95">
        <v>0</v>
      </c>
      <c r="I95">
        <v>15000</v>
      </c>
      <c r="J95">
        <v>0</v>
      </c>
      <c r="K95">
        <v>3125</v>
      </c>
      <c r="L95">
        <v>8000</v>
      </c>
      <c r="M95">
        <v>4000</v>
      </c>
      <c r="N95">
        <v>-10125</v>
      </c>
      <c r="O95">
        <v>0</v>
      </c>
      <c r="P95">
        <v>0</v>
      </c>
      <c r="Q95">
        <v>0</v>
      </c>
      <c r="R95">
        <v>1</v>
      </c>
      <c r="S95">
        <v>3</v>
      </c>
      <c r="T95">
        <v>1</v>
      </c>
      <c r="U95">
        <v>1</v>
      </c>
      <c r="V95">
        <v>-5</v>
      </c>
      <c r="W95">
        <v>4</v>
      </c>
      <c r="X95">
        <v>110000</v>
      </c>
      <c r="Y95">
        <v>110000</v>
      </c>
      <c r="Z95">
        <v>88000</v>
      </c>
      <c r="AA95">
        <v>0</v>
      </c>
      <c r="AB95">
        <v>0</v>
      </c>
      <c r="AC95">
        <v>110000</v>
      </c>
      <c r="AD95">
        <v>77000</v>
      </c>
      <c r="AG95">
        <v>6</v>
      </c>
      <c r="AH95">
        <v>6</v>
      </c>
      <c r="AI95">
        <v>-2</v>
      </c>
      <c r="AJ95">
        <v>-1</v>
      </c>
      <c r="AK95">
        <v>0</v>
      </c>
      <c r="AL95">
        <v>0</v>
      </c>
      <c r="AM95" t="s">
        <v>149</v>
      </c>
      <c r="AN95">
        <v>722</v>
      </c>
      <c r="AO95">
        <v>330</v>
      </c>
      <c r="AP95">
        <v>1592</v>
      </c>
      <c r="AQ95">
        <v>1592</v>
      </c>
      <c r="AS95">
        <v>3</v>
      </c>
      <c r="AT95">
        <v>100</v>
      </c>
      <c r="AU95" t="s">
        <v>63</v>
      </c>
      <c r="AV95">
        <v>20</v>
      </c>
      <c r="AW95" t="s">
        <v>53</v>
      </c>
      <c r="AX95">
        <v>22</v>
      </c>
      <c r="AY95">
        <f t="shared" si="4"/>
        <v>12</v>
      </c>
      <c r="AZ95">
        <v>124</v>
      </c>
      <c r="BA95" t="str">
        <f t="shared" si="5"/>
        <v>(U-village)</v>
      </c>
      <c r="BB95">
        <f t="shared" si="6"/>
        <v>0</v>
      </c>
      <c r="BC95">
        <f t="shared" si="7"/>
        <v>12000</v>
      </c>
    </row>
    <row r="96" spans="1:55" x14ac:dyDescent="0.3">
      <c r="A96">
        <v>1413</v>
      </c>
      <c r="B96" s="2">
        <v>45937.584537037037</v>
      </c>
      <c r="C96">
        <v>75000</v>
      </c>
      <c r="D96">
        <v>40000</v>
      </c>
      <c r="E96">
        <v>10125</v>
      </c>
      <c r="F96">
        <v>11000</v>
      </c>
      <c r="G96">
        <v>0</v>
      </c>
      <c r="H96">
        <v>0</v>
      </c>
      <c r="I96">
        <v>15000</v>
      </c>
      <c r="J96">
        <v>0</v>
      </c>
      <c r="K96">
        <v>0</v>
      </c>
      <c r="L96">
        <v>0</v>
      </c>
      <c r="M96">
        <v>0</v>
      </c>
      <c r="N96">
        <v>-1125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-6</v>
      </c>
      <c r="W96">
        <v>4</v>
      </c>
      <c r="X96">
        <v>110000</v>
      </c>
      <c r="Y96">
        <v>110000</v>
      </c>
      <c r="Z96">
        <v>77000</v>
      </c>
      <c r="AA96">
        <v>0</v>
      </c>
      <c r="AB96">
        <v>0</v>
      </c>
      <c r="AC96">
        <v>110000</v>
      </c>
      <c r="AD96">
        <v>66000</v>
      </c>
      <c r="AG96">
        <v>6</v>
      </c>
      <c r="AH96">
        <v>6</v>
      </c>
      <c r="AI96">
        <v>-2</v>
      </c>
      <c r="AJ96">
        <v>-1</v>
      </c>
      <c r="AK96">
        <v>0</v>
      </c>
      <c r="AL96">
        <v>0</v>
      </c>
      <c r="AM96" t="s">
        <v>149</v>
      </c>
      <c r="AN96">
        <v>722</v>
      </c>
      <c r="AO96">
        <v>333</v>
      </c>
      <c r="AP96">
        <v>1592</v>
      </c>
      <c r="AQ96">
        <v>1592</v>
      </c>
      <c r="AS96">
        <v>4</v>
      </c>
      <c r="AT96">
        <v>100</v>
      </c>
      <c r="AU96" t="s">
        <v>63</v>
      </c>
      <c r="AV96">
        <v>20</v>
      </c>
      <c r="AW96" t="s">
        <v>53</v>
      </c>
      <c r="AX96">
        <v>22</v>
      </c>
      <c r="AY96">
        <f t="shared" si="4"/>
        <v>12</v>
      </c>
      <c r="AZ96">
        <v>124</v>
      </c>
      <c r="BA96" t="str">
        <f t="shared" si="5"/>
        <v/>
      </c>
      <c r="BB96">
        <f t="shared" si="6"/>
        <v>0</v>
      </c>
      <c r="BC96">
        <f t="shared" si="7"/>
        <v>0</v>
      </c>
    </row>
    <row r="97" spans="1:55" x14ac:dyDescent="0.3">
      <c r="A97">
        <v>1324</v>
      </c>
      <c r="B97" s="2">
        <v>45937.578645833331</v>
      </c>
      <c r="C97">
        <v>110000</v>
      </c>
      <c r="D97">
        <v>60000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30000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6</v>
      </c>
      <c r="X97">
        <v>170000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76</v>
      </c>
      <c r="AN97">
        <v>723</v>
      </c>
      <c r="AO97">
        <v>320</v>
      </c>
      <c r="AS97">
        <v>0</v>
      </c>
      <c r="AT97">
        <v>100</v>
      </c>
      <c r="AU97" t="s">
        <v>63</v>
      </c>
      <c r="AV97">
        <v>20</v>
      </c>
      <c r="AW97" t="s">
        <v>53</v>
      </c>
      <c r="AX97">
        <v>22</v>
      </c>
      <c r="AY97">
        <f t="shared" si="4"/>
        <v>0</v>
      </c>
      <c r="AZ97">
        <v>126</v>
      </c>
      <c r="BA97" t="str">
        <f t="shared" si="5"/>
        <v>(Dike-town)</v>
      </c>
      <c r="BB97">
        <f t="shared" si="6"/>
        <v>0</v>
      </c>
      <c r="BC97">
        <f t="shared" si="7"/>
        <v>0</v>
      </c>
    </row>
    <row r="98" spans="1:55" x14ac:dyDescent="0.3">
      <c r="A98">
        <v>1347</v>
      </c>
      <c r="B98" s="2">
        <v>45937.578645833331</v>
      </c>
      <c r="C98">
        <v>110000</v>
      </c>
      <c r="D98">
        <v>60000</v>
      </c>
      <c r="E98">
        <v>0</v>
      </c>
      <c r="F98">
        <v>16000</v>
      </c>
      <c r="G98">
        <v>0</v>
      </c>
      <c r="H98">
        <v>0</v>
      </c>
      <c r="I98">
        <v>20000</v>
      </c>
      <c r="J98">
        <v>14000</v>
      </c>
      <c r="K98">
        <v>0</v>
      </c>
      <c r="L98">
        <v>0</v>
      </c>
      <c r="M98">
        <v>4000</v>
      </c>
      <c r="N98">
        <v>26000</v>
      </c>
      <c r="O98">
        <v>0</v>
      </c>
      <c r="P98">
        <v>-1</v>
      </c>
      <c r="Q98">
        <v>2</v>
      </c>
      <c r="R98">
        <v>0</v>
      </c>
      <c r="S98">
        <v>0</v>
      </c>
      <c r="T98">
        <v>1</v>
      </c>
      <c r="U98">
        <v>0</v>
      </c>
      <c r="V98">
        <v>5</v>
      </c>
      <c r="W98">
        <v>6</v>
      </c>
      <c r="X98">
        <v>170000</v>
      </c>
      <c r="Y98">
        <v>0</v>
      </c>
      <c r="Z98">
        <v>0</v>
      </c>
      <c r="AA98">
        <v>0</v>
      </c>
      <c r="AB98">
        <v>160000</v>
      </c>
      <c r="AC98">
        <v>160000</v>
      </c>
      <c r="AD98">
        <v>144000</v>
      </c>
      <c r="AG98">
        <v>4</v>
      </c>
      <c r="AH98">
        <v>9</v>
      </c>
      <c r="AI98">
        <v>0</v>
      </c>
      <c r="AJ98">
        <v>0</v>
      </c>
      <c r="AK98">
        <v>2</v>
      </c>
      <c r="AL98">
        <v>0</v>
      </c>
      <c r="AM98" t="s">
        <v>149</v>
      </c>
      <c r="AN98">
        <v>723</v>
      </c>
      <c r="AO98">
        <v>323</v>
      </c>
      <c r="AQ98">
        <v>1586</v>
      </c>
      <c r="AS98">
        <v>1</v>
      </c>
      <c r="AT98">
        <v>100</v>
      </c>
      <c r="AU98" t="s">
        <v>63</v>
      </c>
      <c r="AV98">
        <v>20</v>
      </c>
      <c r="AW98" t="s">
        <v>53</v>
      </c>
      <c r="AX98">
        <v>22</v>
      </c>
      <c r="AY98">
        <f t="shared" si="4"/>
        <v>13</v>
      </c>
      <c r="AZ98">
        <v>126</v>
      </c>
      <c r="BA98" t="str">
        <f t="shared" si="5"/>
        <v>(Dike-town)</v>
      </c>
      <c r="BB98">
        <f t="shared" si="6"/>
        <v>2</v>
      </c>
      <c r="BC98">
        <f t="shared" si="7"/>
        <v>4000</v>
      </c>
    </row>
    <row r="99" spans="1:55" x14ac:dyDescent="0.3">
      <c r="A99">
        <v>1380</v>
      </c>
      <c r="B99" s="2">
        <v>45937.578645833331</v>
      </c>
      <c r="C99">
        <v>110000</v>
      </c>
      <c r="D99">
        <v>60000</v>
      </c>
      <c r="E99">
        <v>0</v>
      </c>
      <c r="F99">
        <v>16000</v>
      </c>
      <c r="G99">
        <v>0</v>
      </c>
      <c r="H99">
        <v>0</v>
      </c>
      <c r="I99">
        <v>20000</v>
      </c>
      <c r="J99">
        <v>1000</v>
      </c>
      <c r="K99">
        <v>16700</v>
      </c>
      <c r="L99">
        <v>0</v>
      </c>
      <c r="M99">
        <v>0</v>
      </c>
      <c r="N99">
        <v>22300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8</v>
      </c>
      <c r="W99">
        <v>6</v>
      </c>
      <c r="X99">
        <v>170000</v>
      </c>
      <c r="Y99">
        <v>160000</v>
      </c>
      <c r="Z99">
        <v>144000</v>
      </c>
      <c r="AA99">
        <v>0</v>
      </c>
      <c r="AB99">
        <v>0</v>
      </c>
      <c r="AC99">
        <v>160000</v>
      </c>
      <c r="AD99">
        <v>128000</v>
      </c>
      <c r="AG99">
        <v>4</v>
      </c>
      <c r="AH99">
        <v>9</v>
      </c>
      <c r="AI99">
        <v>0</v>
      </c>
      <c r="AJ99">
        <v>0</v>
      </c>
      <c r="AK99">
        <v>3</v>
      </c>
      <c r="AL99">
        <v>2</v>
      </c>
      <c r="AM99" t="s">
        <v>149</v>
      </c>
      <c r="AN99">
        <v>723</v>
      </c>
      <c r="AO99">
        <v>327</v>
      </c>
      <c r="AP99">
        <v>1586</v>
      </c>
      <c r="AQ99">
        <v>1586</v>
      </c>
      <c r="AS99">
        <v>2</v>
      </c>
      <c r="AT99">
        <v>100</v>
      </c>
      <c r="AU99" t="s">
        <v>63</v>
      </c>
      <c r="AV99">
        <v>20</v>
      </c>
      <c r="AW99" t="s">
        <v>53</v>
      </c>
      <c r="AX99">
        <v>22</v>
      </c>
      <c r="AY99">
        <f t="shared" si="4"/>
        <v>13</v>
      </c>
      <c r="AZ99">
        <v>126</v>
      </c>
      <c r="BA99" t="str">
        <f t="shared" si="5"/>
        <v>(Dike-town)</v>
      </c>
      <c r="BB99">
        <f t="shared" si="6"/>
        <v>5</v>
      </c>
      <c r="BC99">
        <f t="shared" si="7"/>
        <v>0</v>
      </c>
    </row>
    <row r="100" spans="1:55" x14ac:dyDescent="0.3">
      <c r="A100">
        <v>1397</v>
      </c>
      <c r="B100" s="2">
        <v>45937.578645833331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20000</v>
      </c>
      <c r="J100">
        <v>8000</v>
      </c>
      <c r="K100">
        <v>20700</v>
      </c>
      <c r="L100">
        <v>0</v>
      </c>
      <c r="M100">
        <v>4000</v>
      </c>
      <c r="N100">
        <v>3600</v>
      </c>
      <c r="O100">
        <v>0</v>
      </c>
      <c r="P100">
        <v>0</v>
      </c>
      <c r="Q100">
        <v>1</v>
      </c>
      <c r="R100">
        <v>4</v>
      </c>
      <c r="S100">
        <v>0</v>
      </c>
      <c r="T100">
        <v>1</v>
      </c>
      <c r="U100">
        <v>0</v>
      </c>
      <c r="V100">
        <v>12</v>
      </c>
      <c r="W100">
        <v>6</v>
      </c>
      <c r="X100">
        <v>170000</v>
      </c>
      <c r="Y100">
        <v>160000</v>
      </c>
      <c r="Z100">
        <v>128000</v>
      </c>
      <c r="AA100">
        <v>0</v>
      </c>
      <c r="AB100">
        <v>0</v>
      </c>
      <c r="AC100">
        <v>160000</v>
      </c>
      <c r="AD100">
        <v>112000</v>
      </c>
      <c r="AG100">
        <v>4</v>
      </c>
      <c r="AH100">
        <v>9</v>
      </c>
      <c r="AI100">
        <v>-2</v>
      </c>
      <c r="AJ100">
        <v>-1</v>
      </c>
      <c r="AK100">
        <v>4</v>
      </c>
      <c r="AL100">
        <v>3</v>
      </c>
      <c r="AM100" t="s">
        <v>149</v>
      </c>
      <c r="AN100">
        <v>723</v>
      </c>
      <c r="AO100">
        <v>330</v>
      </c>
      <c r="AP100">
        <v>1586</v>
      </c>
      <c r="AQ100">
        <v>1586</v>
      </c>
      <c r="AS100">
        <v>3</v>
      </c>
      <c r="AT100">
        <v>100</v>
      </c>
      <c r="AU100" t="s">
        <v>63</v>
      </c>
      <c r="AV100">
        <v>20</v>
      </c>
      <c r="AW100" t="s">
        <v>53</v>
      </c>
      <c r="AX100">
        <v>22</v>
      </c>
      <c r="AY100">
        <f t="shared" si="4"/>
        <v>13</v>
      </c>
      <c r="AZ100">
        <v>126</v>
      </c>
      <c r="BA100" t="str">
        <f t="shared" si="5"/>
        <v>(Dike-town)</v>
      </c>
      <c r="BB100">
        <f t="shared" si="6"/>
        <v>7</v>
      </c>
      <c r="BC100">
        <f t="shared" si="7"/>
        <v>4000</v>
      </c>
    </row>
    <row r="101" spans="1:55" x14ac:dyDescent="0.3">
      <c r="A101">
        <v>1415</v>
      </c>
      <c r="B101" s="2">
        <v>45937.578645833331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20000</v>
      </c>
      <c r="J101">
        <v>0</v>
      </c>
      <c r="K101">
        <v>11200</v>
      </c>
      <c r="L101">
        <v>0</v>
      </c>
      <c r="M101">
        <v>0</v>
      </c>
      <c r="N101">
        <v>6400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14</v>
      </c>
      <c r="W101">
        <v>6</v>
      </c>
      <c r="X101">
        <v>170000</v>
      </c>
      <c r="Y101">
        <v>160000</v>
      </c>
      <c r="Z101">
        <v>112000</v>
      </c>
      <c r="AA101">
        <v>0</v>
      </c>
      <c r="AB101">
        <v>0</v>
      </c>
      <c r="AC101">
        <v>160000</v>
      </c>
      <c r="AD101">
        <v>96000</v>
      </c>
      <c r="AG101">
        <v>4</v>
      </c>
      <c r="AH101">
        <v>9</v>
      </c>
      <c r="AI101">
        <v>-2</v>
      </c>
      <c r="AJ101">
        <v>-1</v>
      </c>
      <c r="AK101">
        <v>4</v>
      </c>
      <c r="AL101">
        <v>3</v>
      </c>
      <c r="AM101" t="s">
        <v>149</v>
      </c>
      <c r="AN101">
        <v>723</v>
      </c>
      <c r="AO101">
        <v>333</v>
      </c>
      <c r="AP101">
        <v>1586</v>
      </c>
      <c r="AQ101">
        <v>1586</v>
      </c>
      <c r="AS101">
        <v>4</v>
      </c>
      <c r="AT101">
        <v>100</v>
      </c>
      <c r="AU101" t="s">
        <v>63</v>
      </c>
      <c r="AV101">
        <v>20</v>
      </c>
      <c r="AW101" t="s">
        <v>53</v>
      </c>
      <c r="AX101">
        <v>22</v>
      </c>
      <c r="AY101">
        <f t="shared" si="4"/>
        <v>13</v>
      </c>
      <c r="AZ101">
        <v>126</v>
      </c>
      <c r="BA101" t="str">
        <f t="shared" si="5"/>
        <v/>
      </c>
      <c r="BB101">
        <f t="shared" si="6"/>
        <v>7</v>
      </c>
      <c r="BC101">
        <f t="shared" si="7"/>
        <v>0</v>
      </c>
    </row>
    <row r="102" spans="1:55" x14ac:dyDescent="0.3">
      <c r="A102">
        <v>1329</v>
      </c>
      <c r="B102" s="2">
        <v>45937.579710648148</v>
      </c>
      <c r="C102">
        <v>60000</v>
      </c>
      <c r="D102">
        <v>30000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76</v>
      </c>
      <c r="AN102">
        <v>724</v>
      </c>
      <c r="AO102">
        <v>320</v>
      </c>
      <c r="AS102">
        <v>0</v>
      </c>
      <c r="AT102">
        <v>100</v>
      </c>
      <c r="AU102" t="s">
        <v>63</v>
      </c>
      <c r="AV102">
        <v>20</v>
      </c>
      <c r="AW102" t="s">
        <v>53</v>
      </c>
      <c r="AX102">
        <v>22</v>
      </c>
      <c r="AY102">
        <f t="shared" si="4"/>
        <v>0</v>
      </c>
      <c r="AZ102">
        <v>123</v>
      </c>
      <c r="BA102" t="str">
        <f t="shared" si="5"/>
        <v>(U-village)</v>
      </c>
      <c r="BB102">
        <f t="shared" si="6"/>
        <v>0</v>
      </c>
      <c r="BC102">
        <f t="shared" si="7"/>
        <v>0</v>
      </c>
    </row>
    <row r="103" spans="1:55" x14ac:dyDescent="0.3">
      <c r="A103">
        <v>1345</v>
      </c>
      <c r="B103" s="2">
        <v>45937.579710648148</v>
      </c>
      <c r="C103">
        <v>60000</v>
      </c>
      <c r="D103">
        <v>30000</v>
      </c>
      <c r="E103">
        <v>0</v>
      </c>
      <c r="F103">
        <v>7000</v>
      </c>
      <c r="G103">
        <v>0</v>
      </c>
      <c r="H103">
        <v>0</v>
      </c>
      <c r="I103">
        <v>15000</v>
      </c>
      <c r="J103">
        <v>1000</v>
      </c>
      <c r="K103">
        <v>1400</v>
      </c>
      <c r="L103">
        <v>0</v>
      </c>
      <c r="M103">
        <v>4000</v>
      </c>
      <c r="N103">
        <v>1600</v>
      </c>
      <c r="O103">
        <v>0</v>
      </c>
      <c r="P103">
        <v>-1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2</v>
      </c>
      <c r="W103">
        <v>3</v>
      </c>
      <c r="X103">
        <v>80000</v>
      </c>
      <c r="Y103">
        <v>0</v>
      </c>
      <c r="Z103">
        <v>0</v>
      </c>
      <c r="AA103">
        <v>0</v>
      </c>
      <c r="AB103">
        <v>70000</v>
      </c>
      <c r="AC103">
        <v>70000</v>
      </c>
      <c r="AD103">
        <v>63000</v>
      </c>
      <c r="AG103">
        <v>6</v>
      </c>
      <c r="AH103">
        <v>6</v>
      </c>
      <c r="AI103">
        <v>0</v>
      </c>
      <c r="AJ103">
        <v>0</v>
      </c>
      <c r="AK103">
        <v>1</v>
      </c>
      <c r="AL103">
        <v>2</v>
      </c>
      <c r="AM103" t="s">
        <v>149</v>
      </c>
      <c r="AN103">
        <v>724</v>
      </c>
      <c r="AO103">
        <v>323</v>
      </c>
      <c r="AQ103">
        <v>1593</v>
      </c>
      <c r="AS103">
        <v>1</v>
      </c>
      <c r="AT103">
        <v>100</v>
      </c>
      <c r="AU103" t="s">
        <v>63</v>
      </c>
      <c r="AV103">
        <v>20</v>
      </c>
      <c r="AW103" t="s">
        <v>53</v>
      </c>
      <c r="AX103">
        <v>22</v>
      </c>
      <c r="AY103">
        <f t="shared" si="4"/>
        <v>12</v>
      </c>
      <c r="AZ103">
        <v>123</v>
      </c>
      <c r="BA103" t="str">
        <f t="shared" si="5"/>
        <v>(U-village)</v>
      </c>
      <c r="BB103">
        <f t="shared" si="6"/>
        <v>3</v>
      </c>
      <c r="BC103">
        <f t="shared" si="7"/>
        <v>4000</v>
      </c>
    </row>
    <row r="104" spans="1:55" x14ac:dyDescent="0.3">
      <c r="A104">
        <v>1378</v>
      </c>
      <c r="B104" s="2">
        <v>45937.579710648148</v>
      </c>
      <c r="C104">
        <v>60000</v>
      </c>
      <c r="D104">
        <v>30000</v>
      </c>
      <c r="E104">
        <v>0</v>
      </c>
      <c r="F104">
        <v>7000</v>
      </c>
      <c r="G104">
        <v>0</v>
      </c>
      <c r="H104">
        <v>0</v>
      </c>
      <c r="I104">
        <v>15000</v>
      </c>
      <c r="J104">
        <v>8000</v>
      </c>
      <c r="K104">
        <v>1400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3</v>
      </c>
      <c r="X104">
        <v>80000</v>
      </c>
      <c r="Y104">
        <v>70000</v>
      </c>
      <c r="Z104">
        <v>63000</v>
      </c>
      <c r="AA104">
        <v>0</v>
      </c>
      <c r="AB104">
        <v>0</v>
      </c>
      <c r="AC104">
        <v>70000</v>
      </c>
      <c r="AD104">
        <v>56000</v>
      </c>
      <c r="AG104">
        <v>6</v>
      </c>
      <c r="AH104">
        <v>6</v>
      </c>
      <c r="AI104">
        <v>0</v>
      </c>
      <c r="AJ104">
        <v>0</v>
      </c>
      <c r="AK104">
        <v>2</v>
      </c>
      <c r="AL104">
        <v>3</v>
      </c>
      <c r="AM104" t="s">
        <v>149</v>
      </c>
      <c r="AN104">
        <v>724</v>
      </c>
      <c r="AO104">
        <v>327</v>
      </c>
      <c r="AP104">
        <v>1593</v>
      </c>
      <c r="AQ104">
        <v>1593</v>
      </c>
      <c r="AS104">
        <v>2</v>
      </c>
      <c r="AT104">
        <v>100</v>
      </c>
      <c r="AU104" t="s">
        <v>63</v>
      </c>
      <c r="AV104">
        <v>20</v>
      </c>
      <c r="AW104" t="s">
        <v>53</v>
      </c>
      <c r="AX104">
        <v>22</v>
      </c>
      <c r="AY104">
        <f t="shared" si="4"/>
        <v>12</v>
      </c>
      <c r="AZ104">
        <v>123</v>
      </c>
      <c r="BA104" t="str">
        <f t="shared" si="5"/>
        <v>(U-village)</v>
      </c>
      <c r="BB104">
        <f t="shared" si="6"/>
        <v>5</v>
      </c>
      <c r="BC104">
        <f t="shared" si="7"/>
        <v>0</v>
      </c>
    </row>
    <row r="105" spans="1:55" x14ac:dyDescent="0.3">
      <c r="A105">
        <v>1398</v>
      </c>
      <c r="B105" s="2">
        <v>45937.579710648148</v>
      </c>
      <c r="C105">
        <v>60000</v>
      </c>
      <c r="D105">
        <v>30000</v>
      </c>
      <c r="E105">
        <v>0</v>
      </c>
      <c r="F105">
        <v>7000</v>
      </c>
      <c r="G105">
        <v>0</v>
      </c>
      <c r="H105">
        <v>0</v>
      </c>
      <c r="I105">
        <v>15000</v>
      </c>
      <c r="J105">
        <v>6000</v>
      </c>
      <c r="K105">
        <v>1400</v>
      </c>
      <c r="L105">
        <v>0</v>
      </c>
      <c r="M105">
        <v>0</v>
      </c>
      <c r="N105">
        <v>800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3</v>
      </c>
      <c r="X105">
        <v>80000</v>
      </c>
      <c r="Y105">
        <v>70000</v>
      </c>
      <c r="Z105">
        <v>56000</v>
      </c>
      <c r="AA105">
        <v>0</v>
      </c>
      <c r="AB105">
        <v>0</v>
      </c>
      <c r="AC105">
        <v>70000</v>
      </c>
      <c r="AD105">
        <v>49000</v>
      </c>
      <c r="AG105">
        <v>6</v>
      </c>
      <c r="AH105">
        <v>6</v>
      </c>
      <c r="AI105">
        <v>-2</v>
      </c>
      <c r="AJ105">
        <v>-1</v>
      </c>
      <c r="AK105">
        <v>3</v>
      </c>
      <c r="AL105">
        <v>3</v>
      </c>
      <c r="AM105" t="s">
        <v>149</v>
      </c>
      <c r="AN105">
        <v>724</v>
      </c>
      <c r="AO105">
        <v>330</v>
      </c>
      <c r="AP105">
        <v>1593</v>
      </c>
      <c r="AQ105">
        <v>1593</v>
      </c>
      <c r="AS105">
        <v>3</v>
      </c>
      <c r="AT105">
        <v>100</v>
      </c>
      <c r="AU105" t="s">
        <v>63</v>
      </c>
      <c r="AV105">
        <v>20</v>
      </c>
      <c r="AW105" t="s">
        <v>53</v>
      </c>
      <c r="AX105">
        <v>22</v>
      </c>
      <c r="AY105">
        <f t="shared" si="4"/>
        <v>12</v>
      </c>
      <c r="AZ105">
        <v>123</v>
      </c>
      <c r="BA105" t="str">
        <f t="shared" si="5"/>
        <v>(U-village)</v>
      </c>
      <c r="BB105">
        <f t="shared" si="6"/>
        <v>6</v>
      </c>
      <c r="BC105">
        <f t="shared" si="7"/>
        <v>0</v>
      </c>
    </row>
    <row r="106" spans="1:55" x14ac:dyDescent="0.3">
      <c r="A106">
        <v>1411</v>
      </c>
      <c r="B106" s="2">
        <v>45937.579710648148</v>
      </c>
      <c r="C106">
        <v>60000</v>
      </c>
      <c r="D106">
        <v>30000</v>
      </c>
      <c r="E106">
        <v>0</v>
      </c>
      <c r="F106">
        <v>7000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800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3</v>
      </c>
      <c r="X106">
        <v>80000</v>
      </c>
      <c r="Y106">
        <v>70000</v>
      </c>
      <c r="Z106">
        <v>49000</v>
      </c>
      <c r="AA106">
        <v>0</v>
      </c>
      <c r="AB106">
        <v>0</v>
      </c>
      <c r="AC106">
        <v>70000</v>
      </c>
      <c r="AD106">
        <v>42000</v>
      </c>
      <c r="AG106">
        <v>6</v>
      </c>
      <c r="AH106">
        <v>6</v>
      </c>
      <c r="AI106">
        <v>-2</v>
      </c>
      <c r="AJ106">
        <v>-1</v>
      </c>
      <c r="AK106">
        <v>3</v>
      </c>
      <c r="AL106">
        <v>2</v>
      </c>
      <c r="AM106" t="s">
        <v>149</v>
      </c>
      <c r="AN106">
        <v>724</v>
      </c>
      <c r="AO106">
        <v>333</v>
      </c>
      <c r="AP106">
        <v>1593</v>
      </c>
      <c r="AQ106">
        <v>1593</v>
      </c>
      <c r="AS106">
        <v>4</v>
      </c>
      <c r="AT106">
        <v>100</v>
      </c>
      <c r="AU106" t="s">
        <v>63</v>
      </c>
      <c r="AV106">
        <v>20</v>
      </c>
      <c r="AW106" t="s">
        <v>53</v>
      </c>
      <c r="AX106">
        <v>22</v>
      </c>
      <c r="AY106">
        <f t="shared" si="4"/>
        <v>12</v>
      </c>
      <c r="AZ106">
        <v>123</v>
      </c>
      <c r="BA106" t="str">
        <f t="shared" si="5"/>
        <v/>
      </c>
      <c r="BB106">
        <f t="shared" si="6"/>
        <v>5</v>
      </c>
      <c r="BC106">
        <f t="shared" si="7"/>
        <v>0</v>
      </c>
    </row>
    <row r="107" spans="1:55" x14ac:dyDescent="0.3">
      <c r="A107">
        <v>1327</v>
      </c>
      <c r="B107" s="2">
        <v>45937.579386574071</v>
      </c>
      <c r="C107">
        <v>90000</v>
      </c>
      <c r="D107">
        <v>50000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5</v>
      </c>
      <c r="X107">
        <v>130000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76</v>
      </c>
      <c r="AN107">
        <v>725</v>
      </c>
      <c r="AO107">
        <v>320</v>
      </c>
      <c r="AS107">
        <v>0</v>
      </c>
      <c r="AT107">
        <v>100</v>
      </c>
      <c r="AU107" t="s">
        <v>63</v>
      </c>
      <c r="AV107">
        <v>20</v>
      </c>
      <c r="AW107" t="s">
        <v>53</v>
      </c>
      <c r="AX107">
        <v>22</v>
      </c>
      <c r="AY107">
        <f t="shared" si="4"/>
        <v>0</v>
      </c>
      <c r="AZ107">
        <v>125</v>
      </c>
      <c r="BA107" t="str">
        <f t="shared" si="5"/>
        <v>(U-village)</v>
      </c>
      <c r="BB107">
        <f t="shared" si="6"/>
        <v>0</v>
      </c>
      <c r="BC107">
        <f t="shared" si="7"/>
        <v>0</v>
      </c>
    </row>
    <row r="108" spans="1:55" x14ac:dyDescent="0.3">
      <c r="A108">
        <v>1343</v>
      </c>
      <c r="B108" s="2">
        <v>45937.579386574071</v>
      </c>
      <c r="C108">
        <v>90000</v>
      </c>
      <c r="D108">
        <v>50000</v>
      </c>
      <c r="E108">
        <v>0</v>
      </c>
      <c r="F108">
        <v>7000</v>
      </c>
      <c r="G108">
        <v>0</v>
      </c>
      <c r="H108">
        <v>0</v>
      </c>
      <c r="I108">
        <v>15000</v>
      </c>
      <c r="J108">
        <v>19000</v>
      </c>
      <c r="K108">
        <v>0</v>
      </c>
      <c r="L108">
        <v>0</v>
      </c>
      <c r="M108">
        <v>4000</v>
      </c>
      <c r="N108">
        <v>10000</v>
      </c>
      <c r="O108">
        <v>0</v>
      </c>
      <c r="P108">
        <v>-3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5</v>
      </c>
      <c r="X108">
        <v>130000</v>
      </c>
      <c r="Y108">
        <v>0</v>
      </c>
      <c r="Z108">
        <v>0</v>
      </c>
      <c r="AA108">
        <v>0</v>
      </c>
      <c r="AB108">
        <v>70000</v>
      </c>
      <c r="AC108">
        <v>70000</v>
      </c>
      <c r="AD108">
        <v>63000</v>
      </c>
      <c r="AG108">
        <v>6</v>
      </c>
      <c r="AH108">
        <v>6</v>
      </c>
      <c r="AI108">
        <v>0</v>
      </c>
      <c r="AJ108">
        <v>0</v>
      </c>
      <c r="AK108">
        <v>2</v>
      </c>
      <c r="AL108">
        <v>3</v>
      </c>
      <c r="AM108" t="s">
        <v>149</v>
      </c>
      <c r="AN108">
        <v>725</v>
      </c>
      <c r="AO108">
        <v>323</v>
      </c>
      <c r="AQ108">
        <v>1594</v>
      </c>
      <c r="AS108">
        <v>1</v>
      </c>
      <c r="AT108">
        <v>100</v>
      </c>
      <c r="AU108" t="s">
        <v>63</v>
      </c>
      <c r="AV108">
        <v>20</v>
      </c>
      <c r="AW108" t="s">
        <v>53</v>
      </c>
      <c r="AX108">
        <v>22</v>
      </c>
      <c r="AY108">
        <f t="shared" si="4"/>
        <v>12</v>
      </c>
      <c r="AZ108">
        <v>125</v>
      </c>
      <c r="BA108" t="str">
        <f t="shared" si="5"/>
        <v>(U-village)</v>
      </c>
      <c r="BB108">
        <f t="shared" si="6"/>
        <v>5</v>
      </c>
      <c r="BC108">
        <f t="shared" si="7"/>
        <v>4000</v>
      </c>
    </row>
    <row r="109" spans="1:55" x14ac:dyDescent="0.3">
      <c r="A109">
        <v>1377</v>
      </c>
      <c r="B109" s="2">
        <v>45937.579386574071</v>
      </c>
      <c r="C109">
        <v>90000</v>
      </c>
      <c r="D109">
        <v>50000</v>
      </c>
      <c r="E109">
        <v>0</v>
      </c>
      <c r="F109">
        <v>7000</v>
      </c>
      <c r="G109">
        <v>0</v>
      </c>
      <c r="H109">
        <v>0</v>
      </c>
      <c r="I109">
        <v>15000</v>
      </c>
      <c r="J109">
        <v>14000</v>
      </c>
      <c r="K109">
        <v>9750</v>
      </c>
      <c r="L109">
        <v>0</v>
      </c>
      <c r="M109">
        <v>0</v>
      </c>
      <c r="N109">
        <v>4250</v>
      </c>
      <c r="O109">
        <v>0</v>
      </c>
      <c r="P109">
        <v>0</v>
      </c>
      <c r="Q109">
        <v>2</v>
      </c>
      <c r="R109">
        <v>4</v>
      </c>
      <c r="S109">
        <v>1</v>
      </c>
      <c r="T109">
        <v>0</v>
      </c>
      <c r="U109">
        <v>0</v>
      </c>
      <c r="V109">
        <v>6</v>
      </c>
      <c r="W109">
        <v>5</v>
      </c>
      <c r="X109">
        <v>130000</v>
      </c>
      <c r="Y109">
        <v>70000</v>
      </c>
      <c r="Z109">
        <v>63000</v>
      </c>
      <c r="AA109">
        <v>0</v>
      </c>
      <c r="AB109">
        <v>0</v>
      </c>
      <c r="AC109">
        <v>70000</v>
      </c>
      <c r="AD109">
        <v>56000</v>
      </c>
      <c r="AG109">
        <v>6</v>
      </c>
      <c r="AH109">
        <v>6</v>
      </c>
      <c r="AI109">
        <v>0</v>
      </c>
      <c r="AJ109">
        <v>0</v>
      </c>
      <c r="AK109">
        <v>4</v>
      </c>
      <c r="AL109">
        <v>3</v>
      </c>
      <c r="AM109" t="s">
        <v>149</v>
      </c>
      <c r="AN109">
        <v>725</v>
      </c>
      <c r="AO109">
        <v>327</v>
      </c>
      <c r="AP109">
        <v>1594</v>
      </c>
      <c r="AQ109">
        <v>1594</v>
      </c>
      <c r="AS109">
        <v>2</v>
      </c>
      <c r="AT109">
        <v>100</v>
      </c>
      <c r="AU109" t="s">
        <v>63</v>
      </c>
      <c r="AV109">
        <v>20</v>
      </c>
      <c r="AW109" t="s">
        <v>53</v>
      </c>
      <c r="AX109">
        <v>22</v>
      </c>
      <c r="AY109">
        <f t="shared" si="4"/>
        <v>12</v>
      </c>
      <c r="AZ109">
        <v>125</v>
      </c>
      <c r="BA109" t="str">
        <f t="shared" si="5"/>
        <v>(U-village)</v>
      </c>
      <c r="BB109">
        <f t="shared" si="6"/>
        <v>7</v>
      </c>
      <c r="BC109">
        <f t="shared" si="7"/>
        <v>0</v>
      </c>
    </row>
    <row r="110" spans="1:55" x14ac:dyDescent="0.3">
      <c r="A110">
        <v>1396</v>
      </c>
      <c r="B110" s="2">
        <v>45937.579386574071</v>
      </c>
      <c r="C110">
        <v>90000</v>
      </c>
      <c r="D110">
        <v>50000</v>
      </c>
      <c r="E110">
        <v>0</v>
      </c>
      <c r="F110">
        <v>7000</v>
      </c>
      <c r="G110">
        <v>0</v>
      </c>
      <c r="H110">
        <v>0</v>
      </c>
      <c r="I110">
        <v>15000</v>
      </c>
      <c r="J110">
        <v>0</v>
      </c>
      <c r="K110">
        <v>11150</v>
      </c>
      <c r="L110">
        <v>0</v>
      </c>
      <c r="M110">
        <v>0</v>
      </c>
      <c r="N110">
        <v>11100</v>
      </c>
      <c r="O110">
        <v>0</v>
      </c>
      <c r="P110">
        <v>0</v>
      </c>
      <c r="Q110">
        <v>0</v>
      </c>
      <c r="R110">
        <v>4</v>
      </c>
      <c r="S110">
        <v>1</v>
      </c>
      <c r="T110">
        <v>0</v>
      </c>
      <c r="U110">
        <v>0</v>
      </c>
      <c r="V110">
        <v>9</v>
      </c>
      <c r="W110">
        <v>5</v>
      </c>
      <c r="X110">
        <v>130000</v>
      </c>
      <c r="Y110">
        <v>70000</v>
      </c>
      <c r="Z110">
        <v>56000</v>
      </c>
      <c r="AA110">
        <v>0</v>
      </c>
      <c r="AB110">
        <v>0</v>
      </c>
      <c r="AC110">
        <v>70000</v>
      </c>
      <c r="AD110">
        <v>49000</v>
      </c>
      <c r="AG110">
        <v>6</v>
      </c>
      <c r="AH110">
        <v>6</v>
      </c>
      <c r="AI110">
        <v>-2</v>
      </c>
      <c r="AJ110">
        <v>-1</v>
      </c>
      <c r="AK110">
        <v>5</v>
      </c>
      <c r="AL110">
        <v>4</v>
      </c>
      <c r="AM110" t="s">
        <v>149</v>
      </c>
      <c r="AN110">
        <v>725</v>
      </c>
      <c r="AO110">
        <v>330</v>
      </c>
      <c r="AP110">
        <v>1594</v>
      </c>
      <c r="AQ110">
        <v>1594</v>
      </c>
      <c r="AS110">
        <v>3</v>
      </c>
      <c r="AT110">
        <v>100</v>
      </c>
      <c r="AU110" t="s">
        <v>63</v>
      </c>
      <c r="AV110">
        <v>20</v>
      </c>
      <c r="AW110" t="s">
        <v>53</v>
      </c>
      <c r="AX110">
        <v>22</v>
      </c>
      <c r="AY110">
        <f t="shared" si="4"/>
        <v>12</v>
      </c>
      <c r="AZ110">
        <v>125</v>
      </c>
      <c r="BA110" t="str">
        <f t="shared" si="5"/>
        <v>(U-village)</v>
      </c>
      <c r="BB110">
        <f t="shared" si="6"/>
        <v>9</v>
      </c>
      <c r="BC110">
        <f t="shared" si="7"/>
        <v>0</v>
      </c>
    </row>
    <row r="111" spans="1:55" x14ac:dyDescent="0.3">
      <c r="A111">
        <v>1416</v>
      </c>
      <c r="B111" s="2">
        <v>45937.579386574071</v>
      </c>
      <c r="C111">
        <v>90000</v>
      </c>
      <c r="D111">
        <v>50000</v>
      </c>
      <c r="E111">
        <v>0</v>
      </c>
      <c r="F111">
        <v>7000</v>
      </c>
      <c r="G111">
        <v>0</v>
      </c>
      <c r="H111">
        <v>0</v>
      </c>
      <c r="I111">
        <v>15000</v>
      </c>
      <c r="J111">
        <v>0</v>
      </c>
      <c r="K111">
        <v>11150</v>
      </c>
      <c r="L111">
        <v>0</v>
      </c>
      <c r="M111">
        <v>0</v>
      </c>
      <c r="N111">
        <v>17950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13</v>
      </c>
      <c r="W111">
        <v>5</v>
      </c>
      <c r="X111">
        <v>130000</v>
      </c>
      <c r="Y111">
        <v>70000</v>
      </c>
      <c r="Z111">
        <v>49000</v>
      </c>
      <c r="AA111">
        <v>0</v>
      </c>
      <c r="AB111">
        <v>0</v>
      </c>
      <c r="AC111">
        <v>70000</v>
      </c>
      <c r="AD111">
        <v>42000</v>
      </c>
      <c r="AG111">
        <v>6</v>
      </c>
      <c r="AH111">
        <v>6</v>
      </c>
      <c r="AI111">
        <v>-2</v>
      </c>
      <c r="AJ111">
        <v>-1</v>
      </c>
      <c r="AK111">
        <v>5</v>
      </c>
      <c r="AL111">
        <v>4</v>
      </c>
      <c r="AM111" t="s">
        <v>149</v>
      </c>
      <c r="AN111">
        <v>725</v>
      </c>
      <c r="AO111">
        <v>333</v>
      </c>
      <c r="AP111">
        <v>1594</v>
      </c>
      <c r="AQ111">
        <v>1594</v>
      </c>
      <c r="AS111">
        <v>4</v>
      </c>
      <c r="AT111">
        <v>100</v>
      </c>
      <c r="AU111" t="s">
        <v>63</v>
      </c>
      <c r="AV111">
        <v>20</v>
      </c>
      <c r="AW111" t="s">
        <v>53</v>
      </c>
      <c r="AX111">
        <v>22</v>
      </c>
      <c r="AY111">
        <f t="shared" si="4"/>
        <v>12</v>
      </c>
      <c r="AZ111">
        <v>125</v>
      </c>
      <c r="BA111" t="str">
        <f t="shared" si="5"/>
        <v/>
      </c>
      <c r="BB111">
        <f t="shared" si="6"/>
        <v>9</v>
      </c>
      <c r="BC111">
        <f t="shared" si="7"/>
        <v>0</v>
      </c>
    </row>
    <row r="112" spans="1:55" x14ac:dyDescent="0.3">
      <c r="A112">
        <v>1328</v>
      </c>
      <c r="B112" s="2">
        <v>45937.579444444447</v>
      </c>
      <c r="C112">
        <v>130000</v>
      </c>
      <c r="D112">
        <v>75000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50000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7</v>
      </c>
      <c r="X112">
        <v>200000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76</v>
      </c>
      <c r="AN112">
        <v>726</v>
      </c>
      <c r="AO112">
        <v>320</v>
      </c>
      <c r="AS112">
        <v>0</v>
      </c>
      <c r="AT112">
        <v>100</v>
      </c>
      <c r="AU112" t="s">
        <v>63</v>
      </c>
      <c r="AV112">
        <v>20</v>
      </c>
      <c r="AW112" t="s">
        <v>53</v>
      </c>
      <c r="AX112">
        <v>22</v>
      </c>
      <c r="AY112">
        <f t="shared" si="4"/>
        <v>0</v>
      </c>
      <c r="AZ112">
        <v>127</v>
      </c>
      <c r="BA112" t="str">
        <f t="shared" si="5"/>
        <v>(Natu-city)</v>
      </c>
      <c r="BB112">
        <f t="shared" si="6"/>
        <v>0</v>
      </c>
      <c r="BC112">
        <f t="shared" si="7"/>
        <v>0</v>
      </c>
    </row>
    <row r="113" spans="1:55" x14ac:dyDescent="0.3">
      <c r="A113">
        <v>1349</v>
      </c>
      <c r="B113" s="2">
        <v>45937.579444444447</v>
      </c>
      <c r="C113">
        <v>130000</v>
      </c>
      <c r="D113">
        <v>75000</v>
      </c>
      <c r="E113">
        <v>0</v>
      </c>
      <c r="F113">
        <v>10000</v>
      </c>
      <c r="G113">
        <v>0</v>
      </c>
      <c r="H113">
        <v>0</v>
      </c>
      <c r="I113">
        <v>20000</v>
      </c>
      <c r="J113">
        <v>0</v>
      </c>
      <c r="K113">
        <v>5000</v>
      </c>
      <c r="L113">
        <v>0</v>
      </c>
      <c r="M113">
        <v>4000</v>
      </c>
      <c r="N113">
        <v>66000</v>
      </c>
      <c r="O113">
        <v>0</v>
      </c>
      <c r="P113">
        <v>-4</v>
      </c>
      <c r="Q113">
        <v>0</v>
      </c>
      <c r="R113">
        <v>2</v>
      </c>
      <c r="S113">
        <v>0</v>
      </c>
      <c r="T113">
        <v>1</v>
      </c>
      <c r="U113">
        <v>0</v>
      </c>
      <c r="V113">
        <v>2</v>
      </c>
      <c r="W113">
        <v>7</v>
      </c>
      <c r="X113">
        <v>200000</v>
      </c>
      <c r="Y113">
        <v>0</v>
      </c>
      <c r="Z113">
        <v>0</v>
      </c>
      <c r="AA113">
        <v>0</v>
      </c>
      <c r="AB113">
        <v>100000</v>
      </c>
      <c r="AC113">
        <v>100000</v>
      </c>
      <c r="AD113">
        <v>90000</v>
      </c>
      <c r="AG113">
        <v>6</v>
      </c>
      <c r="AH113">
        <v>9</v>
      </c>
      <c r="AI113">
        <v>0</v>
      </c>
      <c r="AJ113">
        <v>0</v>
      </c>
      <c r="AK113">
        <v>0</v>
      </c>
      <c r="AL113">
        <v>0</v>
      </c>
      <c r="AM113" t="s">
        <v>149</v>
      </c>
      <c r="AN113">
        <v>726</v>
      </c>
      <c r="AO113">
        <v>323</v>
      </c>
      <c r="AQ113">
        <v>1583</v>
      </c>
      <c r="AS113">
        <v>1</v>
      </c>
      <c r="AT113">
        <v>100</v>
      </c>
      <c r="AU113" t="s">
        <v>63</v>
      </c>
      <c r="AV113">
        <v>20</v>
      </c>
      <c r="AW113" t="s">
        <v>53</v>
      </c>
      <c r="AX113">
        <v>22</v>
      </c>
      <c r="AY113">
        <f t="shared" si="4"/>
        <v>15</v>
      </c>
      <c r="AZ113">
        <v>127</v>
      </c>
      <c r="BA113" t="str">
        <f t="shared" si="5"/>
        <v>(Natu-city)</v>
      </c>
      <c r="BB113">
        <f t="shared" si="6"/>
        <v>0</v>
      </c>
      <c r="BC113">
        <f t="shared" si="7"/>
        <v>4000</v>
      </c>
    </row>
    <row r="114" spans="1:55" x14ac:dyDescent="0.3">
      <c r="A114">
        <v>1379</v>
      </c>
      <c r="B114" s="2">
        <v>45937.579444444447</v>
      </c>
      <c r="C114">
        <v>130000</v>
      </c>
      <c r="D114">
        <v>75000</v>
      </c>
      <c r="E114">
        <v>0</v>
      </c>
      <c r="F114">
        <v>10000</v>
      </c>
      <c r="G114">
        <v>0</v>
      </c>
      <c r="H114">
        <v>0</v>
      </c>
      <c r="I114">
        <v>20000</v>
      </c>
      <c r="J114">
        <v>18000</v>
      </c>
      <c r="K114">
        <v>7500</v>
      </c>
      <c r="L114">
        <v>0</v>
      </c>
      <c r="M114">
        <v>0</v>
      </c>
      <c r="N114">
        <v>65500</v>
      </c>
      <c r="O114">
        <v>0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0</v>
      </c>
      <c r="V114">
        <v>6</v>
      </c>
      <c r="W114">
        <v>7</v>
      </c>
      <c r="X114">
        <v>200000</v>
      </c>
      <c r="Y114">
        <v>100000</v>
      </c>
      <c r="Z114">
        <v>90000</v>
      </c>
      <c r="AA114">
        <v>0</v>
      </c>
      <c r="AB114">
        <v>0</v>
      </c>
      <c r="AC114">
        <v>100000</v>
      </c>
      <c r="AD114">
        <v>80000</v>
      </c>
      <c r="AG114">
        <v>6</v>
      </c>
      <c r="AH114">
        <v>9</v>
      </c>
      <c r="AI114">
        <v>0</v>
      </c>
      <c r="AJ114">
        <v>0</v>
      </c>
      <c r="AK114">
        <v>2</v>
      </c>
      <c r="AL114">
        <v>2</v>
      </c>
      <c r="AM114" t="s">
        <v>149</v>
      </c>
      <c r="AN114">
        <v>726</v>
      </c>
      <c r="AO114">
        <v>327</v>
      </c>
      <c r="AP114">
        <v>1583</v>
      </c>
      <c r="AQ114">
        <v>1583</v>
      </c>
      <c r="AS114">
        <v>2</v>
      </c>
      <c r="AT114">
        <v>100</v>
      </c>
      <c r="AU114" t="s">
        <v>63</v>
      </c>
      <c r="AV114">
        <v>20</v>
      </c>
      <c r="AW114" t="s">
        <v>53</v>
      </c>
      <c r="AX114">
        <v>22</v>
      </c>
      <c r="AY114">
        <f t="shared" si="4"/>
        <v>15</v>
      </c>
      <c r="AZ114">
        <v>127</v>
      </c>
      <c r="BA114" t="str">
        <f t="shared" si="5"/>
        <v>(Natu-city)</v>
      </c>
      <c r="BB114">
        <f t="shared" si="6"/>
        <v>4</v>
      </c>
      <c r="BC114">
        <f t="shared" si="7"/>
        <v>0</v>
      </c>
    </row>
    <row r="115" spans="1:55" x14ac:dyDescent="0.3">
      <c r="A115">
        <v>1393</v>
      </c>
      <c r="B115" s="2">
        <v>45937.579444444447</v>
      </c>
      <c r="C115">
        <v>130000</v>
      </c>
      <c r="D115">
        <v>75000</v>
      </c>
      <c r="E115">
        <v>0</v>
      </c>
      <c r="F115">
        <v>10000</v>
      </c>
      <c r="G115">
        <v>0</v>
      </c>
      <c r="H115">
        <v>0</v>
      </c>
      <c r="I115">
        <v>20000</v>
      </c>
      <c r="J115">
        <v>15000</v>
      </c>
      <c r="K115">
        <v>16000</v>
      </c>
      <c r="L115">
        <v>0</v>
      </c>
      <c r="M115">
        <v>0</v>
      </c>
      <c r="N115">
        <v>59500</v>
      </c>
      <c r="O115">
        <v>0</v>
      </c>
      <c r="P115">
        <v>0</v>
      </c>
      <c r="Q115">
        <v>2</v>
      </c>
      <c r="R115">
        <v>4</v>
      </c>
      <c r="S115">
        <v>0</v>
      </c>
      <c r="T115">
        <v>0</v>
      </c>
      <c r="U115">
        <v>0</v>
      </c>
      <c r="V115">
        <v>12</v>
      </c>
      <c r="W115">
        <v>7</v>
      </c>
      <c r="X115">
        <v>200000</v>
      </c>
      <c r="Y115">
        <v>100000</v>
      </c>
      <c r="Z115">
        <v>80000</v>
      </c>
      <c r="AA115">
        <v>0</v>
      </c>
      <c r="AB115">
        <v>0</v>
      </c>
      <c r="AC115">
        <v>100000</v>
      </c>
      <c r="AD115">
        <v>70000</v>
      </c>
      <c r="AG115">
        <v>6</v>
      </c>
      <c r="AH115">
        <v>9</v>
      </c>
      <c r="AI115">
        <v>-2</v>
      </c>
      <c r="AJ115">
        <v>-1</v>
      </c>
      <c r="AK115">
        <v>5</v>
      </c>
      <c r="AL115">
        <v>4</v>
      </c>
      <c r="AM115" t="s">
        <v>149</v>
      </c>
      <c r="AN115">
        <v>726</v>
      </c>
      <c r="AO115">
        <v>330</v>
      </c>
      <c r="AP115">
        <v>1583</v>
      </c>
      <c r="AQ115">
        <v>1583</v>
      </c>
      <c r="AS115">
        <v>3</v>
      </c>
      <c r="AT115">
        <v>100</v>
      </c>
      <c r="AU115" t="s">
        <v>63</v>
      </c>
      <c r="AV115">
        <v>20</v>
      </c>
      <c r="AW115" t="s">
        <v>53</v>
      </c>
      <c r="AX115">
        <v>22</v>
      </c>
      <c r="AY115">
        <f t="shared" si="4"/>
        <v>15</v>
      </c>
      <c r="AZ115">
        <v>127</v>
      </c>
      <c r="BA115" t="str">
        <f t="shared" si="5"/>
        <v>(Natu-city)</v>
      </c>
      <c r="BB115">
        <f t="shared" si="6"/>
        <v>9</v>
      </c>
      <c r="BC115">
        <f t="shared" si="7"/>
        <v>0</v>
      </c>
    </row>
    <row r="116" spans="1:55" x14ac:dyDescent="0.3">
      <c r="A116">
        <v>1412</v>
      </c>
      <c r="B116" s="2">
        <v>45937.579444444447</v>
      </c>
      <c r="C116">
        <v>130000</v>
      </c>
      <c r="D116">
        <v>75000</v>
      </c>
      <c r="E116">
        <v>0</v>
      </c>
      <c r="F116">
        <v>10000</v>
      </c>
      <c r="G116">
        <v>0</v>
      </c>
      <c r="H116">
        <v>0</v>
      </c>
      <c r="I116">
        <v>25000</v>
      </c>
      <c r="J116">
        <v>0</v>
      </c>
      <c r="K116">
        <v>16000</v>
      </c>
      <c r="L116">
        <v>0</v>
      </c>
      <c r="M116">
        <v>0</v>
      </c>
      <c r="N116">
        <v>63500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18</v>
      </c>
      <c r="W116">
        <v>7</v>
      </c>
      <c r="X116">
        <v>200000</v>
      </c>
      <c r="Y116">
        <v>100000</v>
      </c>
      <c r="Z116">
        <v>70000</v>
      </c>
      <c r="AA116">
        <v>0</v>
      </c>
      <c r="AB116">
        <v>0</v>
      </c>
      <c r="AC116">
        <v>100000</v>
      </c>
      <c r="AD116">
        <v>60000</v>
      </c>
      <c r="AG116">
        <v>6</v>
      </c>
      <c r="AH116">
        <v>9</v>
      </c>
      <c r="AI116">
        <v>-2</v>
      </c>
      <c r="AJ116">
        <v>-1</v>
      </c>
      <c r="AK116">
        <v>5</v>
      </c>
      <c r="AL116">
        <v>4</v>
      </c>
      <c r="AM116" t="s">
        <v>149</v>
      </c>
      <c r="AN116">
        <v>726</v>
      </c>
      <c r="AO116">
        <v>333</v>
      </c>
      <c r="AP116">
        <v>1583</v>
      </c>
      <c r="AQ116">
        <v>1583</v>
      </c>
      <c r="AS116">
        <v>4</v>
      </c>
      <c r="AT116">
        <v>100</v>
      </c>
      <c r="AU116" t="s">
        <v>63</v>
      </c>
      <c r="AV116">
        <v>20</v>
      </c>
      <c r="AW116" t="s">
        <v>53</v>
      </c>
      <c r="AX116">
        <v>22</v>
      </c>
      <c r="AY116">
        <f t="shared" si="4"/>
        <v>15</v>
      </c>
      <c r="AZ116">
        <v>127</v>
      </c>
      <c r="BA116" t="str">
        <f t="shared" si="5"/>
        <v/>
      </c>
      <c r="BB116">
        <f t="shared" si="6"/>
        <v>9</v>
      </c>
      <c r="BC116">
        <f t="shared" si="7"/>
        <v>0</v>
      </c>
    </row>
    <row r="117" spans="1:55" x14ac:dyDescent="0.3">
      <c r="A117">
        <v>1331</v>
      </c>
      <c r="B117" s="2">
        <v>45937.58011574074</v>
      </c>
      <c r="C117">
        <v>190000</v>
      </c>
      <c r="D117">
        <v>115000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80000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8</v>
      </c>
      <c r="X117">
        <v>300000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76</v>
      </c>
      <c r="AN117">
        <v>727</v>
      </c>
      <c r="AO117">
        <v>320</v>
      </c>
      <c r="AS117">
        <v>0</v>
      </c>
      <c r="AT117">
        <v>100</v>
      </c>
      <c r="AU117" t="s">
        <v>63</v>
      </c>
      <c r="AV117">
        <v>20</v>
      </c>
      <c r="AW117" t="s">
        <v>53</v>
      </c>
      <c r="AX117">
        <v>22</v>
      </c>
      <c r="AY117">
        <f t="shared" si="4"/>
        <v>0</v>
      </c>
      <c r="AZ117">
        <v>128</v>
      </c>
      <c r="BA117" t="str">
        <f t="shared" si="5"/>
        <v>(Dike-town)</v>
      </c>
      <c r="BB117">
        <f t="shared" si="6"/>
        <v>0</v>
      </c>
      <c r="BC117">
        <f t="shared" si="7"/>
        <v>0</v>
      </c>
    </row>
    <row r="118" spans="1:55" x14ac:dyDescent="0.3">
      <c r="A118">
        <v>1350</v>
      </c>
      <c r="B118" s="2">
        <v>45937.58011574074</v>
      </c>
      <c r="C118">
        <v>190000</v>
      </c>
      <c r="D118">
        <v>115000</v>
      </c>
      <c r="E118">
        <v>0</v>
      </c>
      <c r="F118">
        <v>16000</v>
      </c>
      <c r="G118">
        <v>0</v>
      </c>
      <c r="H118">
        <v>0</v>
      </c>
      <c r="I118">
        <v>20000</v>
      </c>
      <c r="J118">
        <v>14000</v>
      </c>
      <c r="K118">
        <v>3200</v>
      </c>
      <c r="L118">
        <v>0</v>
      </c>
      <c r="M118">
        <v>4000</v>
      </c>
      <c r="N118">
        <v>97800</v>
      </c>
      <c r="O118">
        <v>0</v>
      </c>
      <c r="P118">
        <v>-3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8</v>
      </c>
      <c r="X118">
        <v>300000</v>
      </c>
      <c r="Y118">
        <v>0</v>
      </c>
      <c r="Z118">
        <v>0</v>
      </c>
      <c r="AA118">
        <v>0</v>
      </c>
      <c r="AB118">
        <v>160000</v>
      </c>
      <c r="AC118">
        <v>160000</v>
      </c>
      <c r="AD118">
        <v>144000</v>
      </c>
      <c r="AG118">
        <v>4</v>
      </c>
      <c r="AH118">
        <v>9</v>
      </c>
      <c r="AI118">
        <v>0</v>
      </c>
      <c r="AJ118">
        <v>0</v>
      </c>
      <c r="AK118">
        <v>3</v>
      </c>
      <c r="AL118">
        <v>2</v>
      </c>
      <c r="AM118" t="s">
        <v>149</v>
      </c>
      <c r="AN118">
        <v>727</v>
      </c>
      <c r="AO118">
        <v>323</v>
      </c>
      <c r="AQ118">
        <v>1587</v>
      </c>
      <c r="AS118">
        <v>1</v>
      </c>
      <c r="AT118">
        <v>100</v>
      </c>
      <c r="AU118" t="s">
        <v>63</v>
      </c>
      <c r="AV118">
        <v>20</v>
      </c>
      <c r="AW118" t="s">
        <v>53</v>
      </c>
      <c r="AX118">
        <v>22</v>
      </c>
      <c r="AY118">
        <f t="shared" si="4"/>
        <v>13</v>
      </c>
      <c r="AZ118">
        <v>128</v>
      </c>
      <c r="BA118" t="str">
        <f t="shared" si="5"/>
        <v>(Dike-town)</v>
      </c>
      <c r="BB118">
        <f t="shared" si="6"/>
        <v>5</v>
      </c>
      <c r="BC118">
        <f t="shared" si="7"/>
        <v>4000</v>
      </c>
    </row>
    <row r="119" spans="1:55" x14ac:dyDescent="0.3">
      <c r="A119">
        <v>1374</v>
      </c>
      <c r="B119" s="2">
        <v>45937.58011574074</v>
      </c>
      <c r="C119">
        <v>190000</v>
      </c>
      <c r="D119">
        <v>115000</v>
      </c>
      <c r="E119">
        <v>0</v>
      </c>
      <c r="F119">
        <v>16000</v>
      </c>
      <c r="G119">
        <v>0</v>
      </c>
      <c r="H119">
        <v>0</v>
      </c>
      <c r="I119">
        <v>20000</v>
      </c>
      <c r="J119">
        <v>0</v>
      </c>
      <c r="K119">
        <v>24700</v>
      </c>
      <c r="L119">
        <v>0</v>
      </c>
      <c r="M119">
        <v>0</v>
      </c>
      <c r="N119">
        <v>112100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7</v>
      </c>
      <c r="W119">
        <v>8</v>
      </c>
      <c r="X119">
        <v>300000</v>
      </c>
      <c r="Y119">
        <v>160000</v>
      </c>
      <c r="Z119">
        <v>144000</v>
      </c>
      <c r="AA119">
        <v>0</v>
      </c>
      <c r="AB119">
        <v>0</v>
      </c>
      <c r="AC119">
        <v>160000</v>
      </c>
      <c r="AD119">
        <v>128000</v>
      </c>
      <c r="AG119">
        <v>4</v>
      </c>
      <c r="AH119">
        <v>9</v>
      </c>
      <c r="AI119">
        <v>0</v>
      </c>
      <c r="AJ119">
        <v>0</v>
      </c>
      <c r="AK119">
        <v>3</v>
      </c>
      <c r="AL119">
        <v>2</v>
      </c>
      <c r="AM119" t="s">
        <v>149</v>
      </c>
      <c r="AN119">
        <v>727</v>
      </c>
      <c r="AO119">
        <v>327</v>
      </c>
      <c r="AP119">
        <v>1587</v>
      </c>
      <c r="AQ119">
        <v>1587</v>
      </c>
      <c r="AS119">
        <v>2</v>
      </c>
      <c r="AT119">
        <v>100</v>
      </c>
      <c r="AU119" t="s">
        <v>63</v>
      </c>
      <c r="AV119">
        <v>20</v>
      </c>
      <c r="AW119" t="s">
        <v>53</v>
      </c>
      <c r="AX119">
        <v>22</v>
      </c>
      <c r="AY119">
        <f t="shared" si="4"/>
        <v>13</v>
      </c>
      <c r="AZ119">
        <v>128</v>
      </c>
      <c r="BA119" t="str">
        <f t="shared" si="5"/>
        <v>(Dike-town)</v>
      </c>
      <c r="BB119">
        <f t="shared" si="6"/>
        <v>5</v>
      </c>
      <c r="BC119">
        <f t="shared" si="7"/>
        <v>0</v>
      </c>
    </row>
    <row r="120" spans="1:55" x14ac:dyDescent="0.3">
      <c r="A120">
        <v>1395</v>
      </c>
      <c r="B120" s="2">
        <v>45937.58011574074</v>
      </c>
      <c r="C120">
        <v>190000</v>
      </c>
      <c r="D120">
        <v>115000</v>
      </c>
      <c r="E120">
        <v>0</v>
      </c>
      <c r="F120">
        <v>16000</v>
      </c>
      <c r="G120">
        <v>0</v>
      </c>
      <c r="H120">
        <v>0</v>
      </c>
      <c r="I120">
        <v>20000</v>
      </c>
      <c r="J120">
        <v>10000</v>
      </c>
      <c r="K120">
        <v>11200</v>
      </c>
      <c r="L120">
        <v>0</v>
      </c>
      <c r="M120">
        <v>4000</v>
      </c>
      <c r="N120">
        <v>125900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1</v>
      </c>
      <c r="U120">
        <v>0</v>
      </c>
      <c r="V120">
        <v>8</v>
      </c>
      <c r="W120">
        <v>8</v>
      </c>
      <c r="X120">
        <v>300000</v>
      </c>
      <c r="Y120">
        <v>160000</v>
      </c>
      <c r="Z120">
        <v>128000</v>
      </c>
      <c r="AA120">
        <v>0</v>
      </c>
      <c r="AB120">
        <v>0</v>
      </c>
      <c r="AC120">
        <v>160000</v>
      </c>
      <c r="AD120">
        <v>112000</v>
      </c>
      <c r="AG120">
        <v>4</v>
      </c>
      <c r="AH120">
        <v>9</v>
      </c>
      <c r="AI120">
        <v>-2</v>
      </c>
      <c r="AJ120">
        <v>-1</v>
      </c>
      <c r="AK120">
        <v>4</v>
      </c>
      <c r="AL120">
        <v>3</v>
      </c>
      <c r="AM120" t="s">
        <v>149</v>
      </c>
      <c r="AN120">
        <v>727</v>
      </c>
      <c r="AO120">
        <v>330</v>
      </c>
      <c r="AP120">
        <v>1587</v>
      </c>
      <c r="AQ120">
        <v>1587</v>
      </c>
      <c r="AS120">
        <v>3</v>
      </c>
      <c r="AT120">
        <v>100</v>
      </c>
      <c r="AU120" t="s">
        <v>63</v>
      </c>
      <c r="AV120">
        <v>20</v>
      </c>
      <c r="AW120" t="s">
        <v>53</v>
      </c>
      <c r="AX120">
        <v>22</v>
      </c>
      <c r="AY120">
        <f t="shared" si="4"/>
        <v>13</v>
      </c>
      <c r="AZ120">
        <v>128</v>
      </c>
      <c r="BA120" t="str">
        <f t="shared" si="5"/>
        <v>(Dike-town)</v>
      </c>
      <c r="BB120">
        <f t="shared" si="6"/>
        <v>7</v>
      </c>
      <c r="BC120">
        <f t="shared" si="7"/>
        <v>4000</v>
      </c>
    </row>
    <row r="121" spans="1:55" x14ac:dyDescent="0.3">
      <c r="A121">
        <v>1414</v>
      </c>
      <c r="B121" s="2">
        <v>45937.58011574074</v>
      </c>
      <c r="C121">
        <v>190000</v>
      </c>
      <c r="D121">
        <v>115000</v>
      </c>
      <c r="E121">
        <v>0</v>
      </c>
      <c r="F121">
        <v>16000</v>
      </c>
      <c r="G121">
        <v>0</v>
      </c>
      <c r="H121">
        <v>0</v>
      </c>
      <c r="I121">
        <v>20000</v>
      </c>
      <c r="J121">
        <v>8000</v>
      </c>
      <c r="K121">
        <v>24700</v>
      </c>
      <c r="L121">
        <v>0</v>
      </c>
      <c r="M121">
        <v>0</v>
      </c>
      <c r="N121">
        <v>132200</v>
      </c>
      <c r="O121">
        <v>0</v>
      </c>
      <c r="P121">
        <v>0</v>
      </c>
      <c r="Q121">
        <v>1</v>
      </c>
      <c r="R121">
        <v>4</v>
      </c>
      <c r="S121">
        <v>0</v>
      </c>
      <c r="T121">
        <v>0</v>
      </c>
      <c r="U121">
        <v>0</v>
      </c>
      <c r="V121">
        <v>13</v>
      </c>
      <c r="W121">
        <v>8</v>
      </c>
      <c r="X121">
        <v>300000</v>
      </c>
      <c r="Y121">
        <v>160000</v>
      </c>
      <c r="Z121">
        <v>112000</v>
      </c>
      <c r="AA121">
        <v>0</v>
      </c>
      <c r="AB121">
        <v>0</v>
      </c>
      <c r="AC121">
        <v>160000</v>
      </c>
      <c r="AD121">
        <v>96000</v>
      </c>
      <c r="AG121">
        <v>4</v>
      </c>
      <c r="AH121">
        <v>9</v>
      </c>
      <c r="AI121">
        <v>-2</v>
      </c>
      <c r="AJ121">
        <v>-1</v>
      </c>
      <c r="AK121">
        <v>5</v>
      </c>
      <c r="AL121">
        <v>3</v>
      </c>
      <c r="AM121" t="s">
        <v>149</v>
      </c>
      <c r="AN121">
        <v>727</v>
      </c>
      <c r="AO121">
        <v>333</v>
      </c>
      <c r="AP121">
        <v>1587</v>
      </c>
      <c r="AQ121">
        <v>1587</v>
      </c>
      <c r="AS121">
        <v>4</v>
      </c>
      <c r="AT121">
        <v>100</v>
      </c>
      <c r="AU121" t="s">
        <v>63</v>
      </c>
      <c r="AV121">
        <v>20</v>
      </c>
      <c r="AW121" t="s">
        <v>53</v>
      </c>
      <c r="AX121">
        <v>22</v>
      </c>
      <c r="AY121">
        <f t="shared" si="4"/>
        <v>13</v>
      </c>
      <c r="AZ121">
        <v>128</v>
      </c>
      <c r="BA121" t="str">
        <f t="shared" si="5"/>
        <v/>
      </c>
      <c r="BB121">
        <f t="shared" si="6"/>
        <v>8</v>
      </c>
      <c r="BC121">
        <f t="shared" si="7"/>
        <v>0</v>
      </c>
    </row>
    <row r="122" spans="1:55" x14ac:dyDescent="0.3">
      <c r="AZ122" t="e">
        <v>#N/A</v>
      </c>
    </row>
    <row r="123" spans="1:55" x14ac:dyDescent="0.3">
      <c r="AZ123" t="e">
        <v>#N/A</v>
      </c>
    </row>
    <row r="124" spans="1:55" x14ac:dyDescent="0.3">
      <c r="AZ124" t="e">
        <v>#N/A</v>
      </c>
    </row>
    <row r="125" spans="1:55" x14ac:dyDescent="0.3">
      <c r="AZ125" t="e">
        <v>#N/A</v>
      </c>
    </row>
    <row r="126" spans="1:55" x14ac:dyDescent="0.3">
      <c r="AZ126" t="e">
        <v>#N/A</v>
      </c>
    </row>
    <row r="127" spans="1:55" x14ac:dyDescent="0.3">
      <c r="AZ127" t="e">
        <v>#N/A</v>
      </c>
    </row>
    <row r="128" spans="1:55" x14ac:dyDescent="0.3">
      <c r="AZ128" t="e">
        <v>#N/A</v>
      </c>
    </row>
    <row r="129" spans="52:52" x14ac:dyDescent="0.3">
      <c r="AZ129" t="e">
        <v>#N/A</v>
      </c>
    </row>
    <row r="130" spans="52:52" x14ac:dyDescent="0.3">
      <c r="AZ130" t="e">
        <v>#N/A</v>
      </c>
    </row>
    <row r="131" spans="52:52" x14ac:dyDescent="0.3">
      <c r="AZ131" t="e">
        <v>#N/A</v>
      </c>
    </row>
    <row r="132" spans="52:52" x14ac:dyDescent="0.3">
      <c r="AZ132" t="e">
        <v>#N/A</v>
      </c>
    </row>
    <row r="133" spans="52:52" x14ac:dyDescent="0.3">
      <c r="AZ133" t="e">
        <v>#N/A</v>
      </c>
    </row>
    <row r="134" spans="52:52" x14ac:dyDescent="0.3">
      <c r="AZ134" t="e">
        <v>#N/A</v>
      </c>
    </row>
    <row r="135" spans="52:52" x14ac:dyDescent="0.3">
      <c r="AZ135" t="e">
        <v>#N/A</v>
      </c>
    </row>
    <row r="136" spans="52:52" x14ac:dyDescent="0.3">
      <c r="AZ136" t="e">
        <v>#N/A</v>
      </c>
    </row>
    <row r="137" spans="52:52" x14ac:dyDescent="0.3">
      <c r="AZ137" t="e">
        <v>#N/A</v>
      </c>
    </row>
    <row r="138" spans="52:52" x14ac:dyDescent="0.3">
      <c r="AZ138" t="e">
        <v>#N/A</v>
      </c>
    </row>
    <row r="139" spans="52:52" x14ac:dyDescent="0.3">
      <c r="AZ139" t="e">
        <v>#N/A</v>
      </c>
    </row>
    <row r="140" spans="52:52" x14ac:dyDescent="0.3">
      <c r="AZ140" t="e">
        <v>#N/A</v>
      </c>
    </row>
    <row r="141" spans="52:52" x14ac:dyDescent="0.3">
      <c r="AZ141" t="e">
        <v>#N/A</v>
      </c>
    </row>
    <row r="142" spans="52:52" x14ac:dyDescent="0.3">
      <c r="AZ142" t="e">
        <v>#N/A</v>
      </c>
    </row>
    <row r="143" spans="52:52" x14ac:dyDescent="0.3">
      <c r="AZ143" t="e">
        <v>#N/A</v>
      </c>
    </row>
    <row r="144" spans="52:52" x14ac:dyDescent="0.3">
      <c r="AZ144" t="e">
        <v>#N/A</v>
      </c>
    </row>
    <row r="145" spans="52:52" x14ac:dyDescent="0.3">
      <c r="AZ145" t="e">
        <v>#N/A</v>
      </c>
    </row>
    <row r="146" spans="52:52" x14ac:dyDescent="0.3">
      <c r="AZ146" t="e">
        <v>#N/A</v>
      </c>
    </row>
    <row r="147" spans="52:52" x14ac:dyDescent="0.3">
      <c r="AZ147" t="e">
        <v>#N/A</v>
      </c>
    </row>
    <row r="148" spans="52:52" x14ac:dyDescent="0.3">
      <c r="AZ148" t="e">
        <v>#N/A</v>
      </c>
    </row>
    <row r="149" spans="52:52" x14ac:dyDescent="0.3">
      <c r="AZ149" t="e">
        <v>#N/A</v>
      </c>
    </row>
    <row r="150" spans="52:52" x14ac:dyDescent="0.3">
      <c r="AZ150" t="e">
        <v>#N/A</v>
      </c>
    </row>
    <row r="151" spans="52:52" x14ac:dyDescent="0.3">
      <c r="AZ151" t="e">
        <v>#N/A</v>
      </c>
    </row>
    <row r="152" spans="52:52" x14ac:dyDescent="0.3">
      <c r="AZ152" t="e">
        <v>#N/A</v>
      </c>
    </row>
    <row r="153" spans="52:52" x14ac:dyDescent="0.3">
      <c r="AZ153" t="e">
        <v>#N/A</v>
      </c>
    </row>
    <row r="154" spans="52:52" x14ac:dyDescent="0.3">
      <c r="AZ154" t="e">
        <v>#N/A</v>
      </c>
    </row>
    <row r="155" spans="52:52" x14ac:dyDescent="0.3">
      <c r="AZ155" t="e">
        <v>#N/A</v>
      </c>
    </row>
    <row r="156" spans="52:52" x14ac:dyDescent="0.3">
      <c r="AZ156" t="e">
        <v>#N/A</v>
      </c>
    </row>
    <row r="157" spans="52:52" x14ac:dyDescent="0.3">
      <c r="AZ157" t="e">
        <v>#N/A</v>
      </c>
    </row>
    <row r="158" spans="52:52" x14ac:dyDescent="0.3">
      <c r="AZ158" t="e">
        <v>#N/A</v>
      </c>
    </row>
    <row r="159" spans="52:52" x14ac:dyDescent="0.3">
      <c r="AZ159" t="e">
        <v>#N/A</v>
      </c>
    </row>
    <row r="160" spans="52:52" x14ac:dyDescent="0.3">
      <c r="AZ160" t="e">
        <v>#N/A</v>
      </c>
    </row>
    <row r="161" spans="52:52" x14ac:dyDescent="0.3">
      <c r="AZ161" t="e">
        <v>#N/A</v>
      </c>
    </row>
    <row r="162" spans="52:52" x14ac:dyDescent="0.3">
      <c r="AZ162" t="e">
        <v>#N/A</v>
      </c>
    </row>
    <row r="163" spans="52:52" x14ac:dyDescent="0.3">
      <c r="AZ163" t="e">
        <v>#N/A</v>
      </c>
    </row>
    <row r="164" spans="52:52" x14ac:dyDescent="0.3">
      <c r="AZ164" t="e">
        <v>#N/A</v>
      </c>
    </row>
    <row r="165" spans="52:52" x14ac:dyDescent="0.3">
      <c r="AZ165" t="e">
        <v>#N/A</v>
      </c>
    </row>
    <row r="166" spans="52:52" x14ac:dyDescent="0.3">
      <c r="AZ166" t="e">
        <v>#N/A</v>
      </c>
    </row>
    <row r="167" spans="52:52" x14ac:dyDescent="0.3">
      <c r="AZ167" t="e">
        <v>#N/A</v>
      </c>
    </row>
    <row r="168" spans="52:52" x14ac:dyDescent="0.3">
      <c r="AZ168" t="e">
        <v>#N/A</v>
      </c>
    </row>
    <row r="169" spans="52:52" x14ac:dyDescent="0.3">
      <c r="AZ169" t="e">
        <v>#N/A</v>
      </c>
    </row>
    <row r="170" spans="52:52" x14ac:dyDescent="0.3">
      <c r="AZ170" t="e">
        <v>#N/A</v>
      </c>
    </row>
    <row r="171" spans="52:52" x14ac:dyDescent="0.3">
      <c r="AZ171" t="e">
        <v>#N/A</v>
      </c>
    </row>
    <row r="172" spans="52:52" x14ac:dyDescent="0.3">
      <c r="AZ172" t="e">
        <v>#N/A</v>
      </c>
    </row>
    <row r="173" spans="52:52" x14ac:dyDescent="0.3">
      <c r="AZ173" t="e">
        <v>#N/A</v>
      </c>
    </row>
    <row r="174" spans="52:52" x14ac:dyDescent="0.3">
      <c r="AZ174" t="e">
        <v>#N/A</v>
      </c>
    </row>
    <row r="175" spans="52:52" x14ac:dyDescent="0.3">
      <c r="AZ175" t="e">
        <v>#N/A</v>
      </c>
    </row>
    <row r="176" spans="52:52" x14ac:dyDescent="0.3">
      <c r="AZ176" t="e">
        <v>#N/A</v>
      </c>
    </row>
    <row r="177" spans="52:52" x14ac:dyDescent="0.3">
      <c r="AZ177" t="e">
        <v>#N/A</v>
      </c>
    </row>
    <row r="178" spans="52:52" x14ac:dyDescent="0.3">
      <c r="AZ178" t="e">
        <v>#N/A</v>
      </c>
    </row>
    <row r="179" spans="52:52" x14ac:dyDescent="0.3">
      <c r="AZ179" t="e">
        <v>#N/A</v>
      </c>
    </row>
    <row r="180" spans="52:52" x14ac:dyDescent="0.3">
      <c r="AZ180" t="e">
        <v>#N/A</v>
      </c>
    </row>
    <row r="181" spans="52:52" x14ac:dyDescent="0.3">
      <c r="AZ181" t="e">
        <v>#N/A</v>
      </c>
    </row>
    <row r="182" spans="52:52" x14ac:dyDescent="0.3">
      <c r="AZ182" t="e">
        <v>#N/A</v>
      </c>
    </row>
    <row r="183" spans="52:52" x14ac:dyDescent="0.3">
      <c r="AZ183" t="e">
        <v>#N/A</v>
      </c>
    </row>
    <row r="184" spans="52:52" x14ac:dyDescent="0.3">
      <c r="AZ184" t="e">
        <v>#N/A</v>
      </c>
    </row>
    <row r="185" spans="52:52" x14ac:dyDescent="0.3">
      <c r="AZ185" t="e">
        <v>#N/A</v>
      </c>
    </row>
    <row r="186" spans="52:52" x14ac:dyDescent="0.3">
      <c r="AZ186" t="e">
        <v>#N/A</v>
      </c>
    </row>
    <row r="187" spans="52:52" x14ac:dyDescent="0.3">
      <c r="AZ187" t="e">
        <v>#N/A</v>
      </c>
    </row>
    <row r="188" spans="52:52" x14ac:dyDescent="0.3">
      <c r="AZ188" t="e">
        <v>#N/A</v>
      </c>
    </row>
    <row r="189" spans="52:52" x14ac:dyDescent="0.3">
      <c r="AZ189" t="e">
        <v>#N/A</v>
      </c>
    </row>
    <row r="190" spans="52:52" x14ac:dyDescent="0.3">
      <c r="AZ190" t="e">
        <v>#N/A</v>
      </c>
    </row>
    <row r="191" spans="52:52" x14ac:dyDescent="0.3">
      <c r="AZ191" t="e">
        <v>#N/A</v>
      </c>
    </row>
    <row r="192" spans="52:52" x14ac:dyDescent="0.3">
      <c r="AZ192" t="e">
        <v>#N/A</v>
      </c>
    </row>
    <row r="193" spans="52:52" x14ac:dyDescent="0.3">
      <c r="AZ193" t="e">
        <v>#N/A</v>
      </c>
    </row>
    <row r="194" spans="52:52" x14ac:dyDescent="0.3">
      <c r="AZ194" t="e">
        <v>#N/A</v>
      </c>
    </row>
    <row r="195" spans="52:52" x14ac:dyDescent="0.3">
      <c r="AZ195" t="e">
        <v>#N/A</v>
      </c>
    </row>
    <row r="196" spans="52:52" x14ac:dyDescent="0.3">
      <c r="AZ196" t="e">
        <v>#N/A</v>
      </c>
    </row>
    <row r="197" spans="52:52" x14ac:dyDescent="0.3">
      <c r="AZ197" t="e">
        <v>#N/A</v>
      </c>
    </row>
    <row r="198" spans="52:52" x14ac:dyDescent="0.3">
      <c r="AZ198" t="e">
        <v>#N/A</v>
      </c>
    </row>
    <row r="199" spans="52:52" x14ac:dyDescent="0.3">
      <c r="AZ199" t="e">
        <v>#N/A</v>
      </c>
    </row>
    <row r="200" spans="52:52" x14ac:dyDescent="0.3">
      <c r="AZ200" t="e">
        <v>#N/A</v>
      </c>
    </row>
    <row r="201" spans="52:52" x14ac:dyDescent="0.3">
      <c r="AZ201" t="e">
        <v>#N/A</v>
      </c>
    </row>
    <row r="202" spans="52:52" x14ac:dyDescent="0.3">
      <c r="AZ202" t="e">
        <v>#N/A</v>
      </c>
    </row>
    <row r="203" spans="52:52" x14ac:dyDescent="0.3">
      <c r="AZ203" t="e">
        <v>#N/A</v>
      </c>
    </row>
    <row r="204" spans="52:52" x14ac:dyDescent="0.3">
      <c r="AZ204" t="e">
        <v>#N/A</v>
      </c>
    </row>
    <row r="205" spans="52:52" x14ac:dyDescent="0.3">
      <c r="AZ205" t="e">
        <v>#N/A</v>
      </c>
    </row>
    <row r="206" spans="52:52" x14ac:dyDescent="0.3">
      <c r="AZ206" t="e">
        <v>#N/A</v>
      </c>
    </row>
    <row r="207" spans="52:52" x14ac:dyDescent="0.3">
      <c r="AZ207" t="e">
        <v>#N/A</v>
      </c>
    </row>
    <row r="208" spans="52:52" x14ac:dyDescent="0.3">
      <c r="AZ208" t="e">
        <v>#N/A</v>
      </c>
    </row>
    <row r="209" spans="52:52" x14ac:dyDescent="0.3">
      <c r="AZ209" t="e">
        <v>#N/A</v>
      </c>
    </row>
    <row r="210" spans="52:52" x14ac:dyDescent="0.3">
      <c r="AZ210" t="e">
        <v>#N/A</v>
      </c>
    </row>
    <row r="211" spans="52:52" x14ac:dyDescent="0.3">
      <c r="AZ211" t="e">
        <v>#N/A</v>
      </c>
    </row>
    <row r="212" spans="52:52" x14ac:dyDescent="0.3">
      <c r="AZ212" t="e">
        <v>#N/A</v>
      </c>
    </row>
    <row r="213" spans="52:52" x14ac:dyDescent="0.3">
      <c r="AZ213" t="e">
        <v>#N/A</v>
      </c>
    </row>
    <row r="214" spans="52:52" x14ac:dyDescent="0.3">
      <c r="AZ214" t="e">
        <v>#N/A</v>
      </c>
    </row>
    <row r="215" spans="52:52" x14ac:dyDescent="0.3">
      <c r="AZ215" t="e">
        <v>#N/A</v>
      </c>
    </row>
    <row r="216" spans="52:52" x14ac:dyDescent="0.3">
      <c r="AZ216" t="e">
        <v>#N/A</v>
      </c>
    </row>
    <row r="217" spans="52:52" x14ac:dyDescent="0.3">
      <c r="AZ217" t="e">
        <v>#N/A</v>
      </c>
    </row>
    <row r="218" spans="52:52" x14ac:dyDescent="0.3">
      <c r="AZ218" t="e">
        <v>#N/A</v>
      </c>
    </row>
    <row r="219" spans="52:52" x14ac:dyDescent="0.3">
      <c r="AZ219" t="e">
        <v>#N/A</v>
      </c>
    </row>
    <row r="220" spans="52:52" x14ac:dyDescent="0.3">
      <c r="AZ220" t="e">
        <v>#N/A</v>
      </c>
    </row>
    <row r="221" spans="52:52" x14ac:dyDescent="0.3">
      <c r="AZ221" t="e">
        <v>#N/A</v>
      </c>
    </row>
    <row r="222" spans="52:52" x14ac:dyDescent="0.3">
      <c r="AZ222" t="e">
        <v>#N/A</v>
      </c>
    </row>
    <row r="223" spans="52:52" x14ac:dyDescent="0.3">
      <c r="AZ223" t="e">
        <v>#N/A</v>
      </c>
    </row>
    <row r="224" spans="52:52" x14ac:dyDescent="0.3">
      <c r="AZ224" t="e">
        <v>#N/A</v>
      </c>
    </row>
    <row r="225" spans="52:52" x14ac:dyDescent="0.3">
      <c r="AZ225" t="e">
        <v>#N/A</v>
      </c>
    </row>
    <row r="226" spans="52:52" x14ac:dyDescent="0.3">
      <c r="AZ226" t="e">
        <v>#N/A</v>
      </c>
    </row>
    <row r="227" spans="52:52" x14ac:dyDescent="0.3">
      <c r="AZ227" t="e">
        <v>#N/A</v>
      </c>
    </row>
    <row r="228" spans="52:52" x14ac:dyDescent="0.3">
      <c r="AZ228" t="e">
        <v>#N/A</v>
      </c>
    </row>
    <row r="229" spans="52:52" x14ac:dyDescent="0.3">
      <c r="AZ229" t="e">
        <v>#N/A</v>
      </c>
    </row>
    <row r="230" spans="52:52" x14ac:dyDescent="0.3">
      <c r="AZ230" t="e">
        <v>#N/A</v>
      </c>
    </row>
    <row r="231" spans="52:52" x14ac:dyDescent="0.3">
      <c r="AZ231" t="e">
        <v>#N/A</v>
      </c>
    </row>
    <row r="232" spans="52:52" x14ac:dyDescent="0.3">
      <c r="AZ232" t="e">
        <v>#N/A</v>
      </c>
    </row>
    <row r="233" spans="52:52" x14ac:dyDescent="0.3">
      <c r="AZ233" t="e">
        <v>#N/A</v>
      </c>
    </row>
    <row r="234" spans="52:52" x14ac:dyDescent="0.3">
      <c r="AZ234" t="e">
        <v>#N/A</v>
      </c>
    </row>
    <row r="235" spans="52:52" x14ac:dyDescent="0.3">
      <c r="AZ235" t="e">
        <v>#N/A</v>
      </c>
    </row>
    <row r="236" spans="52:52" x14ac:dyDescent="0.3">
      <c r="AZ236" t="e">
        <v>#N/A</v>
      </c>
    </row>
    <row r="237" spans="52:52" x14ac:dyDescent="0.3">
      <c r="AZ237" t="e">
        <v>#N/A</v>
      </c>
    </row>
    <row r="238" spans="52:52" x14ac:dyDescent="0.3">
      <c r="AZ238" t="e">
        <v>#N/A</v>
      </c>
    </row>
    <row r="239" spans="52:52" x14ac:dyDescent="0.3">
      <c r="AZ239" t="e">
        <v>#N/A</v>
      </c>
    </row>
    <row r="240" spans="52:52" x14ac:dyDescent="0.3">
      <c r="AZ240" t="e">
        <v>#N/A</v>
      </c>
    </row>
    <row r="241" spans="52:52" x14ac:dyDescent="0.3">
      <c r="AZ241" t="e">
        <v>#N/A</v>
      </c>
    </row>
    <row r="242" spans="52:52" x14ac:dyDescent="0.3">
      <c r="AZ242" t="e">
        <v>#N/A</v>
      </c>
    </row>
    <row r="243" spans="52:52" x14ac:dyDescent="0.3">
      <c r="AZ243" t="e">
        <v>#N/A</v>
      </c>
    </row>
    <row r="244" spans="52:52" x14ac:dyDescent="0.3">
      <c r="AZ244" t="e">
        <v>#N/A</v>
      </c>
    </row>
    <row r="245" spans="52:52" x14ac:dyDescent="0.3">
      <c r="AZ245" t="e">
        <v>#N/A</v>
      </c>
    </row>
    <row r="246" spans="52:52" x14ac:dyDescent="0.3">
      <c r="AZ246" t="e">
        <v>#N/A</v>
      </c>
    </row>
    <row r="247" spans="52:52" x14ac:dyDescent="0.3">
      <c r="AZ247" t="e">
        <v>#N/A</v>
      </c>
    </row>
    <row r="248" spans="52:52" x14ac:dyDescent="0.3">
      <c r="AZ248" t="e">
        <v>#N/A</v>
      </c>
    </row>
    <row r="249" spans="52:52" x14ac:dyDescent="0.3">
      <c r="AZ249" t="e">
        <v>#N/A</v>
      </c>
    </row>
    <row r="250" spans="52:52" x14ac:dyDescent="0.3">
      <c r="AZ250" t="e">
        <v>#N/A</v>
      </c>
    </row>
    <row r="251" spans="52:52" x14ac:dyDescent="0.3">
      <c r="AZ251" t="e">
        <v>#N/A</v>
      </c>
    </row>
    <row r="252" spans="52:52" x14ac:dyDescent="0.3">
      <c r="AZ252" t="e">
        <v>#N/A</v>
      </c>
    </row>
    <row r="253" spans="52:52" x14ac:dyDescent="0.3">
      <c r="AZ253" t="e">
        <v>#N/A</v>
      </c>
    </row>
    <row r="254" spans="52:52" x14ac:dyDescent="0.3">
      <c r="AZ254" t="e">
        <v>#N/A</v>
      </c>
    </row>
    <row r="255" spans="52:52" x14ac:dyDescent="0.3">
      <c r="AZ255" t="e">
        <v>#N/A</v>
      </c>
    </row>
    <row r="256" spans="52:52" x14ac:dyDescent="0.3">
      <c r="AZ256" t="e">
        <v>#N/A</v>
      </c>
    </row>
    <row r="257" spans="52:52" x14ac:dyDescent="0.3">
      <c r="AZ257" t="e">
        <v>#N/A</v>
      </c>
    </row>
    <row r="258" spans="52:52" x14ac:dyDescent="0.3">
      <c r="AZ258" t="e">
        <v>#N/A</v>
      </c>
    </row>
    <row r="259" spans="52:52" x14ac:dyDescent="0.3">
      <c r="AZ259" t="e">
        <v>#N/A</v>
      </c>
    </row>
    <row r="260" spans="52:52" x14ac:dyDescent="0.3">
      <c r="AZ260" t="e">
        <v>#N/A</v>
      </c>
    </row>
    <row r="261" spans="52:52" x14ac:dyDescent="0.3">
      <c r="AZ261" t="e">
        <v>#N/A</v>
      </c>
    </row>
    <row r="262" spans="52:52" x14ac:dyDescent="0.3">
      <c r="AZ262" t="e">
        <v>#N/A</v>
      </c>
    </row>
    <row r="263" spans="52:52" x14ac:dyDescent="0.3">
      <c r="AZ263" t="e">
        <v>#N/A</v>
      </c>
    </row>
    <row r="264" spans="52:52" x14ac:dyDescent="0.3">
      <c r="AZ264" t="e">
        <v>#N/A</v>
      </c>
    </row>
    <row r="265" spans="52:52" x14ac:dyDescent="0.3">
      <c r="AZ265" t="e">
        <v>#N/A</v>
      </c>
    </row>
    <row r="266" spans="52:52" x14ac:dyDescent="0.3">
      <c r="AZ266" t="e">
        <v>#N/A</v>
      </c>
    </row>
    <row r="267" spans="52:52" x14ac:dyDescent="0.3">
      <c r="AZ267" t="e">
        <v>#N/A</v>
      </c>
    </row>
    <row r="268" spans="52:52" x14ac:dyDescent="0.3">
      <c r="AZ268" t="e">
        <v>#N/A</v>
      </c>
    </row>
    <row r="269" spans="52:52" x14ac:dyDescent="0.3">
      <c r="AZ269" t="e">
        <v>#N/A</v>
      </c>
    </row>
    <row r="270" spans="52:52" x14ac:dyDescent="0.3">
      <c r="AZ270" t="e">
        <v>#N/A</v>
      </c>
    </row>
    <row r="271" spans="52:52" x14ac:dyDescent="0.3">
      <c r="AZ271" t="e">
        <v>#N/A</v>
      </c>
    </row>
    <row r="272" spans="52:52" x14ac:dyDescent="0.3">
      <c r="AZ272" t="e">
        <v>#N/A</v>
      </c>
    </row>
    <row r="273" spans="52:52" x14ac:dyDescent="0.3">
      <c r="AZ273" t="e">
        <v>#N/A</v>
      </c>
    </row>
    <row r="274" spans="52:52" x14ac:dyDescent="0.3">
      <c r="AZ274" t="e">
        <v>#N/A</v>
      </c>
    </row>
    <row r="275" spans="52:52" x14ac:dyDescent="0.3">
      <c r="AZ275" t="e">
        <v>#N/A</v>
      </c>
    </row>
    <row r="276" spans="52:52" x14ac:dyDescent="0.3">
      <c r="AZ276" t="e">
        <v>#N/A</v>
      </c>
    </row>
    <row r="277" spans="52:52" x14ac:dyDescent="0.3">
      <c r="AZ277" t="e">
        <v>#N/A</v>
      </c>
    </row>
    <row r="278" spans="52:52" x14ac:dyDescent="0.3">
      <c r="AZ278" t="e">
        <v>#N/A</v>
      </c>
    </row>
    <row r="279" spans="52:52" x14ac:dyDescent="0.3">
      <c r="AZ279" t="e">
        <v>#N/A</v>
      </c>
    </row>
    <row r="280" spans="52:52" x14ac:dyDescent="0.3">
      <c r="AZ280" t="e">
        <v>#N/A</v>
      </c>
    </row>
    <row r="281" spans="52:52" x14ac:dyDescent="0.3">
      <c r="AZ281" t="e">
        <v>#N/A</v>
      </c>
    </row>
    <row r="282" spans="52:52" x14ac:dyDescent="0.3">
      <c r="AZ282" t="e">
        <v>#N/A</v>
      </c>
    </row>
    <row r="283" spans="52:52" x14ac:dyDescent="0.3">
      <c r="AZ283" t="e">
        <v>#N/A</v>
      </c>
    </row>
    <row r="284" spans="52:52" x14ac:dyDescent="0.3">
      <c r="AZ284" t="e">
        <v>#N/A</v>
      </c>
    </row>
    <row r="285" spans="52:52" x14ac:dyDescent="0.3">
      <c r="AZ285" t="e">
        <v>#N/A</v>
      </c>
    </row>
    <row r="286" spans="52:52" x14ac:dyDescent="0.3">
      <c r="AZ286" t="e">
        <v>#N/A</v>
      </c>
    </row>
    <row r="287" spans="52:52" x14ac:dyDescent="0.3">
      <c r="AZ287" t="e">
        <v>#N/A</v>
      </c>
    </row>
    <row r="288" spans="52:52" x14ac:dyDescent="0.3">
      <c r="AZ288" t="e">
        <v>#N/A</v>
      </c>
    </row>
    <row r="289" spans="52:52" x14ac:dyDescent="0.3">
      <c r="AZ289" t="e">
        <v>#N/A</v>
      </c>
    </row>
    <row r="290" spans="52:52" x14ac:dyDescent="0.3">
      <c r="AZ290" t="e">
        <v>#N/A</v>
      </c>
    </row>
    <row r="291" spans="52:52" x14ac:dyDescent="0.3">
      <c r="AZ291" t="e">
        <v>#N/A</v>
      </c>
    </row>
    <row r="292" spans="52:52" x14ac:dyDescent="0.3">
      <c r="AZ292" t="e">
        <v>#N/A</v>
      </c>
    </row>
    <row r="293" spans="52:52" x14ac:dyDescent="0.3">
      <c r="AZ293" t="e">
        <v>#N/A</v>
      </c>
    </row>
    <row r="294" spans="52:52" x14ac:dyDescent="0.3">
      <c r="AZ294" t="e">
        <v>#N/A</v>
      </c>
    </row>
    <row r="295" spans="52:52" x14ac:dyDescent="0.3">
      <c r="AZ295" t="e">
        <v>#N/A</v>
      </c>
    </row>
    <row r="296" spans="52:52" x14ac:dyDescent="0.3">
      <c r="AZ296" t="e">
        <v>#N/A</v>
      </c>
    </row>
    <row r="297" spans="52:52" x14ac:dyDescent="0.3">
      <c r="AZ297" t="e">
        <v>#N/A</v>
      </c>
    </row>
    <row r="298" spans="52:52" x14ac:dyDescent="0.3">
      <c r="AZ298" t="e">
        <v>#N/A</v>
      </c>
    </row>
    <row r="299" spans="52:52" x14ac:dyDescent="0.3">
      <c r="AZ299" t="e">
        <v>#N/A</v>
      </c>
    </row>
    <row r="300" spans="52:52" x14ac:dyDescent="0.3">
      <c r="AZ300" t="e">
        <v>#N/A</v>
      </c>
    </row>
    <row r="301" spans="52:52" x14ac:dyDescent="0.3">
      <c r="AZ301" t="e">
        <v>#N/A</v>
      </c>
    </row>
    <row r="302" spans="52:52" x14ac:dyDescent="0.3">
      <c r="AZ302" t="e">
        <v>#N/A</v>
      </c>
    </row>
    <row r="303" spans="52:52" x14ac:dyDescent="0.3">
      <c r="AZ303" t="e">
        <v>#N/A</v>
      </c>
    </row>
    <row r="304" spans="52:52" x14ac:dyDescent="0.3">
      <c r="AZ304" t="e">
        <v>#N/A</v>
      </c>
    </row>
    <row r="305" spans="52:52" x14ac:dyDescent="0.3">
      <c r="AZ305" t="e">
        <v>#N/A</v>
      </c>
    </row>
    <row r="306" spans="52:52" x14ac:dyDescent="0.3">
      <c r="AZ306" t="e">
        <v>#N/A</v>
      </c>
    </row>
    <row r="307" spans="52:52" x14ac:dyDescent="0.3">
      <c r="AZ307" t="e">
        <v>#N/A</v>
      </c>
    </row>
    <row r="308" spans="52:52" x14ac:dyDescent="0.3">
      <c r="AZ308" t="e">
        <v>#N/A</v>
      </c>
    </row>
    <row r="309" spans="52:52" x14ac:dyDescent="0.3">
      <c r="AZ309" t="e">
        <v>#N/A</v>
      </c>
    </row>
    <row r="310" spans="52:52" x14ac:dyDescent="0.3">
      <c r="AZ310" t="e">
        <v>#N/A</v>
      </c>
    </row>
    <row r="311" spans="52:52" x14ac:dyDescent="0.3">
      <c r="AZ311" t="e">
        <v>#N/A</v>
      </c>
    </row>
    <row r="312" spans="52:52" x14ac:dyDescent="0.3">
      <c r="AZ312" t="e">
        <v>#N/A</v>
      </c>
    </row>
    <row r="313" spans="52:52" x14ac:dyDescent="0.3">
      <c r="AZ313" t="e">
        <v>#N/A</v>
      </c>
    </row>
    <row r="314" spans="52:52" x14ac:dyDescent="0.3">
      <c r="AZ31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df_income_dist</vt:lpstr>
      <vt:lpstr>gamesession</vt:lpstr>
      <vt:lpstr>group</vt:lpstr>
      <vt:lpstr>groupround</vt:lpstr>
      <vt:lpstr>player</vt:lpstr>
      <vt:lpstr>Delta protection living area</vt:lpstr>
      <vt:lpstr>Avg Satisfaction over rounds</vt:lpstr>
      <vt:lpstr>Costs vs satisfaction</vt:lpstr>
      <vt:lpstr>Income distribution</vt:lpstr>
      <vt:lpstr>Blad9</vt:lpstr>
      <vt:lpstr>playerround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Sophia Huitema</dc:creator>
  <cp:lastModifiedBy>Anne Sophia Huitema</cp:lastModifiedBy>
  <dcterms:created xsi:type="dcterms:W3CDTF">2025-11-17T13:01:22Z</dcterms:created>
  <dcterms:modified xsi:type="dcterms:W3CDTF">2025-12-06T11:28:05Z</dcterms:modified>
</cp:coreProperties>
</file>