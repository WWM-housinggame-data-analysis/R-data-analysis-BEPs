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ud365-my.sharepoint.com/personal/jcortesarevalo_tudelft_nl/Documents/Documents/TUDelft/18_Game Data Analysis/R data analysis BEPs/Datasets/"/>
    </mc:Choice>
  </mc:AlternateContent>
  <xr:revisionPtr revIDLastSave="1121" documentId="11_F25DC773A252ABDACC10482FB9DB7A865ADE58F4" xr6:coauthVersionLast="47" xr6:coauthVersionMax="47" xr10:uidLastSave="{CDD39810-E8D1-40CA-A252-7B7B124F1C24}"/>
  <bookViews>
    <workbookView xWindow="-28920" yWindow="-120" windowWidth="29040" windowHeight="15720" xr2:uid="{00000000-000D-0000-FFFF-FFFF00000000}"/>
  </bookViews>
  <sheets>
    <sheet name="Overview" sheetId="2" r:id="rId1"/>
    <sheet name="dataset_251007" sheetId="4" r:id="rId2"/>
    <sheet name="dataset_250923" sheetId="3" r:id="rId3"/>
    <sheet name="dataset_240924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4" l="1"/>
  <c r="H10" i="4"/>
  <c r="A7" i="4"/>
  <c r="C7" i="4"/>
  <c r="B7" i="4"/>
  <c r="E26" i="4"/>
  <c r="E22" i="4"/>
  <c r="F22" i="4"/>
  <c r="G22" i="4"/>
  <c r="H22" i="4"/>
  <c r="I22" i="4"/>
  <c r="J22" i="4"/>
  <c r="K22" i="4"/>
  <c r="F21" i="4"/>
  <c r="G21" i="4"/>
  <c r="H21" i="4"/>
  <c r="I21" i="4"/>
  <c r="J21" i="4"/>
  <c r="K21" i="4"/>
  <c r="E21" i="4"/>
  <c r="E11" i="4"/>
  <c r="F11" i="4"/>
  <c r="G11" i="4"/>
  <c r="H11" i="4"/>
  <c r="I11" i="4"/>
  <c r="J11" i="4"/>
  <c r="K11" i="4"/>
  <c r="E12" i="4"/>
  <c r="F12" i="4"/>
  <c r="G12" i="4"/>
  <c r="H12" i="4"/>
  <c r="I12" i="4"/>
  <c r="J12" i="4"/>
  <c r="K12" i="4"/>
  <c r="E13" i="4"/>
  <c r="F13" i="4"/>
  <c r="G13" i="4"/>
  <c r="H13" i="4"/>
  <c r="I13" i="4"/>
  <c r="J13" i="4"/>
  <c r="K13" i="4"/>
  <c r="E14" i="4"/>
  <c r="F14" i="4"/>
  <c r="G14" i="4"/>
  <c r="H14" i="4"/>
  <c r="I14" i="4"/>
  <c r="J14" i="4"/>
  <c r="K14" i="4"/>
  <c r="E15" i="4"/>
  <c r="F15" i="4"/>
  <c r="G15" i="4"/>
  <c r="H15" i="4"/>
  <c r="I15" i="4"/>
  <c r="J15" i="4"/>
  <c r="K15" i="4"/>
  <c r="F10" i="4"/>
  <c r="G10" i="4"/>
  <c r="I10" i="4"/>
  <c r="J10" i="4"/>
  <c r="K10" i="4"/>
  <c r="E10" i="4"/>
  <c r="E25" i="3"/>
  <c r="F25" i="3"/>
  <c r="G25" i="3"/>
  <c r="H25" i="3"/>
  <c r="I25" i="3"/>
  <c r="J25" i="3"/>
  <c r="K25" i="3"/>
  <c r="E26" i="3"/>
  <c r="F26" i="3"/>
  <c r="G26" i="3"/>
  <c r="H26" i="3"/>
  <c r="I26" i="3"/>
  <c r="J26" i="3"/>
  <c r="K26" i="3"/>
  <c r="E27" i="3"/>
  <c r="F27" i="3"/>
  <c r="G27" i="3"/>
  <c r="H27" i="3"/>
  <c r="I27" i="3"/>
  <c r="J27" i="3"/>
  <c r="K27" i="3"/>
  <c r="E28" i="3"/>
  <c r="F28" i="3"/>
  <c r="G28" i="3"/>
  <c r="H28" i="3"/>
  <c r="I28" i="3"/>
  <c r="J28" i="3"/>
  <c r="K28" i="3"/>
  <c r="F24" i="3"/>
  <c r="G24" i="3"/>
  <c r="H24" i="3"/>
  <c r="I24" i="3"/>
  <c r="J24" i="3"/>
  <c r="K24" i="3"/>
  <c r="E24" i="3"/>
  <c r="K22" i="3"/>
  <c r="J22" i="3"/>
  <c r="I22" i="3"/>
  <c r="H22" i="3"/>
  <c r="G22" i="3"/>
  <c r="F22" i="3"/>
  <c r="E22" i="3"/>
  <c r="F21" i="3"/>
  <c r="G21" i="3"/>
  <c r="H21" i="3"/>
  <c r="I21" i="3"/>
  <c r="J21" i="3"/>
  <c r="K21" i="3"/>
  <c r="E21" i="3"/>
  <c r="E10" i="3"/>
  <c r="F10" i="3"/>
  <c r="G10" i="3"/>
  <c r="H10" i="3"/>
  <c r="I10" i="3"/>
  <c r="J10" i="3"/>
  <c r="K10" i="3"/>
  <c r="E11" i="3"/>
  <c r="F11" i="3"/>
  <c r="G11" i="3"/>
  <c r="H11" i="3"/>
  <c r="I11" i="3"/>
  <c r="J11" i="3"/>
  <c r="K11" i="3"/>
  <c r="E12" i="3"/>
  <c r="F12" i="3"/>
  <c r="G12" i="3"/>
  <c r="H12" i="3"/>
  <c r="I12" i="3"/>
  <c r="J12" i="3"/>
  <c r="K12" i="3"/>
  <c r="E13" i="3"/>
  <c r="F13" i="3"/>
  <c r="G13" i="3"/>
  <c r="H13" i="3"/>
  <c r="I13" i="3"/>
  <c r="J13" i="3"/>
  <c r="K13" i="3"/>
  <c r="E14" i="3"/>
  <c r="F14" i="3"/>
  <c r="G14" i="3"/>
  <c r="H14" i="3"/>
  <c r="I14" i="3"/>
  <c r="J14" i="3"/>
  <c r="K14" i="3"/>
  <c r="F9" i="3"/>
  <c r="G9" i="3"/>
  <c r="H9" i="3"/>
  <c r="I9" i="3"/>
  <c r="J9" i="3"/>
  <c r="K9" i="3"/>
  <c r="E9" i="3"/>
  <c r="E25" i="1"/>
  <c r="E26" i="1"/>
  <c r="E27" i="1"/>
  <c r="E28" i="1"/>
  <c r="E29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G24" i="1"/>
  <c r="H24" i="1"/>
  <c r="I24" i="1"/>
  <c r="J24" i="1"/>
  <c r="K24" i="1"/>
  <c r="L24" i="1"/>
  <c r="F24" i="1"/>
  <c r="E24" i="1"/>
  <c r="E22" i="1"/>
  <c r="F22" i="1"/>
  <c r="G22" i="1"/>
  <c r="H22" i="1"/>
  <c r="I22" i="1"/>
  <c r="J22" i="1"/>
  <c r="K22" i="1"/>
  <c r="F21" i="1"/>
  <c r="G21" i="1"/>
  <c r="H21" i="1"/>
  <c r="I21" i="1"/>
  <c r="J21" i="1"/>
  <c r="K21" i="1"/>
  <c r="E21" i="1"/>
  <c r="E12" i="1"/>
  <c r="F12" i="1"/>
  <c r="G12" i="1"/>
  <c r="H12" i="1"/>
  <c r="I12" i="1"/>
  <c r="J12" i="1"/>
  <c r="K12" i="1"/>
  <c r="E13" i="1"/>
  <c r="F13" i="1"/>
  <c r="G13" i="1"/>
  <c r="H13" i="1"/>
  <c r="I13" i="1"/>
  <c r="J13" i="1"/>
  <c r="K13" i="1"/>
  <c r="E14" i="1"/>
  <c r="F14" i="1"/>
  <c r="G14" i="1"/>
  <c r="H14" i="1"/>
  <c r="I14" i="1"/>
  <c r="J14" i="1"/>
  <c r="K14" i="1"/>
  <c r="F11" i="1"/>
  <c r="G11" i="1"/>
  <c r="H11" i="1"/>
  <c r="I11" i="1"/>
  <c r="J11" i="1"/>
  <c r="K11" i="1"/>
  <c r="E11" i="1"/>
  <c r="B7" i="1"/>
  <c r="B8" i="1"/>
  <c r="A8" i="1"/>
  <c r="A6" i="1"/>
  <c r="B6" i="1"/>
  <c r="A2" i="1"/>
  <c r="A3" i="1"/>
  <c r="A4" i="1"/>
  <c r="A5" i="1"/>
  <c r="A7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6" i="4"/>
  <c r="A2" i="4"/>
  <c r="A3" i="4"/>
  <c r="A4" i="4"/>
  <c r="A5" i="4"/>
  <c r="A8" i="4"/>
  <c r="A9" i="4"/>
  <c r="A10" i="4"/>
  <c r="A11" i="4"/>
  <c r="A12" i="4"/>
  <c r="A13" i="4"/>
  <c r="A14" i="4"/>
  <c r="A15" i="4"/>
  <c r="A16" i="4"/>
  <c r="A17" i="4"/>
  <c r="A18" i="4"/>
  <c r="A20" i="4"/>
  <c r="A21" i="4"/>
  <c r="A22" i="4"/>
  <c r="A23" i="4"/>
  <c r="A24" i="4"/>
  <c r="A25" i="4"/>
  <c r="A26" i="4"/>
  <c r="A27" i="4"/>
  <c r="A28" i="4"/>
  <c r="A29" i="4"/>
  <c r="E6" i="2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5" i="1"/>
  <c r="B4" i="1"/>
  <c r="B3" i="1"/>
  <c r="B2" i="1"/>
  <c r="B15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29" i="4"/>
  <c r="B6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3" i="4"/>
  <c r="B4" i="4"/>
  <c r="B5" i="4"/>
  <c r="B2" i="4"/>
  <c r="D20" i="2"/>
  <c r="D21" i="2"/>
  <c r="D22" i="2"/>
  <c r="D23" i="2"/>
  <c r="D25" i="2"/>
  <c r="D26" i="2"/>
  <c r="D27" i="2"/>
  <c r="D29" i="2"/>
  <c r="D30" i="2"/>
  <c r="D31" i="2"/>
  <c r="D32" i="2"/>
  <c r="D33" i="2"/>
  <c r="D34" i="2"/>
  <c r="D19" i="2"/>
  <c r="C25" i="2"/>
  <c r="C26" i="2"/>
  <c r="C27" i="2"/>
  <c r="C29" i="2"/>
  <c r="C30" i="2"/>
  <c r="C31" i="2"/>
  <c r="C32" i="2"/>
  <c r="C33" i="2"/>
  <c r="C34" i="2"/>
  <c r="C21" i="2"/>
  <c r="C22" i="2"/>
  <c r="C23" i="2"/>
  <c r="C20" i="2"/>
  <c r="C17" i="2"/>
  <c r="D17" i="2"/>
  <c r="C18" i="2"/>
  <c r="D18" i="2"/>
  <c r="C12" i="2"/>
  <c r="D12" i="2"/>
  <c r="C13" i="2"/>
  <c r="D13" i="2"/>
  <c r="C14" i="2"/>
  <c r="D14" i="2"/>
  <c r="C15" i="2"/>
  <c r="D15" i="2"/>
  <c r="C16" i="2"/>
  <c r="D16" i="2"/>
  <c r="D10" i="2"/>
  <c r="C10" i="2"/>
  <c r="D8" i="2"/>
  <c r="D3" i="2"/>
  <c r="D4" i="2"/>
  <c r="D5" i="2"/>
  <c r="D2" i="2"/>
  <c r="C8" i="2"/>
  <c r="C5" i="2"/>
  <c r="C3" i="2"/>
  <c r="C4" i="2"/>
  <c r="C2" i="2"/>
  <c r="K27" i="4"/>
  <c r="J27" i="4"/>
  <c r="I27" i="4"/>
  <c r="H27" i="4"/>
  <c r="G27" i="4"/>
  <c r="F27" i="4"/>
  <c r="K29" i="4"/>
  <c r="J29" i="4"/>
  <c r="I29" i="4"/>
  <c r="H29" i="4"/>
  <c r="G29" i="4"/>
  <c r="F29" i="4"/>
  <c r="K28" i="4"/>
  <c r="J28" i="4"/>
  <c r="I28" i="4"/>
  <c r="H28" i="4"/>
  <c r="G28" i="4"/>
  <c r="F28" i="4"/>
  <c r="K26" i="4"/>
  <c r="J26" i="4"/>
  <c r="I26" i="4"/>
  <c r="H26" i="4"/>
  <c r="G26" i="4"/>
  <c r="F26" i="4"/>
  <c r="K25" i="4"/>
  <c r="J25" i="4"/>
  <c r="I25" i="4"/>
  <c r="H25" i="4"/>
  <c r="G25" i="4"/>
  <c r="F25" i="4"/>
  <c r="K24" i="4"/>
  <c r="J24" i="4"/>
  <c r="I24" i="4"/>
  <c r="H24" i="4"/>
  <c r="G24" i="4"/>
  <c r="F24" i="4"/>
  <c r="E27" i="4" l="1"/>
  <c r="E24" i="4"/>
  <c r="E29" i="4"/>
  <c r="E25" i="4"/>
  <c r="E28" i="4"/>
</calcChain>
</file>

<file path=xl/sharedStrings.xml><?xml version="1.0" encoding="utf-8"?>
<sst xmlns="http://schemas.openxmlformats.org/spreadsheetml/2006/main" count="391" uniqueCount="232">
  <si>
    <t>session_19_250923_EPA_IntroDays_Overasselt</t>
  </si>
  <si>
    <t>session_16_240924_EPA_IntroDays_Ommen</t>
  </si>
  <si>
    <t>session_20_251007_VerzekeraarsMasterClass</t>
  </si>
  <si>
    <t>text</t>
  </si>
  <si>
    <t>2) What is the highest level of education you have completed?</t>
  </si>
  <si>
    <t>1) Please fill in the table and player number (t#p#) you have been assigned.</t>
  </si>
  <si>
    <t xml:space="preserve"> 4) Have you ever personally experienced any type of flood? (e.g. coastal, river or rain flood)</t>
  </si>
  <si>
    <t>3) What is your last or most relevant study program(s) about?</t>
  </si>
  <si>
    <t>Government (i.e. official letters, announcements etc.)</t>
  </si>
  <si>
    <t>7) How likely do you consider any type of flood to happen to you in the next 5 to 10 years?</t>
  </si>
  <si>
    <t>Weather forecast (i.e., flood warnings)</t>
  </si>
  <si>
    <t>Scientific (i.e. academic reports or publications)</t>
  </si>
  <si>
    <t>General media (i.e. news, TV and radio)</t>
  </si>
  <si>
    <t>Social network or media (i,e, friends, family and colleagues)</t>
  </si>
  <si>
    <t>6) In which country(ies) and cities have your house been for more than a year within the last five years? If many, specify maximum of three.</t>
  </si>
  <si>
    <t>8) To what extent do you believe climate change will increase your likelihood or chance of being flooded in the next 5 to 10 years?</t>
  </si>
  <si>
    <t>9) To what extent do you believe you will get damaged in the event of a major flood in the next 5 to 10 years?</t>
  </si>
  <si>
    <t>10) Who do you consider responsible for providing/having flood protection?</t>
  </si>
  <si>
    <t>11) How confident are you that the following public flood measures will protect your house against flooding?</t>
  </si>
  <si>
    <t xml:space="preserve">Areas surrounded by relatively large vegetated areas that may serve for water retention (6) </t>
  </si>
  <si>
    <t xml:space="preserve">Areas protected with civil engineering flood defences such as dikes </t>
  </si>
  <si>
    <t xml:space="preserve">Areas besides a river or a water channel without protection </t>
  </si>
  <si>
    <t>12) Which private measures do you believe will protect you against the below type of floods and or provide you with any type of satisfaction?</t>
  </si>
  <si>
    <t>QuestionAlias</t>
  </si>
  <si>
    <t>QuestionText</t>
  </si>
  <si>
    <t>AnswerOptions</t>
  </si>
  <si>
    <t>Option1</t>
  </si>
  <si>
    <t>Option2</t>
  </si>
  <si>
    <t>Option3</t>
  </si>
  <si>
    <t>Option4</t>
  </si>
  <si>
    <t>Option5</t>
  </si>
  <si>
    <t>Option6</t>
  </si>
  <si>
    <t>Option7</t>
  </si>
  <si>
    <t xml:space="preserve">Green Garden with open pavement </t>
  </si>
  <si>
    <t>Rain barrel for water recycling</t>
  </si>
  <si>
    <t xml:space="preserve">Water pump installation </t>
  </si>
  <si>
    <t>Sandbags</t>
  </si>
  <si>
    <t xml:space="preserve">Self-activating flood wall </t>
  </si>
  <si>
    <t xml:space="preserve">Flood insurance </t>
  </si>
  <si>
    <t>Yes/No</t>
  </si>
  <si>
    <t>Do you agree to participate</t>
  </si>
  <si>
    <t>Q1: Player number 1) Please fill in the table and player number (t#p#) you have been assigned</t>
  </si>
  <si>
    <t>5) In the past year, how often did you actively listen to or read flood-related information from these sources?</t>
  </si>
  <si>
    <t>Engineering companies (i.e. flood-related measure brochures)</t>
  </si>
  <si>
    <t xml:space="preserve">Insurance companies (i.e. flood-related protection) </t>
  </si>
  <si>
    <t>1) Vul het tafel- en spelersnummer (t#p#) in dat u hebt gekregen.</t>
  </si>
  <si>
    <t>2) Wat is uw belangrijkste rol binnen de organisatie waarmee je verbonden bent?</t>
  </si>
  <si>
    <t>3) Heeft u ooit persoonlijk een overstroming meegemaakt, bijvoorbeeld door de kust, een rivier of hevige regenval?</t>
  </si>
  <si>
    <t>4) Hoe vaak heeft u het afgelopen jaar actief geluisterd naar of gelezen over informatie met betrekking tot overstromingen via deze bronnen?</t>
  </si>
  <si>
    <t xml:space="preserve">Overheid (bijv. officiële brieven, aankondigingen enz.) </t>
  </si>
  <si>
    <t xml:space="preserve">Weersvoorspelling (bijv. overstromingswaarschuwingen) </t>
  </si>
  <si>
    <t>Wetenschappelijk (d.w.z. academische rapporten of publicaties)</t>
  </si>
  <si>
    <t xml:space="preserve">Algemene media (bijv. nieuws, tv en radio) </t>
  </si>
  <si>
    <t xml:space="preserve">Sociale netwerken (bijv. vrienden, familie en collega’s) </t>
  </si>
  <si>
    <t xml:space="preserve">Ingenieursbureaus (bijv. brochures over overstromingsmaatregelen) </t>
  </si>
  <si>
    <t xml:space="preserve">Verzekeringsmaatschappijen (bijv. bescherming tegen overstromingen) </t>
  </si>
  <si>
    <t>6) Hoe waarschijnlijk acht u het dat er zich binnen 5 tot 10 jaar een overstroming bij u voor zal doen?</t>
  </si>
  <si>
    <t>7) In hoeverre denkt u dat klimaatverandering de kans op overstroming voor u binnen 5 tot 10 jaar vergroot?</t>
  </si>
  <si>
    <t>8) In hoeverre denkt u dat u schade zult oplopen bij een grote overstroming binnen 5 tot 10 jaar?</t>
  </si>
  <si>
    <t>9) Wie beschouwt u als verantwoordelijk voor het bieden of hebben van bescherming tegen overstromingen?</t>
  </si>
  <si>
    <t>10) Hoeveel vertrouwen heeft u erin dat de volgende overstromingsmaatregelen uw woning zullen beschermen tegen overstromingen?</t>
  </si>
  <si>
    <t xml:space="preserve">Gebieden omgeven door relatief grote begroeide zones die kunnen dienen voor waterretentie. </t>
  </si>
  <si>
    <t xml:space="preserve">Gebieden die beschermd zijn met overstromingsmaatregelen zoals dijken. </t>
  </si>
  <si>
    <t xml:space="preserve">Gebieden langs een rivier of waterkanaal zonder bescherming. </t>
  </si>
  <si>
    <t xml:space="preserve">Groene tuin met open bestrating </t>
  </si>
  <si>
    <t>11) Hoeveel vertrouwen heeft uw erin dat de volgende particuliere overstromingsmaatregelen uw woning zullen beschermen tegen overstromingen?</t>
  </si>
  <si>
    <t xml:space="preserve">Regenwaterton voor waterhergebruik </t>
  </si>
  <si>
    <t>Zandzakken</t>
  </si>
  <si>
    <t>Waterproof walls and floors</t>
  </si>
  <si>
    <t xml:space="preserve">Zelf activerende waterkering </t>
  </si>
  <si>
    <t xml:space="preserve">Waterdichte muren en vloeren </t>
  </si>
  <si>
    <t>Overstromingsverzekering</t>
  </si>
  <si>
    <t>Recorded date</t>
  </si>
  <si>
    <t>Finished</t>
  </si>
  <si>
    <t>TRUE/FALSE</t>
  </si>
  <si>
    <t>Date</t>
  </si>
  <si>
    <t>QuestionColumn</t>
  </si>
  <si>
    <t>---</t>
  </si>
  <si>
    <t>Not asked</t>
  </si>
  <si>
    <t>Same 250923</t>
  </si>
  <si>
    <t>Added</t>
  </si>
  <si>
    <t xml:space="preserve">Q_PlayerNumber </t>
  </si>
  <si>
    <t>Q_SurveyFinished</t>
  </si>
  <si>
    <t>Q_RecordedDate</t>
  </si>
  <si>
    <t>Q_Consent</t>
  </si>
  <si>
    <t>Q_Experience</t>
  </si>
  <si>
    <t xml:space="preserve">
Q_Info</t>
  </si>
  <si>
    <t>Q_Info_Government</t>
  </si>
  <si>
    <t>Q_Info_WeatherForecast</t>
  </si>
  <si>
    <t>Q_Info_Scientific</t>
  </si>
  <si>
    <t>Q_Info_GeneralMedia</t>
  </si>
  <si>
    <t>Q_Info_SocialMedia</t>
  </si>
  <si>
    <t>Q_Info_Engineering</t>
  </si>
  <si>
    <t>Q_Info_Insurances</t>
  </si>
  <si>
    <t>Q_HouseLocation</t>
  </si>
  <si>
    <t>Q_FloodFuture</t>
  </si>
  <si>
    <t xml:space="preserve">Q_ClimateChange </t>
  </si>
  <si>
    <t>Q_Threat</t>
  </si>
  <si>
    <t xml:space="preserve">Q_Responsibility </t>
  </si>
  <si>
    <t xml:space="preserve">Q_ConfidencePublic </t>
  </si>
  <si>
    <t>Q_ConfidenceNatucity</t>
  </si>
  <si>
    <t>Q_ConfidenceDiketown</t>
  </si>
  <si>
    <t>Q_ConfidenceUnbesvillage</t>
  </si>
  <si>
    <t xml:space="preserve">Q_Confidence_private </t>
  </si>
  <si>
    <t>Q_ConfidenceGreenGarden</t>
  </si>
  <si>
    <t>Q_ConfidenceRainBarrel</t>
  </si>
  <si>
    <t>Q_ConfidenceSandbags</t>
  </si>
  <si>
    <t>Q_ConfidenceWaterproof</t>
  </si>
  <si>
    <t>Q_ConfidenceSelf-wall</t>
  </si>
  <si>
    <t>Q_ConfidenceInsurance</t>
  </si>
  <si>
    <t>Q_ConfidenceWaterPump</t>
  </si>
  <si>
    <t>11 Questions, 3 with suboptions</t>
  </si>
  <si>
    <t>12 Questions, 3 with suboptions</t>
  </si>
  <si>
    <t>Q_EducationLevel</t>
  </si>
  <si>
    <t># questions</t>
  </si>
  <si>
    <t>Q_Role_Faculty</t>
  </si>
  <si>
    <t>Q_EducationLevel_Other</t>
  </si>
  <si>
    <t>Other</t>
  </si>
  <si>
    <t>How confident are you that the following private flood measures will protect your house against flooding?</t>
  </si>
  <si>
    <t xml:space="preserve">2 = Ja, ik ga akkoord met vrijwillige deelname (bedankt voor uw medewerking)! </t>
  </si>
  <si>
    <t xml:space="preserve">1 = Nee, ik verkies niet deel te nemen (de enquête eindigt, en u wacht vriendelijk tot anderen klaar zijn).  </t>
  </si>
  <si>
    <t>1 = Adviseur</t>
  </si>
  <si>
    <t xml:space="preserve">2 = Projectmanager </t>
  </si>
  <si>
    <t>3 = Communicatie</t>
  </si>
  <si>
    <t xml:space="preserve">4 = Klantenondersteuning </t>
  </si>
  <si>
    <t>5 = Other</t>
  </si>
  <si>
    <t>1 = Nee, ik heb geen ervaring met overstromingen</t>
  </si>
  <si>
    <t xml:space="preserve">2 = Ja, maar zonder verstoringen of schade </t>
  </si>
  <si>
    <t xml:space="preserve">3 = Ja, met lichte verstoringen of schade </t>
  </si>
  <si>
    <t>4 = Ja, met enige verstoringen of schade</t>
  </si>
  <si>
    <t>5 = Ja, met ernstige verstoringen of schade</t>
  </si>
  <si>
    <t>1 = Nooit</t>
  </si>
  <si>
    <t>2 = Eén keer in het afgelopen jaar</t>
  </si>
  <si>
    <t>3 = Eén keer in de afgelopen zes maanden</t>
  </si>
  <si>
    <t>4 = Eén keer per maand</t>
  </si>
  <si>
    <t>5 = Eén keer per week</t>
  </si>
  <si>
    <t>6 = Eén keer per dag</t>
  </si>
  <si>
    <t>1 = Zeer onwaarschijnlijk</t>
  </si>
  <si>
    <t>2 = Onwaarschijnlijk</t>
  </si>
  <si>
    <t>3 = Neutraal</t>
  </si>
  <si>
    <t>4 = Waarschijnlijk</t>
  </si>
  <si>
    <t>5 = Zeer waarschijnlijk</t>
  </si>
  <si>
    <t>1 = Geen toename</t>
  </si>
  <si>
    <t>2 = Een kleine toename</t>
  </si>
  <si>
    <t>3 = Een gemiddelde toename</t>
  </si>
  <si>
    <t>4 = Een grote toename</t>
  </si>
  <si>
    <t>5 = Een extreme toename</t>
  </si>
  <si>
    <t>1 = Geen, Ik zal niet overstromen</t>
  </si>
  <si>
    <t>2 = Als ik overstroom, zal ik geen schade hebben</t>
  </si>
  <si>
    <t>3 = Ik zou lichte schade kunnen oplopen</t>
  </si>
  <si>
    <t>4 = Ik zal enige schade oplopen</t>
  </si>
  <si>
    <t>5 = Ik zal ernstige schade oplopen</t>
  </si>
  <si>
    <t>1 = Overheidsinstanties zijn volledig verantwoordelijk voor bescherming tegen overstromingen</t>
  </si>
  <si>
    <t>2 = Overheidsinstanties zijn verantwoordelijk en burgers deels verantwoordelijk voor bescherming tegen overstromingen</t>
  </si>
  <si>
    <t>3 = Overheidsinstanties en burgers zijn even verantwoordelijk voor bescherming tegen overstromingen</t>
  </si>
  <si>
    <t>4 = Burgers zijn verantwoordelijk, en overheidsinstanties deels verantwoordelijk voor bescherming tegen overstromingen</t>
  </si>
  <si>
    <t>5 = Burgers zijn volledig verantwoordelijk voor bescherming tegen overstromingen</t>
  </si>
  <si>
    <t>1 = Helemaal geen vertrouwen</t>
  </si>
  <si>
    <t>2 = Geen vertrouwen</t>
  </si>
  <si>
    <t>3 = Niet duidelijk</t>
  </si>
  <si>
    <t>4 = Enigszins vertrouwen</t>
  </si>
  <si>
    <t>5 = Volledig vertrouwen</t>
  </si>
  <si>
    <t>6 = Ik weet het niet</t>
  </si>
  <si>
    <t xml:space="preserve">2 = Yes, I agree to voluntarily participate (thanks for your collaboration)!  </t>
  </si>
  <si>
    <t>1 = No, I prefer not to participate (the survey ends, and you kindly wait for others to finish)</t>
  </si>
  <si>
    <t>1 = No, I do not have a flood experience</t>
  </si>
  <si>
    <t>2 = Yes, but without disruptions or damages</t>
  </si>
  <si>
    <t>3 = Yes, with minor disruptions or damages</t>
  </si>
  <si>
    <t>4 = Yes, with some disruptions or damages</t>
  </si>
  <si>
    <t>5 = Yes, with serious disruptions or damages</t>
  </si>
  <si>
    <t>1 = Never</t>
  </si>
  <si>
    <t>2 = Once in the last year</t>
  </si>
  <si>
    <t>3 = Once in the last six months</t>
  </si>
  <si>
    <t>4 = Once a month</t>
  </si>
  <si>
    <t>5 = Once a week</t>
  </si>
  <si>
    <t>6 = Once a day</t>
  </si>
  <si>
    <t>1 = Very unlikely</t>
  </si>
  <si>
    <t>2 = Unlikely</t>
  </si>
  <si>
    <t>3 = Neutral</t>
  </si>
  <si>
    <t>4 = Likely</t>
  </si>
  <si>
    <t>5 = Very likely</t>
  </si>
  <si>
    <t>1 = No increase at all</t>
  </si>
  <si>
    <t>2 = A little increase</t>
  </si>
  <si>
    <t>3 = A moderate increase</t>
  </si>
  <si>
    <t>4 = A big increase</t>
  </si>
  <si>
    <t>5 = An extreme increase</t>
  </si>
  <si>
    <t>1 = I won't get flooded</t>
  </si>
  <si>
    <t>2 = If I get flooded, I won't get damaged</t>
  </si>
  <si>
    <t>3 = I might suffer minor damage</t>
  </si>
  <si>
    <t>4 = I will suffer some damage</t>
  </si>
  <si>
    <t>5 = I will get seriously damaged</t>
  </si>
  <si>
    <t>1 = Public authorities are completely responsible for flood protection</t>
  </si>
  <si>
    <t>2 = Public authorities are responsible and citizens somewhat responsible for flood protection</t>
  </si>
  <si>
    <t>3 = Public authorities and citizens are equally responsible for flood protection</t>
  </si>
  <si>
    <t>4 = Citizens are responsible, and public authorities are somewhat responsible for flood protection</t>
  </si>
  <si>
    <t>5 = Citizens are completely responsible for flood protection</t>
  </si>
  <si>
    <t>1 = Absolutely not confident</t>
  </si>
  <si>
    <t>2 = Not confident</t>
  </si>
  <si>
    <t>3 = Inconclusive</t>
  </si>
  <si>
    <t>4 = Somehow confident</t>
  </si>
  <si>
    <t>5 = Absolutely confident</t>
  </si>
  <si>
    <t>6 = I don't know</t>
  </si>
  <si>
    <t>1 = High school</t>
  </si>
  <si>
    <t>2 = BSc</t>
  </si>
  <si>
    <t>3 = MSc</t>
  </si>
  <si>
    <t>4 = PhD</t>
  </si>
  <si>
    <t>1 = Only rain protection</t>
  </si>
  <si>
    <t>2 = Rain protection AND satisfaction</t>
  </si>
  <si>
    <t>3 = Only river protection</t>
  </si>
  <si>
    <t>4 = River Protection AND satisfaction</t>
  </si>
  <si>
    <t>5 = River AND Rain protection AND satisfaction</t>
  </si>
  <si>
    <t>6 = River AND Rain protection</t>
  </si>
  <si>
    <t>7 = None, I dont' know</t>
  </si>
  <si>
    <t>DataAnalysisQuestion</t>
  </si>
  <si>
    <t>Presurvey_id-0-1</t>
  </si>
  <si>
    <t>Presurvey_id-0-2</t>
  </si>
  <si>
    <t>Presurvey_id-0-3</t>
  </si>
  <si>
    <t>Presurvey_id-0-4</t>
  </si>
  <si>
    <t>RiskPerception_1</t>
  </si>
  <si>
    <t>RiskPerception_2</t>
  </si>
  <si>
    <t>RiskPerception_2_1</t>
  </si>
  <si>
    <t>RiskPerception_2_2</t>
  </si>
  <si>
    <t>RiskPerception_2_3</t>
  </si>
  <si>
    <t>RiskPerception_2_4</t>
  </si>
  <si>
    <t>RiskPerception_2_5</t>
  </si>
  <si>
    <t>RiskPerception_2_6</t>
  </si>
  <si>
    <t>RiskPerception_2_7</t>
  </si>
  <si>
    <t>RiskPerception_3</t>
  </si>
  <si>
    <t>RiskPerception_4</t>
  </si>
  <si>
    <t>RiskPerception_5</t>
  </si>
  <si>
    <t>Q_Role_Faculty_Other</t>
  </si>
  <si>
    <t>RiskPerception_6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</si>
</sst>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" fontId="0" fillId="0" borderId="0" xfId="0" quotePrefix="1" applyNumberFormat="1"/>
    <xf numFmtId="0" fontId="0" fillId="2" borderId="0" xfId="0" applyFill="1" applyAlignment="1">
      <alignment wrapText="1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0" fillId="0" borderId="0" xfId="0" quotePrefix="1" applyAlignment="1">
      <alignment wrapText="1"/>
    </xf>
    <xf numFmtId="0" fontId="0" fillId="4" borderId="0" xfId="0" applyFill="1" applyAlignment="1">
      <alignment wrapText="1"/>
    </xf>
    <xf numFmtId="0" fontId="0" fillId="4" borderId="0" xfId="0" quotePrefix="1" applyFill="1" applyAlignment="1">
      <alignment wrapText="1"/>
    </xf>
    <xf numFmtId="0" fontId="0" fillId="0" borderId="0" xfId="0" applyAlignment="1">
      <alignment horizontal="left" wrapText="1"/>
    </xf>
    <xf numFmtId="16" fontId="0" fillId="5" borderId="0" xfId="0" quotePrefix="1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6BA4-B522-4F82-B63C-985A4FECC66C}">
  <sheetPr codeName="Sheet1"/>
  <dimension ref="A1:E36"/>
  <sheetViews>
    <sheetView tabSelected="1" workbookViewId="0">
      <selection activeCell="A23" sqref="A23"/>
    </sheetView>
  </sheetViews>
  <sheetFormatPr defaultRowHeight="14.5" x14ac:dyDescent="0.35"/>
  <cols>
    <col min="1" max="1" width="19.26953125" bestFit="1" customWidth="1"/>
    <col min="2" max="2" width="24.08984375" bestFit="1" customWidth="1"/>
    <col min="3" max="5" width="40.54296875" style="1" customWidth="1"/>
  </cols>
  <sheetData>
    <row r="1" spans="1:5" x14ac:dyDescent="0.35">
      <c r="A1" t="s">
        <v>213</v>
      </c>
      <c r="B1" t="s">
        <v>23</v>
      </c>
      <c r="C1" s="1" t="s">
        <v>2</v>
      </c>
      <c r="D1" s="1" t="s">
        <v>0</v>
      </c>
      <c r="E1" s="1" t="s">
        <v>1</v>
      </c>
    </row>
    <row r="2" spans="1:5" x14ac:dyDescent="0.35">
      <c r="A2" t="s">
        <v>214</v>
      </c>
      <c r="B2" t="s">
        <v>82</v>
      </c>
      <c r="C2" s="1" t="str">
        <f>+dataset_251007!C2</f>
        <v>Finished</v>
      </c>
      <c r="D2" s="1" t="str">
        <f>+dataset_250923!C2</f>
        <v>Finished</v>
      </c>
      <c r="E2" s="1" t="s">
        <v>79</v>
      </c>
    </row>
    <row r="3" spans="1:5" x14ac:dyDescent="0.35">
      <c r="A3" t="s">
        <v>215</v>
      </c>
      <c r="B3" t="s">
        <v>83</v>
      </c>
      <c r="C3" s="1" t="str">
        <f>+dataset_251007!C3</f>
        <v>Recorded date</v>
      </c>
      <c r="D3" s="1" t="str">
        <f>+dataset_250923!C3</f>
        <v>Recorded date</v>
      </c>
      <c r="E3" s="1" t="s">
        <v>79</v>
      </c>
    </row>
    <row r="4" spans="1:5" x14ac:dyDescent="0.35">
      <c r="A4" t="s">
        <v>216</v>
      </c>
      <c r="B4" t="s">
        <v>84</v>
      </c>
      <c r="C4" s="1" t="str">
        <f>+dataset_251007!C4</f>
        <v>Do you agree to participate</v>
      </c>
      <c r="D4" s="1" t="str">
        <f>+dataset_250923!C4</f>
        <v>Do you agree to participate</v>
      </c>
      <c r="E4" s="1" t="s">
        <v>79</v>
      </c>
    </row>
    <row r="5" spans="1:5" ht="43.5" x14ac:dyDescent="0.35">
      <c r="A5" t="s">
        <v>217</v>
      </c>
      <c r="B5" t="s">
        <v>81</v>
      </c>
      <c r="C5" s="1" t="str">
        <f>+dataset_251007!C5</f>
        <v>1) Vul het tafel- en spelersnummer (t#p#) in dat u hebt gekregen.</v>
      </c>
      <c r="D5" s="1" t="str">
        <f>+dataset_250923!C5</f>
        <v>Q1: Player number 1) Please fill in the table and player number (t#p#) you have been assigned</v>
      </c>
      <c r="E5" s="1" t="s">
        <v>79</v>
      </c>
    </row>
    <row r="6" spans="1:5" ht="29" x14ac:dyDescent="0.35">
      <c r="B6" t="s">
        <v>113</v>
      </c>
      <c r="C6" s="7" t="s">
        <v>77</v>
      </c>
      <c r="D6" s="7" t="s">
        <v>77</v>
      </c>
      <c r="E6" s="7" t="str">
        <f>+dataset_240924!C6</f>
        <v>2) What is the highest level of education you have completed?</v>
      </c>
    </row>
    <row r="7" spans="1:5" x14ac:dyDescent="0.35">
      <c r="B7" t="s">
        <v>116</v>
      </c>
      <c r="C7" s="7" t="s">
        <v>77</v>
      </c>
      <c r="D7" s="7" t="s">
        <v>77</v>
      </c>
      <c r="E7" s="7" t="s">
        <v>117</v>
      </c>
    </row>
    <row r="8" spans="1:5" ht="29" x14ac:dyDescent="0.35">
      <c r="B8" t="s">
        <v>115</v>
      </c>
      <c r="C8" s="1" t="str">
        <f>+dataset_251007!C6</f>
        <v>2) Wat is uw belangrijkste rol binnen de organisatie waarmee je verbonden bent?</v>
      </c>
      <c r="D8" s="1" t="str">
        <f>+dataset_250923!C6</f>
        <v>3) What is your last or most relevant study program(s) about?</v>
      </c>
      <c r="E8" s="1" t="s">
        <v>79</v>
      </c>
    </row>
    <row r="9" spans="1:5" x14ac:dyDescent="0.35">
      <c r="B9" t="s">
        <v>230</v>
      </c>
      <c r="C9" s="1" t="s">
        <v>117</v>
      </c>
      <c r="D9" s="1" t="s">
        <v>117</v>
      </c>
      <c r="E9" s="7" t="s">
        <v>77</v>
      </c>
    </row>
    <row r="10" spans="1:5" ht="43.5" x14ac:dyDescent="0.35">
      <c r="A10" t="s">
        <v>218</v>
      </c>
      <c r="B10" t="s">
        <v>85</v>
      </c>
      <c r="C10" s="1" t="str">
        <f>+dataset_251007!C8</f>
        <v>3) Heeft u ooit persoonlijk een overstroming meegemaakt, bijvoorbeeld door de kust, een rivier of hevige regenval?</v>
      </c>
      <c r="D10" s="1" t="str">
        <f>+dataset_250923!C7</f>
        <v xml:space="preserve"> 4) Have you ever personally experienced any type of flood? (e.g. coastal, river or rain flood)</v>
      </c>
      <c r="E10" s="1" t="s">
        <v>79</v>
      </c>
    </row>
    <row r="11" spans="1:5" ht="58" x14ac:dyDescent="0.35">
      <c r="A11" t="s">
        <v>219</v>
      </c>
      <c r="B11" s="1" t="s">
        <v>86</v>
      </c>
      <c r="C11" s="8" t="s">
        <v>48</v>
      </c>
      <c r="D11" s="8" t="s">
        <v>42</v>
      </c>
      <c r="E11" s="1" t="s">
        <v>79</v>
      </c>
    </row>
    <row r="12" spans="1:5" ht="29" x14ac:dyDescent="0.35">
      <c r="A12" s="3" t="s">
        <v>220</v>
      </c>
      <c r="B12" t="s">
        <v>87</v>
      </c>
      <c r="C12" s="1" t="str">
        <f>+dataset_251007!C9</f>
        <v xml:space="preserve">Overheid (bijv. officiële brieven, aankondigingen enz.) </v>
      </c>
      <c r="D12" s="1" t="str">
        <f>+dataset_250923!C8</f>
        <v>Government (i.e. official letters, announcements etc.)</v>
      </c>
      <c r="E12" s="1" t="s">
        <v>79</v>
      </c>
    </row>
    <row r="13" spans="1:5" ht="29" x14ac:dyDescent="0.35">
      <c r="A13" s="3" t="s">
        <v>221</v>
      </c>
      <c r="B13" t="s">
        <v>88</v>
      </c>
      <c r="C13" s="1" t="str">
        <f>+dataset_251007!C10</f>
        <v xml:space="preserve">Weersvoorspelling (bijv. overstromingswaarschuwingen) </v>
      </c>
      <c r="D13" s="1" t="str">
        <f>+dataset_250923!C9</f>
        <v>Weather forecast (i.e., flood warnings)</v>
      </c>
      <c r="E13" s="1" t="s">
        <v>79</v>
      </c>
    </row>
    <row r="14" spans="1:5" ht="29" x14ac:dyDescent="0.35">
      <c r="A14" s="3" t="s">
        <v>222</v>
      </c>
      <c r="B14" t="s">
        <v>89</v>
      </c>
      <c r="C14" s="1" t="str">
        <f>+dataset_251007!C11</f>
        <v>Wetenschappelijk (d.w.z. academische rapporten of publicaties)</v>
      </c>
      <c r="D14" s="1" t="str">
        <f>+dataset_250923!C10</f>
        <v>Scientific (i.e. academic reports or publications)</v>
      </c>
      <c r="E14" s="1" t="s">
        <v>79</v>
      </c>
    </row>
    <row r="15" spans="1:5" x14ac:dyDescent="0.35">
      <c r="A15" s="3" t="s">
        <v>223</v>
      </c>
      <c r="B15" t="s">
        <v>90</v>
      </c>
      <c r="C15" s="1" t="str">
        <f>+dataset_251007!C12</f>
        <v xml:space="preserve">Algemene media (bijv. nieuws, tv en radio) </v>
      </c>
      <c r="D15" s="1" t="str">
        <f>+dataset_250923!C11</f>
        <v>General media (i.e. news, TV and radio)</v>
      </c>
      <c r="E15" s="1" t="s">
        <v>79</v>
      </c>
    </row>
    <row r="16" spans="1:5" ht="29" x14ac:dyDescent="0.35">
      <c r="A16" s="3" t="s">
        <v>224</v>
      </c>
      <c r="B16" t="s">
        <v>91</v>
      </c>
      <c r="C16" s="1" t="str">
        <f>+dataset_251007!C13</f>
        <v xml:space="preserve">Sociale netwerken (bijv. vrienden, familie en collega’s) </v>
      </c>
      <c r="D16" s="1" t="str">
        <f>+dataset_250923!C12</f>
        <v>Social network or media (i,e, friends, family and colleagues)</v>
      </c>
      <c r="E16" s="1" t="s">
        <v>79</v>
      </c>
    </row>
    <row r="17" spans="1:5" ht="29" x14ac:dyDescent="0.35">
      <c r="A17" s="3" t="s">
        <v>225</v>
      </c>
      <c r="B17" t="s">
        <v>92</v>
      </c>
      <c r="C17" s="1" t="str">
        <f>+dataset_251007!C14</f>
        <v xml:space="preserve">Ingenieursbureaus (bijv. brochures over overstromingsmaatregelen) </v>
      </c>
      <c r="D17" s="1" t="str">
        <f>+dataset_250923!C13</f>
        <v>Engineering companies (i.e. flood-related measure brochures)</v>
      </c>
      <c r="E17" s="1" t="s">
        <v>78</v>
      </c>
    </row>
    <row r="18" spans="1:5" ht="29" x14ac:dyDescent="0.35">
      <c r="A18" s="3" t="s">
        <v>226</v>
      </c>
      <c r="B18" t="s">
        <v>93</v>
      </c>
      <c r="C18" s="1" t="str">
        <f>+dataset_251007!C15</f>
        <v xml:space="preserve">Verzekeringsmaatschappijen (bijv. bescherming tegen overstromingen) </v>
      </c>
      <c r="D18" s="1" t="str">
        <f>+dataset_250923!C14</f>
        <v xml:space="preserve">Insurance companies (i.e. flood-related protection) </v>
      </c>
      <c r="E18" s="1" t="s">
        <v>78</v>
      </c>
    </row>
    <row r="19" spans="1:5" ht="58" x14ac:dyDescent="0.35">
      <c r="A19" s="3"/>
      <c r="B19" t="s">
        <v>94</v>
      </c>
      <c r="C19" s="7" t="s">
        <v>77</v>
      </c>
      <c r="D19" s="7" t="str">
        <f>+dataset_250923!C15</f>
        <v>6) In which country(ies) and cities have your house been for more than a year within the last five years? If many, specify maximum of three.</v>
      </c>
      <c r="E19" s="7" t="s">
        <v>79</v>
      </c>
    </row>
    <row r="20" spans="1:5" ht="43.5" x14ac:dyDescent="0.35">
      <c r="A20" s="3" t="s">
        <v>227</v>
      </c>
      <c r="B20" t="s">
        <v>95</v>
      </c>
      <c r="C20" s="1" t="str">
        <f>+dataset_251007!C16</f>
        <v>6) Hoe waarschijnlijk acht u het dat er zich binnen 5 tot 10 jaar een overstroming bij u voor zal doen?</v>
      </c>
      <c r="D20" s="7" t="str">
        <f>+dataset_250923!C16</f>
        <v>7) How likely do you consider any type of flood to happen to you in the next 5 to 10 years?</v>
      </c>
      <c r="E20" s="7" t="s">
        <v>79</v>
      </c>
    </row>
    <row r="21" spans="1:5" ht="43.5" x14ac:dyDescent="0.35">
      <c r="A21" s="3" t="s">
        <v>228</v>
      </c>
      <c r="B21" t="s">
        <v>96</v>
      </c>
      <c r="C21" s="1" t="str">
        <f>+dataset_251007!C17</f>
        <v>7) In hoeverre denkt u dat klimaatverandering de kans op overstroming voor u binnen 5 tot 10 jaar vergroot?</v>
      </c>
      <c r="D21" s="7" t="str">
        <f>+dataset_250923!C17</f>
        <v>8) To what extent do you believe climate change will increase your likelihood or chance of being flooded in the next 5 to 10 years?</v>
      </c>
      <c r="E21" s="7" t="s">
        <v>79</v>
      </c>
    </row>
    <row r="22" spans="1:5" ht="43.5" x14ac:dyDescent="0.35">
      <c r="A22" s="3" t="s">
        <v>229</v>
      </c>
      <c r="B22" t="s">
        <v>97</v>
      </c>
      <c r="C22" s="1" t="str">
        <f>+dataset_251007!C18</f>
        <v>8) In hoeverre denkt u dat u schade zult oplopen bij een grote overstroming binnen 5 tot 10 jaar?</v>
      </c>
      <c r="D22" s="7" t="str">
        <f>+dataset_250923!C18</f>
        <v>9) To what extent do you believe you will get damaged in the event of a major flood in the next 5 to 10 years?</v>
      </c>
      <c r="E22" s="7" t="s">
        <v>79</v>
      </c>
    </row>
    <row r="23" spans="1:5" ht="43.5" x14ac:dyDescent="0.35">
      <c r="A23" s="11" t="s">
        <v>231</v>
      </c>
      <c r="B23" t="s">
        <v>98</v>
      </c>
      <c r="C23" s="1" t="str">
        <f>+dataset_251007!C19</f>
        <v>9) Wie beschouwt u als verantwoordelijk voor het bieden of hebben van bescherming tegen overstromingen?</v>
      </c>
      <c r="D23" s="7" t="str">
        <f>+dataset_250923!C19</f>
        <v>10) Who do you consider responsible for providing/having flood protection?</v>
      </c>
      <c r="E23" s="7" t="s">
        <v>79</v>
      </c>
    </row>
    <row r="24" spans="1:5" ht="58" x14ac:dyDescent="0.35">
      <c r="B24" t="s">
        <v>99</v>
      </c>
      <c r="C24" s="8" t="s">
        <v>60</v>
      </c>
      <c r="D24" s="9" t="s">
        <v>18</v>
      </c>
      <c r="E24" s="7" t="s">
        <v>79</v>
      </c>
    </row>
    <row r="25" spans="1:5" ht="43.5" x14ac:dyDescent="0.35">
      <c r="B25" t="s">
        <v>100</v>
      </c>
      <c r="C25" s="1" t="str">
        <f>+dataset_251007!C20</f>
        <v xml:space="preserve">Gebieden omgeven door relatief grote begroeide zones die kunnen dienen voor waterretentie. </v>
      </c>
      <c r="D25" s="7" t="str">
        <f>+dataset_250923!C20</f>
        <v xml:space="preserve">Areas surrounded by relatively large vegetated areas that may serve for water retention (6) </v>
      </c>
      <c r="E25" s="7" t="s">
        <v>79</v>
      </c>
    </row>
    <row r="26" spans="1:5" ht="29" x14ac:dyDescent="0.35">
      <c r="B26" t="s">
        <v>101</v>
      </c>
      <c r="C26" s="1" t="str">
        <f>+dataset_251007!C21</f>
        <v xml:space="preserve">Gebieden die beschermd zijn met overstromingsmaatregelen zoals dijken. </v>
      </c>
      <c r="D26" s="7" t="str">
        <f>+dataset_250923!C21</f>
        <v xml:space="preserve">Areas protected with civil engineering flood defences such as dikes </v>
      </c>
      <c r="E26" s="7" t="s">
        <v>79</v>
      </c>
    </row>
    <row r="27" spans="1:5" ht="29" x14ac:dyDescent="0.35">
      <c r="B27" t="s">
        <v>102</v>
      </c>
      <c r="C27" s="1" t="str">
        <f>+dataset_251007!C22</f>
        <v xml:space="preserve">Gebieden langs een rivier of waterkanaal zonder bescherming. </v>
      </c>
      <c r="D27" s="7" t="str">
        <f>+dataset_250923!C22</f>
        <v xml:space="preserve">Areas besides a river or a water channel without protection </v>
      </c>
      <c r="E27" s="7" t="s">
        <v>79</v>
      </c>
    </row>
    <row r="28" spans="1:5" ht="58" x14ac:dyDescent="0.35">
      <c r="B28" t="s">
        <v>103</v>
      </c>
      <c r="C28" s="8" t="s">
        <v>65</v>
      </c>
      <c r="D28" s="9" t="s">
        <v>118</v>
      </c>
      <c r="E28" s="9" t="s">
        <v>22</v>
      </c>
    </row>
    <row r="29" spans="1:5" x14ac:dyDescent="0.35">
      <c r="B29" t="s">
        <v>104</v>
      </c>
      <c r="C29" s="1" t="str">
        <f>+dataset_251007!C24</f>
        <v xml:space="preserve">Groene tuin met open bestrating </v>
      </c>
      <c r="D29" s="7" t="str">
        <f>+dataset_250923!C23</f>
        <v xml:space="preserve">Green Garden with open pavement </v>
      </c>
      <c r="E29" s="7" t="s">
        <v>79</v>
      </c>
    </row>
    <row r="30" spans="1:5" x14ac:dyDescent="0.35">
      <c r="B30" t="s">
        <v>105</v>
      </c>
      <c r="C30" s="1" t="str">
        <f>+dataset_251007!C25</f>
        <v xml:space="preserve">Regenwaterton voor waterhergebruik </v>
      </c>
      <c r="D30" s="7" t="str">
        <f>+dataset_250923!C24</f>
        <v>Rain barrel for water recycling</v>
      </c>
      <c r="E30" s="7" t="s">
        <v>79</v>
      </c>
    </row>
    <row r="31" spans="1:5" x14ac:dyDescent="0.35">
      <c r="B31" t="s">
        <v>106</v>
      </c>
      <c r="C31" s="1" t="str">
        <f>+dataset_251007!C26</f>
        <v>Zandzakken</v>
      </c>
      <c r="D31" s="7" t="str">
        <f>+dataset_250923!C25</f>
        <v>Sandbags</v>
      </c>
      <c r="E31" s="7" t="s">
        <v>79</v>
      </c>
    </row>
    <row r="32" spans="1:5" x14ac:dyDescent="0.35">
      <c r="B32" t="s">
        <v>107</v>
      </c>
      <c r="C32" s="1" t="str">
        <f>+dataset_251007!C27</f>
        <v xml:space="preserve">Waterdichte muren en vloeren </v>
      </c>
      <c r="D32" s="7" t="str">
        <f>+dataset_250923!C26</f>
        <v>Waterproof walls and floors</v>
      </c>
      <c r="E32" s="7" t="s">
        <v>79</v>
      </c>
    </row>
    <row r="33" spans="2:5" x14ac:dyDescent="0.35">
      <c r="B33" t="s">
        <v>108</v>
      </c>
      <c r="C33" s="1" t="str">
        <f>+dataset_251007!C28</f>
        <v xml:space="preserve">Zelf activerende waterkering </v>
      </c>
      <c r="D33" s="7" t="str">
        <f>+dataset_250923!C27</f>
        <v xml:space="preserve">Self-activating flood wall </v>
      </c>
      <c r="E33" s="7" t="s">
        <v>79</v>
      </c>
    </row>
    <row r="34" spans="2:5" x14ac:dyDescent="0.35">
      <c r="B34" t="s">
        <v>109</v>
      </c>
      <c r="C34" s="1" t="str">
        <f>+dataset_251007!C29</f>
        <v>Overstromingsverzekering</v>
      </c>
      <c r="D34" s="7" t="str">
        <f>+dataset_250923!C28</f>
        <v xml:space="preserve">Flood insurance </v>
      </c>
      <c r="E34" s="7" t="s">
        <v>79</v>
      </c>
    </row>
    <row r="35" spans="2:5" x14ac:dyDescent="0.35">
      <c r="B35" t="s">
        <v>110</v>
      </c>
      <c r="C35" s="7" t="s">
        <v>77</v>
      </c>
      <c r="D35" s="7" t="s">
        <v>77</v>
      </c>
      <c r="E35" s="7" t="s">
        <v>80</v>
      </c>
    </row>
    <row r="36" spans="2:5" x14ac:dyDescent="0.35">
      <c r="B36" t="s">
        <v>114</v>
      </c>
      <c r="C36" t="s">
        <v>111</v>
      </c>
      <c r="D36" t="s">
        <v>111</v>
      </c>
      <c r="E36" t="s">
        <v>112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D072-F21D-421D-B20F-3E70CE670902}">
  <sheetPr codeName="Sheet4"/>
  <dimension ref="A1:M29"/>
  <sheetViews>
    <sheetView workbookViewId="0">
      <selection activeCell="A18" sqref="A18"/>
    </sheetView>
  </sheetViews>
  <sheetFormatPr defaultRowHeight="14.5" x14ac:dyDescent="0.35"/>
  <cols>
    <col min="1" max="1" width="23" bestFit="1" customWidth="1"/>
    <col min="2" max="2" width="21.81640625" bestFit="1" customWidth="1"/>
    <col min="3" max="3" width="48.54296875" style="1" customWidth="1"/>
    <col min="4" max="4" width="14.90625" style="1" bestFit="1" customWidth="1"/>
    <col min="5" max="5" width="15.26953125" style="2" bestFit="1" customWidth="1"/>
    <col min="6" max="6" width="45.6328125" style="1" customWidth="1"/>
    <col min="7" max="7" width="40.7265625" style="1" bestFit="1" customWidth="1"/>
    <col min="8" max="8" width="40" style="1" bestFit="1" customWidth="1"/>
    <col min="9" max="9" width="39.54296875" style="1" bestFit="1" customWidth="1"/>
    <col min="10" max="10" width="41.1796875" style="1" bestFit="1" customWidth="1"/>
    <col min="11" max="11" width="24.453125" style="1" bestFit="1" customWidth="1"/>
    <col min="12" max="12" width="18" style="1" bestFit="1" customWidth="1"/>
  </cols>
  <sheetData>
    <row r="1" spans="1:12" x14ac:dyDescent="0.35">
      <c r="A1" t="s">
        <v>213</v>
      </c>
      <c r="B1" t="s">
        <v>23</v>
      </c>
      <c r="C1" s="1" t="s">
        <v>24</v>
      </c>
      <c r="D1" s="1" t="s">
        <v>76</v>
      </c>
      <c r="E1" s="2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 x14ac:dyDescent="0.35">
      <c r="A2" t="str">
        <f>+Overview!A2</f>
        <v>Presurvey_id-0-1</v>
      </c>
      <c r="B2" t="str">
        <f>+Overview!B2</f>
        <v>Q_SurveyFinished</v>
      </c>
      <c r="C2" s="1" t="s">
        <v>73</v>
      </c>
      <c r="D2" s="1">
        <v>5</v>
      </c>
      <c r="E2" s="2" t="s">
        <v>74</v>
      </c>
    </row>
    <row r="3" spans="1:12" x14ac:dyDescent="0.35">
      <c r="A3" t="str">
        <f>+Overview!A3</f>
        <v>Presurvey_id-0-2</v>
      </c>
      <c r="B3" t="str">
        <f>+Overview!B3</f>
        <v>Q_RecordedDate</v>
      </c>
      <c r="C3" s="1" t="s">
        <v>72</v>
      </c>
      <c r="D3" s="1">
        <v>6</v>
      </c>
      <c r="E3" s="2" t="s">
        <v>75</v>
      </c>
    </row>
    <row r="4" spans="1:12" ht="43.5" x14ac:dyDescent="0.35">
      <c r="A4" t="str">
        <f>+Overview!A4</f>
        <v>Presurvey_id-0-3</v>
      </c>
      <c r="B4" t="str">
        <f>+Overview!B4</f>
        <v>Q_Consent</v>
      </c>
      <c r="C4" s="1" t="s">
        <v>40</v>
      </c>
      <c r="D4" s="1">
        <v>10</v>
      </c>
      <c r="E4" s="2" t="s">
        <v>39</v>
      </c>
      <c r="F4" s="1" t="s">
        <v>119</v>
      </c>
      <c r="G4" s="1" t="s">
        <v>120</v>
      </c>
    </row>
    <row r="5" spans="1:12" ht="29" x14ac:dyDescent="0.35">
      <c r="A5" t="str">
        <f>+Overview!A5</f>
        <v>Presurvey_id-0-4</v>
      </c>
      <c r="B5" t="str">
        <f>+Overview!B5</f>
        <v xml:space="preserve">Q_PlayerNumber </v>
      </c>
      <c r="C5" s="1" t="s">
        <v>45</v>
      </c>
      <c r="D5" s="1">
        <v>11</v>
      </c>
      <c r="E5" s="2" t="s">
        <v>3</v>
      </c>
    </row>
    <row r="6" spans="1:12" ht="29" x14ac:dyDescent="0.35">
      <c r="A6">
        <f>+Overview!A8</f>
        <v>0</v>
      </c>
      <c r="B6" t="str">
        <f>+Overview!B8</f>
        <v>Q_Role_Faculty</v>
      </c>
      <c r="C6" s="4" t="s">
        <v>46</v>
      </c>
      <c r="D6" s="7">
        <v>12</v>
      </c>
      <c r="E6" s="2">
        <v>5</v>
      </c>
      <c r="F6" s="1" t="s">
        <v>121</v>
      </c>
      <c r="G6" s="1" t="s">
        <v>122</v>
      </c>
      <c r="H6" s="1" t="s">
        <v>123</v>
      </c>
      <c r="I6" s="1" t="s">
        <v>124</v>
      </c>
      <c r="J6" s="1" t="s">
        <v>125</v>
      </c>
    </row>
    <row r="7" spans="1:12" x14ac:dyDescent="0.35">
      <c r="A7">
        <f>+Overview!A9</f>
        <v>0</v>
      </c>
      <c r="B7" t="str">
        <f>+Overview!B9</f>
        <v>Q_Role_Faculty_Other</v>
      </c>
      <c r="C7" s="4" t="str">
        <f>+Overview!C9</f>
        <v>Other</v>
      </c>
      <c r="D7" s="7">
        <v>13</v>
      </c>
      <c r="E7" s="2" t="s">
        <v>3</v>
      </c>
    </row>
    <row r="8" spans="1:12" ht="43.5" x14ac:dyDescent="0.35">
      <c r="A8" t="str">
        <f>+Overview!A10</f>
        <v>RiskPerception_1</v>
      </c>
      <c r="B8" t="str">
        <f>+Overview!B10</f>
        <v>Q_Experience</v>
      </c>
      <c r="C8" s="1" t="s">
        <v>47</v>
      </c>
      <c r="D8" s="7">
        <v>14</v>
      </c>
      <c r="E8" s="2">
        <v>5</v>
      </c>
      <c r="F8" s="1" t="s">
        <v>126</v>
      </c>
      <c r="G8" s="1" t="s">
        <v>127</v>
      </c>
      <c r="H8" s="1" t="s">
        <v>128</v>
      </c>
      <c r="I8" s="1" t="s">
        <v>129</v>
      </c>
      <c r="J8" s="1" t="s">
        <v>130</v>
      </c>
    </row>
    <row r="9" spans="1:12" x14ac:dyDescent="0.35">
      <c r="A9" t="str">
        <f>+Overview!A12</f>
        <v>RiskPerception_2_1</v>
      </c>
      <c r="B9" t="str">
        <f>+Overview!B12</f>
        <v>Q_Info_Government</v>
      </c>
      <c r="C9" s="1" t="s">
        <v>49</v>
      </c>
      <c r="D9" s="1">
        <v>15</v>
      </c>
      <c r="E9" s="2">
        <v>6</v>
      </c>
      <c r="F9" s="1" t="s">
        <v>131</v>
      </c>
      <c r="G9" s="1" t="s">
        <v>132</v>
      </c>
      <c r="H9" s="1" t="s">
        <v>133</v>
      </c>
      <c r="I9" s="1" t="s">
        <v>134</v>
      </c>
      <c r="J9" s="1" t="s">
        <v>135</v>
      </c>
      <c r="K9" s="1" t="s">
        <v>136</v>
      </c>
    </row>
    <row r="10" spans="1:12" ht="29" x14ac:dyDescent="0.35">
      <c r="A10" t="str">
        <f>+Overview!A13</f>
        <v>RiskPerception_2_2</v>
      </c>
      <c r="B10" t="str">
        <f>+Overview!B13</f>
        <v>Q_Info_WeatherForecast</v>
      </c>
      <c r="C10" s="1" t="s">
        <v>50</v>
      </c>
      <c r="D10" s="1">
        <v>16</v>
      </c>
      <c r="E10" s="2">
        <f>+E$9</f>
        <v>6</v>
      </c>
      <c r="F10" s="10" t="str">
        <f t="shared" ref="F10:K15" si="0">+F$9</f>
        <v>1 = Nooit</v>
      </c>
      <c r="G10" s="10" t="str">
        <f t="shared" si="0"/>
        <v>2 = Eén keer in het afgelopen jaar</v>
      </c>
      <c r="H10" s="10" t="str">
        <f>+H$9</f>
        <v>3 = Eén keer in de afgelopen zes maanden</v>
      </c>
      <c r="I10" s="10" t="str">
        <f t="shared" si="0"/>
        <v>4 = Eén keer per maand</v>
      </c>
      <c r="J10" s="10" t="str">
        <f t="shared" si="0"/>
        <v>5 = Eén keer per week</v>
      </c>
      <c r="K10" s="10" t="str">
        <f t="shared" si="0"/>
        <v>6 = Eén keer per dag</v>
      </c>
    </row>
    <row r="11" spans="1:12" ht="29" x14ac:dyDescent="0.35">
      <c r="A11" t="str">
        <f>+Overview!A14</f>
        <v>RiskPerception_2_3</v>
      </c>
      <c r="B11" t="str">
        <f>+Overview!B14</f>
        <v>Q_Info_Scientific</v>
      </c>
      <c r="C11" s="1" t="s">
        <v>51</v>
      </c>
      <c r="D11" s="1">
        <v>17</v>
      </c>
      <c r="E11" s="2">
        <f t="shared" ref="E11:E15" si="1">+E$9</f>
        <v>6</v>
      </c>
      <c r="F11" s="10" t="str">
        <f t="shared" si="0"/>
        <v>1 = Nooit</v>
      </c>
      <c r="G11" s="10" t="str">
        <f t="shared" si="0"/>
        <v>2 = Eén keer in het afgelopen jaar</v>
      </c>
      <c r="H11" s="10" t="str">
        <f t="shared" si="0"/>
        <v>3 = Eén keer in de afgelopen zes maanden</v>
      </c>
      <c r="I11" s="10" t="str">
        <f t="shared" si="0"/>
        <v>4 = Eén keer per maand</v>
      </c>
      <c r="J11" s="10" t="str">
        <f t="shared" si="0"/>
        <v>5 = Eén keer per week</v>
      </c>
      <c r="K11" s="10" t="str">
        <f t="shared" si="0"/>
        <v>6 = Eén keer per dag</v>
      </c>
    </row>
    <row r="12" spans="1:12" x14ac:dyDescent="0.35">
      <c r="A12" t="str">
        <f>+Overview!A15</f>
        <v>RiskPerception_2_4</v>
      </c>
      <c r="B12" t="str">
        <f>+Overview!B15</f>
        <v>Q_Info_GeneralMedia</v>
      </c>
      <c r="C12" s="1" t="s">
        <v>52</v>
      </c>
      <c r="D12" s="1">
        <v>18</v>
      </c>
      <c r="E12" s="2">
        <f t="shared" si="1"/>
        <v>6</v>
      </c>
      <c r="F12" s="10" t="str">
        <f t="shared" si="0"/>
        <v>1 = Nooit</v>
      </c>
      <c r="G12" s="10" t="str">
        <f t="shared" si="0"/>
        <v>2 = Eén keer in het afgelopen jaar</v>
      </c>
      <c r="H12" s="10" t="str">
        <f t="shared" si="0"/>
        <v>3 = Eén keer in de afgelopen zes maanden</v>
      </c>
      <c r="I12" s="10" t="str">
        <f t="shared" si="0"/>
        <v>4 = Eén keer per maand</v>
      </c>
      <c r="J12" s="10" t="str">
        <f t="shared" si="0"/>
        <v>5 = Eén keer per week</v>
      </c>
      <c r="K12" s="10" t="str">
        <f t="shared" si="0"/>
        <v>6 = Eén keer per dag</v>
      </c>
    </row>
    <row r="13" spans="1:12" x14ac:dyDescent="0.35">
      <c r="A13" t="str">
        <f>+Overview!A16</f>
        <v>RiskPerception_2_5</v>
      </c>
      <c r="B13" t="str">
        <f>+Overview!B16</f>
        <v>Q_Info_SocialMedia</v>
      </c>
      <c r="C13" s="1" t="s">
        <v>53</v>
      </c>
      <c r="D13" s="1">
        <v>19</v>
      </c>
      <c r="E13" s="2">
        <f t="shared" si="1"/>
        <v>6</v>
      </c>
      <c r="F13" s="10" t="str">
        <f t="shared" si="0"/>
        <v>1 = Nooit</v>
      </c>
      <c r="G13" s="10" t="str">
        <f t="shared" si="0"/>
        <v>2 = Eén keer in het afgelopen jaar</v>
      </c>
      <c r="H13" s="10" t="str">
        <f t="shared" si="0"/>
        <v>3 = Eén keer in de afgelopen zes maanden</v>
      </c>
      <c r="I13" s="10" t="str">
        <f t="shared" si="0"/>
        <v>4 = Eén keer per maand</v>
      </c>
      <c r="J13" s="10" t="str">
        <f t="shared" si="0"/>
        <v>5 = Eén keer per week</v>
      </c>
      <c r="K13" s="10" t="str">
        <f t="shared" si="0"/>
        <v>6 = Eén keer per dag</v>
      </c>
    </row>
    <row r="14" spans="1:12" ht="29" x14ac:dyDescent="0.35">
      <c r="A14" t="str">
        <f>+Overview!A17</f>
        <v>RiskPerception_2_6</v>
      </c>
      <c r="B14" t="str">
        <f>+Overview!B17</f>
        <v>Q_Info_Engineering</v>
      </c>
      <c r="C14" s="4" t="s">
        <v>54</v>
      </c>
      <c r="D14" s="1">
        <v>20</v>
      </c>
      <c r="E14" s="2">
        <f t="shared" si="1"/>
        <v>6</v>
      </c>
      <c r="F14" s="10" t="str">
        <f t="shared" si="0"/>
        <v>1 = Nooit</v>
      </c>
      <c r="G14" s="10" t="str">
        <f t="shared" si="0"/>
        <v>2 = Eén keer in het afgelopen jaar</v>
      </c>
      <c r="H14" s="10" t="str">
        <f t="shared" si="0"/>
        <v>3 = Eén keer in de afgelopen zes maanden</v>
      </c>
      <c r="I14" s="10" t="str">
        <f t="shared" si="0"/>
        <v>4 = Eén keer per maand</v>
      </c>
      <c r="J14" s="10" t="str">
        <f t="shared" si="0"/>
        <v>5 = Eén keer per week</v>
      </c>
      <c r="K14" s="10" t="str">
        <f t="shared" si="0"/>
        <v>6 = Eén keer per dag</v>
      </c>
    </row>
    <row r="15" spans="1:12" ht="29" x14ac:dyDescent="0.35">
      <c r="A15" t="str">
        <f>+Overview!A18</f>
        <v>RiskPerception_2_7</v>
      </c>
      <c r="B15" t="str">
        <f>+Overview!B18</f>
        <v>Q_Info_Insurances</v>
      </c>
      <c r="C15" s="4" t="s">
        <v>55</v>
      </c>
      <c r="D15" s="1">
        <v>21</v>
      </c>
      <c r="E15" s="2">
        <f t="shared" si="1"/>
        <v>6</v>
      </c>
      <c r="F15" s="10" t="str">
        <f t="shared" si="0"/>
        <v>1 = Nooit</v>
      </c>
      <c r="G15" s="10" t="str">
        <f t="shared" si="0"/>
        <v>2 = Eén keer in het afgelopen jaar</v>
      </c>
      <c r="H15" s="10" t="str">
        <f t="shared" si="0"/>
        <v>3 = Eén keer in de afgelopen zes maanden</v>
      </c>
      <c r="I15" s="10" t="str">
        <f t="shared" si="0"/>
        <v>4 = Eén keer per maand</v>
      </c>
      <c r="J15" s="10" t="str">
        <f t="shared" si="0"/>
        <v>5 = Eén keer per week</v>
      </c>
      <c r="K15" s="10" t="str">
        <f t="shared" si="0"/>
        <v>6 = Eén keer per dag</v>
      </c>
    </row>
    <row r="16" spans="1:12" ht="29" x14ac:dyDescent="0.35">
      <c r="A16" t="str">
        <f>+Overview!A20</f>
        <v>RiskPerception_3</v>
      </c>
      <c r="B16" t="str">
        <f>+Overview!B20</f>
        <v>Q_FloodFuture</v>
      </c>
      <c r="C16" s="1" t="s">
        <v>56</v>
      </c>
      <c r="D16" s="1">
        <v>22</v>
      </c>
      <c r="E16" s="2">
        <v>5</v>
      </c>
      <c r="F16" s="1" t="s">
        <v>137</v>
      </c>
      <c r="G16" s="1" t="s">
        <v>138</v>
      </c>
      <c r="H16" s="1" t="s">
        <v>139</v>
      </c>
      <c r="I16" s="1" t="s">
        <v>140</v>
      </c>
      <c r="J16" s="1" t="s">
        <v>141</v>
      </c>
    </row>
    <row r="17" spans="1:13" ht="29" x14ac:dyDescent="0.35">
      <c r="A17" t="str">
        <f>+Overview!A21</f>
        <v>RiskPerception_4</v>
      </c>
      <c r="B17" t="str">
        <f>+Overview!B21</f>
        <v xml:space="preserve">Q_ClimateChange </v>
      </c>
      <c r="C17" s="1" t="s">
        <v>57</v>
      </c>
      <c r="D17" s="1">
        <v>23</v>
      </c>
      <c r="E17" s="2">
        <v>5</v>
      </c>
      <c r="F17" s="1" t="s">
        <v>142</v>
      </c>
      <c r="G17" s="1" t="s">
        <v>143</v>
      </c>
      <c r="H17" s="1" t="s">
        <v>144</v>
      </c>
      <c r="I17" s="1" t="s">
        <v>145</v>
      </c>
      <c r="J17" s="1" t="s">
        <v>146</v>
      </c>
    </row>
    <row r="18" spans="1:13" ht="29" x14ac:dyDescent="0.35">
      <c r="A18" t="str">
        <f>+Overview!A22</f>
        <v>RiskPerception_5</v>
      </c>
      <c r="B18" t="str">
        <f>+Overview!B22</f>
        <v>Q_Threat</v>
      </c>
      <c r="C18" s="1" t="s">
        <v>58</v>
      </c>
      <c r="D18" s="1">
        <v>24</v>
      </c>
      <c r="E18" s="2">
        <v>5</v>
      </c>
      <c r="F18" s="1" t="s">
        <v>147</v>
      </c>
      <c r="G18" s="1" t="s">
        <v>148</v>
      </c>
      <c r="H18" s="1" t="s">
        <v>149</v>
      </c>
      <c r="I18" s="1" t="s">
        <v>150</v>
      </c>
      <c r="J18" s="1" t="s">
        <v>151</v>
      </c>
    </row>
    <row r="19" spans="1:13" ht="43.5" x14ac:dyDescent="0.35">
      <c r="A19" t="str">
        <f>+Overview!A23</f>
        <v>RiskPerception_6</v>
      </c>
      <c r="B19" t="str">
        <f>+Overview!B23</f>
        <v xml:space="preserve">Q_Responsibility </v>
      </c>
      <c r="C19" s="1" t="s">
        <v>59</v>
      </c>
      <c r="D19" s="1">
        <v>25</v>
      </c>
      <c r="E19" s="2">
        <v>5</v>
      </c>
      <c r="F19" s="1" t="s">
        <v>152</v>
      </c>
      <c r="G19" s="1" t="s">
        <v>153</v>
      </c>
      <c r="H19" s="1" t="s">
        <v>154</v>
      </c>
      <c r="I19" s="1" t="s">
        <v>155</v>
      </c>
      <c r="J19" s="1" t="s">
        <v>156</v>
      </c>
    </row>
    <row r="20" spans="1:13" ht="29" x14ac:dyDescent="0.35">
      <c r="A20">
        <f>+Overview!A25</f>
        <v>0</v>
      </c>
      <c r="B20" t="str">
        <f>+Overview!B25</f>
        <v>Q_ConfidenceNatucity</v>
      </c>
      <c r="C20" s="1" t="s">
        <v>61</v>
      </c>
      <c r="D20" s="1">
        <v>26</v>
      </c>
      <c r="E20" s="2">
        <v>6</v>
      </c>
      <c r="F20" s="1" t="s">
        <v>157</v>
      </c>
      <c r="G20" s="1" t="s">
        <v>158</v>
      </c>
      <c r="H20" s="1" t="s">
        <v>159</v>
      </c>
      <c r="I20" s="1" t="s">
        <v>160</v>
      </c>
      <c r="J20" s="1" t="s">
        <v>161</v>
      </c>
      <c r="K20" s="1" t="s">
        <v>162</v>
      </c>
    </row>
    <row r="21" spans="1:13" ht="29" x14ac:dyDescent="0.35">
      <c r="A21">
        <f>+Overview!A26</f>
        <v>0</v>
      </c>
      <c r="B21" t="str">
        <f>+Overview!B26</f>
        <v>Q_ConfidenceDiketown</v>
      </c>
      <c r="C21" s="1" t="s">
        <v>62</v>
      </c>
      <c r="D21" s="1">
        <v>27</v>
      </c>
      <c r="E21" s="2">
        <f>+E$20</f>
        <v>6</v>
      </c>
      <c r="F21" s="10" t="str">
        <f t="shared" ref="F21:K22" si="2">+F$20</f>
        <v>1 = Helemaal geen vertrouwen</v>
      </c>
      <c r="G21" s="10" t="str">
        <f t="shared" si="2"/>
        <v>2 = Geen vertrouwen</v>
      </c>
      <c r="H21" s="10" t="str">
        <f t="shared" si="2"/>
        <v>3 = Niet duidelijk</v>
      </c>
      <c r="I21" s="10" t="str">
        <f t="shared" si="2"/>
        <v>4 = Enigszins vertrouwen</v>
      </c>
      <c r="J21" s="10" t="str">
        <f t="shared" si="2"/>
        <v>5 = Volledig vertrouwen</v>
      </c>
      <c r="K21" s="10" t="str">
        <f t="shared" si="2"/>
        <v>6 = Ik weet het niet</v>
      </c>
    </row>
    <row r="22" spans="1:13" ht="29" x14ac:dyDescent="0.35">
      <c r="A22">
        <f>+Overview!A27</f>
        <v>0</v>
      </c>
      <c r="B22" t="str">
        <f>+Overview!B27</f>
        <v>Q_ConfidenceUnbesvillage</v>
      </c>
      <c r="C22" s="1" t="s">
        <v>63</v>
      </c>
      <c r="D22" s="1">
        <v>28</v>
      </c>
      <c r="E22" s="2">
        <f>+E$20</f>
        <v>6</v>
      </c>
      <c r="F22" s="10" t="str">
        <f t="shared" si="2"/>
        <v>1 = Helemaal geen vertrouwen</v>
      </c>
      <c r="G22" s="10" t="str">
        <f t="shared" si="2"/>
        <v>2 = Geen vertrouwen</v>
      </c>
      <c r="H22" s="10" t="str">
        <f t="shared" si="2"/>
        <v>3 = Niet duidelijk</v>
      </c>
      <c r="I22" s="10" t="str">
        <f t="shared" si="2"/>
        <v>4 = Enigszins vertrouwen</v>
      </c>
      <c r="J22" s="10" t="str">
        <f t="shared" si="2"/>
        <v>5 = Volledig vertrouwen</v>
      </c>
      <c r="K22" s="10" t="str">
        <f t="shared" si="2"/>
        <v>6 = Ik weet het niet</v>
      </c>
    </row>
    <row r="23" spans="1:13" ht="43.5" x14ac:dyDescent="0.35">
      <c r="A23">
        <f>+Overview!A28</f>
        <v>0</v>
      </c>
      <c r="B23" t="str">
        <f>+Overview!B28</f>
        <v xml:space="preserve">Q_Confidence_private </v>
      </c>
      <c r="C23" s="1" t="s">
        <v>65</v>
      </c>
      <c r="D23" s="7" t="s">
        <v>77</v>
      </c>
      <c r="E23" s="2">
        <v>6</v>
      </c>
      <c r="F23" s="1" t="s">
        <v>157</v>
      </c>
      <c r="G23" s="1" t="s">
        <v>158</v>
      </c>
      <c r="H23" s="1" t="s">
        <v>159</v>
      </c>
      <c r="I23" s="1" t="s">
        <v>160</v>
      </c>
      <c r="J23" s="1" t="s">
        <v>161</v>
      </c>
      <c r="K23" s="1" t="s">
        <v>162</v>
      </c>
    </row>
    <row r="24" spans="1:13" x14ac:dyDescent="0.35">
      <c r="A24">
        <f>+Overview!A29</f>
        <v>0</v>
      </c>
      <c r="B24" t="str">
        <f>+Overview!B29</f>
        <v>Q_ConfidenceGreenGarden</v>
      </c>
      <c r="C24" s="1" t="s">
        <v>64</v>
      </c>
      <c r="D24" s="1">
        <v>29</v>
      </c>
      <c r="E24" s="2">
        <f t="shared" ref="E24:K29" si="3">+E$23</f>
        <v>6</v>
      </c>
      <c r="F24" s="10" t="str">
        <f t="shared" si="3"/>
        <v>1 = Helemaal geen vertrouwen</v>
      </c>
      <c r="G24" s="10" t="str">
        <f t="shared" si="3"/>
        <v>2 = Geen vertrouwen</v>
      </c>
      <c r="H24" s="10" t="str">
        <f t="shared" si="3"/>
        <v>3 = Niet duidelijk</v>
      </c>
      <c r="I24" s="10" t="str">
        <f t="shared" si="3"/>
        <v>4 = Enigszins vertrouwen</v>
      </c>
      <c r="J24" s="10" t="str">
        <f t="shared" si="3"/>
        <v>5 = Volledig vertrouwen</v>
      </c>
      <c r="K24" s="10" t="str">
        <f t="shared" si="3"/>
        <v>6 = Ik weet het niet</v>
      </c>
      <c r="L24" s="10"/>
      <c r="M24" s="2"/>
    </row>
    <row r="25" spans="1:13" x14ac:dyDescent="0.35">
      <c r="A25">
        <f>+Overview!A30</f>
        <v>0</v>
      </c>
      <c r="B25" t="str">
        <f>+Overview!B30</f>
        <v>Q_ConfidenceRainBarrel</v>
      </c>
      <c r="C25" s="1" t="s">
        <v>66</v>
      </c>
      <c r="D25" s="1">
        <v>30</v>
      </c>
      <c r="E25" s="2">
        <f t="shared" si="3"/>
        <v>6</v>
      </c>
      <c r="F25" s="10" t="str">
        <f t="shared" si="3"/>
        <v>1 = Helemaal geen vertrouwen</v>
      </c>
      <c r="G25" s="10" t="str">
        <f t="shared" si="3"/>
        <v>2 = Geen vertrouwen</v>
      </c>
      <c r="H25" s="10" t="str">
        <f t="shared" si="3"/>
        <v>3 = Niet duidelijk</v>
      </c>
      <c r="I25" s="10" t="str">
        <f t="shared" si="3"/>
        <v>4 = Enigszins vertrouwen</v>
      </c>
      <c r="J25" s="10" t="str">
        <f t="shared" si="3"/>
        <v>5 = Volledig vertrouwen</v>
      </c>
      <c r="K25" s="10" t="str">
        <f t="shared" si="3"/>
        <v>6 = Ik weet het niet</v>
      </c>
      <c r="L25" s="10"/>
    </row>
    <row r="26" spans="1:13" x14ac:dyDescent="0.35">
      <c r="A26">
        <f>+Overview!A31</f>
        <v>0</v>
      </c>
      <c r="B26" t="str">
        <f>+Overview!B31</f>
        <v>Q_ConfidenceSandbags</v>
      </c>
      <c r="C26" s="1" t="s">
        <v>67</v>
      </c>
      <c r="D26" s="1">
        <v>31</v>
      </c>
      <c r="E26" s="2">
        <f t="shared" si="3"/>
        <v>6</v>
      </c>
      <c r="F26" s="10" t="str">
        <f t="shared" si="3"/>
        <v>1 = Helemaal geen vertrouwen</v>
      </c>
      <c r="G26" s="10" t="str">
        <f t="shared" si="3"/>
        <v>2 = Geen vertrouwen</v>
      </c>
      <c r="H26" s="10" t="str">
        <f t="shared" si="3"/>
        <v>3 = Niet duidelijk</v>
      </c>
      <c r="I26" s="10" t="str">
        <f t="shared" si="3"/>
        <v>4 = Enigszins vertrouwen</v>
      </c>
      <c r="J26" s="10" t="str">
        <f t="shared" si="3"/>
        <v>5 = Volledig vertrouwen</v>
      </c>
      <c r="K26" s="10" t="str">
        <f t="shared" si="3"/>
        <v>6 = Ik weet het niet</v>
      </c>
      <c r="L26" s="10"/>
    </row>
    <row r="27" spans="1:13" x14ac:dyDescent="0.35">
      <c r="A27">
        <f>+Overview!A32</f>
        <v>0</v>
      </c>
      <c r="B27" t="str">
        <f>+Overview!B32</f>
        <v>Q_ConfidenceWaterproof</v>
      </c>
      <c r="C27" s="1" t="s">
        <v>70</v>
      </c>
      <c r="D27" s="1">
        <v>32</v>
      </c>
      <c r="E27" s="2">
        <f t="shared" si="3"/>
        <v>6</v>
      </c>
      <c r="F27" s="10" t="str">
        <f t="shared" si="3"/>
        <v>1 = Helemaal geen vertrouwen</v>
      </c>
      <c r="G27" s="10" t="str">
        <f t="shared" si="3"/>
        <v>2 = Geen vertrouwen</v>
      </c>
      <c r="H27" s="10" t="str">
        <f t="shared" si="3"/>
        <v>3 = Niet duidelijk</v>
      </c>
      <c r="I27" s="10" t="str">
        <f t="shared" si="3"/>
        <v>4 = Enigszins vertrouwen</v>
      </c>
      <c r="J27" s="10" t="str">
        <f t="shared" si="3"/>
        <v>5 = Volledig vertrouwen</v>
      </c>
      <c r="K27" s="10" t="str">
        <f t="shared" si="3"/>
        <v>6 = Ik weet het niet</v>
      </c>
      <c r="L27" s="10"/>
    </row>
    <row r="28" spans="1:13" x14ac:dyDescent="0.35">
      <c r="A28">
        <f>+Overview!A33</f>
        <v>0</v>
      </c>
      <c r="B28" t="str">
        <f>+Overview!B33</f>
        <v>Q_ConfidenceSelf-wall</v>
      </c>
      <c r="C28" s="1" t="s">
        <v>69</v>
      </c>
      <c r="D28" s="1">
        <v>33</v>
      </c>
      <c r="E28" s="2">
        <f t="shared" si="3"/>
        <v>6</v>
      </c>
      <c r="F28" s="10" t="str">
        <f t="shared" si="3"/>
        <v>1 = Helemaal geen vertrouwen</v>
      </c>
      <c r="G28" s="10" t="str">
        <f t="shared" si="3"/>
        <v>2 = Geen vertrouwen</v>
      </c>
      <c r="H28" s="10" t="str">
        <f t="shared" si="3"/>
        <v>3 = Niet duidelijk</v>
      </c>
      <c r="I28" s="10" t="str">
        <f t="shared" si="3"/>
        <v>4 = Enigszins vertrouwen</v>
      </c>
      <c r="J28" s="10" t="str">
        <f t="shared" si="3"/>
        <v>5 = Volledig vertrouwen</v>
      </c>
      <c r="K28" s="10" t="str">
        <f t="shared" si="3"/>
        <v>6 = Ik weet het niet</v>
      </c>
      <c r="L28" s="10"/>
    </row>
    <row r="29" spans="1:13" x14ac:dyDescent="0.35">
      <c r="A29">
        <f>+Overview!A34</f>
        <v>0</v>
      </c>
      <c r="B29" t="str">
        <f>+Overview!B34</f>
        <v>Q_ConfidenceInsurance</v>
      </c>
      <c r="C29" s="1" t="s">
        <v>71</v>
      </c>
      <c r="D29" s="1">
        <v>34</v>
      </c>
      <c r="E29" s="2">
        <f t="shared" si="3"/>
        <v>6</v>
      </c>
      <c r="F29" s="10" t="str">
        <f t="shared" si="3"/>
        <v>1 = Helemaal geen vertrouwen</v>
      </c>
      <c r="G29" s="10" t="str">
        <f t="shared" si="3"/>
        <v>2 = Geen vertrouwen</v>
      </c>
      <c r="H29" s="10" t="str">
        <f t="shared" si="3"/>
        <v>3 = Niet duidelijk</v>
      </c>
      <c r="I29" s="10" t="str">
        <f t="shared" si="3"/>
        <v>4 = Enigszins vertrouwen</v>
      </c>
      <c r="J29" s="10" t="str">
        <f t="shared" si="3"/>
        <v>5 = Volledig vertrouwen</v>
      </c>
      <c r="K29" s="10" t="str">
        <f t="shared" si="3"/>
        <v>6 = Ik weet het niet</v>
      </c>
      <c r="L2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124A-064F-4E6B-8218-777D01B92C7A}">
  <sheetPr codeName="Sheet2"/>
  <dimension ref="A1:M28"/>
  <sheetViews>
    <sheetView topLeftCell="A4" workbookViewId="0">
      <selection activeCell="A2" sqref="A2:XFD18"/>
    </sheetView>
  </sheetViews>
  <sheetFormatPr defaultRowHeight="14.5" x14ac:dyDescent="0.35"/>
  <cols>
    <col min="1" max="1" width="23" bestFit="1" customWidth="1"/>
    <col min="2" max="2" width="21.81640625" bestFit="1" customWidth="1"/>
    <col min="3" max="3" width="48.54296875" style="1" customWidth="1"/>
    <col min="4" max="4" width="14.90625" style="1" bestFit="1" customWidth="1"/>
    <col min="5" max="5" width="15.26953125" style="2" bestFit="1" customWidth="1"/>
    <col min="6" max="6" width="37.1796875" bestFit="1" customWidth="1"/>
    <col min="7" max="7" width="40.7265625" bestFit="1" customWidth="1"/>
    <col min="8" max="8" width="40" bestFit="1" customWidth="1"/>
    <col min="9" max="9" width="39.54296875" bestFit="1" customWidth="1"/>
    <col min="10" max="10" width="41.1796875" bestFit="1" customWidth="1"/>
    <col min="11" max="11" width="24.453125" bestFit="1" customWidth="1"/>
    <col min="12" max="12" width="18" bestFit="1" customWidth="1"/>
  </cols>
  <sheetData>
    <row r="1" spans="1:12" x14ac:dyDescent="0.35">
      <c r="A1" t="s">
        <v>213</v>
      </c>
      <c r="B1" t="s">
        <v>23</v>
      </c>
      <c r="C1" s="1" t="s">
        <v>24</v>
      </c>
      <c r="D1" s="1" t="s">
        <v>76</v>
      </c>
      <c r="E1" s="2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</row>
    <row r="2" spans="1:12" x14ac:dyDescent="0.35">
      <c r="A2" t="str">
        <f>+Overview!A2</f>
        <v>Presurvey_id-0-1</v>
      </c>
      <c r="B2" t="str">
        <f>+Overview!B2</f>
        <v>Q_SurveyFinished</v>
      </c>
      <c r="C2" s="1" t="s">
        <v>73</v>
      </c>
      <c r="D2" s="1">
        <v>5</v>
      </c>
      <c r="E2" s="2" t="s">
        <v>74</v>
      </c>
    </row>
    <row r="3" spans="1:12" x14ac:dyDescent="0.35">
      <c r="A3" t="str">
        <f>+Overview!A3</f>
        <v>Presurvey_id-0-2</v>
      </c>
      <c r="B3" t="str">
        <f>+Overview!B3</f>
        <v>Q_RecordedDate</v>
      </c>
      <c r="C3" s="1" t="s">
        <v>72</v>
      </c>
      <c r="D3" s="1">
        <v>6</v>
      </c>
      <c r="E3" s="2" t="s">
        <v>75</v>
      </c>
    </row>
    <row r="4" spans="1:12" x14ac:dyDescent="0.35">
      <c r="A4" t="str">
        <f>+Overview!A4</f>
        <v>Presurvey_id-0-3</v>
      </c>
      <c r="B4" t="str">
        <f>+Overview!B4</f>
        <v>Q_Consent</v>
      </c>
      <c r="C4" s="1" t="s">
        <v>40</v>
      </c>
      <c r="D4" s="1">
        <v>10</v>
      </c>
      <c r="E4" s="2" t="s">
        <v>39</v>
      </c>
      <c r="F4" t="s">
        <v>163</v>
      </c>
      <c r="G4" t="s">
        <v>164</v>
      </c>
    </row>
    <row r="5" spans="1:12" ht="29" x14ac:dyDescent="0.35">
      <c r="A5" t="str">
        <f>+Overview!A5</f>
        <v>Presurvey_id-0-4</v>
      </c>
      <c r="B5" t="str">
        <f>+Overview!B5</f>
        <v xml:space="preserve">Q_PlayerNumber </v>
      </c>
      <c r="C5" s="1" t="s">
        <v>41</v>
      </c>
      <c r="D5" s="1">
        <v>11</v>
      </c>
      <c r="E5" s="2" t="s">
        <v>3</v>
      </c>
    </row>
    <row r="6" spans="1:12" ht="29" x14ac:dyDescent="0.35">
      <c r="A6">
        <f>+Overview!A8</f>
        <v>0</v>
      </c>
      <c r="B6" t="str">
        <f>+Overview!B8</f>
        <v>Q_Role_Faculty</v>
      </c>
      <c r="C6" s="1" t="s">
        <v>7</v>
      </c>
      <c r="D6" s="1">
        <v>12</v>
      </c>
      <c r="E6" s="2" t="s">
        <v>3</v>
      </c>
    </row>
    <row r="7" spans="1:12" ht="29" x14ac:dyDescent="0.35">
      <c r="A7" t="str">
        <f>+Overview!A10</f>
        <v>RiskPerception_1</v>
      </c>
      <c r="B7" t="str">
        <f>+Overview!B10</f>
        <v>Q_Experience</v>
      </c>
      <c r="C7" s="1" t="s">
        <v>6</v>
      </c>
      <c r="D7" s="7">
        <v>13</v>
      </c>
      <c r="E7" s="2">
        <v>5</v>
      </c>
      <c r="F7" s="1" t="s">
        <v>165</v>
      </c>
      <c r="G7" t="s">
        <v>166</v>
      </c>
      <c r="H7" t="s">
        <v>167</v>
      </c>
      <c r="I7" t="s">
        <v>168</v>
      </c>
      <c r="J7" t="s">
        <v>169</v>
      </c>
    </row>
    <row r="8" spans="1:12" x14ac:dyDescent="0.35">
      <c r="A8" t="str">
        <f>+Overview!A12</f>
        <v>RiskPerception_2_1</v>
      </c>
      <c r="B8" t="str">
        <f>+Overview!B12</f>
        <v>Q_Info_Government</v>
      </c>
      <c r="C8" s="1" t="s">
        <v>8</v>
      </c>
      <c r="D8" s="1">
        <v>14</v>
      </c>
      <c r="E8" s="2">
        <v>6</v>
      </c>
      <c r="F8" t="s">
        <v>170</v>
      </c>
      <c r="G8" t="s">
        <v>171</v>
      </c>
      <c r="H8" t="s">
        <v>172</v>
      </c>
      <c r="I8" t="s">
        <v>173</v>
      </c>
      <c r="J8" t="s">
        <v>174</v>
      </c>
      <c r="K8" t="s">
        <v>175</v>
      </c>
    </row>
    <row r="9" spans="1:12" x14ac:dyDescent="0.35">
      <c r="A9" t="str">
        <f>+Overview!A13</f>
        <v>RiskPerception_2_2</v>
      </c>
      <c r="B9" t="str">
        <f>+Overview!B13</f>
        <v>Q_Info_WeatherForecast</v>
      </c>
      <c r="C9" s="1" t="s">
        <v>10</v>
      </c>
      <c r="D9" s="1">
        <v>15</v>
      </c>
      <c r="E9" s="2">
        <f>+E$8</f>
        <v>6</v>
      </c>
      <c r="F9" s="2" t="str">
        <f t="shared" ref="F9:K14" si="0">+F$8</f>
        <v>1 = Never</v>
      </c>
      <c r="G9" s="2" t="str">
        <f t="shared" si="0"/>
        <v>2 = Once in the last year</v>
      </c>
      <c r="H9" s="2" t="str">
        <f t="shared" si="0"/>
        <v>3 = Once in the last six months</v>
      </c>
      <c r="I9" s="2" t="str">
        <f t="shared" si="0"/>
        <v>4 = Once a month</v>
      </c>
      <c r="J9" s="2" t="str">
        <f t="shared" si="0"/>
        <v>5 = Once a week</v>
      </c>
      <c r="K9" s="2" t="str">
        <f t="shared" si="0"/>
        <v>6 = Once a day</v>
      </c>
    </row>
    <row r="10" spans="1:12" x14ac:dyDescent="0.35">
      <c r="A10" t="str">
        <f>+Overview!A14</f>
        <v>RiskPerception_2_3</v>
      </c>
      <c r="B10" t="str">
        <f>+Overview!B14</f>
        <v>Q_Info_Scientific</v>
      </c>
      <c r="C10" s="1" t="s">
        <v>11</v>
      </c>
      <c r="D10" s="1">
        <v>16</v>
      </c>
      <c r="E10" s="2">
        <f t="shared" ref="E10:E14" si="1">+E$8</f>
        <v>6</v>
      </c>
      <c r="F10" s="2" t="str">
        <f t="shared" si="0"/>
        <v>1 = Never</v>
      </c>
      <c r="G10" s="2" t="str">
        <f t="shared" si="0"/>
        <v>2 = Once in the last year</v>
      </c>
      <c r="H10" s="2" t="str">
        <f t="shared" si="0"/>
        <v>3 = Once in the last six months</v>
      </c>
      <c r="I10" s="2" t="str">
        <f t="shared" si="0"/>
        <v>4 = Once a month</v>
      </c>
      <c r="J10" s="2" t="str">
        <f t="shared" si="0"/>
        <v>5 = Once a week</v>
      </c>
      <c r="K10" s="2" t="str">
        <f t="shared" si="0"/>
        <v>6 = Once a day</v>
      </c>
    </row>
    <row r="11" spans="1:12" x14ac:dyDescent="0.35">
      <c r="A11" t="str">
        <f>+Overview!A15</f>
        <v>RiskPerception_2_4</v>
      </c>
      <c r="B11" t="str">
        <f>+Overview!B15</f>
        <v>Q_Info_GeneralMedia</v>
      </c>
      <c r="C11" s="1" t="s">
        <v>12</v>
      </c>
      <c r="D11" s="1">
        <v>17</v>
      </c>
      <c r="E11" s="2">
        <f t="shared" si="1"/>
        <v>6</v>
      </c>
      <c r="F11" s="2" t="str">
        <f t="shared" si="0"/>
        <v>1 = Never</v>
      </c>
      <c r="G11" s="2" t="str">
        <f t="shared" si="0"/>
        <v>2 = Once in the last year</v>
      </c>
      <c r="H11" s="2" t="str">
        <f t="shared" si="0"/>
        <v>3 = Once in the last six months</v>
      </c>
      <c r="I11" s="2" t="str">
        <f t="shared" si="0"/>
        <v>4 = Once a month</v>
      </c>
      <c r="J11" s="2" t="str">
        <f t="shared" si="0"/>
        <v>5 = Once a week</v>
      </c>
      <c r="K11" s="2" t="str">
        <f t="shared" si="0"/>
        <v>6 = Once a day</v>
      </c>
    </row>
    <row r="12" spans="1:12" ht="29" x14ac:dyDescent="0.35">
      <c r="A12" t="str">
        <f>+Overview!A16</f>
        <v>RiskPerception_2_5</v>
      </c>
      <c r="B12" t="str">
        <f>+Overview!B16</f>
        <v>Q_Info_SocialMedia</v>
      </c>
      <c r="C12" s="1" t="s">
        <v>13</v>
      </c>
      <c r="D12" s="1">
        <v>18</v>
      </c>
      <c r="E12" s="2">
        <f t="shared" si="1"/>
        <v>6</v>
      </c>
      <c r="F12" s="2" t="str">
        <f t="shared" si="0"/>
        <v>1 = Never</v>
      </c>
      <c r="G12" s="2" t="str">
        <f t="shared" si="0"/>
        <v>2 = Once in the last year</v>
      </c>
      <c r="H12" s="2" t="str">
        <f t="shared" si="0"/>
        <v>3 = Once in the last six months</v>
      </c>
      <c r="I12" s="2" t="str">
        <f t="shared" si="0"/>
        <v>4 = Once a month</v>
      </c>
      <c r="J12" s="2" t="str">
        <f t="shared" si="0"/>
        <v>5 = Once a week</v>
      </c>
      <c r="K12" s="2" t="str">
        <f t="shared" si="0"/>
        <v>6 = Once a day</v>
      </c>
    </row>
    <row r="13" spans="1:12" ht="29" x14ac:dyDescent="0.35">
      <c r="A13" t="str">
        <f>+Overview!A17</f>
        <v>RiskPerception_2_6</v>
      </c>
      <c r="B13" t="str">
        <f>+Overview!B17</f>
        <v>Q_Info_Engineering</v>
      </c>
      <c r="C13" s="4" t="s">
        <v>43</v>
      </c>
      <c r="D13" s="4">
        <v>19</v>
      </c>
      <c r="E13" s="2">
        <f t="shared" si="1"/>
        <v>6</v>
      </c>
      <c r="F13" s="2" t="str">
        <f t="shared" si="0"/>
        <v>1 = Never</v>
      </c>
      <c r="G13" s="2" t="str">
        <f t="shared" si="0"/>
        <v>2 = Once in the last year</v>
      </c>
      <c r="H13" s="2" t="str">
        <f t="shared" si="0"/>
        <v>3 = Once in the last six months</v>
      </c>
      <c r="I13" s="2" t="str">
        <f t="shared" si="0"/>
        <v>4 = Once a month</v>
      </c>
      <c r="J13" s="2" t="str">
        <f t="shared" si="0"/>
        <v>5 = Once a week</v>
      </c>
      <c r="K13" s="2" t="str">
        <f t="shared" si="0"/>
        <v>6 = Once a day</v>
      </c>
    </row>
    <row r="14" spans="1:12" x14ac:dyDescent="0.35">
      <c r="A14" t="str">
        <f>+Overview!A18</f>
        <v>RiskPerception_2_7</v>
      </c>
      <c r="B14" t="str">
        <f>+Overview!B18</f>
        <v>Q_Info_Insurances</v>
      </c>
      <c r="C14" s="4" t="s">
        <v>44</v>
      </c>
      <c r="D14" s="4">
        <v>20</v>
      </c>
      <c r="E14" s="2">
        <f t="shared" si="1"/>
        <v>6</v>
      </c>
      <c r="F14" s="2" t="str">
        <f t="shared" si="0"/>
        <v>1 = Never</v>
      </c>
      <c r="G14" s="2" t="str">
        <f t="shared" si="0"/>
        <v>2 = Once in the last year</v>
      </c>
      <c r="H14" s="2" t="str">
        <f t="shared" si="0"/>
        <v>3 = Once in the last six months</v>
      </c>
      <c r="I14" s="2" t="str">
        <f t="shared" si="0"/>
        <v>4 = Once a month</v>
      </c>
      <c r="J14" s="2" t="str">
        <f t="shared" si="0"/>
        <v>5 = Once a week</v>
      </c>
      <c r="K14" s="2" t="str">
        <f t="shared" si="0"/>
        <v>6 = Once a day</v>
      </c>
    </row>
    <row r="15" spans="1:12" ht="43.5" x14ac:dyDescent="0.35">
      <c r="A15">
        <f>+Overview!A19</f>
        <v>0</v>
      </c>
      <c r="B15" t="str">
        <f>+Overview!B19</f>
        <v>Q_HouseLocation</v>
      </c>
      <c r="C15" s="1" t="s">
        <v>14</v>
      </c>
      <c r="D15" s="1">
        <v>21</v>
      </c>
      <c r="E15" s="2" t="s">
        <v>3</v>
      </c>
      <c r="F15" s="2"/>
      <c r="G15" s="2"/>
      <c r="H15" s="2"/>
      <c r="I15" s="2"/>
      <c r="J15" s="2"/>
      <c r="K15" s="2"/>
    </row>
    <row r="16" spans="1:12" ht="29" x14ac:dyDescent="0.35">
      <c r="A16" t="str">
        <f>+Overview!A20</f>
        <v>RiskPerception_3</v>
      </c>
      <c r="B16" t="str">
        <f>+Overview!B20</f>
        <v>Q_FloodFuture</v>
      </c>
      <c r="C16" s="1" t="s">
        <v>9</v>
      </c>
      <c r="D16" s="1">
        <v>22</v>
      </c>
      <c r="E16" s="2">
        <v>5</v>
      </c>
      <c r="F16" t="s">
        <v>176</v>
      </c>
      <c r="G16" t="s">
        <v>177</v>
      </c>
      <c r="H16" t="s">
        <v>178</v>
      </c>
      <c r="I16" t="s">
        <v>179</v>
      </c>
      <c r="J16" t="s">
        <v>180</v>
      </c>
    </row>
    <row r="17" spans="1:13" ht="43.5" x14ac:dyDescent="0.35">
      <c r="A17" t="str">
        <f>+Overview!A21</f>
        <v>RiskPerception_4</v>
      </c>
      <c r="B17" t="str">
        <f>+Overview!B21</f>
        <v xml:space="preserve">Q_ClimateChange </v>
      </c>
      <c r="C17" s="1" t="s">
        <v>15</v>
      </c>
      <c r="D17" s="1">
        <v>23</v>
      </c>
      <c r="E17" s="2">
        <v>5</v>
      </c>
      <c r="F17" t="s">
        <v>181</v>
      </c>
      <c r="G17" t="s">
        <v>182</v>
      </c>
      <c r="H17" t="s">
        <v>183</v>
      </c>
      <c r="I17" t="s">
        <v>184</v>
      </c>
      <c r="J17" t="s">
        <v>185</v>
      </c>
    </row>
    <row r="18" spans="1:13" ht="29" x14ac:dyDescent="0.35">
      <c r="A18" t="str">
        <f>+Overview!A22</f>
        <v>RiskPerception_5</v>
      </c>
      <c r="B18" t="str">
        <f>+Overview!B22</f>
        <v>Q_Threat</v>
      </c>
      <c r="C18" s="1" t="s">
        <v>16</v>
      </c>
      <c r="D18" s="1">
        <v>24</v>
      </c>
      <c r="E18" s="2">
        <v>5</v>
      </c>
      <c r="F18" t="s">
        <v>186</v>
      </c>
      <c r="G18" t="s">
        <v>187</v>
      </c>
      <c r="H18" t="s">
        <v>188</v>
      </c>
      <c r="I18" t="s">
        <v>189</v>
      </c>
      <c r="J18" t="s">
        <v>190</v>
      </c>
    </row>
    <row r="19" spans="1:13" ht="29" x14ac:dyDescent="0.35">
      <c r="A19" t="str">
        <f>+Overview!A23</f>
        <v>RiskPerception_6</v>
      </c>
      <c r="B19" t="str">
        <f>+Overview!B23</f>
        <v xml:space="preserve">Q_Responsibility </v>
      </c>
      <c r="C19" s="1" t="s">
        <v>17</v>
      </c>
      <c r="D19" s="1">
        <v>25</v>
      </c>
      <c r="E19" s="2">
        <v>5</v>
      </c>
      <c r="F19" t="s">
        <v>191</v>
      </c>
      <c r="G19" t="s">
        <v>192</v>
      </c>
      <c r="H19" t="s">
        <v>193</v>
      </c>
      <c r="I19" t="s">
        <v>194</v>
      </c>
      <c r="J19" t="s">
        <v>195</v>
      </c>
    </row>
    <row r="20" spans="1:13" ht="29" x14ac:dyDescent="0.35">
      <c r="A20">
        <f>+Overview!A25</f>
        <v>0</v>
      </c>
      <c r="B20" t="str">
        <f>+Overview!B25</f>
        <v>Q_ConfidenceNatucity</v>
      </c>
      <c r="C20" s="1" t="s">
        <v>19</v>
      </c>
      <c r="D20" s="1">
        <v>26</v>
      </c>
      <c r="E20" s="2">
        <v>6</v>
      </c>
      <c r="F20" t="s">
        <v>196</v>
      </c>
      <c r="G20" t="s">
        <v>197</v>
      </c>
      <c r="H20" t="s">
        <v>198</v>
      </c>
      <c r="I20" t="s">
        <v>199</v>
      </c>
      <c r="J20" t="s">
        <v>200</v>
      </c>
      <c r="K20" t="s">
        <v>201</v>
      </c>
    </row>
    <row r="21" spans="1:13" ht="29" x14ac:dyDescent="0.35">
      <c r="A21">
        <f>+Overview!A26</f>
        <v>0</v>
      </c>
      <c r="B21" t="str">
        <f>+Overview!B26</f>
        <v>Q_ConfidenceDiketown</v>
      </c>
      <c r="C21" s="1" t="s">
        <v>20</v>
      </c>
      <c r="D21" s="1">
        <v>27</v>
      </c>
      <c r="E21" s="2">
        <f>+E$20</f>
        <v>6</v>
      </c>
      <c r="F21" s="2" t="str">
        <f t="shared" ref="F21:K22" si="2">+F$20</f>
        <v>1 = Absolutely not confident</v>
      </c>
      <c r="G21" s="2" t="str">
        <f t="shared" si="2"/>
        <v>2 = Not confident</v>
      </c>
      <c r="H21" s="2" t="str">
        <f t="shared" si="2"/>
        <v>3 = Inconclusive</v>
      </c>
      <c r="I21" s="2" t="str">
        <f t="shared" si="2"/>
        <v>4 = Somehow confident</v>
      </c>
      <c r="J21" s="2" t="str">
        <f t="shared" si="2"/>
        <v>5 = Absolutely confident</v>
      </c>
      <c r="K21" s="2" t="str">
        <f t="shared" si="2"/>
        <v>6 = I don't know</v>
      </c>
    </row>
    <row r="22" spans="1:13" ht="29" x14ac:dyDescent="0.35">
      <c r="A22">
        <f>+Overview!A27</f>
        <v>0</v>
      </c>
      <c r="B22" t="str">
        <f>+Overview!B27</f>
        <v>Q_ConfidenceUnbesvillage</v>
      </c>
      <c r="C22" s="1" t="s">
        <v>21</v>
      </c>
      <c r="D22" s="1">
        <v>28</v>
      </c>
      <c r="E22" s="2">
        <f>+E$20</f>
        <v>6</v>
      </c>
      <c r="F22" s="2" t="str">
        <f t="shared" si="2"/>
        <v>1 = Absolutely not confident</v>
      </c>
      <c r="G22" s="2" t="str">
        <f t="shared" si="2"/>
        <v>2 = Not confident</v>
      </c>
      <c r="H22" s="2" t="str">
        <f t="shared" si="2"/>
        <v>3 = Inconclusive</v>
      </c>
      <c r="I22" s="2" t="str">
        <f t="shared" si="2"/>
        <v>4 = Somehow confident</v>
      </c>
      <c r="J22" s="2" t="str">
        <f t="shared" si="2"/>
        <v>5 = Absolutely confident</v>
      </c>
      <c r="K22" s="2" t="str">
        <f t="shared" si="2"/>
        <v>6 = I don't know</v>
      </c>
    </row>
    <row r="23" spans="1:13" x14ac:dyDescent="0.35">
      <c r="A23">
        <f>+Overview!A29</f>
        <v>0</v>
      </c>
      <c r="B23" t="str">
        <f>+Overview!B29</f>
        <v>Q_ConfidenceGreenGarden</v>
      </c>
      <c r="C23" s="1" t="s">
        <v>33</v>
      </c>
      <c r="D23" s="1">
        <v>29</v>
      </c>
      <c r="E23" s="2">
        <v>6</v>
      </c>
      <c r="F23" t="s">
        <v>196</v>
      </c>
      <c r="G23" t="s">
        <v>197</v>
      </c>
      <c r="H23" t="s">
        <v>198</v>
      </c>
      <c r="I23" t="s">
        <v>199</v>
      </c>
      <c r="J23" t="s">
        <v>200</v>
      </c>
      <c r="K23" t="s">
        <v>201</v>
      </c>
      <c r="L23" s="2"/>
      <c r="M23" s="2"/>
    </row>
    <row r="24" spans="1:13" x14ac:dyDescent="0.35">
      <c r="A24">
        <f>+Overview!A30</f>
        <v>0</v>
      </c>
      <c r="B24" t="str">
        <f>+Overview!B30</f>
        <v>Q_ConfidenceRainBarrel</v>
      </c>
      <c r="C24" s="1" t="s">
        <v>34</v>
      </c>
      <c r="D24" s="1">
        <v>30</v>
      </c>
      <c r="E24" s="2">
        <f>+E$23</f>
        <v>6</v>
      </c>
      <c r="F24" s="2" t="str">
        <f t="shared" ref="F24:K28" si="3">+F$23</f>
        <v>1 = Absolutely not confident</v>
      </c>
      <c r="G24" s="2" t="str">
        <f t="shared" si="3"/>
        <v>2 = Not confident</v>
      </c>
      <c r="H24" s="2" t="str">
        <f t="shared" si="3"/>
        <v>3 = Inconclusive</v>
      </c>
      <c r="I24" s="2" t="str">
        <f t="shared" si="3"/>
        <v>4 = Somehow confident</v>
      </c>
      <c r="J24" s="2" t="str">
        <f t="shared" si="3"/>
        <v>5 = Absolutely confident</v>
      </c>
      <c r="K24" s="2" t="str">
        <f t="shared" si="3"/>
        <v>6 = I don't know</v>
      </c>
      <c r="L24" s="2"/>
    </row>
    <row r="25" spans="1:13" x14ac:dyDescent="0.35">
      <c r="A25">
        <f>+Overview!A31</f>
        <v>0</v>
      </c>
      <c r="B25" t="str">
        <f>+Overview!B31</f>
        <v>Q_ConfidenceSandbags</v>
      </c>
      <c r="C25" s="1" t="s">
        <v>36</v>
      </c>
      <c r="D25" s="1">
        <v>31</v>
      </c>
      <c r="E25" s="2">
        <f t="shared" ref="E25:E28" si="4">+E$23</f>
        <v>6</v>
      </c>
      <c r="F25" s="2" t="str">
        <f t="shared" si="3"/>
        <v>1 = Absolutely not confident</v>
      </c>
      <c r="G25" s="2" t="str">
        <f t="shared" si="3"/>
        <v>2 = Not confident</v>
      </c>
      <c r="H25" s="2" t="str">
        <f t="shared" si="3"/>
        <v>3 = Inconclusive</v>
      </c>
      <c r="I25" s="2" t="str">
        <f t="shared" si="3"/>
        <v>4 = Somehow confident</v>
      </c>
      <c r="J25" s="2" t="str">
        <f t="shared" si="3"/>
        <v>5 = Absolutely confident</v>
      </c>
      <c r="K25" s="2" t="str">
        <f t="shared" si="3"/>
        <v>6 = I don't know</v>
      </c>
      <c r="L25" s="2"/>
    </row>
    <row r="26" spans="1:13" x14ac:dyDescent="0.35">
      <c r="A26">
        <f>+Overview!A32</f>
        <v>0</v>
      </c>
      <c r="B26" t="str">
        <f>+Overview!B32</f>
        <v>Q_ConfidenceWaterproof</v>
      </c>
      <c r="C26" s="1" t="s">
        <v>68</v>
      </c>
      <c r="D26" s="1">
        <v>32</v>
      </c>
      <c r="E26" s="2">
        <f t="shared" si="4"/>
        <v>6</v>
      </c>
      <c r="F26" s="2" t="str">
        <f t="shared" si="3"/>
        <v>1 = Absolutely not confident</v>
      </c>
      <c r="G26" s="2" t="str">
        <f t="shared" si="3"/>
        <v>2 = Not confident</v>
      </c>
      <c r="H26" s="2" t="str">
        <f t="shared" si="3"/>
        <v>3 = Inconclusive</v>
      </c>
      <c r="I26" s="2" t="str">
        <f t="shared" si="3"/>
        <v>4 = Somehow confident</v>
      </c>
      <c r="J26" s="2" t="str">
        <f t="shared" si="3"/>
        <v>5 = Absolutely confident</v>
      </c>
      <c r="K26" s="2" t="str">
        <f t="shared" si="3"/>
        <v>6 = I don't know</v>
      </c>
      <c r="L26" s="2"/>
    </row>
    <row r="27" spans="1:13" x14ac:dyDescent="0.35">
      <c r="A27">
        <f>+Overview!A33</f>
        <v>0</v>
      </c>
      <c r="B27" t="str">
        <f>+Overview!B33</f>
        <v>Q_ConfidenceSelf-wall</v>
      </c>
      <c r="C27" s="1" t="s">
        <v>37</v>
      </c>
      <c r="D27" s="1">
        <v>33</v>
      </c>
      <c r="E27" s="2">
        <f t="shared" si="4"/>
        <v>6</v>
      </c>
      <c r="F27" s="2" t="str">
        <f t="shared" si="3"/>
        <v>1 = Absolutely not confident</v>
      </c>
      <c r="G27" s="2" t="str">
        <f t="shared" si="3"/>
        <v>2 = Not confident</v>
      </c>
      <c r="H27" s="2" t="str">
        <f t="shared" si="3"/>
        <v>3 = Inconclusive</v>
      </c>
      <c r="I27" s="2" t="str">
        <f t="shared" si="3"/>
        <v>4 = Somehow confident</v>
      </c>
      <c r="J27" s="2" t="str">
        <f t="shared" si="3"/>
        <v>5 = Absolutely confident</v>
      </c>
      <c r="K27" s="2" t="str">
        <f t="shared" si="3"/>
        <v>6 = I don't know</v>
      </c>
      <c r="L27" s="2"/>
    </row>
    <row r="28" spans="1:13" x14ac:dyDescent="0.35">
      <c r="A28">
        <f>+Overview!A34</f>
        <v>0</v>
      </c>
      <c r="B28" t="str">
        <f>+Overview!B34</f>
        <v>Q_ConfidenceInsurance</v>
      </c>
      <c r="C28" s="1" t="s">
        <v>38</v>
      </c>
      <c r="D28" s="1">
        <v>34</v>
      </c>
      <c r="E28" s="2">
        <f t="shared" si="4"/>
        <v>6</v>
      </c>
      <c r="F28" s="2" t="str">
        <f t="shared" si="3"/>
        <v>1 = Absolutely not confident</v>
      </c>
      <c r="G28" s="2" t="str">
        <f t="shared" si="3"/>
        <v>2 = Not confident</v>
      </c>
      <c r="H28" s="2" t="str">
        <f t="shared" si="3"/>
        <v>3 = Inconclusive</v>
      </c>
      <c r="I28" s="2" t="str">
        <f t="shared" si="3"/>
        <v>4 = Somehow confident</v>
      </c>
      <c r="J28" s="2" t="str">
        <f t="shared" si="3"/>
        <v>5 = Absolutely confident</v>
      </c>
      <c r="K28" s="2" t="str">
        <f t="shared" si="3"/>
        <v>6 = I don't know</v>
      </c>
      <c r="L2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M29"/>
  <sheetViews>
    <sheetView topLeftCell="A9" workbookViewId="0">
      <selection activeCell="A19" sqref="A19"/>
    </sheetView>
  </sheetViews>
  <sheetFormatPr defaultRowHeight="14.5" x14ac:dyDescent="0.35"/>
  <cols>
    <col min="1" max="1" width="23" bestFit="1" customWidth="1"/>
    <col min="2" max="2" width="21.81640625" bestFit="1" customWidth="1"/>
    <col min="3" max="3" width="48.54296875" style="1" customWidth="1"/>
    <col min="4" max="4" width="14.90625" style="1" bestFit="1" customWidth="1"/>
    <col min="5" max="5" width="15.26953125" style="2" bestFit="1" customWidth="1"/>
    <col min="6" max="6" width="37.1796875" bestFit="1" customWidth="1"/>
    <col min="7" max="7" width="40.7265625" bestFit="1" customWidth="1"/>
    <col min="8" max="8" width="40" bestFit="1" customWidth="1"/>
    <col min="9" max="9" width="39.54296875" bestFit="1" customWidth="1"/>
    <col min="10" max="10" width="41.1796875" bestFit="1" customWidth="1"/>
    <col min="11" max="11" width="24.453125" bestFit="1" customWidth="1"/>
    <col min="12" max="12" width="18" bestFit="1" customWidth="1"/>
  </cols>
  <sheetData>
    <row r="1" spans="1:12" x14ac:dyDescent="0.35">
      <c r="A1" t="s">
        <v>213</v>
      </c>
      <c r="B1" t="s">
        <v>23</v>
      </c>
      <c r="C1" s="1" t="s">
        <v>24</v>
      </c>
      <c r="D1" s="1" t="s">
        <v>76</v>
      </c>
      <c r="E1" s="2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</row>
    <row r="2" spans="1:12" x14ac:dyDescent="0.35">
      <c r="A2" t="str">
        <f>+Overview!A2</f>
        <v>Presurvey_id-0-1</v>
      </c>
      <c r="B2" t="str">
        <f>+Overview!B2</f>
        <v>Q_SurveyFinished</v>
      </c>
      <c r="C2" s="1" t="s">
        <v>73</v>
      </c>
      <c r="D2" s="1">
        <v>5</v>
      </c>
      <c r="E2" s="2" t="s">
        <v>74</v>
      </c>
    </row>
    <row r="3" spans="1:12" x14ac:dyDescent="0.35">
      <c r="A3" t="str">
        <f>+Overview!A3</f>
        <v>Presurvey_id-0-2</v>
      </c>
      <c r="B3" t="str">
        <f>+Overview!B3</f>
        <v>Q_RecordedDate</v>
      </c>
      <c r="C3" s="1" t="s">
        <v>72</v>
      </c>
      <c r="D3" s="1">
        <v>6</v>
      </c>
      <c r="E3" s="2" t="s">
        <v>75</v>
      </c>
    </row>
    <row r="4" spans="1:12" x14ac:dyDescent="0.35">
      <c r="A4" t="str">
        <f>+Overview!A4</f>
        <v>Presurvey_id-0-3</v>
      </c>
      <c r="B4" t="str">
        <f>+Overview!B4</f>
        <v>Q_Consent</v>
      </c>
      <c r="C4" s="1" t="s">
        <v>40</v>
      </c>
      <c r="D4" s="1">
        <v>10</v>
      </c>
      <c r="E4" s="2" t="s">
        <v>39</v>
      </c>
      <c r="F4" t="s">
        <v>163</v>
      </c>
      <c r="G4" t="s">
        <v>164</v>
      </c>
    </row>
    <row r="5" spans="1:12" ht="29" x14ac:dyDescent="0.35">
      <c r="A5" t="str">
        <f>+Overview!A5</f>
        <v>Presurvey_id-0-4</v>
      </c>
      <c r="B5" t="str">
        <f>+Overview!B5</f>
        <v xml:space="preserve">Q_PlayerNumber </v>
      </c>
      <c r="C5" s="1" t="s">
        <v>5</v>
      </c>
      <c r="D5" s="1">
        <v>11</v>
      </c>
      <c r="E5" s="2" t="s">
        <v>3</v>
      </c>
    </row>
    <row r="6" spans="1:12" ht="29" x14ac:dyDescent="0.35">
      <c r="A6">
        <f>+Overview!A6</f>
        <v>0</v>
      </c>
      <c r="B6" t="str">
        <f>+Overview!B6</f>
        <v>Q_EducationLevel</v>
      </c>
      <c r="C6" s="1" t="s">
        <v>4</v>
      </c>
      <c r="D6" s="1">
        <v>12</v>
      </c>
      <c r="E6" s="2">
        <v>5</v>
      </c>
      <c r="F6" t="s">
        <v>202</v>
      </c>
      <c r="G6" t="s">
        <v>203</v>
      </c>
      <c r="H6" t="s">
        <v>204</v>
      </c>
      <c r="I6" t="s">
        <v>205</v>
      </c>
      <c r="J6" t="s">
        <v>125</v>
      </c>
    </row>
    <row r="7" spans="1:12" x14ac:dyDescent="0.35">
      <c r="A7">
        <f>+Overview!A8</f>
        <v>0</v>
      </c>
      <c r="B7" t="str">
        <f>+Overview!B7</f>
        <v>Q_EducationLevel_Other</v>
      </c>
      <c r="C7" s="1" t="s">
        <v>117</v>
      </c>
      <c r="E7" s="2" t="s">
        <v>3</v>
      </c>
    </row>
    <row r="8" spans="1:12" ht="29" x14ac:dyDescent="0.35">
      <c r="A8">
        <f>+Overview!A9</f>
        <v>0</v>
      </c>
      <c r="B8" t="str">
        <f>+Overview!B8</f>
        <v>Q_Role_Faculty</v>
      </c>
      <c r="C8" s="1" t="s">
        <v>7</v>
      </c>
      <c r="D8" s="1">
        <v>13</v>
      </c>
      <c r="E8" s="2" t="s">
        <v>3</v>
      </c>
    </row>
    <row r="9" spans="1:12" ht="29" x14ac:dyDescent="0.35">
      <c r="A9" t="str">
        <f>+Overview!A10</f>
        <v>RiskPerception_1</v>
      </c>
      <c r="B9" t="str">
        <f>+Overview!B10</f>
        <v>Q_Experience</v>
      </c>
      <c r="C9" s="1" t="s">
        <v>6</v>
      </c>
      <c r="D9" s="7">
        <v>15</v>
      </c>
      <c r="E9" s="2">
        <v>5</v>
      </c>
      <c r="F9" s="1" t="s">
        <v>165</v>
      </c>
      <c r="G9" t="s">
        <v>166</v>
      </c>
      <c r="H9" t="s">
        <v>167</v>
      </c>
      <c r="I9" t="s">
        <v>168</v>
      </c>
      <c r="J9" t="s">
        <v>169</v>
      </c>
    </row>
    <row r="10" spans="1:12" x14ac:dyDescent="0.35">
      <c r="A10" t="str">
        <f>+Overview!A12</f>
        <v>RiskPerception_2_1</v>
      </c>
      <c r="B10" t="str">
        <f>+Overview!B12</f>
        <v>Q_Info_Government</v>
      </c>
      <c r="C10" s="1" t="s">
        <v>8</v>
      </c>
      <c r="D10" s="1">
        <v>16</v>
      </c>
      <c r="E10" s="2">
        <v>6</v>
      </c>
      <c r="F10" t="s">
        <v>170</v>
      </c>
      <c r="G10" t="s">
        <v>171</v>
      </c>
      <c r="H10" t="s">
        <v>172</v>
      </c>
      <c r="I10" t="s">
        <v>173</v>
      </c>
      <c r="J10" t="s">
        <v>174</v>
      </c>
      <c r="K10" t="s">
        <v>175</v>
      </c>
    </row>
    <row r="11" spans="1:12" x14ac:dyDescent="0.35">
      <c r="A11" t="str">
        <f>+Overview!A13</f>
        <v>RiskPerception_2_2</v>
      </c>
      <c r="B11" t="str">
        <f>+Overview!B13</f>
        <v>Q_Info_WeatherForecast</v>
      </c>
      <c r="C11" s="1" t="s">
        <v>10</v>
      </c>
      <c r="D11" s="1">
        <v>17</v>
      </c>
      <c r="E11" s="2">
        <f>+E$10</f>
        <v>6</v>
      </c>
      <c r="F11" s="2" t="str">
        <f t="shared" ref="F11:K14" si="0">+F$10</f>
        <v>1 = Never</v>
      </c>
      <c r="G11" s="2" t="str">
        <f t="shared" si="0"/>
        <v>2 = Once in the last year</v>
      </c>
      <c r="H11" s="2" t="str">
        <f t="shared" si="0"/>
        <v>3 = Once in the last six months</v>
      </c>
      <c r="I11" s="2" t="str">
        <f t="shared" si="0"/>
        <v>4 = Once a month</v>
      </c>
      <c r="J11" s="2" t="str">
        <f t="shared" si="0"/>
        <v>5 = Once a week</v>
      </c>
      <c r="K11" s="2" t="str">
        <f t="shared" si="0"/>
        <v>6 = Once a day</v>
      </c>
    </row>
    <row r="12" spans="1:12" x14ac:dyDescent="0.35">
      <c r="A12" t="str">
        <f>+Overview!A14</f>
        <v>RiskPerception_2_3</v>
      </c>
      <c r="B12" t="str">
        <f>+Overview!B14</f>
        <v>Q_Info_Scientific</v>
      </c>
      <c r="C12" s="1" t="s">
        <v>11</v>
      </c>
      <c r="D12" s="1">
        <v>18</v>
      </c>
      <c r="E12" s="2">
        <f t="shared" ref="E12:E14" si="1">+E$10</f>
        <v>6</v>
      </c>
      <c r="F12" s="2" t="str">
        <f t="shared" si="0"/>
        <v>1 = Never</v>
      </c>
      <c r="G12" s="2" t="str">
        <f t="shared" si="0"/>
        <v>2 = Once in the last year</v>
      </c>
      <c r="H12" s="2" t="str">
        <f t="shared" si="0"/>
        <v>3 = Once in the last six months</v>
      </c>
      <c r="I12" s="2" t="str">
        <f t="shared" si="0"/>
        <v>4 = Once a month</v>
      </c>
      <c r="J12" s="2" t="str">
        <f t="shared" si="0"/>
        <v>5 = Once a week</v>
      </c>
      <c r="K12" s="2" t="str">
        <f t="shared" si="0"/>
        <v>6 = Once a day</v>
      </c>
    </row>
    <row r="13" spans="1:12" x14ac:dyDescent="0.35">
      <c r="A13" t="str">
        <f>+Overview!A15</f>
        <v>RiskPerception_2_4</v>
      </c>
      <c r="B13" t="str">
        <f>+Overview!B15</f>
        <v>Q_Info_GeneralMedia</v>
      </c>
      <c r="C13" s="1" t="s">
        <v>12</v>
      </c>
      <c r="D13" s="1">
        <v>19</v>
      </c>
      <c r="E13" s="2">
        <f t="shared" si="1"/>
        <v>6</v>
      </c>
      <c r="F13" s="2" t="str">
        <f t="shared" si="0"/>
        <v>1 = Never</v>
      </c>
      <c r="G13" s="2" t="str">
        <f t="shared" si="0"/>
        <v>2 = Once in the last year</v>
      </c>
      <c r="H13" s="2" t="str">
        <f t="shared" si="0"/>
        <v>3 = Once in the last six months</v>
      </c>
      <c r="I13" s="2" t="str">
        <f t="shared" si="0"/>
        <v>4 = Once a month</v>
      </c>
      <c r="J13" s="2" t="str">
        <f t="shared" si="0"/>
        <v>5 = Once a week</v>
      </c>
      <c r="K13" s="2" t="str">
        <f t="shared" si="0"/>
        <v>6 = Once a day</v>
      </c>
    </row>
    <row r="14" spans="1:12" ht="29" x14ac:dyDescent="0.35">
      <c r="A14" t="str">
        <f>+Overview!A16</f>
        <v>RiskPerception_2_5</v>
      </c>
      <c r="B14" t="str">
        <f>+Overview!B16</f>
        <v>Q_Info_SocialMedia</v>
      </c>
      <c r="C14" s="1" t="s">
        <v>13</v>
      </c>
      <c r="D14" s="1">
        <v>20</v>
      </c>
      <c r="E14" s="2">
        <f t="shared" si="1"/>
        <v>6</v>
      </c>
      <c r="F14" s="2" t="str">
        <f t="shared" si="0"/>
        <v>1 = Never</v>
      </c>
      <c r="G14" s="2" t="str">
        <f t="shared" si="0"/>
        <v>2 = Once in the last year</v>
      </c>
      <c r="H14" s="2" t="str">
        <f t="shared" si="0"/>
        <v>3 = Once in the last six months</v>
      </c>
      <c r="I14" s="2" t="str">
        <f t="shared" si="0"/>
        <v>4 = Once a month</v>
      </c>
      <c r="J14" s="2" t="str">
        <f t="shared" si="0"/>
        <v>5 = Once a week</v>
      </c>
      <c r="K14" s="2" t="str">
        <f t="shared" si="0"/>
        <v>6 = Once a day</v>
      </c>
    </row>
    <row r="15" spans="1:12" ht="43.5" x14ac:dyDescent="0.35">
      <c r="A15">
        <f>+Overview!A19</f>
        <v>0</v>
      </c>
      <c r="B15" t="str">
        <f>+Overview!B19</f>
        <v>Q_HouseLocation</v>
      </c>
      <c r="C15" s="1" t="s">
        <v>14</v>
      </c>
      <c r="D15" s="1">
        <v>21</v>
      </c>
      <c r="E15" s="2" t="s">
        <v>3</v>
      </c>
      <c r="F15" s="2"/>
      <c r="G15" s="2"/>
      <c r="H15" s="2"/>
      <c r="I15" s="2"/>
      <c r="J15" s="2"/>
      <c r="K15" s="2"/>
    </row>
    <row r="16" spans="1:12" ht="29" x14ac:dyDescent="0.35">
      <c r="A16" t="str">
        <f>+Overview!A20</f>
        <v>RiskPerception_3</v>
      </c>
      <c r="B16" t="str">
        <f>+Overview!B20</f>
        <v>Q_FloodFuture</v>
      </c>
      <c r="C16" s="1" t="s">
        <v>9</v>
      </c>
      <c r="D16" s="1">
        <v>22</v>
      </c>
      <c r="E16" s="2">
        <v>5</v>
      </c>
      <c r="F16" t="s">
        <v>176</v>
      </c>
      <c r="G16" t="s">
        <v>177</v>
      </c>
      <c r="H16" t="s">
        <v>178</v>
      </c>
      <c r="I16" t="s">
        <v>179</v>
      </c>
      <c r="J16" t="s">
        <v>180</v>
      </c>
    </row>
    <row r="17" spans="1:13" ht="43.5" x14ac:dyDescent="0.35">
      <c r="A17" t="str">
        <f>+Overview!A21</f>
        <v>RiskPerception_4</v>
      </c>
      <c r="B17" t="str">
        <f>+Overview!B21</f>
        <v xml:space="preserve">Q_ClimateChange </v>
      </c>
      <c r="C17" s="1" t="s">
        <v>15</v>
      </c>
      <c r="D17" s="1">
        <v>23</v>
      </c>
      <c r="E17" s="2">
        <v>5</v>
      </c>
      <c r="F17" t="s">
        <v>181</v>
      </c>
      <c r="G17" t="s">
        <v>182</v>
      </c>
      <c r="H17" t="s">
        <v>183</v>
      </c>
      <c r="I17" t="s">
        <v>184</v>
      </c>
      <c r="J17" t="s">
        <v>185</v>
      </c>
    </row>
    <row r="18" spans="1:13" ht="29" x14ac:dyDescent="0.35">
      <c r="A18" t="str">
        <f>+Overview!A22</f>
        <v>RiskPerception_5</v>
      </c>
      <c r="B18" t="str">
        <f>+Overview!B22</f>
        <v>Q_Threat</v>
      </c>
      <c r="C18" s="1" t="s">
        <v>16</v>
      </c>
      <c r="D18" s="1">
        <v>24</v>
      </c>
      <c r="E18" s="2">
        <v>5</v>
      </c>
      <c r="F18" t="s">
        <v>186</v>
      </c>
      <c r="G18" t="s">
        <v>187</v>
      </c>
      <c r="H18" t="s">
        <v>188</v>
      </c>
      <c r="I18" t="s">
        <v>189</v>
      </c>
      <c r="J18" t="s">
        <v>190</v>
      </c>
    </row>
    <row r="19" spans="1:13" ht="29" x14ac:dyDescent="0.35">
      <c r="A19" t="str">
        <f>+Overview!A23</f>
        <v>RiskPerception_6</v>
      </c>
      <c r="B19" t="str">
        <f>+Overview!B23</f>
        <v xml:space="preserve">Q_Responsibility </v>
      </c>
      <c r="C19" s="1" t="s">
        <v>17</v>
      </c>
      <c r="D19" s="1">
        <v>25</v>
      </c>
      <c r="E19" s="2">
        <v>5</v>
      </c>
      <c r="F19" t="s">
        <v>191</v>
      </c>
      <c r="G19" t="s">
        <v>192</v>
      </c>
      <c r="H19" t="s">
        <v>193</v>
      </c>
      <c r="I19" t="s">
        <v>194</v>
      </c>
      <c r="J19" t="s">
        <v>195</v>
      </c>
    </row>
    <row r="20" spans="1:13" ht="29" x14ac:dyDescent="0.35">
      <c r="A20">
        <f>+Overview!A25</f>
        <v>0</v>
      </c>
      <c r="B20" t="str">
        <f>+Overview!B25</f>
        <v>Q_ConfidenceNatucity</v>
      </c>
      <c r="C20" s="1" t="s">
        <v>19</v>
      </c>
      <c r="D20" s="1">
        <v>26</v>
      </c>
      <c r="E20" s="2">
        <v>6</v>
      </c>
      <c r="F20" t="s">
        <v>196</v>
      </c>
      <c r="G20" t="s">
        <v>197</v>
      </c>
      <c r="H20" t="s">
        <v>198</v>
      </c>
      <c r="I20" t="s">
        <v>199</v>
      </c>
      <c r="J20" t="s">
        <v>200</v>
      </c>
      <c r="K20" t="s">
        <v>201</v>
      </c>
    </row>
    <row r="21" spans="1:13" ht="29" x14ac:dyDescent="0.35">
      <c r="A21">
        <f>+Overview!A26</f>
        <v>0</v>
      </c>
      <c r="B21" t="str">
        <f>+Overview!B26</f>
        <v>Q_ConfidenceDiketown</v>
      </c>
      <c r="C21" s="1" t="s">
        <v>20</v>
      </c>
      <c r="D21" s="1">
        <v>27</v>
      </c>
      <c r="E21" s="2">
        <f>+E$20</f>
        <v>6</v>
      </c>
      <c r="F21" s="2" t="str">
        <f t="shared" ref="F21:K22" si="2">+F$20</f>
        <v>1 = Absolutely not confident</v>
      </c>
      <c r="G21" s="2" t="str">
        <f t="shared" si="2"/>
        <v>2 = Not confident</v>
      </c>
      <c r="H21" s="2" t="str">
        <f t="shared" si="2"/>
        <v>3 = Inconclusive</v>
      </c>
      <c r="I21" s="2" t="str">
        <f t="shared" si="2"/>
        <v>4 = Somehow confident</v>
      </c>
      <c r="J21" s="2" t="str">
        <f t="shared" si="2"/>
        <v>5 = Absolutely confident</v>
      </c>
      <c r="K21" s="2" t="str">
        <f t="shared" si="2"/>
        <v>6 = I don't know</v>
      </c>
    </row>
    <row r="22" spans="1:13" ht="29" x14ac:dyDescent="0.35">
      <c r="A22">
        <f>+Overview!A27</f>
        <v>0</v>
      </c>
      <c r="B22" t="str">
        <f>+Overview!B27</f>
        <v>Q_ConfidenceUnbesvillage</v>
      </c>
      <c r="C22" s="1" t="s">
        <v>21</v>
      </c>
      <c r="D22" s="1">
        <v>28</v>
      </c>
      <c r="E22" s="2">
        <f>+E$20</f>
        <v>6</v>
      </c>
      <c r="F22" s="2" t="str">
        <f t="shared" si="2"/>
        <v>1 = Absolutely not confident</v>
      </c>
      <c r="G22" s="2" t="str">
        <f t="shared" si="2"/>
        <v>2 = Not confident</v>
      </c>
      <c r="H22" s="2" t="str">
        <f t="shared" si="2"/>
        <v>3 = Inconclusive</v>
      </c>
      <c r="I22" s="2" t="str">
        <f t="shared" si="2"/>
        <v>4 = Somehow confident</v>
      </c>
      <c r="J22" s="2" t="str">
        <f t="shared" si="2"/>
        <v>5 = Absolutely confident</v>
      </c>
      <c r="K22" s="2" t="str">
        <f t="shared" si="2"/>
        <v>6 = I don't know</v>
      </c>
    </row>
    <row r="23" spans="1:13" x14ac:dyDescent="0.35">
      <c r="A23">
        <f>+Overview!A29</f>
        <v>0</v>
      </c>
      <c r="B23" t="str">
        <f>+Overview!B29</f>
        <v>Q_ConfidenceGreenGarden</v>
      </c>
      <c r="C23" s="1" t="s">
        <v>33</v>
      </c>
      <c r="D23" s="1">
        <v>29</v>
      </c>
      <c r="E23" s="2">
        <v>7</v>
      </c>
      <c r="F23" s="5" t="s">
        <v>206</v>
      </c>
      <c r="G23" s="5" t="s">
        <v>207</v>
      </c>
      <c r="H23" s="5" t="s">
        <v>208</v>
      </c>
      <c r="I23" s="5" t="s">
        <v>209</v>
      </c>
      <c r="J23" s="5" t="s">
        <v>210</v>
      </c>
      <c r="K23" s="5" t="s">
        <v>211</v>
      </c>
      <c r="L23" s="5" t="s">
        <v>212</v>
      </c>
      <c r="M23" s="2"/>
    </row>
    <row r="24" spans="1:13" ht="15" customHeight="1" x14ac:dyDescent="0.35">
      <c r="A24">
        <f>+Overview!A30</f>
        <v>0</v>
      </c>
      <c r="B24" t="str">
        <f>+Overview!B30</f>
        <v>Q_ConfidenceRainBarrel</v>
      </c>
      <c r="C24" s="1" t="s">
        <v>34</v>
      </c>
      <c r="D24" s="1">
        <v>30</v>
      </c>
      <c r="E24" s="2">
        <f>+E$23</f>
        <v>7</v>
      </c>
      <c r="F24" s="6" t="str">
        <f>+F$23</f>
        <v>1 = Only rain protection</v>
      </c>
      <c r="G24" s="6" t="str">
        <f t="shared" ref="G24:L29" si="3">+G$23</f>
        <v>2 = Rain protection AND satisfaction</v>
      </c>
      <c r="H24" s="6" t="str">
        <f t="shared" si="3"/>
        <v>3 = Only river protection</v>
      </c>
      <c r="I24" s="6" t="str">
        <f t="shared" si="3"/>
        <v>4 = River Protection AND satisfaction</v>
      </c>
      <c r="J24" s="6" t="str">
        <f t="shared" si="3"/>
        <v>5 = River AND Rain protection AND satisfaction</v>
      </c>
      <c r="K24" s="6" t="str">
        <f t="shared" si="3"/>
        <v>6 = River AND Rain protection</v>
      </c>
      <c r="L24" s="6" t="str">
        <f t="shared" si="3"/>
        <v>7 = None, I dont' know</v>
      </c>
    </row>
    <row r="25" spans="1:13" x14ac:dyDescent="0.35">
      <c r="A25">
        <f>+Overview!A31</f>
        <v>0</v>
      </c>
      <c r="B25" t="str">
        <f>+Overview!B31</f>
        <v>Q_ConfidenceSandbags</v>
      </c>
      <c r="C25" s="1" t="s">
        <v>36</v>
      </c>
      <c r="D25" s="1">
        <v>31</v>
      </c>
      <c r="E25" s="2">
        <f t="shared" ref="E25:E29" si="4">+E$23</f>
        <v>7</v>
      </c>
      <c r="F25" s="6" t="str">
        <f t="shared" ref="F25:F29" si="5">+F$23</f>
        <v>1 = Only rain protection</v>
      </c>
      <c r="G25" s="6" t="str">
        <f t="shared" si="3"/>
        <v>2 = Rain protection AND satisfaction</v>
      </c>
      <c r="H25" s="6" t="str">
        <f t="shared" si="3"/>
        <v>3 = Only river protection</v>
      </c>
      <c r="I25" s="6" t="str">
        <f t="shared" si="3"/>
        <v>4 = River Protection AND satisfaction</v>
      </c>
      <c r="J25" s="6" t="str">
        <f t="shared" si="3"/>
        <v>5 = River AND Rain protection AND satisfaction</v>
      </c>
      <c r="K25" s="6" t="str">
        <f t="shared" si="3"/>
        <v>6 = River AND Rain protection</v>
      </c>
      <c r="L25" s="6" t="str">
        <f t="shared" si="3"/>
        <v>7 = None, I dont' know</v>
      </c>
    </row>
    <row r="26" spans="1:13" x14ac:dyDescent="0.35">
      <c r="A26">
        <f>+Overview!A32</f>
        <v>0</v>
      </c>
      <c r="B26" t="str">
        <f>+Overview!B32</f>
        <v>Q_ConfidenceWaterproof</v>
      </c>
      <c r="C26" s="1" t="s">
        <v>68</v>
      </c>
      <c r="D26" s="1">
        <v>32</v>
      </c>
      <c r="E26" s="2">
        <f t="shared" si="4"/>
        <v>7</v>
      </c>
      <c r="F26" s="6" t="str">
        <f t="shared" si="5"/>
        <v>1 = Only rain protection</v>
      </c>
      <c r="G26" s="6" t="str">
        <f t="shared" si="3"/>
        <v>2 = Rain protection AND satisfaction</v>
      </c>
      <c r="H26" s="6" t="str">
        <f t="shared" si="3"/>
        <v>3 = Only river protection</v>
      </c>
      <c r="I26" s="6" t="str">
        <f t="shared" si="3"/>
        <v>4 = River Protection AND satisfaction</v>
      </c>
      <c r="J26" s="6" t="str">
        <f t="shared" si="3"/>
        <v>5 = River AND Rain protection AND satisfaction</v>
      </c>
      <c r="K26" s="6" t="str">
        <f t="shared" si="3"/>
        <v>6 = River AND Rain protection</v>
      </c>
      <c r="L26" s="6" t="str">
        <f t="shared" si="3"/>
        <v>7 = None, I dont' know</v>
      </c>
    </row>
    <row r="27" spans="1:13" x14ac:dyDescent="0.35">
      <c r="A27">
        <f>+Overview!A33</f>
        <v>0</v>
      </c>
      <c r="B27" t="str">
        <f>+Overview!B33</f>
        <v>Q_ConfidenceSelf-wall</v>
      </c>
      <c r="C27" s="1" t="s">
        <v>37</v>
      </c>
      <c r="D27" s="1">
        <v>33</v>
      </c>
      <c r="E27" s="2">
        <f t="shared" si="4"/>
        <v>7</v>
      </c>
      <c r="F27" s="6" t="str">
        <f t="shared" si="5"/>
        <v>1 = Only rain protection</v>
      </c>
      <c r="G27" s="6" t="str">
        <f t="shared" si="3"/>
        <v>2 = Rain protection AND satisfaction</v>
      </c>
      <c r="H27" s="6" t="str">
        <f t="shared" si="3"/>
        <v>3 = Only river protection</v>
      </c>
      <c r="I27" s="6" t="str">
        <f t="shared" si="3"/>
        <v>4 = River Protection AND satisfaction</v>
      </c>
      <c r="J27" s="6" t="str">
        <f t="shared" si="3"/>
        <v>5 = River AND Rain protection AND satisfaction</v>
      </c>
      <c r="K27" s="6" t="str">
        <f t="shared" si="3"/>
        <v>6 = River AND Rain protection</v>
      </c>
      <c r="L27" s="6" t="str">
        <f t="shared" si="3"/>
        <v>7 = None, I dont' know</v>
      </c>
    </row>
    <row r="28" spans="1:13" x14ac:dyDescent="0.35">
      <c r="A28">
        <f>+Overview!A34</f>
        <v>0</v>
      </c>
      <c r="B28" t="str">
        <f>+Overview!B34</f>
        <v>Q_ConfidenceInsurance</v>
      </c>
      <c r="C28" s="1" t="s">
        <v>38</v>
      </c>
      <c r="D28" s="1">
        <v>34</v>
      </c>
      <c r="E28" s="2">
        <f t="shared" si="4"/>
        <v>7</v>
      </c>
      <c r="F28" s="6" t="str">
        <f t="shared" si="5"/>
        <v>1 = Only rain protection</v>
      </c>
      <c r="G28" s="6" t="str">
        <f t="shared" si="3"/>
        <v>2 = Rain protection AND satisfaction</v>
      </c>
      <c r="H28" s="6" t="str">
        <f t="shared" si="3"/>
        <v>3 = Only river protection</v>
      </c>
      <c r="I28" s="6" t="str">
        <f t="shared" si="3"/>
        <v>4 = River Protection AND satisfaction</v>
      </c>
      <c r="J28" s="6" t="str">
        <f t="shared" si="3"/>
        <v>5 = River AND Rain protection AND satisfaction</v>
      </c>
      <c r="K28" s="6" t="str">
        <f t="shared" si="3"/>
        <v>6 = River AND Rain protection</v>
      </c>
      <c r="L28" s="6" t="str">
        <f t="shared" si="3"/>
        <v>7 = None, I dont' know</v>
      </c>
    </row>
    <row r="29" spans="1:13" x14ac:dyDescent="0.35">
      <c r="A29">
        <f>+Overview!A35</f>
        <v>0</v>
      </c>
      <c r="B29" t="str">
        <f>+Overview!B35</f>
        <v>Q_ConfidenceWaterPump</v>
      </c>
      <c r="C29" s="1" t="s">
        <v>35</v>
      </c>
      <c r="D29" s="1">
        <v>35</v>
      </c>
      <c r="E29" s="2">
        <f t="shared" si="4"/>
        <v>7</v>
      </c>
      <c r="F29" s="6" t="str">
        <f t="shared" si="5"/>
        <v>1 = Only rain protection</v>
      </c>
      <c r="G29" s="6" t="str">
        <f t="shared" si="3"/>
        <v>2 = Rain protection AND satisfaction</v>
      </c>
      <c r="H29" s="6" t="str">
        <f t="shared" si="3"/>
        <v>3 = Only river protection</v>
      </c>
      <c r="I29" s="6" t="str">
        <f t="shared" si="3"/>
        <v>4 = River Protection AND satisfaction</v>
      </c>
      <c r="J29" s="6" t="str">
        <f t="shared" si="3"/>
        <v>5 = River AND Rain protection AND satisfaction</v>
      </c>
      <c r="K29" s="6" t="str">
        <f t="shared" si="3"/>
        <v>6 = River AND Rain protection</v>
      </c>
      <c r="L29" s="6" t="str">
        <f t="shared" si="3"/>
        <v>7 = None, I dont' know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dataset_251007</vt:lpstr>
      <vt:lpstr>dataset_250923</vt:lpstr>
      <vt:lpstr>dataset_240924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 Cortes Arevalo</dc:creator>
  <cp:lastModifiedBy>Juliette Cortes Arevalo</cp:lastModifiedBy>
  <dcterms:created xsi:type="dcterms:W3CDTF">2015-06-05T18:17:20Z</dcterms:created>
  <dcterms:modified xsi:type="dcterms:W3CDTF">2025-12-12T14:10:10Z</dcterms:modified>
</cp:coreProperties>
</file>